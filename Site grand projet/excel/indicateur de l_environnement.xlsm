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hidePivotFieldList="1"/>
  <mc:AlternateContent xmlns:mc="http://schemas.openxmlformats.org/markup-compatibility/2006">
    <mc:Choice Requires="x15">
      <x15ac:absPath xmlns:x15ac="http://schemas.microsoft.com/office/spreadsheetml/2010/11/ac" url="F:\grand projet 2\"/>
    </mc:Choice>
  </mc:AlternateContent>
  <xr:revisionPtr revIDLastSave="0" documentId="13_ncr:1_{16347605-AFC9-4519-AA6D-D15EDF0FA28D}" xr6:coauthVersionLast="43" xr6:coauthVersionMax="43" xr10:uidLastSave="{00000000-0000-0000-0000-000000000000}"/>
  <bookViews>
    <workbookView xWindow="-108" yWindow="-108" windowWidth="23256" windowHeight="12576" xr2:uid="{00000000-000D-0000-FFFF-FFFF00000000}"/>
  </bookViews>
  <sheets>
    <sheet name="comite 4" sheetId="2" r:id="rId1"/>
    <sheet name="Indicateur10" sheetId="3" r:id="rId2"/>
    <sheet name="Indicateur11" sheetId="5" r:id="rId3"/>
    <sheet name="Indicateur12" sheetId="7" r:id="rId4"/>
    <sheet name="prevision10" sheetId="4" state="hidden" r:id="rId5"/>
    <sheet name="prevision11" sheetId="6" state="hidden" r:id="rId6"/>
    <sheet name="prevision12" sheetId="8" state="hidden" r:id="rId7"/>
  </sheets>
  <definedNames>
    <definedName name="切片器_Country_name10">#N/A</definedName>
    <definedName name="切片器_Country_name8">#N/A</definedName>
    <definedName name="切片器_Country_name9">#N/A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E30" i="6" l="1"/>
  <c r="B30" i="6"/>
  <c r="C32" i="4" l="1"/>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31" i="4"/>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32" i="6"/>
  <c r="C31" i="8"/>
  <c r="C32" i="8"/>
  <c r="C33" i="8"/>
  <c r="C34" i="8"/>
  <c r="C35" i="8"/>
  <c r="C36" i="8"/>
  <c r="C37" i="8"/>
  <c r="C38" i="8"/>
  <c r="C39" i="8"/>
  <c r="C40" i="8"/>
  <c r="C30" i="8"/>
  <c r="I31" i="8"/>
  <c r="I32" i="8"/>
  <c r="I33" i="8"/>
  <c r="I34" i="8"/>
  <c r="I35" i="8"/>
  <c r="I36" i="8"/>
  <c r="I37" i="8"/>
  <c r="I38" i="8"/>
  <c r="I39" i="8"/>
  <c r="I40" i="8"/>
  <c r="I30" i="8"/>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32" i="6"/>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31" i="4"/>
  <c r="J40" i="8" l="1"/>
  <c r="D40" i="8"/>
  <c r="J87" i="6"/>
  <c r="D87" i="6"/>
  <c r="D90" i="6"/>
  <c r="J85" i="4"/>
  <c r="D85" i="4"/>
  <c r="J101" i="4"/>
  <c r="D88" i="4"/>
  <c r="D101" i="6" l="1"/>
  <c r="D54" i="8"/>
  <c r="J101" i="6"/>
  <c r="J54" i="8"/>
  <c r="D41" i="8"/>
  <c r="D43" i="8"/>
  <c r="D45" i="8"/>
  <c r="D47" i="8"/>
  <c r="D49" i="8"/>
  <c r="D51" i="8"/>
  <c r="D53" i="8"/>
  <c r="J41" i="8"/>
  <c r="J43" i="8"/>
  <c r="J45" i="8"/>
  <c r="J47" i="8"/>
  <c r="J49" i="8"/>
  <c r="J51" i="8"/>
  <c r="J53" i="8"/>
  <c r="D42" i="8"/>
  <c r="D44" i="8"/>
  <c r="D46" i="8"/>
  <c r="D48" i="8"/>
  <c r="D50" i="8"/>
  <c r="D52" i="8"/>
  <c r="J42" i="8"/>
  <c r="J44" i="8"/>
  <c r="J46" i="8"/>
  <c r="J48" i="8"/>
  <c r="J50" i="8"/>
  <c r="J52" i="8"/>
  <c r="D92" i="6"/>
  <c r="D94" i="6"/>
  <c r="D96" i="6"/>
  <c r="D98" i="6"/>
  <c r="D100" i="6"/>
  <c r="J88" i="6"/>
  <c r="J90" i="6"/>
  <c r="J92" i="6"/>
  <c r="J94" i="6"/>
  <c r="J96" i="6"/>
  <c r="J98" i="6"/>
  <c r="J100" i="6"/>
  <c r="D88" i="6"/>
  <c r="D89" i="6"/>
  <c r="D91" i="6"/>
  <c r="D93" i="6"/>
  <c r="D95" i="6"/>
  <c r="D97" i="6"/>
  <c r="D99" i="6"/>
  <c r="J89" i="6"/>
  <c r="J91" i="6"/>
  <c r="J93" i="6"/>
  <c r="J95" i="6"/>
  <c r="J97" i="6"/>
  <c r="J99" i="6"/>
  <c r="D86" i="4"/>
  <c r="D92" i="4"/>
  <c r="D96" i="4"/>
  <c r="D100" i="4"/>
  <c r="J86" i="4"/>
  <c r="J88" i="4"/>
  <c r="J90" i="4"/>
  <c r="J92" i="4"/>
  <c r="J94" i="4"/>
  <c r="J96" i="4"/>
  <c r="J98" i="4"/>
  <c r="J100" i="4"/>
  <c r="D90" i="4"/>
  <c r="D94" i="4"/>
  <c r="D98" i="4"/>
  <c r="D87" i="4"/>
  <c r="D89" i="4"/>
  <c r="D91" i="4"/>
  <c r="D93" i="4"/>
  <c r="D95" i="4"/>
  <c r="D97" i="4"/>
  <c r="D99" i="4"/>
  <c r="D101" i="4"/>
  <c r="J87" i="4"/>
  <c r="J89" i="4"/>
  <c r="J91" i="4"/>
  <c r="J93" i="4"/>
  <c r="J95" i="4"/>
  <c r="J97" i="4"/>
  <c r="J99" i="4"/>
</calcChain>
</file>

<file path=xl/sharedStrings.xml><?xml version="1.0" encoding="utf-8"?>
<sst xmlns="http://schemas.openxmlformats.org/spreadsheetml/2006/main" count="9873" uniqueCount="49">
  <si>
    <t>Indicateurs de l’environnement</t>
  </si>
  <si>
    <t>Country name:</t>
  </si>
  <si>
    <t>Ethiopia</t>
  </si>
  <si>
    <t>Commentaire</t>
    <phoneticPr fontId="0" type="noConversion"/>
  </si>
  <si>
    <t>Country name</t>
  </si>
  <si>
    <t>Indicator name</t>
  </si>
  <si>
    <t>Data</t>
  </si>
  <si>
    <t>Year</t>
  </si>
  <si>
    <t>Graphique Croisé Dynamique</t>
    <phoneticPr fontId="0" type="noConversion"/>
  </si>
  <si>
    <t>Tableau Croisé Dynamique</t>
    <phoneticPr fontId="0" type="noConversion"/>
  </si>
  <si>
    <t>Burundi</t>
  </si>
  <si>
    <t>CO2 emissions (kt)</t>
    <phoneticPr fontId="0" type="noConversion"/>
  </si>
  <si>
    <t>Somme:Data</t>
  </si>
  <si>
    <t>Cameroon</t>
  </si>
  <si>
    <t>CO2 emissions (kt)</t>
  </si>
  <si>
    <t>Chad</t>
  </si>
  <si>
    <t>Comoros</t>
  </si>
  <si>
    <t>Djibouti</t>
  </si>
  <si>
    <t>Guinea</t>
  </si>
  <si>
    <t>Haiti</t>
  </si>
  <si>
    <t>Kenya</t>
  </si>
  <si>
    <t>Kosovo</t>
  </si>
  <si>
    <t>Liberia</t>
  </si>
  <si>
    <t>Madagascar</t>
  </si>
  <si>
    <t>Malawi</t>
  </si>
  <si>
    <t>Mali</t>
  </si>
  <si>
    <t>Moldova</t>
  </si>
  <si>
    <t>Mozambique</t>
  </si>
  <si>
    <t xml:space="preserve">Prévision de tendance </t>
    <phoneticPr fontId="0" type="noConversion"/>
  </si>
  <si>
    <t>Myanmar</t>
  </si>
  <si>
    <t>Nepal</t>
  </si>
  <si>
    <t>Nicaragua</t>
  </si>
  <si>
    <t>Niger</t>
  </si>
  <si>
    <t>Rwanda</t>
  </si>
  <si>
    <t>Sao Tome and Principe</t>
  </si>
  <si>
    <t>Sri Lanka</t>
  </si>
  <si>
    <t>Tajikistan</t>
  </si>
  <si>
    <t>Tanzania</t>
  </si>
  <si>
    <t>Uganda</t>
  </si>
  <si>
    <t>Zambia</t>
  </si>
  <si>
    <t>Zimbabwe</t>
  </si>
  <si>
    <t>Food production index (2004-2006 = 100)</t>
    <phoneticPr fontId="0" type="noConversion"/>
  </si>
  <si>
    <t>Food production index (2004-2006 = 100)</t>
  </si>
  <si>
    <t>Indicateur:PM2,5 air pollution, mean annual exposure (micrograms per cubic meter)</t>
    <phoneticPr fontId="0" type="noConversion"/>
  </si>
  <si>
    <t>PM2,5 air pollution, mean annual exposure (micrograms per cubic meter)</t>
    <phoneticPr fontId="0" type="noConversion"/>
  </si>
  <si>
    <t>PM2,5 air pollution, mean annual exposure (micrograms per cubic meter)</t>
  </si>
  <si>
    <t>Indicateur:CO2 emissions (kt)</t>
    <phoneticPr fontId="12" type="noConversion"/>
  </si>
  <si>
    <t>Indicateur: Food production index (2004-2006 = 100)</t>
    <phoneticPr fontId="12" type="noConversion"/>
  </si>
  <si>
    <t>Indicateur:PM2,5 air pollution, mean annual exposure (micrograms per cubic meter)</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</si>
</sst>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rial"/>
      <family val="2"/>
    </font>
    <font>
      <sz val="11"/>
      <color theme="1"/>
      <name val="Arial"/>
      <family val="2"/>
    </font>
    <font>
      <b/>
      <sz val="11"/>
      <color theme="1"/>
      <name val="Arial"/>
      <family val="2"/>
    </font>
    <font>
      <sz val="11"/>
      <color theme="1"/>
      <name val="等线"/>
      <family val="2"/>
      <charset val="134"/>
      <scheme val="minor"/>
    </font>
    <font>
      <b/>
      <sz val="12"/>
      <color theme="0"/>
      <name val="Arial"/>
      <family val="2"/>
    </font>
    <font>
      <b/>
      <sz val="11"/>
      <name val="Arial"/>
      <family val="2"/>
    </font>
    <font>
      <sz val="12"/>
      <color indexed="8"/>
      <name val="宋体"/>
      <family val="3"/>
      <charset val="134"/>
    </font>
    <font>
      <b/>
      <sz val="11"/>
      <color indexed="8"/>
      <name val="Arial"/>
      <family val="2"/>
    </font>
    <font>
      <sz val="11"/>
      <color indexed="8"/>
      <name val="Arial"/>
      <family val="2"/>
    </font>
    <font>
      <b/>
      <sz val="11"/>
      <color theme="1"/>
      <name val="等线"/>
      <family val="2"/>
      <charset val="134"/>
      <scheme val="minor"/>
    </font>
    <font>
      <b/>
      <sz val="11"/>
      <name val="等线"/>
      <family val="2"/>
      <charset val="134"/>
      <scheme val="minor"/>
    </font>
    <font>
      <sz val="9"/>
      <color indexed="8"/>
      <name val="Arial"/>
      <family val="2"/>
    </font>
    <font>
      <sz val="9"/>
      <name val="宋体"/>
      <family val="3"/>
      <charset val="134"/>
    </font>
    <font>
      <sz val="11"/>
      <name val="Arial"/>
      <family val="2"/>
    </font>
    <font>
      <sz val="11"/>
      <color rgb="FF000000"/>
      <name val="Arial"/>
      <family val="2"/>
    </font>
    <font>
      <sz val="11"/>
      <color rgb="FF000000"/>
      <name val="等线"/>
      <family val="3"/>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7" tint="0.39997558519241921"/>
        <bgColor indexed="0"/>
      </patternFill>
    </fill>
    <fill>
      <patternFill patternType="solid">
        <fgColor theme="0" tint="-4.9989318521683403E-2"/>
        <bgColor indexed="64"/>
      </patternFill>
    </fill>
  </fills>
  <borders count="13">
    <border>
      <left/>
      <right/>
      <top/>
      <bottom/>
      <diagonal/>
    </border>
    <border>
      <left style="double">
        <color theme="7" tint="0.39994506668294322"/>
      </left>
      <right style="double">
        <color theme="7" tint="0.39991454817346722"/>
      </right>
      <top/>
      <bottom/>
      <diagonal/>
    </border>
    <border>
      <left style="thin">
        <color indexed="22"/>
      </left>
      <right style="thin">
        <color indexed="22"/>
      </right>
      <top style="thin">
        <color indexed="22"/>
      </top>
      <bottom style="thin">
        <color indexed="22"/>
      </bottom>
      <diagonal/>
    </border>
    <border>
      <left/>
      <right/>
      <top/>
      <bottom style="thin">
        <color theme="7" tint="0.39994506668294322"/>
      </bottom>
      <diagonal/>
    </border>
    <border>
      <left/>
      <right/>
      <top style="thin">
        <color theme="7" tint="0.39994506668294322"/>
      </top>
      <bottom style="thin">
        <color theme="7" tint="0.39994506668294322"/>
      </bottom>
      <diagonal/>
    </border>
    <border>
      <left/>
      <right/>
      <top style="thin">
        <color theme="7" tint="0.39994506668294322"/>
      </top>
      <bottom/>
      <diagonal/>
    </border>
    <border>
      <left/>
      <right/>
      <top/>
      <bottom style="thin">
        <color theme="4" tint="0.39997558519241921"/>
      </bottom>
      <diagonal/>
    </border>
    <border>
      <left style="double">
        <color theme="7" tint="0.39994506668294322"/>
      </left>
      <right style="double">
        <color theme="7" tint="0.39991454817346722"/>
      </right>
      <top/>
      <bottom style="double">
        <color theme="7" tint="0.39994506668294322"/>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s>
  <cellStyleXfs count="4">
    <xf numFmtId="0" fontId="0" fillId="0" borderId="0"/>
    <xf numFmtId="0" fontId="3" fillId="0" borderId="0">
      <alignment vertical="center"/>
    </xf>
    <xf numFmtId="0" fontId="6" fillId="0" borderId="0"/>
    <xf numFmtId="0" fontId="6" fillId="0" borderId="0"/>
  </cellStyleXfs>
  <cellXfs count="47">
    <xf numFmtId="0" fontId="0" fillId="0" borderId="0" xfId="0"/>
    <xf numFmtId="0" fontId="3" fillId="0" borderId="0" xfId="1">
      <alignment vertical="center"/>
    </xf>
    <xf numFmtId="0" fontId="2" fillId="3" borderId="0" xfId="1" applyFont="1" applyFill="1">
      <alignment vertical="center"/>
    </xf>
    <xf numFmtId="0" fontId="3" fillId="4" borderId="0" xfId="1" applyFill="1" applyAlignment="1">
      <alignment horizontal="right" vertical="center"/>
    </xf>
    <xf numFmtId="0" fontId="5" fillId="3" borderId="0" xfId="1" applyFont="1" applyFill="1">
      <alignment vertical="center"/>
    </xf>
    <xf numFmtId="0" fontId="7" fillId="5" borderId="0" xfId="2" applyFont="1" applyFill="1" applyAlignment="1">
      <alignment horizontal="center" vertical="center"/>
    </xf>
    <xf numFmtId="0" fontId="5" fillId="3" borderId="1" xfId="1" applyFont="1" applyFill="1" applyBorder="1">
      <alignment vertical="center"/>
    </xf>
    <xf numFmtId="0" fontId="8" fillId="6" borderId="2" xfId="2" applyFont="1" applyFill="1" applyBorder="1" applyAlignment="1">
      <alignment horizontal="center" vertical="center" wrapText="1"/>
    </xf>
    <xf numFmtId="0" fontId="8" fillId="0" borderId="2" xfId="2" applyFont="1" applyBorder="1" applyAlignment="1">
      <alignment horizontal="center" vertical="center" wrapText="1"/>
    </xf>
    <xf numFmtId="0" fontId="5" fillId="0" borderId="0" xfId="1" applyFont="1">
      <alignment vertical="center"/>
    </xf>
    <xf numFmtId="0" fontId="8" fillId="6" borderId="2" xfId="3" applyFont="1" applyFill="1" applyBorder="1" applyAlignment="1">
      <alignment horizontal="center" vertical="center" wrapText="1"/>
    </xf>
    <xf numFmtId="0" fontId="8" fillId="0" borderId="2" xfId="3" applyFont="1" applyBorder="1" applyAlignment="1">
      <alignment horizontal="center" vertical="center" wrapText="1"/>
    </xf>
    <xf numFmtId="0" fontId="3" fillId="0" borderId="0" xfId="1" applyAlignment="1">
      <alignment horizontal="left" vertical="top"/>
    </xf>
    <xf numFmtId="0" fontId="9" fillId="3" borderId="6" xfId="1" applyFont="1" applyFill="1" applyBorder="1">
      <alignment vertical="center"/>
    </xf>
    <xf numFmtId="0" fontId="3" fillId="6" borderId="0" xfId="1" applyFill="1" applyAlignment="1">
      <alignment horizontal="left" vertical="center"/>
    </xf>
    <xf numFmtId="0" fontId="9" fillId="3" borderId="6" xfId="1" applyFont="1" applyFill="1" applyBorder="1" applyAlignment="1">
      <alignment horizontal="right" vertical="center"/>
    </xf>
    <xf numFmtId="0" fontId="5" fillId="3" borderId="7" xfId="1" applyFont="1" applyFill="1" applyBorder="1">
      <alignment vertical="center"/>
    </xf>
    <xf numFmtId="0" fontId="10" fillId="3" borderId="6" xfId="1" applyFont="1" applyFill="1" applyBorder="1">
      <alignment vertical="center"/>
    </xf>
    <xf numFmtId="0" fontId="10" fillId="3" borderId="6" xfId="1" applyFont="1" applyFill="1" applyBorder="1" applyAlignment="1">
      <alignment horizontal="right" vertical="center"/>
    </xf>
    <xf numFmtId="0" fontId="11" fillId="0" borderId="2" xfId="2" applyFont="1" applyBorder="1" applyAlignment="1">
      <alignment horizontal="center" vertical="center" wrapText="1"/>
    </xf>
    <xf numFmtId="0" fontId="2" fillId="0" borderId="0" xfId="1" applyFont="1">
      <alignment vertical="center"/>
    </xf>
    <xf numFmtId="0" fontId="11" fillId="0" borderId="2" xfId="3" applyFont="1" applyBorder="1" applyAlignment="1">
      <alignment horizontal="center" vertical="center" wrapText="1"/>
    </xf>
    <xf numFmtId="0" fontId="0" fillId="6" borderId="4" xfId="0" applyFill="1" applyBorder="1" applyAlignment="1">
      <alignment horizontal="left"/>
    </xf>
    <xf numFmtId="0" fontId="0" fillId="6" borderId="5" xfId="0" applyFill="1" applyBorder="1" applyAlignment="1">
      <alignment horizontal="left"/>
    </xf>
    <xf numFmtId="0" fontId="0" fillId="0" borderId="3" xfId="0" applyFill="1" applyBorder="1"/>
    <xf numFmtId="0" fontId="0" fillId="0" borderId="4" xfId="0" applyFill="1" applyBorder="1"/>
    <xf numFmtId="0" fontId="0" fillId="0" borderId="4" xfId="0" applyFill="1" applyBorder="1" applyAlignment="1">
      <alignment horizontal="right"/>
    </xf>
    <xf numFmtId="0" fontId="0" fillId="0" borderId="4" xfId="0" applyNumberFormat="1" applyFill="1" applyBorder="1"/>
    <xf numFmtId="0" fontId="0" fillId="0" borderId="5" xfId="0" applyNumberFormat="1" applyFill="1" applyBorder="1"/>
    <xf numFmtId="0" fontId="0" fillId="0" borderId="4" xfId="0" applyNumberFormat="1" applyBorder="1"/>
    <xf numFmtId="0" fontId="0" fillId="0" borderId="5" xfId="0" applyNumberFormat="1" applyBorder="1"/>
    <xf numFmtId="0" fontId="13" fillId="0" borderId="3" xfId="0" applyFont="1" applyFill="1" applyBorder="1"/>
    <xf numFmtId="0" fontId="13" fillId="0" borderId="4" xfId="0" applyFont="1" applyFill="1" applyBorder="1"/>
    <xf numFmtId="0" fontId="13" fillId="0" borderId="4" xfId="0" applyFont="1" applyFill="1" applyBorder="1" applyAlignment="1">
      <alignment horizontal="right"/>
    </xf>
    <xf numFmtId="0" fontId="4" fillId="2" borderId="0" xfId="1" applyFont="1" applyFill="1" applyAlignment="1">
      <alignment horizontal="center" vertical="center"/>
    </xf>
    <xf numFmtId="0" fontId="0" fillId="0" borderId="8" xfId="1" applyFont="1" applyBorder="1" applyAlignment="1">
      <alignment vertical="center" wrapText="1"/>
    </xf>
    <xf numFmtId="0" fontId="0" fillId="0" borderId="0" xfId="1" applyFont="1" applyBorder="1" applyAlignment="1">
      <alignment vertical="center" wrapText="1"/>
    </xf>
    <xf numFmtId="0" fontId="0" fillId="0" borderId="9" xfId="1" applyFont="1" applyBorder="1" applyAlignment="1">
      <alignment vertical="center" wrapText="1"/>
    </xf>
    <xf numFmtId="0" fontId="5" fillId="3" borderId="0" xfId="1" applyFont="1" applyFill="1">
      <alignment vertical="center"/>
    </xf>
    <xf numFmtId="0" fontId="3" fillId="0" borderId="0" xfId="1" applyAlignment="1">
      <alignment horizontal="left" vertical="top"/>
    </xf>
    <xf numFmtId="0" fontId="1" fillId="2" borderId="0" xfId="1" applyFont="1" applyFill="1" applyAlignment="1">
      <alignment horizontal="center" vertical="center"/>
    </xf>
    <xf numFmtId="0" fontId="3" fillId="0" borderId="8" xfId="1" applyBorder="1">
      <alignment vertical="center"/>
    </xf>
    <xf numFmtId="0" fontId="3" fillId="0" borderId="0" xfId="1" applyBorder="1">
      <alignment vertical="center"/>
    </xf>
    <xf numFmtId="0" fontId="3" fillId="0" borderId="9" xfId="1" applyBorder="1">
      <alignment vertical="center"/>
    </xf>
    <xf numFmtId="0" fontId="3" fillId="0" borderId="10" xfId="1" applyBorder="1">
      <alignment vertical="center"/>
    </xf>
    <xf numFmtId="0" fontId="3" fillId="0" borderId="11" xfId="1" applyBorder="1">
      <alignment vertical="center"/>
    </xf>
    <xf numFmtId="0" fontId="3" fillId="0" borderId="12" xfId="1" applyBorder="1">
      <alignment vertical="center"/>
    </xf>
  </cellXfs>
  <cellStyles count="4">
    <cellStyle name="Normal 2" xfId="1" xr:uid="{00000000-0005-0000-0000-000001000000}"/>
    <cellStyle name="常规" xfId="0" builtinId="0"/>
    <cellStyle name="常规_Sheet1" xfId="3" xr:uid="{00000000-0005-0000-0000-000002000000}"/>
    <cellStyle name="常规_Sheet1_1" xfId="2" xr:uid="{00000000-0005-0000-0000-000003000000}"/>
  </cellStyles>
  <dxfs count="82">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alignment horizontal="right"/>
    </dxf>
    <dxf>
      <alignment horizontal="right"/>
    </dxf>
    <dxf>
      <fill>
        <patternFill patternType="none">
          <bgColor auto="1"/>
        </patternFill>
      </fill>
    </dxf>
    <dxf>
      <border>
        <horizontal style="thin">
          <color theme="7" tint="0.39994506668294322"/>
        </horizontal>
      </border>
    </dxf>
    <dxf>
      <fill>
        <patternFill patternType="solid">
          <bgColor theme="0" tint="-4.9989318521683403E-2"/>
        </patternFill>
      </fill>
    </dxf>
    <dxf>
      <font>
        <color rgb="FFFF0000"/>
      </font>
    </dxf>
    <dxf>
      <font>
        <color rgb="FFFF0000"/>
      </font>
    </dxf>
    <dxf>
      <font>
        <color rgb="FFFF0000"/>
      </font>
    </dxf>
    <dxf>
      <font>
        <color rgb="FFFF0000"/>
      </font>
    </dxf>
    <dxf>
      <font>
        <color rgb="FFFF0000"/>
      </font>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ont>
        <color auto="1"/>
      </font>
    </dxf>
    <dxf>
      <font>
        <color auto="1"/>
      </font>
    </dxf>
    <dxf>
      <font>
        <color auto="1"/>
      </font>
    </dxf>
    <dxf>
      <font>
        <color auto="1"/>
      </font>
    </dxf>
    <dxf>
      <font>
        <color auto="1"/>
      </font>
    </dxf>
    <dxf>
      <alignment horizontal="right"/>
    </dxf>
    <dxf>
      <fill>
        <patternFill patternType="solid">
          <bgColor theme="0" tint="-4.9989318521683403E-2"/>
        </patternFill>
      </fill>
    </dxf>
    <dxf>
      <fill>
        <patternFill patternType="solid">
          <bgColor theme="0" tint="-4.9989318521683403E-2"/>
        </patternFill>
      </fill>
    </dxf>
    <dxf>
      <border>
        <horizontal style="thin">
          <color theme="7" tint="0.39994506668294322"/>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0" tint="-4.9989318521683403E-2"/>
        </patternFill>
      </fill>
    </dxf>
    <dxf>
      <border>
        <horizontal style="thin">
          <color theme="7" tint="0.39994506668294322"/>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fill>
        <patternFill patternType="solid">
          <bgColor theme="0" tint="-4.9989318521683403E-2"/>
        </patternFill>
      </fill>
    </dxf>
    <dxf>
      <fill>
        <patternFill patternType="solid">
          <bgColor theme="7"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fill>
        <patternFill patternType="solid">
          <bgColor theme="0" tint="-4.9989318521683403E-2"/>
        </patternFill>
      </fill>
    </dxf>
    <dxf>
      <fill>
        <patternFill patternType="solid">
          <bgColor theme="0" tint="-4.9989318521683403E-2"/>
        </patternFill>
      </fill>
    </dxf>
    <dxf>
      <alignment horizontal="right"/>
    </dxf>
    <dxf>
      <font>
        <color auto="1"/>
      </font>
    </dxf>
    <dxf>
      <font>
        <color auto="1"/>
      </font>
    </dxf>
    <dxf>
      <font>
        <color auto="1"/>
      </font>
    </dxf>
    <dxf>
      <font>
        <color auto="1"/>
      </font>
    </dxf>
    <dxf>
      <font>
        <color auto="1"/>
      </font>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ont>
        <color rgb="FFFF0000"/>
      </font>
    </dxf>
    <dxf>
      <font>
        <color rgb="FFFF0000"/>
      </font>
    </dxf>
    <dxf>
      <font>
        <color rgb="FFFF0000"/>
      </font>
    </dxf>
    <dxf>
      <font>
        <color rgb="FFFF0000"/>
      </font>
    </dxf>
    <dxf>
      <font>
        <color rgb="FFFF0000"/>
      </font>
    </dxf>
    <dxf>
      <fill>
        <patternFill patternType="solid">
          <bgColor theme="0" tint="-4.9989318521683403E-2"/>
        </patternFill>
      </fill>
    </dxf>
    <dxf>
      <border>
        <horizontal style="thin">
          <color theme="7" tint="0.39994506668294322"/>
        </horizontal>
      </border>
    </dxf>
    <dxf>
      <fill>
        <patternFill patternType="none">
          <bgColor auto="1"/>
        </patternFill>
      </fill>
    </dxf>
    <dxf>
      <alignment horizontal="right"/>
    </dxf>
    <dxf>
      <alignment horizontal="right"/>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sz="1400" b="0" i="0" baseline="0">
                <a:effectLst/>
              </a:rPr>
              <a:t>PM2,5 air pollution, mean annual exposure</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4">
                  <a:lumMod val="60000"/>
                  <a:lumOff val="40000"/>
                </a:schemeClr>
              </a:solidFill>
              <a:round/>
            </a:ln>
            <a:effectLst/>
          </c:spPr>
          <c:marker>
            <c:symbol val="circle"/>
            <c:size val="5"/>
            <c:spPr>
              <a:solidFill>
                <a:schemeClr val="accent1"/>
              </a:solidFill>
              <a:ln w="9525">
                <a:solidFill>
                  <a:schemeClr val="accent4">
                    <a:lumMod val="60000"/>
                    <a:lumOff val="40000"/>
                  </a:schemeClr>
                </a:solidFill>
              </a:ln>
              <a:effectLst/>
            </c:spPr>
          </c:marker>
          <c:xVal>
            <c:numRef>
              <c:f>prevision12!$H$30:$H$54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xVal>
          <c:yVal>
            <c:numRef>
              <c:f>prevision12!$I$30:$I$54</c:f>
              <c:numCache>
                <c:formatCode>General</c:formatCode>
                <c:ptCount val="25"/>
                <c:pt idx="0">
                  <c:v>43.701879194620702</c:v>
                </c:pt>
                <c:pt idx="1">
                  <c:v>43.816870362701202</c:v>
                </c:pt>
                <c:pt idx="2">
                  <c:v>44.227207948034</c:v>
                </c:pt>
                <c:pt idx="3">
                  <c:v>48.0010895231636</c:v>
                </c:pt>
                <c:pt idx="4">
                  <c:v>45.834166775704198</c:v>
                </c:pt>
                <c:pt idx="5">
                  <c:v>45.922495148855702</c:v>
                </c:pt>
                <c:pt idx="6">
                  <c:v>48.2268903647252</c:v>
                </c:pt>
                <c:pt idx="7">
                  <c:v>51.1129131584606</c:v>
                </c:pt>
                <c:pt idx="8">
                  <c:v>52.428392853048599</c:v>
                </c:pt>
                <c:pt idx="9">
                  <c:v>49.018417395899199</c:v>
                </c:pt>
                <c:pt idx="10">
                  <c:v>48.811358811618703</c:v>
                </c:pt>
              </c:numCache>
            </c:numRef>
          </c:yVal>
          <c:smooth val="0"/>
          <c:extLst>
            <c:ext xmlns:c16="http://schemas.microsoft.com/office/drawing/2014/chart" uri="{C3380CC4-5D6E-409C-BE32-E72D297353CC}">
              <c16:uniqueId val="{00000000-2490-4102-8BA6-18E530575B3D}"/>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prevision12!$H$30:$H$54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xVal>
          <c:yVal>
            <c:numRef>
              <c:f>prevision12!$J$30:$J$54</c:f>
              <c:numCache>
                <c:formatCode>General</c:formatCode>
                <c:ptCount val="25"/>
                <c:pt idx="10">
                  <c:v>48.811358811618703</c:v>
                </c:pt>
                <c:pt idx="11">
                  <c:v>49.93949411464547</c:v>
                </c:pt>
                <c:pt idx="12">
                  <c:v>50.205840847893285</c:v>
                </c:pt>
                <c:pt idx="13">
                  <c:v>50.4721875811411</c:v>
                </c:pt>
                <c:pt idx="14">
                  <c:v>50.738534314388914</c:v>
                </c:pt>
                <c:pt idx="15">
                  <c:v>51.004881047636729</c:v>
                </c:pt>
                <c:pt idx="16">
                  <c:v>51.271227780884544</c:v>
                </c:pt>
                <c:pt idx="17">
                  <c:v>51.537574514132359</c:v>
                </c:pt>
                <c:pt idx="18">
                  <c:v>51.803921247380174</c:v>
                </c:pt>
                <c:pt idx="19">
                  <c:v>52.070267980627989</c:v>
                </c:pt>
                <c:pt idx="20">
                  <c:v>52.336614713875804</c:v>
                </c:pt>
                <c:pt idx="21">
                  <c:v>52.602961447123619</c:v>
                </c:pt>
                <c:pt idx="22">
                  <c:v>52.869308180371434</c:v>
                </c:pt>
                <c:pt idx="23">
                  <c:v>53.135654913619248</c:v>
                </c:pt>
                <c:pt idx="24">
                  <c:v>53.402001646867063</c:v>
                </c:pt>
              </c:numCache>
            </c:numRef>
          </c:yVal>
          <c:smooth val="0"/>
          <c:extLst>
            <c:ext xmlns:c16="http://schemas.microsoft.com/office/drawing/2014/chart" uri="{C3380CC4-5D6E-409C-BE32-E72D297353CC}">
              <c16:uniqueId val="{00000001-2490-4102-8BA6-18E530575B3D}"/>
            </c:ext>
          </c:extLst>
        </c:ser>
        <c:dLbls>
          <c:showLegendKey val="0"/>
          <c:showVal val="0"/>
          <c:showCatName val="0"/>
          <c:showSerName val="0"/>
          <c:showPercent val="0"/>
          <c:showBubbleSize val="0"/>
        </c:dLbls>
        <c:axId val="619810440"/>
        <c:axId val="619814048"/>
      </c:scatterChart>
      <c:valAx>
        <c:axId val="619810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14048"/>
        <c:crosses val="autoZero"/>
        <c:crossBetween val="midCat"/>
      </c:valAx>
      <c:valAx>
        <c:axId val="61981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10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sz="1400" b="0" i="0" baseline="0">
                <a:effectLst/>
              </a:rPr>
              <a:t>CO2 emissions (kt)</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4">
                  <a:lumMod val="60000"/>
                  <a:lumOff val="40000"/>
                </a:schemeClr>
              </a:solidFill>
              <a:round/>
            </a:ln>
            <a:effectLst/>
          </c:spPr>
          <c:marker>
            <c:symbol val="none"/>
          </c:marker>
          <c:cat>
            <c:numRef>
              <c:f>prevision10!$H$31:$H$101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prevision10!$I$31:$I$101</c:f>
              <c:numCache>
                <c:formatCode>General</c:formatCode>
                <c:ptCount val="71"/>
                <c:pt idx="0">
                  <c:v>2717.2469999999998</c:v>
                </c:pt>
                <c:pt idx="1">
                  <c:v>2592.569</c:v>
                </c:pt>
                <c:pt idx="2">
                  <c:v>2882.2620000000002</c:v>
                </c:pt>
                <c:pt idx="3">
                  <c:v>2636.5729999999999</c:v>
                </c:pt>
                <c:pt idx="4">
                  <c:v>2860.26</c:v>
                </c:pt>
                <c:pt idx="5">
                  <c:v>2728.248</c:v>
                </c:pt>
                <c:pt idx="6">
                  <c:v>2808.922</c:v>
                </c:pt>
                <c:pt idx="7">
                  <c:v>3619.3290000000002</c:v>
                </c:pt>
                <c:pt idx="8">
                  <c:v>2929.933</c:v>
                </c:pt>
                <c:pt idx="9">
                  <c:v>3215.9589999999998</c:v>
                </c:pt>
                <c:pt idx="10">
                  <c:v>4616.7529999999997</c:v>
                </c:pt>
                <c:pt idx="11">
                  <c:v>5104.4639999999999</c:v>
                </c:pt>
                <c:pt idx="12">
                  <c:v>4899.1120000000001</c:v>
                </c:pt>
                <c:pt idx="13">
                  <c:v>4110.7070000000003</c:v>
                </c:pt>
                <c:pt idx="14">
                  <c:v>4675.4250000000002</c:v>
                </c:pt>
                <c:pt idx="15">
                  <c:v>4587.4170000000004</c:v>
                </c:pt>
                <c:pt idx="16">
                  <c:v>4899.1120000000001</c:v>
                </c:pt>
                <c:pt idx="17">
                  <c:v>5174.1369999999997</c:v>
                </c:pt>
                <c:pt idx="18">
                  <c:v>5155.8019999999997</c:v>
                </c:pt>
                <c:pt idx="19">
                  <c:v>5100.7969999999996</c:v>
                </c:pt>
                <c:pt idx="20">
                  <c:v>5526.1689999999999</c:v>
                </c:pt>
                <c:pt idx="21">
                  <c:v>5639.8459999999995</c:v>
                </c:pt>
                <c:pt idx="22">
                  <c:v>5599.509</c:v>
                </c:pt>
                <c:pt idx="23">
                  <c:v>5775.5249999999996</c:v>
                </c:pt>
                <c:pt idx="24">
                  <c:v>6571.2640000000001</c:v>
                </c:pt>
                <c:pt idx="25">
                  <c:v>6710.61</c:v>
                </c:pt>
                <c:pt idx="26">
                  <c:v>6791.2839999999997</c:v>
                </c:pt>
                <c:pt idx="27">
                  <c:v>4976.1189999999997</c:v>
                </c:pt>
                <c:pt idx="28">
                  <c:v>4118.0410000000002</c:v>
                </c:pt>
                <c:pt idx="29">
                  <c:v>4462.7389999999996</c:v>
                </c:pt>
                <c:pt idx="30">
                  <c:v>4275.7219999999998</c:v>
                </c:pt>
                <c:pt idx="31">
                  <c:v>4180.38</c:v>
                </c:pt>
                <c:pt idx="32">
                  <c:v>4888.1109999999999</c:v>
                </c:pt>
                <c:pt idx="33">
                  <c:v>5342.8190000000004</c:v>
                </c:pt>
                <c:pt idx="34">
                  <c:v>6244.9009999999998</c:v>
                </c:pt>
                <c:pt idx="35">
                  <c:v>6959.9660000000003</c:v>
                </c:pt>
                <c:pt idx="36">
                  <c:v>7256.9930000000004</c:v>
                </c:pt>
                <c:pt idx="37">
                  <c:v>7499.0150000000003</c:v>
                </c:pt>
                <c:pt idx="38">
                  <c:v>8078.4009999999998</c:v>
                </c:pt>
                <c:pt idx="39">
                  <c:v>8969.482</c:v>
                </c:pt>
                <c:pt idx="40">
                  <c:v>10087.916999999999</c:v>
                </c:pt>
                <c:pt idx="41">
                  <c:v>8723.7929999999997</c:v>
                </c:pt>
                <c:pt idx="42">
                  <c:v>9207.8369999999995</c:v>
                </c:pt>
                <c:pt idx="43">
                  <c:v>9845.8950000000004</c:v>
                </c:pt>
                <c:pt idx="44">
                  <c:v>12434.797</c:v>
                </c:pt>
                <c:pt idx="45">
                  <c:v>11598.721</c:v>
                </c:pt>
                <c:pt idx="46">
                  <c:v>12849.168</c:v>
                </c:pt>
                <c:pt idx="47">
                  <c:v>12874.837</c:v>
                </c:pt>
                <c:pt idx="48">
                  <c:v>9801.8909999999996</c:v>
                </c:pt>
                <c:pt idx="49">
                  <c:v>10230.93</c:v>
                </c:pt>
                <c:pt idx="50">
                  <c:v>12515.471</c:v>
                </c:pt>
                <c:pt idx="51">
                  <c:v>14297.633</c:v>
                </c:pt>
                <c:pt idx="52">
                  <c:v>11070.673000000001</c:v>
                </c:pt>
                <c:pt idx="53">
                  <c:v>12860.169</c:v>
                </c:pt>
                <c:pt idx="54">
                  <c:v>21631.633000000002</c:v>
                </c:pt>
              </c:numCache>
            </c:numRef>
          </c:val>
          <c:smooth val="0"/>
          <c:extLst>
            <c:ext xmlns:c16="http://schemas.microsoft.com/office/drawing/2014/chart" uri="{C3380CC4-5D6E-409C-BE32-E72D297353CC}">
              <c16:uniqueId val="{00000000-D5D6-4F5C-8CAF-FFC8D74A17C3}"/>
            </c:ext>
          </c:extLst>
        </c:ser>
        <c:ser>
          <c:idx val="1"/>
          <c:order val="1"/>
          <c:spPr>
            <a:ln w="28575" cap="rnd">
              <a:solidFill>
                <a:schemeClr val="accent2"/>
              </a:solidFill>
              <a:round/>
            </a:ln>
            <a:effectLst/>
          </c:spPr>
          <c:marker>
            <c:symbol val="none"/>
          </c:marker>
          <c:cat>
            <c:numRef>
              <c:f>prevision10!$H$31:$H$101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prevision10!$J$31:$J$101</c:f>
              <c:numCache>
                <c:formatCode>General</c:formatCode>
                <c:ptCount val="71"/>
                <c:pt idx="54">
                  <c:v>21631.633000000002</c:v>
                </c:pt>
                <c:pt idx="55">
                  <c:v>12621.776959595969</c:v>
                </c:pt>
                <c:pt idx="56">
                  <c:v>12827.611013997113</c:v>
                </c:pt>
                <c:pt idx="57">
                  <c:v>13033.445068398316</c:v>
                </c:pt>
                <c:pt idx="58">
                  <c:v>13239.27912279946</c:v>
                </c:pt>
                <c:pt idx="59">
                  <c:v>13445.113177200605</c:v>
                </c:pt>
                <c:pt idx="60">
                  <c:v>13650.947231601749</c:v>
                </c:pt>
                <c:pt idx="61">
                  <c:v>13856.781286002893</c:v>
                </c:pt>
                <c:pt idx="62">
                  <c:v>14062.615340404038</c:v>
                </c:pt>
                <c:pt idx="63">
                  <c:v>14268.44939480524</c:v>
                </c:pt>
                <c:pt idx="64">
                  <c:v>14474.283449206385</c:v>
                </c:pt>
                <c:pt idx="65">
                  <c:v>14680.117503607529</c:v>
                </c:pt>
                <c:pt idx="66">
                  <c:v>14885.951558008674</c:v>
                </c:pt>
                <c:pt idx="67">
                  <c:v>15091.785612409818</c:v>
                </c:pt>
                <c:pt idx="68">
                  <c:v>15297.619666811021</c:v>
                </c:pt>
                <c:pt idx="69">
                  <c:v>15503.453721212165</c:v>
                </c:pt>
                <c:pt idx="70">
                  <c:v>15709.287775613309</c:v>
                </c:pt>
              </c:numCache>
            </c:numRef>
          </c:val>
          <c:smooth val="0"/>
          <c:extLst>
            <c:ext xmlns:c16="http://schemas.microsoft.com/office/drawing/2014/chart" uri="{C3380CC4-5D6E-409C-BE32-E72D297353CC}">
              <c16:uniqueId val="{00000001-D5D6-4F5C-8CAF-FFC8D74A17C3}"/>
            </c:ext>
          </c:extLst>
        </c:ser>
        <c:dLbls>
          <c:showLegendKey val="0"/>
          <c:showVal val="0"/>
          <c:showCatName val="0"/>
          <c:showSerName val="0"/>
          <c:showPercent val="0"/>
          <c:showBubbleSize val="0"/>
        </c:dLbls>
        <c:smooth val="0"/>
        <c:axId val="619826840"/>
        <c:axId val="619820608"/>
      </c:lineChart>
      <c:catAx>
        <c:axId val="61982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20608"/>
        <c:crosses val="autoZero"/>
        <c:auto val="1"/>
        <c:lblAlgn val="ctr"/>
        <c:lblOffset val="100"/>
        <c:noMultiLvlLbl val="0"/>
      </c:catAx>
      <c:valAx>
        <c:axId val="61982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2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fr-FR" altLang="zh-CN" sz="1400" b="0" i="0" baseline="0">
                <a:effectLst/>
              </a:rPr>
              <a:t>Food production index (2004-2006 = 100)</a:t>
            </a:r>
            <a:endParaRPr lang="zh-CN" altLang="zh-CN"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zh-CN" altLang="en-US" sz="1400"/>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4">
                  <a:lumMod val="60000"/>
                  <a:lumOff val="40000"/>
                </a:schemeClr>
              </a:solidFill>
              <a:round/>
            </a:ln>
            <a:effectLst/>
          </c:spPr>
          <c:marker>
            <c:symbol val="none"/>
          </c:marker>
          <c:cat>
            <c:numRef>
              <c:f>prevision11!$H$32:$H$101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prevision11!$I$32:$I$101</c:f>
              <c:numCache>
                <c:formatCode>General</c:formatCode>
                <c:ptCount val="70"/>
                <c:pt idx="0">
                  <c:v>21.53</c:v>
                </c:pt>
                <c:pt idx="1">
                  <c:v>24</c:v>
                </c:pt>
                <c:pt idx="2">
                  <c:v>24.95</c:v>
                </c:pt>
                <c:pt idx="3">
                  <c:v>26.2</c:v>
                </c:pt>
                <c:pt idx="4">
                  <c:v>25.46</c:v>
                </c:pt>
                <c:pt idx="5">
                  <c:v>22.44</c:v>
                </c:pt>
                <c:pt idx="6">
                  <c:v>24.98</c:v>
                </c:pt>
                <c:pt idx="7">
                  <c:v>25.31</c:v>
                </c:pt>
                <c:pt idx="8">
                  <c:v>25.12</c:v>
                </c:pt>
                <c:pt idx="9">
                  <c:v>26</c:v>
                </c:pt>
                <c:pt idx="10">
                  <c:v>26.72</c:v>
                </c:pt>
                <c:pt idx="11">
                  <c:v>25.12</c:v>
                </c:pt>
                <c:pt idx="12">
                  <c:v>27.45</c:v>
                </c:pt>
                <c:pt idx="13">
                  <c:v>27.76</c:v>
                </c:pt>
                <c:pt idx="14">
                  <c:v>29.13</c:v>
                </c:pt>
                <c:pt idx="15">
                  <c:v>29.6</c:v>
                </c:pt>
                <c:pt idx="16">
                  <c:v>30.41</c:v>
                </c:pt>
                <c:pt idx="17">
                  <c:v>33.31</c:v>
                </c:pt>
                <c:pt idx="18">
                  <c:v>33.76</c:v>
                </c:pt>
                <c:pt idx="19">
                  <c:v>39.49</c:v>
                </c:pt>
                <c:pt idx="20">
                  <c:v>42.82</c:v>
                </c:pt>
                <c:pt idx="21">
                  <c:v>45.12</c:v>
                </c:pt>
                <c:pt idx="22">
                  <c:v>46</c:v>
                </c:pt>
                <c:pt idx="23">
                  <c:v>47.3</c:v>
                </c:pt>
                <c:pt idx="24">
                  <c:v>48.47</c:v>
                </c:pt>
                <c:pt idx="25">
                  <c:v>48.64</c:v>
                </c:pt>
                <c:pt idx="26">
                  <c:v>47.52</c:v>
                </c:pt>
                <c:pt idx="27">
                  <c:v>46.29</c:v>
                </c:pt>
                <c:pt idx="28">
                  <c:v>43.93</c:v>
                </c:pt>
                <c:pt idx="29">
                  <c:v>43.39</c:v>
                </c:pt>
                <c:pt idx="30">
                  <c:v>42.07</c:v>
                </c:pt>
                <c:pt idx="31">
                  <c:v>47.59</c:v>
                </c:pt>
                <c:pt idx="32">
                  <c:v>51.69</c:v>
                </c:pt>
                <c:pt idx="33">
                  <c:v>55.72</c:v>
                </c:pt>
                <c:pt idx="34">
                  <c:v>57.55</c:v>
                </c:pt>
                <c:pt idx="35">
                  <c:v>58.9</c:v>
                </c:pt>
                <c:pt idx="36">
                  <c:v>58.41</c:v>
                </c:pt>
                <c:pt idx="37">
                  <c:v>59.34</c:v>
                </c:pt>
                <c:pt idx="38">
                  <c:v>68</c:v>
                </c:pt>
                <c:pt idx="39">
                  <c:v>75.010000000000005</c:v>
                </c:pt>
                <c:pt idx="40">
                  <c:v>79.849999999999994</c:v>
                </c:pt>
                <c:pt idx="41">
                  <c:v>82.5</c:v>
                </c:pt>
                <c:pt idx="42">
                  <c:v>87.63</c:v>
                </c:pt>
                <c:pt idx="43">
                  <c:v>91.41</c:v>
                </c:pt>
                <c:pt idx="44">
                  <c:v>98.07</c:v>
                </c:pt>
                <c:pt idx="45">
                  <c:v>110.53</c:v>
                </c:pt>
                <c:pt idx="46">
                  <c:v>117.01</c:v>
                </c:pt>
                <c:pt idx="47">
                  <c:v>126.3</c:v>
                </c:pt>
                <c:pt idx="48">
                  <c:v>129.81</c:v>
                </c:pt>
                <c:pt idx="49">
                  <c:v>131.81</c:v>
                </c:pt>
                <c:pt idx="50">
                  <c:v>129.44999999999999</c:v>
                </c:pt>
                <c:pt idx="51">
                  <c:v>125.39</c:v>
                </c:pt>
                <c:pt idx="52">
                  <c:v>129.97999999999999</c:v>
                </c:pt>
                <c:pt idx="53">
                  <c:v>132.82</c:v>
                </c:pt>
                <c:pt idx="54">
                  <c:v>135.35</c:v>
                </c:pt>
                <c:pt idx="55">
                  <c:v>135.83000000000001</c:v>
                </c:pt>
              </c:numCache>
            </c:numRef>
          </c:val>
          <c:smooth val="0"/>
          <c:extLst>
            <c:ext xmlns:c16="http://schemas.microsoft.com/office/drawing/2014/chart" uri="{C3380CC4-5D6E-409C-BE32-E72D297353CC}">
              <c16:uniqueId val="{00000000-F19A-459C-9EDD-510930E3C378}"/>
            </c:ext>
          </c:extLst>
        </c:ser>
        <c:ser>
          <c:idx val="1"/>
          <c:order val="1"/>
          <c:spPr>
            <a:ln w="28575" cap="rnd">
              <a:solidFill>
                <a:schemeClr val="accent2"/>
              </a:solidFill>
              <a:round/>
            </a:ln>
            <a:effectLst/>
          </c:spPr>
          <c:marker>
            <c:symbol val="none"/>
          </c:marker>
          <c:cat>
            <c:numRef>
              <c:f>prevision11!$H$32:$H$101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prevision11!$J$32:$J$101</c:f>
              <c:numCache>
                <c:formatCode>General</c:formatCode>
                <c:ptCount val="70"/>
                <c:pt idx="55">
                  <c:v>135.83000000000001</c:v>
                </c:pt>
                <c:pt idx="56">
                  <c:v>122.83161038960952</c:v>
                </c:pt>
                <c:pt idx="57">
                  <c:v>124.99472453861836</c:v>
                </c:pt>
                <c:pt idx="58">
                  <c:v>127.15783868762719</c:v>
                </c:pt>
                <c:pt idx="59">
                  <c:v>129.32095283663602</c:v>
                </c:pt>
                <c:pt idx="60">
                  <c:v>131.48406698564486</c:v>
                </c:pt>
                <c:pt idx="61">
                  <c:v>133.6471811346546</c:v>
                </c:pt>
                <c:pt idx="62">
                  <c:v>135.81029528366344</c:v>
                </c:pt>
                <c:pt idx="63">
                  <c:v>137.97340943267227</c:v>
                </c:pt>
                <c:pt idx="64">
                  <c:v>140.1365235816811</c:v>
                </c:pt>
                <c:pt idx="65">
                  <c:v>142.29963773068994</c:v>
                </c:pt>
                <c:pt idx="66">
                  <c:v>144.46275187969877</c:v>
                </c:pt>
                <c:pt idx="67">
                  <c:v>146.62586602870761</c:v>
                </c:pt>
                <c:pt idx="68">
                  <c:v>148.78898017771644</c:v>
                </c:pt>
                <c:pt idx="69">
                  <c:v>150.95209432672527</c:v>
                </c:pt>
              </c:numCache>
            </c:numRef>
          </c:val>
          <c:smooth val="0"/>
          <c:extLst>
            <c:ext xmlns:c16="http://schemas.microsoft.com/office/drawing/2014/chart" uri="{C3380CC4-5D6E-409C-BE32-E72D297353CC}">
              <c16:uniqueId val="{00000001-F19A-459C-9EDD-510930E3C378}"/>
            </c:ext>
          </c:extLst>
        </c:ser>
        <c:dLbls>
          <c:showLegendKey val="0"/>
          <c:showVal val="0"/>
          <c:showCatName val="0"/>
          <c:showSerName val="0"/>
          <c:showPercent val="0"/>
          <c:showBubbleSize val="0"/>
        </c:dLbls>
        <c:smooth val="0"/>
        <c:axId val="563044952"/>
        <c:axId val="563042984"/>
      </c:lineChart>
      <c:catAx>
        <c:axId val="5630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3042984"/>
        <c:crosses val="autoZero"/>
        <c:auto val="1"/>
        <c:lblAlgn val="ctr"/>
        <c:lblOffset val="100"/>
        <c:noMultiLvlLbl val="0"/>
      </c:catAx>
      <c:valAx>
        <c:axId val="563042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3044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1451662292213474E-2"/>
                  <c:y val="-4.778361038203558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prevision10!$B$31:$B$101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prevision10!$C$31:$C$101</c:f>
              <c:numCache>
                <c:formatCode>General</c:formatCode>
                <c:ptCount val="71"/>
                <c:pt idx="0">
                  <c:v>2717.2469999999998</c:v>
                </c:pt>
                <c:pt idx="1">
                  <c:v>2592.569</c:v>
                </c:pt>
                <c:pt idx="2">
                  <c:v>2882.2620000000002</c:v>
                </c:pt>
                <c:pt idx="3">
                  <c:v>2636.5729999999999</c:v>
                </c:pt>
                <c:pt idx="4">
                  <c:v>2860.26</c:v>
                </c:pt>
                <c:pt idx="5">
                  <c:v>2728.248</c:v>
                </c:pt>
                <c:pt idx="6">
                  <c:v>2808.922</c:v>
                </c:pt>
                <c:pt idx="7">
                  <c:v>3619.3290000000002</c:v>
                </c:pt>
                <c:pt idx="8">
                  <c:v>2929.933</c:v>
                </c:pt>
                <c:pt idx="9">
                  <c:v>3215.9589999999998</c:v>
                </c:pt>
                <c:pt idx="10">
                  <c:v>4616.7529999999997</c:v>
                </c:pt>
                <c:pt idx="11">
                  <c:v>5104.4639999999999</c:v>
                </c:pt>
                <c:pt idx="12">
                  <c:v>4899.1120000000001</c:v>
                </c:pt>
                <c:pt idx="13">
                  <c:v>4110.7070000000003</c:v>
                </c:pt>
                <c:pt idx="14">
                  <c:v>4675.4250000000002</c:v>
                </c:pt>
                <c:pt idx="15">
                  <c:v>4587.4170000000004</c:v>
                </c:pt>
                <c:pt idx="16">
                  <c:v>4899.1120000000001</c:v>
                </c:pt>
                <c:pt idx="17">
                  <c:v>5174.1369999999997</c:v>
                </c:pt>
                <c:pt idx="18">
                  <c:v>5155.8019999999997</c:v>
                </c:pt>
                <c:pt idx="19">
                  <c:v>5100.7969999999996</c:v>
                </c:pt>
                <c:pt idx="20">
                  <c:v>5526.1689999999999</c:v>
                </c:pt>
                <c:pt idx="21">
                  <c:v>5639.8459999999995</c:v>
                </c:pt>
                <c:pt idx="22">
                  <c:v>5599.509</c:v>
                </c:pt>
                <c:pt idx="23">
                  <c:v>5775.5249999999996</c:v>
                </c:pt>
                <c:pt idx="24">
                  <c:v>6571.2640000000001</c:v>
                </c:pt>
                <c:pt idx="25">
                  <c:v>6710.61</c:v>
                </c:pt>
                <c:pt idx="26">
                  <c:v>6791.2839999999997</c:v>
                </c:pt>
                <c:pt idx="27">
                  <c:v>4976.1189999999997</c:v>
                </c:pt>
                <c:pt idx="28">
                  <c:v>4118.0410000000002</c:v>
                </c:pt>
                <c:pt idx="29">
                  <c:v>4462.7389999999996</c:v>
                </c:pt>
                <c:pt idx="30">
                  <c:v>4275.7219999999998</c:v>
                </c:pt>
                <c:pt idx="31">
                  <c:v>4180.38</c:v>
                </c:pt>
                <c:pt idx="32">
                  <c:v>4888.1109999999999</c:v>
                </c:pt>
                <c:pt idx="33">
                  <c:v>5342.8190000000004</c:v>
                </c:pt>
                <c:pt idx="34">
                  <c:v>6244.9009999999998</c:v>
                </c:pt>
                <c:pt idx="35">
                  <c:v>6959.9660000000003</c:v>
                </c:pt>
                <c:pt idx="36">
                  <c:v>7256.9930000000004</c:v>
                </c:pt>
                <c:pt idx="37">
                  <c:v>7499.0150000000003</c:v>
                </c:pt>
                <c:pt idx="38">
                  <c:v>8078.4009999999998</c:v>
                </c:pt>
                <c:pt idx="39">
                  <c:v>8969.482</c:v>
                </c:pt>
                <c:pt idx="40">
                  <c:v>10087.916999999999</c:v>
                </c:pt>
                <c:pt idx="41">
                  <c:v>8723.7929999999997</c:v>
                </c:pt>
                <c:pt idx="42">
                  <c:v>9207.8369999999995</c:v>
                </c:pt>
                <c:pt idx="43">
                  <c:v>9845.8950000000004</c:v>
                </c:pt>
                <c:pt idx="44">
                  <c:v>12434.797</c:v>
                </c:pt>
                <c:pt idx="45">
                  <c:v>11598.721</c:v>
                </c:pt>
                <c:pt idx="46">
                  <c:v>12849.168</c:v>
                </c:pt>
                <c:pt idx="47">
                  <c:v>12874.837</c:v>
                </c:pt>
                <c:pt idx="48">
                  <c:v>9801.8909999999996</c:v>
                </c:pt>
                <c:pt idx="49">
                  <c:v>10230.93</c:v>
                </c:pt>
                <c:pt idx="50">
                  <c:v>12515.471</c:v>
                </c:pt>
                <c:pt idx="51">
                  <c:v>14297.633</c:v>
                </c:pt>
                <c:pt idx="52">
                  <c:v>11070.673000000001</c:v>
                </c:pt>
                <c:pt idx="53">
                  <c:v>12860.169</c:v>
                </c:pt>
                <c:pt idx="54">
                  <c:v>21631.633000000002</c:v>
                </c:pt>
              </c:numCache>
            </c:numRef>
          </c:val>
          <c:smooth val="0"/>
          <c:extLst>
            <c:ext xmlns:c16="http://schemas.microsoft.com/office/drawing/2014/chart" uri="{C3380CC4-5D6E-409C-BE32-E72D297353CC}">
              <c16:uniqueId val="{00000001-2438-4F8B-AFFA-38E848A2A172}"/>
            </c:ext>
          </c:extLst>
        </c:ser>
        <c:ser>
          <c:idx val="1"/>
          <c:order val="1"/>
          <c:spPr>
            <a:ln w="28575" cap="rnd">
              <a:solidFill>
                <a:schemeClr val="accent2"/>
              </a:solidFill>
              <a:round/>
            </a:ln>
            <a:effectLst/>
          </c:spPr>
          <c:marker>
            <c:symbol val="none"/>
          </c:marker>
          <c:cat>
            <c:numRef>
              <c:f>prevision10!$B$31:$B$101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prevision10!$D$31:$D$101</c:f>
              <c:numCache>
                <c:formatCode>General</c:formatCode>
                <c:ptCount val="71"/>
                <c:pt idx="54">
                  <c:v>21631.633000000002</c:v>
                </c:pt>
                <c:pt idx="55">
                  <c:v>12621.776959595969</c:v>
                </c:pt>
                <c:pt idx="56">
                  <c:v>12827.611013997113</c:v>
                </c:pt>
                <c:pt idx="57">
                  <c:v>13033.445068398316</c:v>
                </c:pt>
                <c:pt idx="58">
                  <c:v>13239.27912279946</c:v>
                </c:pt>
                <c:pt idx="59">
                  <c:v>13445.113177200605</c:v>
                </c:pt>
                <c:pt idx="60">
                  <c:v>13650.947231601749</c:v>
                </c:pt>
                <c:pt idx="61">
                  <c:v>13856.781286002893</c:v>
                </c:pt>
                <c:pt idx="62">
                  <c:v>14062.615340404038</c:v>
                </c:pt>
                <c:pt idx="63">
                  <c:v>14268.44939480524</c:v>
                </c:pt>
                <c:pt idx="64">
                  <c:v>14474.283449206385</c:v>
                </c:pt>
                <c:pt idx="65">
                  <c:v>14680.117503607529</c:v>
                </c:pt>
                <c:pt idx="66">
                  <c:v>14885.951558008674</c:v>
                </c:pt>
                <c:pt idx="67">
                  <c:v>15091.785612409818</c:v>
                </c:pt>
                <c:pt idx="68">
                  <c:v>15297.619666811021</c:v>
                </c:pt>
                <c:pt idx="69">
                  <c:v>15503.453721212165</c:v>
                </c:pt>
                <c:pt idx="70">
                  <c:v>15709.287775613309</c:v>
                </c:pt>
              </c:numCache>
            </c:numRef>
          </c:val>
          <c:smooth val="0"/>
          <c:extLst>
            <c:ext xmlns:c16="http://schemas.microsoft.com/office/drawing/2014/chart" uri="{C3380CC4-5D6E-409C-BE32-E72D297353CC}">
              <c16:uniqueId val="{00000002-2438-4F8B-AFFA-38E848A2A172}"/>
            </c:ext>
          </c:extLst>
        </c:ser>
        <c:dLbls>
          <c:showLegendKey val="0"/>
          <c:showVal val="0"/>
          <c:showCatName val="0"/>
          <c:showSerName val="0"/>
          <c:showPercent val="0"/>
          <c:showBubbleSize val="0"/>
        </c:dLbls>
        <c:smooth val="0"/>
        <c:axId val="721215896"/>
        <c:axId val="721216880"/>
      </c:lineChart>
      <c:catAx>
        <c:axId val="721215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1216880"/>
        <c:crosses val="autoZero"/>
        <c:auto val="1"/>
        <c:lblAlgn val="ctr"/>
        <c:lblOffset val="100"/>
        <c:noMultiLvlLbl val="0"/>
      </c:catAx>
      <c:valAx>
        <c:axId val="72121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121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 de l'environnement.xlsm]Indicateur10!数据透视表6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a:t>CO2 emissions (kt)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4">
                <a:lumMod val="60000"/>
                <a:lumOff val="40000"/>
              </a:schemeClr>
            </a:solidFill>
            <a:round/>
          </a:ln>
          <a:effectLst/>
        </c:spPr>
        <c:marker>
          <c:symbol val="none"/>
        </c:marker>
      </c:pivotFmt>
      <c:pivotFmt>
        <c:idx val="2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Indicateur10!$K$5:$K$6</c:f>
              <c:strCache>
                <c:ptCount val="1"/>
                <c:pt idx="0">
                  <c:v>Myanmar</c:v>
                </c:pt>
              </c:strCache>
            </c:strRef>
          </c:tx>
          <c:spPr>
            <a:ln w="28575" cap="rnd">
              <a:solidFill>
                <a:schemeClr val="accent4">
                  <a:lumMod val="60000"/>
                  <a:lumOff val="40000"/>
                </a:schemeClr>
              </a:solidFill>
              <a:round/>
            </a:ln>
            <a:effectLst/>
          </c:spPr>
          <c:marker>
            <c:symbol val="none"/>
          </c:marker>
          <c:cat>
            <c:strRef>
              <c:f>Indicateur10!$J$7:$J$61</c:f>
              <c:strCache>
                <c:ptCount val="5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strCache>
            </c:strRef>
          </c:cat>
          <c:val>
            <c:numRef>
              <c:f>Indicateur10!$K$7:$K$61</c:f>
              <c:numCache>
                <c:formatCode>General</c:formatCode>
                <c:ptCount val="55"/>
                <c:pt idx="0">
                  <c:v>2717.2469999999998</c:v>
                </c:pt>
                <c:pt idx="1">
                  <c:v>2592.569</c:v>
                </c:pt>
                <c:pt idx="2">
                  <c:v>2882.2620000000002</c:v>
                </c:pt>
                <c:pt idx="3">
                  <c:v>2636.5729999999999</c:v>
                </c:pt>
                <c:pt idx="4">
                  <c:v>2860.26</c:v>
                </c:pt>
                <c:pt idx="5">
                  <c:v>2728.248</c:v>
                </c:pt>
                <c:pt idx="6">
                  <c:v>2808.922</c:v>
                </c:pt>
                <c:pt idx="7">
                  <c:v>3619.3290000000002</c:v>
                </c:pt>
                <c:pt idx="8">
                  <c:v>2929.933</c:v>
                </c:pt>
                <c:pt idx="9">
                  <c:v>3215.9589999999998</c:v>
                </c:pt>
                <c:pt idx="10">
                  <c:v>4616.7529999999997</c:v>
                </c:pt>
                <c:pt idx="11">
                  <c:v>5104.4639999999999</c:v>
                </c:pt>
                <c:pt idx="12">
                  <c:v>4899.1120000000001</c:v>
                </c:pt>
                <c:pt idx="13">
                  <c:v>4110.7070000000003</c:v>
                </c:pt>
                <c:pt idx="14">
                  <c:v>4675.4250000000002</c:v>
                </c:pt>
                <c:pt idx="15">
                  <c:v>4587.4170000000004</c:v>
                </c:pt>
                <c:pt idx="16">
                  <c:v>4899.1120000000001</c:v>
                </c:pt>
                <c:pt idx="17">
                  <c:v>5174.1369999999997</c:v>
                </c:pt>
                <c:pt idx="18">
                  <c:v>5155.8019999999997</c:v>
                </c:pt>
                <c:pt idx="19">
                  <c:v>5100.7969999999996</c:v>
                </c:pt>
                <c:pt idx="20">
                  <c:v>5526.1689999999999</c:v>
                </c:pt>
                <c:pt idx="21">
                  <c:v>5639.8459999999995</c:v>
                </c:pt>
                <c:pt idx="22">
                  <c:v>5599.509</c:v>
                </c:pt>
                <c:pt idx="23">
                  <c:v>5775.5249999999996</c:v>
                </c:pt>
                <c:pt idx="24">
                  <c:v>6571.2640000000001</c:v>
                </c:pt>
                <c:pt idx="25">
                  <c:v>6710.61</c:v>
                </c:pt>
                <c:pt idx="26">
                  <c:v>6791.2839999999997</c:v>
                </c:pt>
                <c:pt idx="27">
                  <c:v>4976.1189999999997</c:v>
                </c:pt>
                <c:pt idx="28">
                  <c:v>4118.0410000000002</c:v>
                </c:pt>
                <c:pt idx="29">
                  <c:v>4462.7389999999996</c:v>
                </c:pt>
                <c:pt idx="30">
                  <c:v>4275.7219999999998</c:v>
                </c:pt>
                <c:pt idx="31">
                  <c:v>4180.38</c:v>
                </c:pt>
                <c:pt idx="32">
                  <c:v>4888.1109999999999</c:v>
                </c:pt>
                <c:pt idx="33">
                  <c:v>5342.8190000000004</c:v>
                </c:pt>
                <c:pt idx="34">
                  <c:v>6244.9009999999998</c:v>
                </c:pt>
                <c:pt idx="35">
                  <c:v>6959.9660000000003</c:v>
                </c:pt>
                <c:pt idx="36">
                  <c:v>7256.9930000000004</c:v>
                </c:pt>
                <c:pt idx="37">
                  <c:v>7499.0150000000003</c:v>
                </c:pt>
                <c:pt idx="38">
                  <c:v>8078.4009999999998</c:v>
                </c:pt>
                <c:pt idx="39">
                  <c:v>8969.482</c:v>
                </c:pt>
                <c:pt idx="40">
                  <c:v>10087.916999999999</c:v>
                </c:pt>
                <c:pt idx="41">
                  <c:v>8723.7929999999997</c:v>
                </c:pt>
                <c:pt idx="42">
                  <c:v>9207.8369999999995</c:v>
                </c:pt>
                <c:pt idx="43">
                  <c:v>9845.8950000000004</c:v>
                </c:pt>
                <c:pt idx="44">
                  <c:v>12434.797</c:v>
                </c:pt>
                <c:pt idx="45">
                  <c:v>11598.721</c:v>
                </c:pt>
                <c:pt idx="46">
                  <c:v>12849.168</c:v>
                </c:pt>
                <c:pt idx="47">
                  <c:v>12874.837</c:v>
                </c:pt>
                <c:pt idx="48">
                  <c:v>9801.8909999999996</c:v>
                </c:pt>
                <c:pt idx="49">
                  <c:v>10230.93</c:v>
                </c:pt>
                <c:pt idx="50">
                  <c:v>12515.471</c:v>
                </c:pt>
                <c:pt idx="51">
                  <c:v>14297.633</c:v>
                </c:pt>
                <c:pt idx="52">
                  <c:v>11070.673000000001</c:v>
                </c:pt>
                <c:pt idx="53">
                  <c:v>12860.169</c:v>
                </c:pt>
                <c:pt idx="54">
                  <c:v>21631.633000000002</c:v>
                </c:pt>
              </c:numCache>
            </c:numRef>
          </c:val>
          <c:smooth val="0"/>
          <c:extLst>
            <c:ext xmlns:c16="http://schemas.microsoft.com/office/drawing/2014/chart" uri="{C3380CC4-5D6E-409C-BE32-E72D297353CC}">
              <c16:uniqueId val="{00000000-1882-4E39-9AF1-DA6D3188EB9E}"/>
            </c:ext>
          </c:extLst>
        </c:ser>
        <c:dLbls>
          <c:showLegendKey val="0"/>
          <c:showVal val="0"/>
          <c:showCatName val="0"/>
          <c:showSerName val="0"/>
          <c:showPercent val="0"/>
          <c:showBubbleSize val="0"/>
        </c:dLbls>
        <c:smooth val="0"/>
        <c:axId val="697180224"/>
        <c:axId val="697185800"/>
      </c:lineChart>
      <c:catAx>
        <c:axId val="69718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7185800"/>
        <c:crosses val="autoZero"/>
        <c:auto val="1"/>
        <c:lblAlgn val="ctr"/>
        <c:lblOffset val="100"/>
        <c:noMultiLvlLbl val="0"/>
      </c:catAx>
      <c:valAx>
        <c:axId val="697185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97180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3777340332458443E-3"/>
                  <c:y val="-4.166666666666666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prevision11!$B$32:$B$101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prevision11!$C$32:$C$101</c:f>
              <c:numCache>
                <c:formatCode>General</c:formatCode>
                <c:ptCount val="70"/>
                <c:pt idx="0">
                  <c:v>21.53</c:v>
                </c:pt>
                <c:pt idx="1">
                  <c:v>24</c:v>
                </c:pt>
                <c:pt idx="2">
                  <c:v>24.95</c:v>
                </c:pt>
                <c:pt idx="3">
                  <c:v>26.2</c:v>
                </c:pt>
                <c:pt idx="4">
                  <c:v>25.46</c:v>
                </c:pt>
                <c:pt idx="5">
                  <c:v>22.44</c:v>
                </c:pt>
                <c:pt idx="6">
                  <c:v>24.98</c:v>
                </c:pt>
                <c:pt idx="7">
                  <c:v>25.31</c:v>
                </c:pt>
                <c:pt idx="8">
                  <c:v>25.12</c:v>
                </c:pt>
                <c:pt idx="9">
                  <c:v>26</c:v>
                </c:pt>
                <c:pt idx="10">
                  <c:v>26.72</c:v>
                </c:pt>
                <c:pt idx="11">
                  <c:v>25.12</c:v>
                </c:pt>
                <c:pt idx="12">
                  <c:v>27.45</c:v>
                </c:pt>
                <c:pt idx="13">
                  <c:v>27.76</c:v>
                </c:pt>
                <c:pt idx="14">
                  <c:v>29.13</c:v>
                </c:pt>
                <c:pt idx="15">
                  <c:v>29.6</c:v>
                </c:pt>
                <c:pt idx="16">
                  <c:v>30.41</c:v>
                </c:pt>
                <c:pt idx="17">
                  <c:v>33.31</c:v>
                </c:pt>
                <c:pt idx="18">
                  <c:v>33.76</c:v>
                </c:pt>
                <c:pt idx="19">
                  <c:v>39.49</c:v>
                </c:pt>
                <c:pt idx="20">
                  <c:v>42.82</c:v>
                </c:pt>
                <c:pt idx="21">
                  <c:v>45.12</c:v>
                </c:pt>
                <c:pt idx="22">
                  <c:v>46</c:v>
                </c:pt>
                <c:pt idx="23">
                  <c:v>47.3</c:v>
                </c:pt>
                <c:pt idx="24">
                  <c:v>48.47</c:v>
                </c:pt>
                <c:pt idx="25">
                  <c:v>48.64</c:v>
                </c:pt>
                <c:pt idx="26">
                  <c:v>47.52</c:v>
                </c:pt>
                <c:pt idx="27">
                  <c:v>46.29</c:v>
                </c:pt>
                <c:pt idx="28">
                  <c:v>43.93</c:v>
                </c:pt>
                <c:pt idx="29">
                  <c:v>43.39</c:v>
                </c:pt>
                <c:pt idx="30">
                  <c:v>42.07</c:v>
                </c:pt>
                <c:pt idx="31">
                  <c:v>47.59</c:v>
                </c:pt>
                <c:pt idx="32">
                  <c:v>51.69</c:v>
                </c:pt>
                <c:pt idx="33">
                  <c:v>55.72</c:v>
                </c:pt>
                <c:pt idx="34">
                  <c:v>57.55</c:v>
                </c:pt>
                <c:pt idx="35">
                  <c:v>58.9</c:v>
                </c:pt>
                <c:pt idx="36">
                  <c:v>58.41</c:v>
                </c:pt>
                <c:pt idx="37">
                  <c:v>59.34</c:v>
                </c:pt>
                <c:pt idx="38">
                  <c:v>68</c:v>
                </c:pt>
                <c:pt idx="39">
                  <c:v>75.010000000000005</c:v>
                </c:pt>
                <c:pt idx="40">
                  <c:v>79.849999999999994</c:v>
                </c:pt>
                <c:pt idx="41">
                  <c:v>82.5</c:v>
                </c:pt>
                <c:pt idx="42">
                  <c:v>87.63</c:v>
                </c:pt>
                <c:pt idx="43">
                  <c:v>91.41</c:v>
                </c:pt>
                <c:pt idx="44">
                  <c:v>98.07</c:v>
                </c:pt>
                <c:pt idx="45">
                  <c:v>110.53</c:v>
                </c:pt>
                <c:pt idx="46">
                  <c:v>117.01</c:v>
                </c:pt>
                <c:pt idx="47">
                  <c:v>126.3</c:v>
                </c:pt>
                <c:pt idx="48">
                  <c:v>129.81</c:v>
                </c:pt>
                <c:pt idx="49">
                  <c:v>131.81</c:v>
                </c:pt>
                <c:pt idx="50">
                  <c:v>129.44999999999999</c:v>
                </c:pt>
                <c:pt idx="51">
                  <c:v>125.39</c:v>
                </c:pt>
                <c:pt idx="52">
                  <c:v>129.97999999999999</c:v>
                </c:pt>
                <c:pt idx="53">
                  <c:v>132.82</c:v>
                </c:pt>
                <c:pt idx="54">
                  <c:v>135.35</c:v>
                </c:pt>
                <c:pt idx="55">
                  <c:v>135.83000000000001</c:v>
                </c:pt>
              </c:numCache>
            </c:numRef>
          </c:val>
          <c:smooth val="0"/>
          <c:extLst>
            <c:ext xmlns:c16="http://schemas.microsoft.com/office/drawing/2014/chart" uri="{C3380CC4-5D6E-409C-BE32-E72D297353CC}">
              <c16:uniqueId val="{00000001-EB4D-4CF6-88A7-03E9CA471E51}"/>
            </c:ext>
          </c:extLst>
        </c:ser>
        <c:ser>
          <c:idx val="1"/>
          <c:order val="1"/>
          <c:spPr>
            <a:ln w="28575" cap="rnd">
              <a:solidFill>
                <a:schemeClr val="accent2"/>
              </a:solidFill>
              <a:round/>
            </a:ln>
            <a:effectLst/>
          </c:spPr>
          <c:marker>
            <c:symbol val="none"/>
          </c:marker>
          <c:cat>
            <c:numRef>
              <c:f>prevision11!$B$32:$B$101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prevision11!$D$32:$D$101</c:f>
              <c:numCache>
                <c:formatCode>General</c:formatCode>
                <c:ptCount val="70"/>
                <c:pt idx="55">
                  <c:v>135.83000000000001</c:v>
                </c:pt>
                <c:pt idx="56">
                  <c:v>122.83161038960952</c:v>
                </c:pt>
                <c:pt idx="57">
                  <c:v>124.99472453861836</c:v>
                </c:pt>
                <c:pt idx="58">
                  <c:v>127.15783868762719</c:v>
                </c:pt>
                <c:pt idx="59">
                  <c:v>129.32095283663602</c:v>
                </c:pt>
                <c:pt idx="60">
                  <c:v>131.48406698564486</c:v>
                </c:pt>
                <c:pt idx="61">
                  <c:v>133.6471811346546</c:v>
                </c:pt>
                <c:pt idx="62">
                  <c:v>135.81029528366344</c:v>
                </c:pt>
                <c:pt idx="63">
                  <c:v>137.97340943267227</c:v>
                </c:pt>
                <c:pt idx="64">
                  <c:v>140.1365235816811</c:v>
                </c:pt>
                <c:pt idx="65">
                  <c:v>142.29963773068994</c:v>
                </c:pt>
                <c:pt idx="66">
                  <c:v>144.46275187969877</c:v>
                </c:pt>
                <c:pt idx="67">
                  <c:v>146.62586602870761</c:v>
                </c:pt>
                <c:pt idx="68">
                  <c:v>148.78898017771644</c:v>
                </c:pt>
                <c:pt idx="69">
                  <c:v>150.95209432672527</c:v>
                </c:pt>
              </c:numCache>
            </c:numRef>
          </c:val>
          <c:smooth val="0"/>
          <c:extLst>
            <c:ext xmlns:c16="http://schemas.microsoft.com/office/drawing/2014/chart" uri="{C3380CC4-5D6E-409C-BE32-E72D297353CC}">
              <c16:uniqueId val="{00000002-EB4D-4CF6-88A7-03E9CA471E51}"/>
            </c:ext>
          </c:extLst>
        </c:ser>
        <c:dLbls>
          <c:showLegendKey val="0"/>
          <c:showVal val="0"/>
          <c:showCatName val="0"/>
          <c:showSerName val="0"/>
          <c:showPercent val="0"/>
          <c:showBubbleSize val="0"/>
        </c:dLbls>
        <c:smooth val="0"/>
        <c:axId val="867842344"/>
        <c:axId val="867841032"/>
      </c:lineChart>
      <c:catAx>
        <c:axId val="867842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7841032"/>
        <c:crosses val="autoZero"/>
        <c:auto val="1"/>
        <c:lblAlgn val="ctr"/>
        <c:lblOffset val="100"/>
        <c:noMultiLvlLbl val="0"/>
      </c:catAx>
      <c:valAx>
        <c:axId val="867841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7842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 de l'environnement.xlsm]Indicateur11!数据透视表7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a:t>Food production index (2004-2006 = 100)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4">
                <a:lumMod val="60000"/>
                <a:lumOff val="40000"/>
              </a:schemeClr>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Indicateur11!$K$5:$K$6</c:f>
              <c:strCache>
                <c:ptCount val="1"/>
                <c:pt idx="0">
                  <c:v>Myanmar</c:v>
                </c:pt>
              </c:strCache>
            </c:strRef>
          </c:tx>
          <c:spPr>
            <a:ln w="28575" cap="rnd">
              <a:solidFill>
                <a:schemeClr val="accent4">
                  <a:lumMod val="60000"/>
                  <a:lumOff val="40000"/>
                </a:schemeClr>
              </a:solidFill>
              <a:round/>
            </a:ln>
            <a:effectLst/>
          </c:spPr>
          <c:marker>
            <c:symbol val="none"/>
          </c:marker>
          <c:cat>
            <c:strRef>
              <c:f>Indicateur11!$J$7:$J$62</c:f>
              <c:strCache>
                <c:ptCount val="56"/>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strCache>
            </c:strRef>
          </c:cat>
          <c:val>
            <c:numRef>
              <c:f>Indicateur11!$K$7:$K$62</c:f>
              <c:numCache>
                <c:formatCode>General</c:formatCode>
                <c:ptCount val="56"/>
                <c:pt idx="0">
                  <c:v>21.53</c:v>
                </c:pt>
                <c:pt idx="1">
                  <c:v>24</c:v>
                </c:pt>
                <c:pt idx="2">
                  <c:v>24.95</c:v>
                </c:pt>
                <c:pt idx="3">
                  <c:v>26.2</c:v>
                </c:pt>
                <c:pt idx="4">
                  <c:v>25.46</c:v>
                </c:pt>
                <c:pt idx="5">
                  <c:v>22.44</c:v>
                </c:pt>
                <c:pt idx="6">
                  <c:v>24.98</c:v>
                </c:pt>
                <c:pt idx="7">
                  <c:v>25.31</c:v>
                </c:pt>
                <c:pt idx="8">
                  <c:v>25.12</c:v>
                </c:pt>
                <c:pt idx="9">
                  <c:v>26</c:v>
                </c:pt>
                <c:pt idx="10">
                  <c:v>26.72</c:v>
                </c:pt>
                <c:pt idx="11">
                  <c:v>25.12</c:v>
                </c:pt>
                <c:pt idx="12">
                  <c:v>27.45</c:v>
                </c:pt>
                <c:pt idx="13">
                  <c:v>27.76</c:v>
                </c:pt>
                <c:pt idx="14">
                  <c:v>29.13</c:v>
                </c:pt>
                <c:pt idx="15">
                  <c:v>29.6</c:v>
                </c:pt>
                <c:pt idx="16">
                  <c:v>30.41</c:v>
                </c:pt>
                <c:pt idx="17">
                  <c:v>33.31</c:v>
                </c:pt>
                <c:pt idx="18">
                  <c:v>33.76</c:v>
                </c:pt>
                <c:pt idx="19">
                  <c:v>39.49</c:v>
                </c:pt>
                <c:pt idx="20">
                  <c:v>42.82</c:v>
                </c:pt>
                <c:pt idx="21">
                  <c:v>45.12</c:v>
                </c:pt>
                <c:pt idx="22">
                  <c:v>46</c:v>
                </c:pt>
                <c:pt idx="23">
                  <c:v>47.3</c:v>
                </c:pt>
                <c:pt idx="24">
                  <c:v>48.47</c:v>
                </c:pt>
                <c:pt idx="25">
                  <c:v>48.64</c:v>
                </c:pt>
                <c:pt idx="26">
                  <c:v>47.52</c:v>
                </c:pt>
                <c:pt idx="27">
                  <c:v>46.29</c:v>
                </c:pt>
                <c:pt idx="28">
                  <c:v>43.93</c:v>
                </c:pt>
                <c:pt idx="29">
                  <c:v>43.39</c:v>
                </c:pt>
                <c:pt idx="30">
                  <c:v>42.07</c:v>
                </c:pt>
                <c:pt idx="31">
                  <c:v>47.59</c:v>
                </c:pt>
                <c:pt idx="32">
                  <c:v>51.69</c:v>
                </c:pt>
                <c:pt idx="33">
                  <c:v>55.72</c:v>
                </c:pt>
                <c:pt idx="34">
                  <c:v>57.55</c:v>
                </c:pt>
                <c:pt idx="35">
                  <c:v>58.9</c:v>
                </c:pt>
                <c:pt idx="36">
                  <c:v>58.41</c:v>
                </c:pt>
                <c:pt idx="37">
                  <c:v>59.34</c:v>
                </c:pt>
                <c:pt idx="38">
                  <c:v>68</c:v>
                </c:pt>
                <c:pt idx="39">
                  <c:v>75.010000000000005</c:v>
                </c:pt>
                <c:pt idx="40">
                  <c:v>79.849999999999994</c:v>
                </c:pt>
                <c:pt idx="41">
                  <c:v>82.5</c:v>
                </c:pt>
                <c:pt idx="42">
                  <c:v>87.63</c:v>
                </c:pt>
                <c:pt idx="43">
                  <c:v>91.41</c:v>
                </c:pt>
                <c:pt idx="44">
                  <c:v>98.07</c:v>
                </c:pt>
                <c:pt idx="45">
                  <c:v>110.53</c:v>
                </c:pt>
                <c:pt idx="46">
                  <c:v>117.01</c:v>
                </c:pt>
                <c:pt idx="47">
                  <c:v>126.3</c:v>
                </c:pt>
                <c:pt idx="48">
                  <c:v>129.81</c:v>
                </c:pt>
                <c:pt idx="49">
                  <c:v>131.81</c:v>
                </c:pt>
                <c:pt idx="50">
                  <c:v>129.44999999999999</c:v>
                </c:pt>
                <c:pt idx="51">
                  <c:v>125.39</c:v>
                </c:pt>
                <c:pt idx="52">
                  <c:v>129.97999999999999</c:v>
                </c:pt>
                <c:pt idx="53">
                  <c:v>132.82</c:v>
                </c:pt>
                <c:pt idx="54">
                  <c:v>135.35</c:v>
                </c:pt>
                <c:pt idx="55">
                  <c:v>135.83000000000001</c:v>
                </c:pt>
              </c:numCache>
            </c:numRef>
          </c:val>
          <c:smooth val="0"/>
          <c:extLst>
            <c:ext xmlns:c16="http://schemas.microsoft.com/office/drawing/2014/chart" uri="{C3380CC4-5D6E-409C-BE32-E72D297353CC}">
              <c16:uniqueId val="{00000000-B9B6-4137-A897-280A2DA961E5}"/>
            </c:ext>
          </c:extLst>
        </c:ser>
        <c:dLbls>
          <c:showLegendKey val="0"/>
          <c:showVal val="0"/>
          <c:showCatName val="0"/>
          <c:showSerName val="0"/>
          <c:showPercent val="0"/>
          <c:showBubbleSize val="0"/>
        </c:dLbls>
        <c:smooth val="0"/>
        <c:axId val="432899232"/>
        <c:axId val="432901200"/>
      </c:lineChart>
      <c:catAx>
        <c:axId val="43289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2901200"/>
        <c:crosses val="autoZero"/>
        <c:auto val="1"/>
        <c:lblAlgn val="ctr"/>
        <c:lblOffset val="100"/>
        <c:noMultiLvlLbl val="0"/>
      </c:catAx>
      <c:valAx>
        <c:axId val="432901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2899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2.352952755905512E-2"/>
                  <c:y val="0.113304899387576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prevision12!$B$30:$B$54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cat>
          <c:val>
            <c:numRef>
              <c:f>prevision12!$C$30:$C$54</c:f>
              <c:numCache>
                <c:formatCode>General</c:formatCode>
                <c:ptCount val="25"/>
                <c:pt idx="0">
                  <c:v>43.701879194620702</c:v>
                </c:pt>
                <c:pt idx="1">
                  <c:v>43.816870362701202</c:v>
                </c:pt>
                <c:pt idx="2">
                  <c:v>44.227207948034</c:v>
                </c:pt>
                <c:pt idx="3">
                  <c:v>48.0010895231636</c:v>
                </c:pt>
                <c:pt idx="4">
                  <c:v>45.834166775704198</c:v>
                </c:pt>
                <c:pt idx="5">
                  <c:v>45.922495148855702</c:v>
                </c:pt>
                <c:pt idx="6">
                  <c:v>48.2268903647252</c:v>
                </c:pt>
                <c:pt idx="7">
                  <c:v>51.1129131584606</c:v>
                </c:pt>
                <c:pt idx="8">
                  <c:v>52.428392853048599</c:v>
                </c:pt>
                <c:pt idx="9">
                  <c:v>49.018417395899199</c:v>
                </c:pt>
                <c:pt idx="10">
                  <c:v>48.811358811618703</c:v>
                </c:pt>
              </c:numCache>
            </c:numRef>
          </c:val>
          <c:smooth val="0"/>
          <c:extLst>
            <c:ext xmlns:c16="http://schemas.microsoft.com/office/drawing/2014/chart" uri="{C3380CC4-5D6E-409C-BE32-E72D297353CC}">
              <c16:uniqueId val="{00000001-6FA7-4F80-BF70-4B0170D4B2B6}"/>
            </c:ext>
          </c:extLst>
        </c:ser>
        <c:ser>
          <c:idx val="1"/>
          <c:order val="1"/>
          <c:spPr>
            <a:ln w="28575" cap="rnd">
              <a:solidFill>
                <a:schemeClr val="accent2"/>
              </a:solidFill>
              <a:round/>
            </a:ln>
            <a:effectLst/>
          </c:spPr>
          <c:marker>
            <c:symbol val="none"/>
          </c:marker>
          <c:cat>
            <c:numRef>
              <c:f>prevision12!$B$30:$B$54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cat>
          <c:val>
            <c:numRef>
              <c:f>prevision12!$D$30:$D$54</c:f>
              <c:numCache>
                <c:formatCode>General</c:formatCode>
                <c:ptCount val="25"/>
                <c:pt idx="10">
                  <c:v>48.811358811618703</c:v>
                </c:pt>
                <c:pt idx="11">
                  <c:v>49.93949411464547</c:v>
                </c:pt>
                <c:pt idx="12">
                  <c:v>50.205840847893285</c:v>
                </c:pt>
                <c:pt idx="13">
                  <c:v>50.4721875811411</c:v>
                </c:pt>
                <c:pt idx="14">
                  <c:v>50.738534314388914</c:v>
                </c:pt>
                <c:pt idx="15">
                  <c:v>51.004881047636729</c:v>
                </c:pt>
                <c:pt idx="16">
                  <c:v>51.271227780884544</c:v>
                </c:pt>
                <c:pt idx="17">
                  <c:v>51.537574514132359</c:v>
                </c:pt>
                <c:pt idx="18">
                  <c:v>51.803921247380174</c:v>
                </c:pt>
                <c:pt idx="19">
                  <c:v>52.070267980627989</c:v>
                </c:pt>
                <c:pt idx="20">
                  <c:v>52.336614713875804</c:v>
                </c:pt>
                <c:pt idx="21">
                  <c:v>52.602961447123619</c:v>
                </c:pt>
                <c:pt idx="22">
                  <c:v>52.869308180371434</c:v>
                </c:pt>
                <c:pt idx="23">
                  <c:v>53.135654913619248</c:v>
                </c:pt>
                <c:pt idx="24">
                  <c:v>53.402001646867063</c:v>
                </c:pt>
              </c:numCache>
            </c:numRef>
          </c:val>
          <c:smooth val="0"/>
          <c:extLst>
            <c:ext xmlns:c16="http://schemas.microsoft.com/office/drawing/2014/chart" uri="{C3380CC4-5D6E-409C-BE32-E72D297353CC}">
              <c16:uniqueId val="{00000002-6FA7-4F80-BF70-4B0170D4B2B6}"/>
            </c:ext>
          </c:extLst>
        </c:ser>
        <c:dLbls>
          <c:showLegendKey val="0"/>
          <c:showVal val="0"/>
          <c:showCatName val="0"/>
          <c:showSerName val="0"/>
          <c:showPercent val="0"/>
          <c:showBubbleSize val="0"/>
        </c:dLbls>
        <c:smooth val="0"/>
        <c:axId val="989978392"/>
        <c:axId val="989976096"/>
      </c:lineChart>
      <c:catAx>
        <c:axId val="989978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9976096"/>
        <c:crosses val="autoZero"/>
        <c:auto val="1"/>
        <c:lblAlgn val="ctr"/>
        <c:lblOffset val="100"/>
        <c:noMultiLvlLbl val="0"/>
      </c:catAx>
      <c:valAx>
        <c:axId val="98997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9978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 de l'environnement.xlsm]Indicateur12!数据透视表8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a:t>PM2,5 air pollution, mean annual exposure (micrograms per cubic meter)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4">
                <a:lumMod val="60000"/>
                <a:lumOff val="40000"/>
              </a:schemeClr>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Indicateur12!$K$5:$K$6</c:f>
              <c:strCache>
                <c:ptCount val="1"/>
                <c:pt idx="0">
                  <c:v>Myanmar</c:v>
                </c:pt>
              </c:strCache>
            </c:strRef>
          </c:tx>
          <c:spPr>
            <a:ln w="28575" cap="rnd">
              <a:solidFill>
                <a:schemeClr val="accent4">
                  <a:lumMod val="60000"/>
                  <a:lumOff val="40000"/>
                </a:schemeClr>
              </a:solidFill>
              <a:round/>
            </a:ln>
            <a:effectLst/>
          </c:spPr>
          <c:marker>
            <c:symbol val="none"/>
          </c:marker>
          <c:cat>
            <c:strRef>
              <c:f>Indicateur12!$J$7:$J$17</c:f>
              <c:strCache>
                <c:ptCount val="11"/>
                <c:pt idx="0">
                  <c:v>1990</c:v>
                </c:pt>
                <c:pt idx="1">
                  <c:v>1995</c:v>
                </c:pt>
                <c:pt idx="2">
                  <c:v>2000</c:v>
                </c:pt>
                <c:pt idx="3">
                  <c:v>2005</c:v>
                </c:pt>
                <c:pt idx="4">
                  <c:v>2010</c:v>
                </c:pt>
                <c:pt idx="5">
                  <c:v>2011</c:v>
                </c:pt>
                <c:pt idx="6">
                  <c:v>2012</c:v>
                </c:pt>
                <c:pt idx="7">
                  <c:v>2013</c:v>
                </c:pt>
                <c:pt idx="8">
                  <c:v>2014</c:v>
                </c:pt>
                <c:pt idx="9">
                  <c:v>2015</c:v>
                </c:pt>
                <c:pt idx="10">
                  <c:v>2016</c:v>
                </c:pt>
              </c:strCache>
            </c:strRef>
          </c:cat>
          <c:val>
            <c:numRef>
              <c:f>Indicateur12!$K$7:$K$17</c:f>
              <c:numCache>
                <c:formatCode>General</c:formatCode>
                <c:ptCount val="11"/>
                <c:pt idx="0">
                  <c:v>43.701879194620702</c:v>
                </c:pt>
                <c:pt idx="1">
                  <c:v>43.816870362701202</c:v>
                </c:pt>
                <c:pt idx="2">
                  <c:v>44.227207948034</c:v>
                </c:pt>
                <c:pt idx="3">
                  <c:v>48.0010895231636</c:v>
                </c:pt>
                <c:pt idx="4">
                  <c:v>45.834166775704198</c:v>
                </c:pt>
                <c:pt idx="5">
                  <c:v>45.922495148855702</c:v>
                </c:pt>
                <c:pt idx="6">
                  <c:v>48.2268903647252</c:v>
                </c:pt>
                <c:pt idx="7">
                  <c:v>51.1129131584606</c:v>
                </c:pt>
                <c:pt idx="8">
                  <c:v>52.428392853048599</c:v>
                </c:pt>
                <c:pt idx="9">
                  <c:v>49.018417395899199</c:v>
                </c:pt>
                <c:pt idx="10">
                  <c:v>48.811358811618703</c:v>
                </c:pt>
              </c:numCache>
            </c:numRef>
          </c:val>
          <c:smooth val="0"/>
          <c:extLst>
            <c:ext xmlns:c16="http://schemas.microsoft.com/office/drawing/2014/chart" uri="{C3380CC4-5D6E-409C-BE32-E72D297353CC}">
              <c16:uniqueId val="{00000000-8DB5-45BC-BA93-FE4B2134CB0F}"/>
            </c:ext>
          </c:extLst>
        </c:ser>
        <c:dLbls>
          <c:showLegendKey val="0"/>
          <c:showVal val="0"/>
          <c:showCatName val="0"/>
          <c:showSerName val="0"/>
          <c:showPercent val="0"/>
          <c:showBubbleSize val="0"/>
        </c:dLbls>
        <c:smooth val="0"/>
        <c:axId val="614577824"/>
        <c:axId val="614582744"/>
      </c:lineChart>
      <c:catAx>
        <c:axId val="61457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4582744"/>
        <c:crosses val="autoZero"/>
        <c:auto val="1"/>
        <c:lblAlgn val="ctr"/>
        <c:lblOffset val="100"/>
        <c:noMultiLvlLbl val="0"/>
      </c:catAx>
      <c:valAx>
        <c:axId val="614582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457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1451662292213474E-2"/>
                  <c:y val="-4.778361038203558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prevision10!$B$31:$B$101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prevision10!$C$31:$C$101</c:f>
              <c:numCache>
                <c:formatCode>General</c:formatCode>
                <c:ptCount val="71"/>
                <c:pt idx="0">
                  <c:v>2717.2469999999998</c:v>
                </c:pt>
                <c:pt idx="1">
                  <c:v>2592.569</c:v>
                </c:pt>
                <c:pt idx="2">
                  <c:v>2882.2620000000002</c:v>
                </c:pt>
                <c:pt idx="3">
                  <c:v>2636.5729999999999</c:v>
                </c:pt>
                <c:pt idx="4">
                  <c:v>2860.26</c:v>
                </c:pt>
                <c:pt idx="5">
                  <c:v>2728.248</c:v>
                </c:pt>
                <c:pt idx="6">
                  <c:v>2808.922</c:v>
                </c:pt>
                <c:pt idx="7">
                  <c:v>3619.3290000000002</c:v>
                </c:pt>
                <c:pt idx="8">
                  <c:v>2929.933</c:v>
                </c:pt>
                <c:pt idx="9">
                  <c:v>3215.9589999999998</c:v>
                </c:pt>
                <c:pt idx="10">
                  <c:v>4616.7529999999997</c:v>
                </c:pt>
                <c:pt idx="11">
                  <c:v>5104.4639999999999</c:v>
                </c:pt>
                <c:pt idx="12">
                  <c:v>4899.1120000000001</c:v>
                </c:pt>
                <c:pt idx="13">
                  <c:v>4110.7070000000003</c:v>
                </c:pt>
                <c:pt idx="14">
                  <c:v>4675.4250000000002</c:v>
                </c:pt>
                <c:pt idx="15">
                  <c:v>4587.4170000000004</c:v>
                </c:pt>
                <c:pt idx="16">
                  <c:v>4899.1120000000001</c:v>
                </c:pt>
                <c:pt idx="17">
                  <c:v>5174.1369999999997</c:v>
                </c:pt>
                <c:pt idx="18">
                  <c:v>5155.8019999999997</c:v>
                </c:pt>
                <c:pt idx="19">
                  <c:v>5100.7969999999996</c:v>
                </c:pt>
                <c:pt idx="20">
                  <c:v>5526.1689999999999</c:v>
                </c:pt>
                <c:pt idx="21">
                  <c:v>5639.8459999999995</c:v>
                </c:pt>
                <c:pt idx="22">
                  <c:v>5599.509</c:v>
                </c:pt>
                <c:pt idx="23">
                  <c:v>5775.5249999999996</c:v>
                </c:pt>
                <c:pt idx="24">
                  <c:v>6571.2640000000001</c:v>
                </c:pt>
                <c:pt idx="25">
                  <c:v>6710.61</c:v>
                </c:pt>
                <c:pt idx="26">
                  <c:v>6791.2839999999997</c:v>
                </c:pt>
                <c:pt idx="27">
                  <c:v>4976.1189999999997</c:v>
                </c:pt>
                <c:pt idx="28">
                  <c:v>4118.0410000000002</c:v>
                </c:pt>
                <c:pt idx="29">
                  <c:v>4462.7389999999996</c:v>
                </c:pt>
                <c:pt idx="30">
                  <c:v>4275.7219999999998</c:v>
                </c:pt>
                <c:pt idx="31">
                  <c:v>4180.38</c:v>
                </c:pt>
                <c:pt idx="32">
                  <c:v>4888.1109999999999</c:v>
                </c:pt>
                <c:pt idx="33">
                  <c:v>5342.8190000000004</c:v>
                </c:pt>
                <c:pt idx="34">
                  <c:v>6244.9009999999998</c:v>
                </c:pt>
                <c:pt idx="35">
                  <c:v>6959.9660000000003</c:v>
                </c:pt>
                <c:pt idx="36">
                  <c:v>7256.9930000000004</c:v>
                </c:pt>
                <c:pt idx="37">
                  <c:v>7499.0150000000003</c:v>
                </c:pt>
                <c:pt idx="38">
                  <c:v>8078.4009999999998</c:v>
                </c:pt>
                <c:pt idx="39">
                  <c:v>8969.482</c:v>
                </c:pt>
                <c:pt idx="40">
                  <c:v>10087.916999999999</c:v>
                </c:pt>
                <c:pt idx="41">
                  <c:v>8723.7929999999997</c:v>
                </c:pt>
                <c:pt idx="42">
                  <c:v>9207.8369999999995</c:v>
                </c:pt>
                <c:pt idx="43">
                  <c:v>9845.8950000000004</c:v>
                </c:pt>
                <c:pt idx="44">
                  <c:v>12434.797</c:v>
                </c:pt>
                <c:pt idx="45">
                  <c:v>11598.721</c:v>
                </c:pt>
                <c:pt idx="46">
                  <c:v>12849.168</c:v>
                </c:pt>
                <c:pt idx="47">
                  <c:v>12874.837</c:v>
                </c:pt>
                <c:pt idx="48">
                  <c:v>9801.8909999999996</c:v>
                </c:pt>
                <c:pt idx="49">
                  <c:v>10230.93</c:v>
                </c:pt>
                <c:pt idx="50">
                  <c:v>12515.471</c:v>
                </c:pt>
                <c:pt idx="51">
                  <c:v>14297.633</c:v>
                </c:pt>
                <c:pt idx="52">
                  <c:v>11070.673000000001</c:v>
                </c:pt>
                <c:pt idx="53">
                  <c:v>12860.169</c:v>
                </c:pt>
                <c:pt idx="54">
                  <c:v>21631.633000000002</c:v>
                </c:pt>
              </c:numCache>
            </c:numRef>
          </c:val>
          <c:smooth val="0"/>
          <c:extLst>
            <c:ext xmlns:c16="http://schemas.microsoft.com/office/drawing/2014/chart" uri="{C3380CC4-5D6E-409C-BE32-E72D297353CC}">
              <c16:uniqueId val="{00000000-95D1-4D93-91C8-AF7B638780B3}"/>
            </c:ext>
          </c:extLst>
        </c:ser>
        <c:ser>
          <c:idx val="1"/>
          <c:order val="1"/>
          <c:spPr>
            <a:ln w="28575" cap="rnd">
              <a:solidFill>
                <a:schemeClr val="accent2"/>
              </a:solidFill>
              <a:round/>
            </a:ln>
            <a:effectLst/>
          </c:spPr>
          <c:marker>
            <c:symbol val="none"/>
          </c:marker>
          <c:cat>
            <c:numRef>
              <c:f>prevision10!$B$31:$B$101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prevision10!$D$31:$D$101</c:f>
              <c:numCache>
                <c:formatCode>General</c:formatCode>
                <c:ptCount val="71"/>
                <c:pt idx="54">
                  <c:v>21631.633000000002</c:v>
                </c:pt>
                <c:pt idx="55">
                  <c:v>12621.776959595969</c:v>
                </c:pt>
                <c:pt idx="56">
                  <c:v>12827.611013997113</c:v>
                </c:pt>
                <c:pt idx="57">
                  <c:v>13033.445068398316</c:v>
                </c:pt>
                <c:pt idx="58">
                  <c:v>13239.27912279946</c:v>
                </c:pt>
                <c:pt idx="59">
                  <c:v>13445.113177200605</c:v>
                </c:pt>
                <c:pt idx="60">
                  <c:v>13650.947231601749</c:v>
                </c:pt>
                <c:pt idx="61">
                  <c:v>13856.781286002893</c:v>
                </c:pt>
                <c:pt idx="62">
                  <c:v>14062.615340404038</c:v>
                </c:pt>
                <c:pt idx="63">
                  <c:v>14268.44939480524</c:v>
                </c:pt>
                <c:pt idx="64">
                  <c:v>14474.283449206385</c:v>
                </c:pt>
                <c:pt idx="65">
                  <c:v>14680.117503607529</c:v>
                </c:pt>
                <c:pt idx="66">
                  <c:v>14885.951558008674</c:v>
                </c:pt>
                <c:pt idx="67">
                  <c:v>15091.785612409818</c:v>
                </c:pt>
                <c:pt idx="68">
                  <c:v>15297.619666811021</c:v>
                </c:pt>
                <c:pt idx="69">
                  <c:v>15503.453721212165</c:v>
                </c:pt>
                <c:pt idx="70">
                  <c:v>15709.287775613309</c:v>
                </c:pt>
              </c:numCache>
            </c:numRef>
          </c:val>
          <c:smooth val="0"/>
          <c:extLst>
            <c:ext xmlns:c16="http://schemas.microsoft.com/office/drawing/2014/chart" uri="{C3380CC4-5D6E-409C-BE32-E72D297353CC}">
              <c16:uniqueId val="{00000001-95D1-4D93-91C8-AF7B638780B3}"/>
            </c:ext>
          </c:extLst>
        </c:ser>
        <c:dLbls>
          <c:showLegendKey val="0"/>
          <c:showVal val="0"/>
          <c:showCatName val="0"/>
          <c:showSerName val="0"/>
          <c:showPercent val="0"/>
          <c:showBubbleSize val="0"/>
        </c:dLbls>
        <c:smooth val="0"/>
        <c:axId val="721215896"/>
        <c:axId val="721216880"/>
      </c:lineChart>
      <c:catAx>
        <c:axId val="721215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1216880"/>
        <c:crosses val="autoZero"/>
        <c:auto val="1"/>
        <c:lblAlgn val="ctr"/>
        <c:lblOffset val="100"/>
        <c:noMultiLvlLbl val="0"/>
      </c:catAx>
      <c:valAx>
        <c:axId val="721216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121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prevision10!$H$31:$H$101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prevision10!$I$31:$I$101</c:f>
              <c:numCache>
                <c:formatCode>General</c:formatCode>
                <c:ptCount val="71"/>
                <c:pt idx="0">
                  <c:v>2717.2469999999998</c:v>
                </c:pt>
                <c:pt idx="1">
                  <c:v>2592.569</c:v>
                </c:pt>
                <c:pt idx="2">
                  <c:v>2882.2620000000002</c:v>
                </c:pt>
                <c:pt idx="3">
                  <c:v>2636.5729999999999</c:v>
                </c:pt>
                <c:pt idx="4">
                  <c:v>2860.26</c:v>
                </c:pt>
                <c:pt idx="5">
                  <c:v>2728.248</c:v>
                </c:pt>
                <c:pt idx="6">
                  <c:v>2808.922</c:v>
                </c:pt>
                <c:pt idx="7">
                  <c:v>3619.3290000000002</c:v>
                </c:pt>
                <c:pt idx="8">
                  <c:v>2929.933</c:v>
                </c:pt>
                <c:pt idx="9">
                  <c:v>3215.9589999999998</c:v>
                </c:pt>
                <c:pt idx="10">
                  <c:v>4616.7529999999997</c:v>
                </c:pt>
                <c:pt idx="11">
                  <c:v>5104.4639999999999</c:v>
                </c:pt>
                <c:pt idx="12">
                  <c:v>4899.1120000000001</c:v>
                </c:pt>
                <c:pt idx="13">
                  <c:v>4110.7070000000003</c:v>
                </c:pt>
                <c:pt idx="14">
                  <c:v>4675.4250000000002</c:v>
                </c:pt>
                <c:pt idx="15">
                  <c:v>4587.4170000000004</c:v>
                </c:pt>
                <c:pt idx="16">
                  <c:v>4899.1120000000001</c:v>
                </c:pt>
                <c:pt idx="17">
                  <c:v>5174.1369999999997</c:v>
                </c:pt>
                <c:pt idx="18">
                  <c:v>5155.8019999999997</c:v>
                </c:pt>
                <c:pt idx="19">
                  <c:v>5100.7969999999996</c:v>
                </c:pt>
                <c:pt idx="20">
                  <c:v>5526.1689999999999</c:v>
                </c:pt>
                <c:pt idx="21">
                  <c:v>5639.8459999999995</c:v>
                </c:pt>
                <c:pt idx="22">
                  <c:v>5599.509</c:v>
                </c:pt>
                <c:pt idx="23">
                  <c:v>5775.5249999999996</c:v>
                </c:pt>
                <c:pt idx="24">
                  <c:v>6571.2640000000001</c:v>
                </c:pt>
                <c:pt idx="25">
                  <c:v>6710.61</c:v>
                </c:pt>
                <c:pt idx="26">
                  <c:v>6791.2839999999997</c:v>
                </c:pt>
                <c:pt idx="27">
                  <c:v>4976.1189999999997</c:v>
                </c:pt>
                <c:pt idx="28">
                  <c:v>4118.0410000000002</c:v>
                </c:pt>
                <c:pt idx="29">
                  <c:v>4462.7389999999996</c:v>
                </c:pt>
                <c:pt idx="30">
                  <c:v>4275.7219999999998</c:v>
                </c:pt>
                <c:pt idx="31">
                  <c:v>4180.38</c:v>
                </c:pt>
                <c:pt idx="32">
                  <c:v>4888.1109999999999</c:v>
                </c:pt>
                <c:pt idx="33">
                  <c:v>5342.8190000000004</c:v>
                </c:pt>
                <c:pt idx="34">
                  <c:v>6244.9009999999998</c:v>
                </c:pt>
                <c:pt idx="35">
                  <c:v>6959.9660000000003</c:v>
                </c:pt>
                <c:pt idx="36">
                  <c:v>7256.9930000000004</c:v>
                </c:pt>
                <c:pt idx="37">
                  <c:v>7499.0150000000003</c:v>
                </c:pt>
                <c:pt idx="38">
                  <c:v>8078.4009999999998</c:v>
                </c:pt>
                <c:pt idx="39">
                  <c:v>8969.482</c:v>
                </c:pt>
                <c:pt idx="40">
                  <c:v>10087.916999999999</c:v>
                </c:pt>
                <c:pt idx="41">
                  <c:v>8723.7929999999997</c:v>
                </c:pt>
                <c:pt idx="42">
                  <c:v>9207.8369999999995</c:v>
                </c:pt>
                <c:pt idx="43">
                  <c:v>9845.8950000000004</c:v>
                </c:pt>
                <c:pt idx="44">
                  <c:v>12434.797</c:v>
                </c:pt>
                <c:pt idx="45">
                  <c:v>11598.721</c:v>
                </c:pt>
                <c:pt idx="46">
                  <c:v>12849.168</c:v>
                </c:pt>
                <c:pt idx="47">
                  <c:v>12874.837</c:v>
                </c:pt>
                <c:pt idx="48">
                  <c:v>9801.8909999999996</c:v>
                </c:pt>
                <c:pt idx="49">
                  <c:v>10230.93</c:v>
                </c:pt>
                <c:pt idx="50">
                  <c:v>12515.471</c:v>
                </c:pt>
                <c:pt idx="51">
                  <c:v>14297.633</c:v>
                </c:pt>
                <c:pt idx="52">
                  <c:v>11070.673000000001</c:v>
                </c:pt>
                <c:pt idx="53">
                  <c:v>12860.169</c:v>
                </c:pt>
                <c:pt idx="54">
                  <c:v>21631.633000000002</c:v>
                </c:pt>
              </c:numCache>
            </c:numRef>
          </c:val>
          <c:smooth val="0"/>
          <c:extLst>
            <c:ext xmlns:c16="http://schemas.microsoft.com/office/drawing/2014/chart" uri="{C3380CC4-5D6E-409C-BE32-E72D297353CC}">
              <c16:uniqueId val="{00000000-2B89-498F-833C-A7F0F6806500}"/>
            </c:ext>
          </c:extLst>
        </c:ser>
        <c:ser>
          <c:idx val="1"/>
          <c:order val="1"/>
          <c:spPr>
            <a:ln w="28575" cap="rnd">
              <a:solidFill>
                <a:schemeClr val="accent2"/>
              </a:solidFill>
              <a:round/>
            </a:ln>
            <a:effectLst/>
          </c:spPr>
          <c:marker>
            <c:symbol val="none"/>
          </c:marker>
          <c:cat>
            <c:numRef>
              <c:f>prevision10!$H$31:$H$101</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prevision10!$J$31:$J$101</c:f>
              <c:numCache>
                <c:formatCode>General</c:formatCode>
                <c:ptCount val="71"/>
                <c:pt idx="54">
                  <c:v>21631.633000000002</c:v>
                </c:pt>
                <c:pt idx="55">
                  <c:v>12621.776959595969</c:v>
                </c:pt>
                <c:pt idx="56">
                  <c:v>12827.611013997113</c:v>
                </c:pt>
                <c:pt idx="57">
                  <c:v>13033.445068398316</c:v>
                </c:pt>
                <c:pt idx="58">
                  <c:v>13239.27912279946</c:v>
                </c:pt>
                <c:pt idx="59">
                  <c:v>13445.113177200605</c:v>
                </c:pt>
                <c:pt idx="60">
                  <c:v>13650.947231601749</c:v>
                </c:pt>
                <c:pt idx="61">
                  <c:v>13856.781286002893</c:v>
                </c:pt>
                <c:pt idx="62">
                  <c:v>14062.615340404038</c:v>
                </c:pt>
                <c:pt idx="63">
                  <c:v>14268.44939480524</c:v>
                </c:pt>
                <c:pt idx="64">
                  <c:v>14474.283449206385</c:v>
                </c:pt>
                <c:pt idx="65">
                  <c:v>14680.117503607529</c:v>
                </c:pt>
                <c:pt idx="66">
                  <c:v>14885.951558008674</c:v>
                </c:pt>
                <c:pt idx="67">
                  <c:v>15091.785612409818</c:v>
                </c:pt>
                <c:pt idx="68">
                  <c:v>15297.619666811021</c:v>
                </c:pt>
                <c:pt idx="69">
                  <c:v>15503.453721212165</c:v>
                </c:pt>
                <c:pt idx="70">
                  <c:v>15709.287775613309</c:v>
                </c:pt>
              </c:numCache>
            </c:numRef>
          </c:val>
          <c:smooth val="0"/>
          <c:extLst>
            <c:ext xmlns:c16="http://schemas.microsoft.com/office/drawing/2014/chart" uri="{C3380CC4-5D6E-409C-BE32-E72D297353CC}">
              <c16:uniqueId val="{00000001-2B89-498F-833C-A7F0F6806500}"/>
            </c:ext>
          </c:extLst>
        </c:ser>
        <c:dLbls>
          <c:showLegendKey val="0"/>
          <c:showVal val="0"/>
          <c:showCatName val="0"/>
          <c:showSerName val="0"/>
          <c:showPercent val="0"/>
          <c:showBubbleSize val="0"/>
        </c:dLbls>
        <c:smooth val="0"/>
        <c:axId val="619826840"/>
        <c:axId val="619820608"/>
      </c:lineChart>
      <c:catAx>
        <c:axId val="61982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20608"/>
        <c:crosses val="autoZero"/>
        <c:auto val="1"/>
        <c:lblAlgn val="ctr"/>
        <c:lblOffset val="100"/>
        <c:noMultiLvlLbl val="0"/>
      </c:catAx>
      <c:valAx>
        <c:axId val="61982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26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3777340332458443E-3"/>
                  <c:y val="-4.166666666666666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prevision11!$B$32:$B$101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prevision11!$C$32:$C$101</c:f>
              <c:numCache>
                <c:formatCode>General</c:formatCode>
                <c:ptCount val="70"/>
                <c:pt idx="0">
                  <c:v>21.53</c:v>
                </c:pt>
                <c:pt idx="1">
                  <c:v>24</c:v>
                </c:pt>
                <c:pt idx="2">
                  <c:v>24.95</c:v>
                </c:pt>
                <c:pt idx="3">
                  <c:v>26.2</c:v>
                </c:pt>
                <c:pt idx="4">
                  <c:v>25.46</c:v>
                </c:pt>
                <c:pt idx="5">
                  <c:v>22.44</c:v>
                </c:pt>
                <c:pt idx="6">
                  <c:v>24.98</c:v>
                </c:pt>
                <c:pt idx="7">
                  <c:v>25.31</c:v>
                </c:pt>
                <c:pt idx="8">
                  <c:v>25.12</c:v>
                </c:pt>
                <c:pt idx="9">
                  <c:v>26</c:v>
                </c:pt>
                <c:pt idx="10">
                  <c:v>26.72</c:v>
                </c:pt>
                <c:pt idx="11">
                  <c:v>25.12</c:v>
                </c:pt>
                <c:pt idx="12">
                  <c:v>27.45</c:v>
                </c:pt>
                <c:pt idx="13">
                  <c:v>27.76</c:v>
                </c:pt>
                <c:pt idx="14">
                  <c:v>29.13</c:v>
                </c:pt>
                <c:pt idx="15">
                  <c:v>29.6</c:v>
                </c:pt>
                <c:pt idx="16">
                  <c:v>30.41</c:v>
                </c:pt>
                <c:pt idx="17">
                  <c:v>33.31</c:v>
                </c:pt>
                <c:pt idx="18">
                  <c:v>33.76</c:v>
                </c:pt>
                <c:pt idx="19">
                  <c:v>39.49</c:v>
                </c:pt>
                <c:pt idx="20">
                  <c:v>42.82</c:v>
                </c:pt>
                <c:pt idx="21">
                  <c:v>45.12</c:v>
                </c:pt>
                <c:pt idx="22">
                  <c:v>46</c:v>
                </c:pt>
                <c:pt idx="23">
                  <c:v>47.3</c:v>
                </c:pt>
                <c:pt idx="24">
                  <c:v>48.47</c:v>
                </c:pt>
                <c:pt idx="25">
                  <c:v>48.64</c:v>
                </c:pt>
                <c:pt idx="26">
                  <c:v>47.52</c:v>
                </c:pt>
                <c:pt idx="27">
                  <c:v>46.29</c:v>
                </c:pt>
                <c:pt idx="28">
                  <c:v>43.93</c:v>
                </c:pt>
                <c:pt idx="29">
                  <c:v>43.39</c:v>
                </c:pt>
                <c:pt idx="30">
                  <c:v>42.07</c:v>
                </c:pt>
                <c:pt idx="31">
                  <c:v>47.59</c:v>
                </c:pt>
                <c:pt idx="32">
                  <c:v>51.69</c:v>
                </c:pt>
                <c:pt idx="33">
                  <c:v>55.72</c:v>
                </c:pt>
                <c:pt idx="34">
                  <c:v>57.55</c:v>
                </c:pt>
                <c:pt idx="35">
                  <c:v>58.9</c:v>
                </c:pt>
                <c:pt idx="36">
                  <c:v>58.41</c:v>
                </c:pt>
                <c:pt idx="37">
                  <c:v>59.34</c:v>
                </c:pt>
                <c:pt idx="38">
                  <c:v>68</c:v>
                </c:pt>
                <c:pt idx="39">
                  <c:v>75.010000000000005</c:v>
                </c:pt>
                <c:pt idx="40">
                  <c:v>79.849999999999994</c:v>
                </c:pt>
                <c:pt idx="41">
                  <c:v>82.5</c:v>
                </c:pt>
                <c:pt idx="42">
                  <c:v>87.63</c:v>
                </c:pt>
                <c:pt idx="43">
                  <c:v>91.41</c:v>
                </c:pt>
                <c:pt idx="44">
                  <c:v>98.07</c:v>
                </c:pt>
                <c:pt idx="45">
                  <c:v>110.53</c:v>
                </c:pt>
                <c:pt idx="46">
                  <c:v>117.01</c:v>
                </c:pt>
                <c:pt idx="47">
                  <c:v>126.3</c:v>
                </c:pt>
                <c:pt idx="48">
                  <c:v>129.81</c:v>
                </c:pt>
                <c:pt idx="49">
                  <c:v>131.81</c:v>
                </c:pt>
                <c:pt idx="50">
                  <c:v>129.44999999999999</c:v>
                </c:pt>
                <c:pt idx="51">
                  <c:v>125.39</c:v>
                </c:pt>
                <c:pt idx="52">
                  <c:v>129.97999999999999</c:v>
                </c:pt>
                <c:pt idx="53">
                  <c:v>132.82</c:v>
                </c:pt>
                <c:pt idx="54">
                  <c:v>135.35</c:v>
                </c:pt>
                <c:pt idx="55">
                  <c:v>135.83000000000001</c:v>
                </c:pt>
              </c:numCache>
            </c:numRef>
          </c:val>
          <c:smooth val="0"/>
          <c:extLst>
            <c:ext xmlns:c16="http://schemas.microsoft.com/office/drawing/2014/chart" uri="{C3380CC4-5D6E-409C-BE32-E72D297353CC}">
              <c16:uniqueId val="{00000000-DA75-43B5-9AA2-C4EBA1E67F02}"/>
            </c:ext>
          </c:extLst>
        </c:ser>
        <c:ser>
          <c:idx val="1"/>
          <c:order val="1"/>
          <c:spPr>
            <a:ln w="28575" cap="rnd">
              <a:solidFill>
                <a:schemeClr val="accent2"/>
              </a:solidFill>
              <a:round/>
            </a:ln>
            <a:effectLst/>
          </c:spPr>
          <c:marker>
            <c:symbol val="none"/>
          </c:marker>
          <c:cat>
            <c:numRef>
              <c:f>prevision11!$B$32:$B$101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prevision11!$D$32:$D$101</c:f>
              <c:numCache>
                <c:formatCode>General</c:formatCode>
                <c:ptCount val="70"/>
                <c:pt idx="55">
                  <c:v>135.83000000000001</c:v>
                </c:pt>
                <c:pt idx="56">
                  <c:v>122.83161038960952</c:v>
                </c:pt>
                <c:pt idx="57">
                  <c:v>124.99472453861836</c:v>
                </c:pt>
                <c:pt idx="58">
                  <c:v>127.15783868762719</c:v>
                </c:pt>
                <c:pt idx="59">
                  <c:v>129.32095283663602</c:v>
                </c:pt>
                <c:pt idx="60">
                  <c:v>131.48406698564486</c:v>
                </c:pt>
                <c:pt idx="61">
                  <c:v>133.6471811346546</c:v>
                </c:pt>
                <c:pt idx="62">
                  <c:v>135.81029528366344</c:v>
                </c:pt>
                <c:pt idx="63">
                  <c:v>137.97340943267227</c:v>
                </c:pt>
                <c:pt idx="64">
                  <c:v>140.1365235816811</c:v>
                </c:pt>
                <c:pt idx="65">
                  <c:v>142.29963773068994</c:v>
                </c:pt>
                <c:pt idx="66">
                  <c:v>144.46275187969877</c:v>
                </c:pt>
                <c:pt idx="67">
                  <c:v>146.62586602870761</c:v>
                </c:pt>
                <c:pt idx="68">
                  <c:v>148.78898017771644</c:v>
                </c:pt>
                <c:pt idx="69">
                  <c:v>150.95209432672527</c:v>
                </c:pt>
              </c:numCache>
            </c:numRef>
          </c:val>
          <c:smooth val="0"/>
          <c:extLst>
            <c:ext xmlns:c16="http://schemas.microsoft.com/office/drawing/2014/chart" uri="{C3380CC4-5D6E-409C-BE32-E72D297353CC}">
              <c16:uniqueId val="{00000001-DA75-43B5-9AA2-C4EBA1E67F02}"/>
            </c:ext>
          </c:extLst>
        </c:ser>
        <c:dLbls>
          <c:showLegendKey val="0"/>
          <c:showVal val="0"/>
          <c:showCatName val="0"/>
          <c:showSerName val="0"/>
          <c:showPercent val="0"/>
          <c:showBubbleSize val="0"/>
        </c:dLbls>
        <c:smooth val="0"/>
        <c:axId val="867842344"/>
        <c:axId val="867841032"/>
      </c:lineChart>
      <c:catAx>
        <c:axId val="867842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7841032"/>
        <c:crosses val="autoZero"/>
        <c:auto val="1"/>
        <c:lblAlgn val="ctr"/>
        <c:lblOffset val="100"/>
        <c:noMultiLvlLbl val="0"/>
      </c:catAx>
      <c:valAx>
        <c:axId val="867841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67842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prevision11!$H$32:$H$101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prevision11!$I$32:$I$101</c:f>
              <c:numCache>
                <c:formatCode>General</c:formatCode>
                <c:ptCount val="70"/>
                <c:pt idx="0">
                  <c:v>21.53</c:v>
                </c:pt>
                <c:pt idx="1">
                  <c:v>24</c:v>
                </c:pt>
                <c:pt idx="2">
                  <c:v>24.95</c:v>
                </c:pt>
                <c:pt idx="3">
                  <c:v>26.2</c:v>
                </c:pt>
                <c:pt idx="4">
                  <c:v>25.46</c:v>
                </c:pt>
                <c:pt idx="5">
                  <c:v>22.44</c:v>
                </c:pt>
                <c:pt idx="6">
                  <c:v>24.98</c:v>
                </c:pt>
                <c:pt idx="7">
                  <c:v>25.31</c:v>
                </c:pt>
                <c:pt idx="8">
                  <c:v>25.12</c:v>
                </c:pt>
                <c:pt idx="9">
                  <c:v>26</c:v>
                </c:pt>
                <c:pt idx="10">
                  <c:v>26.72</c:v>
                </c:pt>
                <c:pt idx="11">
                  <c:v>25.12</c:v>
                </c:pt>
                <c:pt idx="12">
                  <c:v>27.45</c:v>
                </c:pt>
                <c:pt idx="13">
                  <c:v>27.76</c:v>
                </c:pt>
                <c:pt idx="14">
                  <c:v>29.13</c:v>
                </c:pt>
                <c:pt idx="15">
                  <c:v>29.6</c:v>
                </c:pt>
                <c:pt idx="16">
                  <c:v>30.41</c:v>
                </c:pt>
                <c:pt idx="17">
                  <c:v>33.31</c:v>
                </c:pt>
                <c:pt idx="18">
                  <c:v>33.76</c:v>
                </c:pt>
                <c:pt idx="19">
                  <c:v>39.49</c:v>
                </c:pt>
                <c:pt idx="20">
                  <c:v>42.82</c:v>
                </c:pt>
                <c:pt idx="21">
                  <c:v>45.12</c:v>
                </c:pt>
                <c:pt idx="22">
                  <c:v>46</c:v>
                </c:pt>
                <c:pt idx="23">
                  <c:v>47.3</c:v>
                </c:pt>
                <c:pt idx="24">
                  <c:v>48.47</c:v>
                </c:pt>
                <c:pt idx="25">
                  <c:v>48.64</c:v>
                </c:pt>
                <c:pt idx="26">
                  <c:v>47.52</c:v>
                </c:pt>
                <c:pt idx="27">
                  <c:v>46.29</c:v>
                </c:pt>
                <c:pt idx="28">
                  <c:v>43.93</c:v>
                </c:pt>
                <c:pt idx="29">
                  <c:v>43.39</c:v>
                </c:pt>
                <c:pt idx="30">
                  <c:v>42.07</c:v>
                </c:pt>
                <c:pt idx="31">
                  <c:v>47.59</c:v>
                </c:pt>
                <c:pt idx="32">
                  <c:v>51.69</c:v>
                </c:pt>
                <c:pt idx="33">
                  <c:v>55.72</c:v>
                </c:pt>
                <c:pt idx="34">
                  <c:v>57.55</c:v>
                </c:pt>
                <c:pt idx="35">
                  <c:v>58.9</c:v>
                </c:pt>
                <c:pt idx="36">
                  <c:v>58.41</c:v>
                </c:pt>
                <c:pt idx="37">
                  <c:v>59.34</c:v>
                </c:pt>
                <c:pt idx="38">
                  <c:v>68</c:v>
                </c:pt>
                <c:pt idx="39">
                  <c:v>75.010000000000005</c:v>
                </c:pt>
                <c:pt idx="40">
                  <c:v>79.849999999999994</c:v>
                </c:pt>
                <c:pt idx="41">
                  <c:v>82.5</c:v>
                </c:pt>
                <c:pt idx="42">
                  <c:v>87.63</c:v>
                </c:pt>
                <c:pt idx="43">
                  <c:v>91.41</c:v>
                </c:pt>
                <c:pt idx="44">
                  <c:v>98.07</c:v>
                </c:pt>
                <c:pt idx="45">
                  <c:v>110.53</c:v>
                </c:pt>
                <c:pt idx="46">
                  <c:v>117.01</c:v>
                </c:pt>
                <c:pt idx="47">
                  <c:v>126.3</c:v>
                </c:pt>
                <c:pt idx="48">
                  <c:v>129.81</c:v>
                </c:pt>
                <c:pt idx="49">
                  <c:v>131.81</c:v>
                </c:pt>
                <c:pt idx="50">
                  <c:v>129.44999999999999</c:v>
                </c:pt>
                <c:pt idx="51">
                  <c:v>125.39</c:v>
                </c:pt>
                <c:pt idx="52">
                  <c:v>129.97999999999999</c:v>
                </c:pt>
                <c:pt idx="53">
                  <c:v>132.82</c:v>
                </c:pt>
                <c:pt idx="54">
                  <c:v>135.35</c:v>
                </c:pt>
                <c:pt idx="55">
                  <c:v>135.83000000000001</c:v>
                </c:pt>
              </c:numCache>
            </c:numRef>
          </c:val>
          <c:smooth val="0"/>
          <c:extLst>
            <c:ext xmlns:c16="http://schemas.microsoft.com/office/drawing/2014/chart" uri="{C3380CC4-5D6E-409C-BE32-E72D297353CC}">
              <c16:uniqueId val="{00000000-A593-48FF-B027-80676B229AA7}"/>
            </c:ext>
          </c:extLst>
        </c:ser>
        <c:ser>
          <c:idx val="1"/>
          <c:order val="1"/>
          <c:spPr>
            <a:ln w="28575" cap="rnd">
              <a:solidFill>
                <a:schemeClr val="accent2"/>
              </a:solidFill>
              <a:round/>
            </a:ln>
            <a:effectLst/>
          </c:spPr>
          <c:marker>
            <c:symbol val="none"/>
          </c:marker>
          <c:cat>
            <c:numRef>
              <c:f>prevision11!$H$32:$H$101</c:f>
              <c:numCache>
                <c:formatCode>General</c:formatCode>
                <c:ptCount val="70"/>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pt idx="49">
                  <c:v>2010</c:v>
                </c:pt>
                <c:pt idx="50">
                  <c:v>2011</c:v>
                </c:pt>
                <c:pt idx="51">
                  <c:v>2012</c:v>
                </c:pt>
                <c:pt idx="52">
                  <c:v>2013</c:v>
                </c:pt>
                <c:pt idx="53">
                  <c:v>2014</c:v>
                </c:pt>
                <c:pt idx="54">
                  <c:v>2015</c:v>
                </c:pt>
                <c:pt idx="55">
                  <c:v>2016</c:v>
                </c:pt>
                <c:pt idx="56">
                  <c:v>2017</c:v>
                </c:pt>
                <c:pt idx="57">
                  <c:v>2018</c:v>
                </c:pt>
                <c:pt idx="58">
                  <c:v>2019</c:v>
                </c:pt>
                <c:pt idx="59">
                  <c:v>2020</c:v>
                </c:pt>
                <c:pt idx="60">
                  <c:v>2021</c:v>
                </c:pt>
                <c:pt idx="61">
                  <c:v>2022</c:v>
                </c:pt>
                <c:pt idx="62">
                  <c:v>2023</c:v>
                </c:pt>
                <c:pt idx="63">
                  <c:v>2024</c:v>
                </c:pt>
                <c:pt idx="64">
                  <c:v>2025</c:v>
                </c:pt>
                <c:pt idx="65">
                  <c:v>2026</c:v>
                </c:pt>
                <c:pt idx="66">
                  <c:v>2027</c:v>
                </c:pt>
                <c:pt idx="67">
                  <c:v>2028</c:v>
                </c:pt>
                <c:pt idx="68">
                  <c:v>2029</c:v>
                </c:pt>
                <c:pt idx="69">
                  <c:v>2030</c:v>
                </c:pt>
              </c:numCache>
            </c:numRef>
          </c:cat>
          <c:val>
            <c:numRef>
              <c:f>prevision11!$J$32:$J$101</c:f>
              <c:numCache>
                <c:formatCode>General</c:formatCode>
                <c:ptCount val="70"/>
                <c:pt idx="55">
                  <c:v>135.83000000000001</c:v>
                </c:pt>
                <c:pt idx="56">
                  <c:v>122.83161038960952</c:v>
                </c:pt>
                <c:pt idx="57">
                  <c:v>124.99472453861836</c:v>
                </c:pt>
                <c:pt idx="58">
                  <c:v>127.15783868762719</c:v>
                </c:pt>
                <c:pt idx="59">
                  <c:v>129.32095283663602</c:v>
                </c:pt>
                <c:pt idx="60">
                  <c:v>131.48406698564486</c:v>
                </c:pt>
                <c:pt idx="61">
                  <c:v>133.6471811346546</c:v>
                </c:pt>
                <c:pt idx="62">
                  <c:v>135.81029528366344</c:v>
                </c:pt>
                <c:pt idx="63">
                  <c:v>137.97340943267227</c:v>
                </c:pt>
                <c:pt idx="64">
                  <c:v>140.1365235816811</c:v>
                </c:pt>
                <c:pt idx="65">
                  <c:v>142.29963773068994</c:v>
                </c:pt>
                <c:pt idx="66">
                  <c:v>144.46275187969877</c:v>
                </c:pt>
                <c:pt idx="67">
                  <c:v>146.62586602870761</c:v>
                </c:pt>
                <c:pt idx="68">
                  <c:v>148.78898017771644</c:v>
                </c:pt>
                <c:pt idx="69">
                  <c:v>150.95209432672527</c:v>
                </c:pt>
              </c:numCache>
            </c:numRef>
          </c:val>
          <c:smooth val="0"/>
          <c:extLst>
            <c:ext xmlns:c16="http://schemas.microsoft.com/office/drawing/2014/chart" uri="{C3380CC4-5D6E-409C-BE32-E72D297353CC}">
              <c16:uniqueId val="{00000001-A593-48FF-B027-80676B229AA7}"/>
            </c:ext>
          </c:extLst>
        </c:ser>
        <c:dLbls>
          <c:showLegendKey val="0"/>
          <c:showVal val="0"/>
          <c:showCatName val="0"/>
          <c:showSerName val="0"/>
          <c:showPercent val="0"/>
          <c:showBubbleSize val="0"/>
        </c:dLbls>
        <c:smooth val="0"/>
        <c:axId val="563044952"/>
        <c:axId val="563042984"/>
      </c:lineChart>
      <c:catAx>
        <c:axId val="5630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3042984"/>
        <c:crosses val="autoZero"/>
        <c:auto val="1"/>
        <c:lblAlgn val="ctr"/>
        <c:lblOffset val="100"/>
        <c:noMultiLvlLbl val="0"/>
      </c:catAx>
      <c:valAx>
        <c:axId val="563042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3044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2.352952755905512E-2"/>
                  <c:y val="0.113304899387576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prevision12!$B$30:$B$54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cat>
          <c:val>
            <c:numRef>
              <c:f>prevision12!$C$30:$C$54</c:f>
              <c:numCache>
                <c:formatCode>General</c:formatCode>
                <c:ptCount val="25"/>
                <c:pt idx="0">
                  <c:v>43.701879194620702</c:v>
                </c:pt>
                <c:pt idx="1">
                  <c:v>43.816870362701202</c:v>
                </c:pt>
                <c:pt idx="2">
                  <c:v>44.227207948034</c:v>
                </c:pt>
                <c:pt idx="3">
                  <c:v>48.0010895231636</c:v>
                </c:pt>
                <c:pt idx="4">
                  <c:v>45.834166775704198</c:v>
                </c:pt>
                <c:pt idx="5">
                  <c:v>45.922495148855702</c:v>
                </c:pt>
                <c:pt idx="6">
                  <c:v>48.2268903647252</c:v>
                </c:pt>
                <c:pt idx="7">
                  <c:v>51.1129131584606</c:v>
                </c:pt>
                <c:pt idx="8">
                  <c:v>52.428392853048599</c:v>
                </c:pt>
                <c:pt idx="9">
                  <c:v>49.018417395899199</c:v>
                </c:pt>
                <c:pt idx="10">
                  <c:v>48.811358811618703</c:v>
                </c:pt>
              </c:numCache>
            </c:numRef>
          </c:val>
          <c:smooth val="0"/>
          <c:extLst>
            <c:ext xmlns:c16="http://schemas.microsoft.com/office/drawing/2014/chart" uri="{C3380CC4-5D6E-409C-BE32-E72D297353CC}">
              <c16:uniqueId val="{00000000-9FA4-4C1E-AF0A-BC070CDEF73E}"/>
            </c:ext>
          </c:extLst>
        </c:ser>
        <c:ser>
          <c:idx val="1"/>
          <c:order val="1"/>
          <c:spPr>
            <a:ln w="28575" cap="rnd">
              <a:solidFill>
                <a:schemeClr val="accent2"/>
              </a:solidFill>
              <a:round/>
            </a:ln>
            <a:effectLst/>
          </c:spPr>
          <c:marker>
            <c:symbol val="none"/>
          </c:marker>
          <c:cat>
            <c:numRef>
              <c:f>prevision12!$B$30:$B$54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cat>
          <c:val>
            <c:numRef>
              <c:f>prevision12!$D$30:$D$54</c:f>
              <c:numCache>
                <c:formatCode>General</c:formatCode>
                <c:ptCount val="25"/>
                <c:pt idx="10">
                  <c:v>48.811358811618703</c:v>
                </c:pt>
                <c:pt idx="11">
                  <c:v>49.93949411464547</c:v>
                </c:pt>
                <c:pt idx="12">
                  <c:v>50.205840847893285</c:v>
                </c:pt>
                <c:pt idx="13">
                  <c:v>50.4721875811411</c:v>
                </c:pt>
                <c:pt idx="14">
                  <c:v>50.738534314388914</c:v>
                </c:pt>
                <c:pt idx="15">
                  <c:v>51.004881047636729</c:v>
                </c:pt>
                <c:pt idx="16">
                  <c:v>51.271227780884544</c:v>
                </c:pt>
                <c:pt idx="17">
                  <c:v>51.537574514132359</c:v>
                </c:pt>
                <c:pt idx="18">
                  <c:v>51.803921247380174</c:v>
                </c:pt>
                <c:pt idx="19">
                  <c:v>52.070267980627989</c:v>
                </c:pt>
                <c:pt idx="20">
                  <c:v>52.336614713875804</c:v>
                </c:pt>
                <c:pt idx="21">
                  <c:v>52.602961447123619</c:v>
                </c:pt>
                <c:pt idx="22">
                  <c:v>52.869308180371434</c:v>
                </c:pt>
                <c:pt idx="23">
                  <c:v>53.135654913619248</c:v>
                </c:pt>
                <c:pt idx="24">
                  <c:v>53.402001646867063</c:v>
                </c:pt>
              </c:numCache>
            </c:numRef>
          </c:val>
          <c:smooth val="0"/>
          <c:extLst>
            <c:ext xmlns:c16="http://schemas.microsoft.com/office/drawing/2014/chart" uri="{C3380CC4-5D6E-409C-BE32-E72D297353CC}">
              <c16:uniqueId val="{00000001-9FA4-4C1E-AF0A-BC070CDEF73E}"/>
            </c:ext>
          </c:extLst>
        </c:ser>
        <c:dLbls>
          <c:showLegendKey val="0"/>
          <c:showVal val="0"/>
          <c:showCatName val="0"/>
          <c:showSerName val="0"/>
          <c:showPercent val="0"/>
          <c:showBubbleSize val="0"/>
        </c:dLbls>
        <c:smooth val="0"/>
        <c:axId val="989978392"/>
        <c:axId val="989976096"/>
      </c:lineChart>
      <c:catAx>
        <c:axId val="989978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9976096"/>
        <c:crosses val="autoZero"/>
        <c:auto val="1"/>
        <c:lblAlgn val="ctr"/>
        <c:lblOffset val="100"/>
        <c:noMultiLvlLbl val="0"/>
      </c:catAx>
      <c:valAx>
        <c:axId val="98997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89978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prevision12!$H$30:$H$54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xVal>
          <c:yVal>
            <c:numRef>
              <c:f>prevision12!$I$30:$I$54</c:f>
              <c:numCache>
                <c:formatCode>General</c:formatCode>
                <c:ptCount val="25"/>
                <c:pt idx="0">
                  <c:v>43.701879194620702</c:v>
                </c:pt>
                <c:pt idx="1">
                  <c:v>43.816870362701202</c:v>
                </c:pt>
                <c:pt idx="2">
                  <c:v>44.227207948034</c:v>
                </c:pt>
                <c:pt idx="3">
                  <c:v>48.0010895231636</c:v>
                </c:pt>
                <c:pt idx="4">
                  <c:v>45.834166775704198</c:v>
                </c:pt>
                <c:pt idx="5">
                  <c:v>45.922495148855702</c:v>
                </c:pt>
                <c:pt idx="6">
                  <c:v>48.2268903647252</c:v>
                </c:pt>
                <c:pt idx="7">
                  <c:v>51.1129131584606</c:v>
                </c:pt>
                <c:pt idx="8">
                  <c:v>52.428392853048599</c:v>
                </c:pt>
                <c:pt idx="9">
                  <c:v>49.018417395899199</c:v>
                </c:pt>
                <c:pt idx="10">
                  <c:v>48.811358811618703</c:v>
                </c:pt>
              </c:numCache>
            </c:numRef>
          </c:yVal>
          <c:smooth val="0"/>
          <c:extLst>
            <c:ext xmlns:c16="http://schemas.microsoft.com/office/drawing/2014/chart" uri="{C3380CC4-5D6E-409C-BE32-E72D297353CC}">
              <c16:uniqueId val="{00000000-E519-4722-9F51-BDBEC3A27DA3}"/>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prevision12!$H$30:$H$54</c:f>
              <c:numCache>
                <c:formatCode>General</c:formatCode>
                <c:ptCount val="25"/>
                <c:pt idx="0">
                  <c:v>1990</c:v>
                </c:pt>
                <c:pt idx="1">
                  <c:v>1995</c:v>
                </c:pt>
                <c:pt idx="2">
                  <c:v>2000</c:v>
                </c:pt>
                <c:pt idx="3">
                  <c:v>2005</c:v>
                </c:pt>
                <c:pt idx="4">
                  <c:v>2010</c:v>
                </c:pt>
                <c:pt idx="5">
                  <c:v>2011</c:v>
                </c:pt>
                <c:pt idx="6">
                  <c:v>2012</c:v>
                </c:pt>
                <c:pt idx="7">
                  <c:v>2013</c:v>
                </c:pt>
                <c:pt idx="8">
                  <c:v>2014</c:v>
                </c:pt>
                <c:pt idx="9">
                  <c:v>2015</c:v>
                </c:pt>
                <c:pt idx="10">
                  <c:v>2016</c:v>
                </c:pt>
                <c:pt idx="11">
                  <c:v>2017</c:v>
                </c:pt>
                <c:pt idx="12">
                  <c:v>2018</c:v>
                </c:pt>
                <c:pt idx="13">
                  <c:v>2019</c:v>
                </c:pt>
                <c:pt idx="14">
                  <c:v>2020</c:v>
                </c:pt>
                <c:pt idx="15">
                  <c:v>2021</c:v>
                </c:pt>
                <c:pt idx="16">
                  <c:v>2022</c:v>
                </c:pt>
                <c:pt idx="17">
                  <c:v>2023</c:v>
                </c:pt>
                <c:pt idx="18">
                  <c:v>2024</c:v>
                </c:pt>
                <c:pt idx="19">
                  <c:v>2025</c:v>
                </c:pt>
                <c:pt idx="20">
                  <c:v>2026</c:v>
                </c:pt>
                <c:pt idx="21">
                  <c:v>2027</c:v>
                </c:pt>
                <c:pt idx="22">
                  <c:v>2028</c:v>
                </c:pt>
                <c:pt idx="23">
                  <c:v>2029</c:v>
                </c:pt>
                <c:pt idx="24">
                  <c:v>2030</c:v>
                </c:pt>
              </c:numCache>
            </c:numRef>
          </c:xVal>
          <c:yVal>
            <c:numRef>
              <c:f>prevision12!$J$30:$J$54</c:f>
              <c:numCache>
                <c:formatCode>General</c:formatCode>
                <c:ptCount val="25"/>
                <c:pt idx="10">
                  <c:v>48.811358811618703</c:v>
                </c:pt>
                <c:pt idx="11">
                  <c:v>49.93949411464547</c:v>
                </c:pt>
                <c:pt idx="12">
                  <c:v>50.205840847893285</c:v>
                </c:pt>
                <c:pt idx="13">
                  <c:v>50.4721875811411</c:v>
                </c:pt>
                <c:pt idx="14">
                  <c:v>50.738534314388914</c:v>
                </c:pt>
                <c:pt idx="15">
                  <c:v>51.004881047636729</c:v>
                </c:pt>
                <c:pt idx="16">
                  <c:v>51.271227780884544</c:v>
                </c:pt>
                <c:pt idx="17">
                  <c:v>51.537574514132359</c:v>
                </c:pt>
                <c:pt idx="18">
                  <c:v>51.803921247380174</c:v>
                </c:pt>
                <c:pt idx="19">
                  <c:v>52.070267980627989</c:v>
                </c:pt>
                <c:pt idx="20">
                  <c:v>52.336614713875804</c:v>
                </c:pt>
                <c:pt idx="21">
                  <c:v>52.602961447123619</c:v>
                </c:pt>
                <c:pt idx="22">
                  <c:v>52.869308180371434</c:v>
                </c:pt>
                <c:pt idx="23">
                  <c:v>53.135654913619248</c:v>
                </c:pt>
                <c:pt idx="24">
                  <c:v>53.402001646867063</c:v>
                </c:pt>
              </c:numCache>
            </c:numRef>
          </c:yVal>
          <c:smooth val="0"/>
          <c:extLst>
            <c:ext xmlns:c16="http://schemas.microsoft.com/office/drawing/2014/chart" uri="{C3380CC4-5D6E-409C-BE32-E72D297353CC}">
              <c16:uniqueId val="{00000001-E519-4722-9F51-BDBEC3A27DA3}"/>
            </c:ext>
          </c:extLst>
        </c:ser>
        <c:dLbls>
          <c:showLegendKey val="0"/>
          <c:showVal val="0"/>
          <c:showCatName val="0"/>
          <c:showSerName val="0"/>
          <c:showPercent val="0"/>
          <c:showBubbleSize val="0"/>
        </c:dLbls>
        <c:axId val="619810440"/>
        <c:axId val="619814048"/>
      </c:scatterChart>
      <c:valAx>
        <c:axId val="619810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14048"/>
        <c:crosses val="autoZero"/>
        <c:crossBetween val="midCat"/>
      </c:valAx>
      <c:valAx>
        <c:axId val="619814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9810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4</xdr:col>
      <xdr:colOff>15240</xdr:colOff>
      <xdr:row>15</xdr:row>
      <xdr:rowOff>22860</xdr:rowOff>
    </xdr:from>
    <xdr:to>
      <xdr:col>12</xdr:col>
      <xdr:colOff>1028700</xdr:colOff>
      <xdr:row>28</xdr:row>
      <xdr:rowOff>22860</xdr:rowOff>
    </xdr:to>
    <xdr:graphicFrame macro="">
      <xdr:nvGraphicFramePr>
        <xdr:cNvPr id="11" name="Graphique 2">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371474</xdr:colOff>
      <xdr:row>1</xdr:row>
      <xdr:rowOff>114299</xdr:rowOff>
    </xdr:from>
    <xdr:to>
      <xdr:col>3</xdr:col>
      <xdr:colOff>33654</xdr:colOff>
      <xdr:row>2</xdr:row>
      <xdr:rowOff>231627</xdr:rowOff>
    </xdr:to>
    <xdr:pic>
      <xdr:nvPicPr>
        <xdr:cNvPr id="2" name="图形 7" descr="指向右边的反手食指  ">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5400000" flipV="1">
          <a:off x="2244162" y="365686"/>
          <a:ext cx="431653" cy="4241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807720</xdr:colOff>
          <xdr:row>5</xdr:row>
          <xdr:rowOff>30480</xdr:rowOff>
        </xdr:from>
        <xdr:to>
          <xdr:col>2</xdr:col>
          <xdr:colOff>45720</xdr:colOff>
          <xdr:row>6</xdr:row>
          <xdr:rowOff>144780</xdr:rowOff>
        </xdr:to>
        <xdr:sp macro="" textlink="">
          <xdr:nvSpPr>
            <xdr:cNvPr id="1025" name="Indicateur10"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807720</xdr:colOff>
          <xdr:row>6</xdr:row>
          <xdr:rowOff>220980</xdr:rowOff>
        </xdr:from>
        <xdr:to>
          <xdr:col>2</xdr:col>
          <xdr:colOff>45720</xdr:colOff>
          <xdr:row>8</xdr:row>
          <xdr:rowOff>83820</xdr:rowOff>
        </xdr:to>
        <xdr:sp macro="" textlink="">
          <xdr:nvSpPr>
            <xdr:cNvPr id="1026" name="Indicateur1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807720</xdr:colOff>
          <xdr:row>8</xdr:row>
          <xdr:rowOff>182880</xdr:rowOff>
        </xdr:from>
        <xdr:to>
          <xdr:col>2</xdr:col>
          <xdr:colOff>45720</xdr:colOff>
          <xdr:row>10</xdr:row>
          <xdr:rowOff>45720</xdr:rowOff>
        </xdr:to>
        <xdr:sp macro="" textlink="">
          <xdr:nvSpPr>
            <xdr:cNvPr id="1027" name="Indicateur1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Indicateur12</a:t>
              </a:r>
            </a:p>
          </xdr:txBody>
        </xdr:sp>
        <xdr:clientData fPrintsWithSheet="0"/>
      </xdr:twoCellAnchor>
    </mc:Choice>
    <mc:Fallback/>
  </mc:AlternateContent>
  <xdr:twoCellAnchor>
    <xdr:from>
      <xdr:col>4</xdr:col>
      <xdr:colOff>7620</xdr:colOff>
      <xdr:row>3</xdr:row>
      <xdr:rowOff>15240</xdr:rowOff>
    </xdr:from>
    <xdr:to>
      <xdr:col>8</xdr:col>
      <xdr:colOff>407220</xdr:colOff>
      <xdr:row>13</xdr:row>
      <xdr:rowOff>200640</xdr:rowOff>
    </xdr:to>
    <xdr:graphicFrame macro="">
      <xdr:nvGraphicFramePr>
        <xdr:cNvPr id="9" name="Graphique 2">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731520</xdr:colOff>
      <xdr:row>3</xdr:row>
      <xdr:rowOff>15240</xdr:rowOff>
    </xdr:from>
    <xdr:to>
      <xdr:col>12</xdr:col>
      <xdr:colOff>1016820</xdr:colOff>
      <xdr:row>13</xdr:row>
      <xdr:rowOff>200640</xdr:rowOff>
    </xdr:to>
    <xdr:graphicFrame macro="">
      <xdr:nvGraphicFramePr>
        <xdr:cNvPr id="10" name="Graphique 2">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4</xdr:col>
      <xdr:colOff>112396</xdr:colOff>
      <xdr:row>30</xdr:row>
      <xdr:rowOff>154303</xdr:rowOff>
    </xdr:from>
    <xdr:ext cx="7315200" cy="5071004"/>
    <xdr:sp macro="" textlink="">
      <xdr:nvSpPr>
        <xdr:cNvPr id="4" name="ZoneTexte 3">
          <a:extLst>
            <a:ext uri="{FF2B5EF4-FFF2-40B4-BE49-F238E27FC236}">
              <a16:creationId xmlns:a16="http://schemas.microsoft.com/office/drawing/2014/main" id="{00000000-0008-0000-0000-000004000000}"/>
            </a:ext>
          </a:extLst>
        </xdr:cNvPr>
        <xdr:cNvSpPr txBox="1"/>
      </xdr:nvSpPr>
      <xdr:spPr>
        <a:xfrm>
          <a:off x="3366136" y="7759063"/>
          <a:ext cx="7315200" cy="5071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fr-FR" sz="1200">
              <a:solidFill>
                <a:schemeClr val="tx1"/>
              </a:solidFill>
              <a:effectLst/>
              <a:latin typeface="+mn-lt"/>
              <a:ea typeface="+mn-ea"/>
              <a:cs typeface="+mn-cs"/>
            </a:rPr>
            <a:t>Pour</a:t>
          </a:r>
          <a:r>
            <a:rPr lang="fr-FR" sz="1200" baseline="0">
              <a:solidFill>
                <a:schemeClr val="tx1"/>
              </a:solidFill>
              <a:effectLst/>
              <a:latin typeface="+mn-lt"/>
              <a:ea typeface="+mn-ea"/>
              <a:cs typeface="+mn-cs"/>
            </a:rPr>
            <a:t> l'indicateur de l'environnement, généralement, nous pouvons constater que, à partir de 1960, Food production index ( L'indice de production alimentaire couvre les cultures vivrières considérées comme comestibles et contenant des nutriments.) est en augmentation.  Les émissons de dioxyde de carbone augmentent de manière exponentielle. Dans le même temps,  </a:t>
          </a:r>
          <a:r>
            <a:rPr lang="fr-FR" sz="1200" b="0" i="0">
              <a:solidFill>
                <a:schemeClr val="tx1"/>
              </a:solidFill>
              <a:effectLst/>
              <a:latin typeface="+mn-lt"/>
              <a:ea typeface="+mn-ea"/>
              <a:cs typeface="+mn-cs"/>
            </a:rPr>
            <a:t>la moyenne annuelle des émissions de particules fines PM</a:t>
          </a:r>
          <a:r>
            <a:rPr lang="fr-FR" sz="1200" b="0" i="0" baseline="-25000">
              <a:solidFill>
                <a:schemeClr val="tx1"/>
              </a:solidFill>
              <a:effectLst/>
              <a:latin typeface="+mn-lt"/>
              <a:ea typeface="+mn-ea"/>
              <a:cs typeface="+mn-cs"/>
            </a:rPr>
            <a:t>2,5 </a:t>
          </a:r>
          <a:r>
            <a:rPr lang="fr-FR" sz="1200" b="0" i="0" baseline="0">
              <a:solidFill>
                <a:schemeClr val="tx1"/>
              </a:solidFill>
              <a:effectLst/>
              <a:latin typeface="+mn-lt"/>
              <a:ea typeface="+mn-ea"/>
              <a:cs typeface="+mn-cs"/>
            </a:rPr>
            <a:t> est également en hausse.</a:t>
          </a:r>
        </a:p>
        <a:p>
          <a:endParaRPr lang="fr-FR" sz="1200" b="0" i="0" baseline="0">
            <a:solidFill>
              <a:schemeClr val="tx1"/>
            </a:solidFill>
            <a:effectLst/>
            <a:latin typeface="+mn-lt"/>
            <a:ea typeface="+mn-ea"/>
            <a:cs typeface="+mn-cs"/>
          </a:endParaRPr>
        </a:p>
        <a:p>
          <a:r>
            <a:rPr lang="fr-FR" sz="1200" b="0" i="0" baseline="0">
              <a:solidFill>
                <a:schemeClr val="tx1"/>
              </a:solidFill>
              <a:effectLst/>
              <a:latin typeface="+mn-lt"/>
              <a:ea typeface="+mn-ea"/>
              <a:cs typeface="+mn-cs"/>
            </a:rPr>
            <a:t>Par exemple: M</a:t>
          </a:r>
          <a:r>
            <a:rPr lang="en-US" sz="1200" b="0" i="0" baseline="0">
              <a:solidFill>
                <a:schemeClr val="tx1"/>
              </a:solidFill>
              <a:effectLst/>
              <a:latin typeface="+mn-lt"/>
              <a:ea typeface="+mn-ea"/>
              <a:cs typeface="+mn-cs"/>
            </a:rPr>
            <a:t>yanmar</a:t>
          </a:r>
        </a:p>
        <a:p>
          <a:endParaRPr lang="fr-FR" sz="1200" b="0" i="0" baseline="0">
            <a:solidFill>
              <a:schemeClr val="tx1"/>
            </a:solidFill>
            <a:effectLst/>
            <a:latin typeface="+mn-lt"/>
            <a:ea typeface="+mn-ea"/>
            <a:cs typeface="+mn-cs"/>
          </a:endParaRPr>
        </a:p>
        <a:p>
          <a:r>
            <a:rPr lang="fr-FR" sz="1200" b="1" i="0" baseline="0">
              <a:solidFill>
                <a:schemeClr val="tx1"/>
              </a:solidFill>
              <a:effectLst/>
              <a:latin typeface="+mn-lt"/>
              <a:ea typeface="+mn-ea"/>
              <a:cs typeface="+mn-cs"/>
            </a:rPr>
            <a:t>CO2 emissions (kt)</a:t>
          </a:r>
        </a:p>
        <a:p>
          <a:endParaRPr lang="fr-FR" sz="1200" b="0" i="0" baseline="0">
            <a:solidFill>
              <a:schemeClr val="tx1"/>
            </a:solidFill>
            <a:effectLst/>
            <a:latin typeface="+mn-lt"/>
            <a:ea typeface="+mn-ea"/>
            <a:cs typeface="+mn-cs"/>
          </a:endParaRPr>
        </a:p>
        <a:p>
          <a:r>
            <a:rPr lang="fr-FR" altLang="zh-CN" sz="1200"/>
            <a:t>Les émissions de dioxyde de carbone du pays ont augmenté rapidement, passant de 4.180,38 kt en 1991 à 21 631. 633 kt en 2014, et les émissions ont été multipliées par cinq environ en 24 ans seulement. Si le gouvernement national ne prend pas les mesures correspondantes, les émissions de dioxyde de carbone continueront de croître de manière exponentielle.</a:t>
          </a:r>
          <a:endParaRPr lang="fr-FR" sz="1200" b="0"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200" b="0"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200" b="1" i="0">
              <a:solidFill>
                <a:schemeClr val="tx1"/>
              </a:solidFill>
              <a:effectLst/>
              <a:latin typeface="+mn-lt"/>
              <a:ea typeface="+mn-ea"/>
              <a:cs typeface="+mn-cs"/>
            </a:rPr>
            <a:t>Food production index (2004-2006 = 100)</a:t>
          </a:r>
        </a:p>
        <a:p>
          <a:pPr marL="0" marR="0" lvl="0" indent="0" defTabSz="914400" eaLnBrk="1" fontAlgn="auto" latinLnBrk="0" hangingPunct="1">
            <a:lnSpc>
              <a:spcPct val="100000"/>
            </a:lnSpc>
            <a:spcBef>
              <a:spcPts val="0"/>
            </a:spcBef>
            <a:spcAft>
              <a:spcPts val="0"/>
            </a:spcAft>
            <a:buClrTx/>
            <a:buSzTx/>
            <a:buFontTx/>
            <a:buNone/>
            <a:tabLst/>
            <a:defRPr/>
          </a:pPr>
          <a:endParaRPr lang="fr-FR" sz="1200" b="1"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altLang="zh-CN" sz="1200"/>
            <a:t>La dernière valeur de l'indice de production alimentaire (2004-2006 = 100) dans ce</a:t>
          </a:r>
          <a:r>
            <a:rPr lang="fr-FR" altLang="zh-CN" sz="1200" baseline="0"/>
            <a:t> pays</a:t>
          </a:r>
          <a:r>
            <a:rPr lang="fr-FR" altLang="zh-CN" sz="1200"/>
            <a:t> était de 135.83 en 2016. Au cours des 56 dernières années, la valeur de cet indicateur a fluctué entre 135.83 en 2014 et 21.53 en 1961.</a:t>
          </a:r>
          <a:endParaRPr lang="fr-FR" sz="1200" b="1"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200" b="0" i="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200" b="1" i="0">
              <a:solidFill>
                <a:schemeClr val="tx1"/>
              </a:solidFill>
              <a:effectLst/>
              <a:latin typeface="+mn-lt"/>
              <a:ea typeface="+mn-ea"/>
              <a:cs typeface="+mn-cs"/>
            </a:rPr>
            <a:t>PM2,5 air pollution, mean annual exposure (micrograms per cubic meter)</a:t>
          </a:r>
        </a:p>
        <a:p>
          <a:endParaRPr lang="fr-FR">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fr-FR" altLang="zh-CN"/>
            <a:t>En 2012, l’EPA a finalisé la mise à jour de la norme nationale de qualité de l’air ambiant pour les PM2,5. La norme annuelle a été réduite de 15 µg / m3 à 12 µg / m3.</a:t>
          </a:r>
        </a:p>
        <a:p>
          <a:pPr marL="0" marR="0" lvl="0" indent="0" defTabSz="914400" eaLnBrk="1" fontAlgn="auto" latinLnBrk="0" hangingPunct="1">
            <a:lnSpc>
              <a:spcPct val="100000"/>
            </a:lnSpc>
            <a:spcBef>
              <a:spcPts val="0"/>
            </a:spcBef>
            <a:spcAft>
              <a:spcPts val="0"/>
            </a:spcAft>
            <a:buClrTx/>
            <a:buSzTx/>
            <a:buFontTx/>
            <a:buNone/>
            <a:tabLst/>
            <a:defRPr/>
          </a:pPr>
          <a:r>
            <a:rPr lang="fr-FR" altLang="zh-CN"/>
            <a:t>La teneur en pm2,5 dans</a:t>
          </a:r>
          <a:r>
            <a:rPr lang="fr-FR" altLang="zh-CN" baseline="0"/>
            <a:t> ce pays</a:t>
          </a:r>
          <a:r>
            <a:rPr lang="fr-FR" altLang="zh-CN"/>
            <a:t> a augmenté lentement, passant de 43,7 par mètre cube en 1990 à 52,4 par mètre cube en 2014, passant à 48,8 par mètre cube en 2016, mais restant supérieure au niveau de qualité de l'air standard pm2,5.</a:t>
          </a:r>
        </a:p>
        <a:p>
          <a:endParaRPr lang="fr-FR">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xdr:col>
      <xdr:colOff>9525</xdr:colOff>
      <xdr:row>20</xdr:row>
      <xdr:rowOff>19050</xdr:rowOff>
    </xdr:from>
    <xdr:to>
      <xdr:col>8</xdr:col>
      <xdr:colOff>9525</xdr:colOff>
      <xdr:row>34</xdr:row>
      <xdr:rowOff>0</xdr:rowOff>
    </xdr:to>
    <xdr:graphicFrame macro="">
      <xdr:nvGraphicFramePr>
        <xdr:cNvPr id="8" name="图表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2100943</xdr:colOff>
      <xdr:row>4</xdr:row>
      <xdr:rowOff>10885</xdr:rowOff>
    </xdr:from>
    <xdr:to>
      <xdr:col>8</xdr:col>
      <xdr:colOff>0</xdr:colOff>
      <xdr:row>17</xdr:row>
      <xdr:rowOff>250370</xdr:rowOff>
    </xdr:to>
    <xdr:graphicFrame macro="">
      <xdr:nvGraphicFramePr>
        <xdr:cNvPr id="2" name="图表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6</xdr:row>
          <xdr:rowOff>60960</xdr:rowOff>
        </xdr:from>
        <xdr:to>
          <xdr:col>5</xdr:col>
          <xdr:colOff>1013460</xdr:colOff>
          <xdr:row>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266700</xdr:rowOff>
        </xdr:from>
        <xdr:to>
          <xdr:col>5</xdr:col>
          <xdr:colOff>1013460</xdr:colOff>
          <xdr:row>5</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xdr:twoCellAnchor editAs="oneCell">
    <xdr:from>
      <xdr:col>6</xdr:col>
      <xdr:colOff>10886</xdr:colOff>
      <xdr:row>3</xdr:row>
      <xdr:rowOff>6532</xdr:rowOff>
    </xdr:from>
    <xdr:to>
      <xdr:col>6</xdr:col>
      <xdr:colOff>1763486</xdr:colOff>
      <xdr:row>31</xdr:row>
      <xdr:rowOff>149679</xdr:rowOff>
    </xdr:to>
    <mc:AlternateContent xmlns:mc="http://schemas.openxmlformats.org/markup-compatibility/2006" xmlns:a14="http://schemas.microsoft.com/office/drawing/2010/main">
      <mc:Choice Requires="a14">
        <xdr:graphicFrame macro="">
          <xdr:nvGraphicFramePr>
            <xdr:cNvPr id="6" name="Country name 9">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ountry name 9"/>
            </a:graphicData>
          </a:graphic>
        </xdr:graphicFrame>
      </mc:Choice>
      <mc:Fallback xmlns="">
        <xdr:sp macro="" textlink="">
          <xdr:nvSpPr>
            <xdr:cNvPr id="0" name=""/>
            <xdr:cNvSpPr>
              <a:spLocks noTextEdit="1"/>
            </xdr:cNvSpPr>
          </xdr:nvSpPr>
          <xdr:spPr>
            <a:xfrm>
              <a:off x="1927792" y="685188"/>
              <a:ext cx="1752600" cy="71725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822960</xdr:colOff>
          <xdr:row>8</xdr:row>
          <xdr:rowOff>114300</xdr:rowOff>
        </xdr:from>
        <xdr:to>
          <xdr:col>5</xdr:col>
          <xdr:colOff>998220</xdr:colOff>
          <xdr:row>9</xdr:row>
          <xdr:rowOff>220980</xdr:rowOff>
        </xdr:to>
        <xdr:sp macro="" textlink="">
          <xdr:nvSpPr>
            <xdr:cNvPr id="2051" name="comite 4"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2047874</xdr:colOff>
      <xdr:row>20</xdr:row>
      <xdr:rowOff>19050</xdr:rowOff>
    </xdr:from>
    <xdr:to>
      <xdr:col>7</xdr:col>
      <xdr:colOff>5972174</xdr:colOff>
      <xdr:row>34</xdr:row>
      <xdr:rowOff>0</xdr:rowOff>
    </xdr:to>
    <xdr:graphicFrame macro="">
      <xdr:nvGraphicFramePr>
        <xdr:cNvPr id="8" name="图表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xdr:colOff>
      <xdr:row>4</xdr:row>
      <xdr:rowOff>28574</xdr:rowOff>
    </xdr:from>
    <xdr:to>
      <xdr:col>8</xdr:col>
      <xdr:colOff>1</xdr:colOff>
      <xdr:row>17</xdr:row>
      <xdr:rowOff>238124</xdr:rowOff>
    </xdr:to>
    <xdr:graphicFrame macro="">
      <xdr:nvGraphicFramePr>
        <xdr:cNvPr id="2" name="图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792480</xdr:colOff>
          <xdr:row>6</xdr:row>
          <xdr:rowOff>137160</xdr:rowOff>
        </xdr:from>
        <xdr:to>
          <xdr:col>5</xdr:col>
          <xdr:colOff>998220</xdr:colOff>
          <xdr:row>8</xdr:row>
          <xdr:rowOff>7620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274320</xdr:rowOff>
        </xdr:from>
        <xdr:to>
          <xdr:col>5</xdr:col>
          <xdr:colOff>1013460</xdr:colOff>
          <xdr:row>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xdr:twoCellAnchor editAs="oneCell">
    <xdr:from>
      <xdr:col>6</xdr:col>
      <xdr:colOff>15240</xdr:colOff>
      <xdr:row>3</xdr:row>
      <xdr:rowOff>20954</xdr:rowOff>
    </xdr:from>
    <xdr:to>
      <xdr:col>6</xdr:col>
      <xdr:colOff>1844040</xdr:colOff>
      <xdr:row>32</xdr:row>
      <xdr:rowOff>85725</xdr:rowOff>
    </xdr:to>
    <mc:AlternateContent xmlns:mc="http://schemas.openxmlformats.org/markup-compatibility/2006" xmlns:a14="http://schemas.microsoft.com/office/drawing/2010/main">
      <mc:Choice Requires="a14">
        <xdr:graphicFrame macro="">
          <xdr:nvGraphicFramePr>
            <xdr:cNvPr id="6" name="Country name 10">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Country name 10"/>
            </a:graphicData>
          </a:graphic>
        </xdr:graphicFrame>
      </mc:Choice>
      <mc:Fallback xmlns="">
        <xdr:sp macro="" textlink="">
          <xdr:nvSpPr>
            <xdr:cNvPr id="0" name=""/>
            <xdr:cNvSpPr>
              <a:spLocks noTextEdit="1"/>
            </xdr:cNvSpPr>
          </xdr:nvSpPr>
          <xdr:spPr>
            <a:xfrm>
              <a:off x="1932146" y="699610"/>
              <a:ext cx="1828800" cy="7237096"/>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800100</xdr:colOff>
          <xdr:row>8</xdr:row>
          <xdr:rowOff>152400</xdr:rowOff>
        </xdr:from>
        <xdr:to>
          <xdr:col>5</xdr:col>
          <xdr:colOff>990600</xdr:colOff>
          <xdr:row>10</xdr:row>
          <xdr:rowOff>0</xdr:rowOff>
        </xdr:to>
        <xdr:sp macro="" textlink="">
          <xdr:nvSpPr>
            <xdr:cNvPr id="4099" name="comite 4"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4</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0</xdr:colOff>
      <xdr:row>20</xdr:row>
      <xdr:rowOff>9525</xdr:rowOff>
    </xdr:from>
    <xdr:to>
      <xdr:col>8</xdr:col>
      <xdr:colOff>0</xdr:colOff>
      <xdr:row>34</xdr:row>
      <xdr:rowOff>9525</xdr:rowOff>
    </xdr:to>
    <xdr:graphicFrame macro="">
      <xdr:nvGraphicFramePr>
        <xdr:cNvPr id="8" name="图表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2100942</xdr:colOff>
      <xdr:row>4</xdr:row>
      <xdr:rowOff>10885</xdr:rowOff>
    </xdr:from>
    <xdr:to>
      <xdr:col>7</xdr:col>
      <xdr:colOff>6150428</xdr:colOff>
      <xdr:row>18</xdr:row>
      <xdr:rowOff>10886</xdr:rowOff>
    </xdr:to>
    <xdr:graphicFrame macro="">
      <xdr:nvGraphicFramePr>
        <xdr:cNvPr id="2" name="图表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19593</xdr:colOff>
      <xdr:row>3</xdr:row>
      <xdr:rowOff>17417</xdr:rowOff>
    </xdr:from>
    <xdr:to>
      <xdr:col>6</xdr:col>
      <xdr:colOff>1665514</xdr:colOff>
      <xdr:row>31</xdr:row>
      <xdr:rowOff>238125</xdr:rowOff>
    </xdr:to>
    <mc:AlternateContent xmlns:mc="http://schemas.openxmlformats.org/markup-compatibility/2006" xmlns:a14="http://schemas.microsoft.com/office/drawing/2010/main">
      <mc:Choice Requires="a14">
        <xdr:graphicFrame macro="">
          <xdr:nvGraphicFramePr>
            <xdr:cNvPr id="4" name="Country name 1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Country name 11"/>
            </a:graphicData>
          </a:graphic>
        </xdr:graphicFrame>
      </mc:Choice>
      <mc:Fallback xmlns="">
        <xdr:sp macro="" textlink="">
          <xdr:nvSpPr>
            <xdr:cNvPr id="0" name=""/>
            <xdr:cNvSpPr>
              <a:spLocks noTextEdit="1"/>
            </xdr:cNvSpPr>
          </xdr:nvSpPr>
          <xdr:spPr>
            <a:xfrm>
              <a:off x="1936499" y="696073"/>
              <a:ext cx="1645921" cy="504171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822960</xdr:colOff>
          <xdr:row>6</xdr:row>
          <xdr:rowOff>60960</xdr:rowOff>
        </xdr:from>
        <xdr:to>
          <xdr:col>5</xdr:col>
          <xdr:colOff>998220</xdr:colOff>
          <xdr:row>7</xdr:row>
          <xdr:rowOff>160020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822960</xdr:colOff>
          <xdr:row>3</xdr:row>
          <xdr:rowOff>266700</xdr:rowOff>
        </xdr:from>
        <xdr:to>
          <xdr:col>5</xdr:col>
          <xdr:colOff>998220</xdr:colOff>
          <xdr:row>5</xdr:row>
          <xdr:rowOff>152400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800100</xdr:colOff>
          <xdr:row>8</xdr:row>
          <xdr:rowOff>114300</xdr:rowOff>
        </xdr:from>
        <xdr:to>
          <xdr:col>5</xdr:col>
          <xdr:colOff>990600</xdr:colOff>
          <xdr:row>9</xdr:row>
          <xdr:rowOff>220980</xdr:rowOff>
        </xdr:to>
        <xdr:sp macro="" textlink="">
          <xdr:nvSpPr>
            <xdr:cNvPr id="6147" name="comite 4"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4</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451485</xdr:colOff>
      <xdr:row>76</xdr:row>
      <xdr:rowOff>41910</xdr:rowOff>
    </xdr:from>
    <xdr:to>
      <xdr:col>22</xdr:col>
      <xdr:colOff>146685</xdr:colOff>
      <xdr:row>91</xdr:row>
      <xdr:rowOff>156210</xdr:rowOff>
    </xdr:to>
    <xdr:graphicFrame macro="">
      <xdr:nvGraphicFramePr>
        <xdr:cNvPr id="2" name="图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276225</xdr:colOff>
      <xdr:row>58</xdr:row>
      <xdr:rowOff>138112</xdr:rowOff>
    </xdr:from>
    <xdr:to>
      <xdr:col>18</xdr:col>
      <xdr:colOff>581025</xdr:colOff>
      <xdr:row>73</xdr:row>
      <xdr:rowOff>23812</xdr:rowOff>
    </xdr:to>
    <xdr:graphicFrame macro="">
      <xdr:nvGraphicFramePr>
        <xdr:cNvPr id="3" name="Graphique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542925</xdr:colOff>
      <xdr:row>77</xdr:row>
      <xdr:rowOff>184785</xdr:rowOff>
    </xdr:from>
    <xdr:to>
      <xdr:col>19</xdr:col>
      <xdr:colOff>238125</xdr:colOff>
      <xdr:row>93</xdr:row>
      <xdr:rowOff>108585</xdr:rowOff>
    </xdr:to>
    <xdr:graphicFrame macro="">
      <xdr:nvGraphicFramePr>
        <xdr:cNvPr id="2" name="图表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366712</xdr:colOff>
      <xdr:row>60</xdr:row>
      <xdr:rowOff>71437</xdr:rowOff>
    </xdr:from>
    <xdr:to>
      <xdr:col>18</xdr:col>
      <xdr:colOff>61912</xdr:colOff>
      <xdr:row>74</xdr:row>
      <xdr:rowOff>147637</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120015</xdr:colOff>
      <xdr:row>38</xdr:row>
      <xdr:rowOff>152400</xdr:rowOff>
    </xdr:from>
    <xdr:to>
      <xdr:col>21</xdr:col>
      <xdr:colOff>424815</xdr:colOff>
      <xdr:row>54</xdr:row>
      <xdr:rowOff>91440</xdr:rowOff>
    </xdr:to>
    <xdr:graphicFrame macro="">
      <xdr:nvGraphicFramePr>
        <xdr:cNvPr id="2" name="图表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576262</xdr:colOff>
      <xdr:row>25</xdr:row>
      <xdr:rowOff>20002</xdr:rowOff>
    </xdr:from>
    <xdr:to>
      <xdr:col>20</xdr:col>
      <xdr:colOff>271462</xdr:colOff>
      <xdr:row>39</xdr:row>
      <xdr:rowOff>80962</xdr:rowOff>
    </xdr:to>
    <xdr:graphicFrame macro="">
      <xdr:nvGraphicFramePr>
        <xdr:cNvPr id="3" name="Graphique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8.670634837959" createdVersion="6" refreshedVersion="6" minRefreshableVersion="3" recordCount="1624" xr:uid="{00000000-000A-0000-FFFF-FFFF00000000}">
  <cacheSource type="worksheet">
    <worksheetSource ref="A4:D1628" sheet="Indicateur10"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tring="0" containsBlank="1" containsNumber="1" minValue="7.3339999999999996" maxValue="21631.633000000002"/>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201917364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8.676326736109" createdVersion="6" refreshedVersion="6" minRefreshableVersion="3" recordCount="1624" xr:uid="{00000000-000A-0000-FFFF-FFFF01000000}">
  <cacheSource type="worksheet">
    <worksheetSource ref="A4:D1628" sheet="Indicateur11"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tring="0" containsBlank="1" containsNumber="1" minValue="13.34" maxValue="194.28"/>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201917364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8.687206481482" createdVersion="6" refreshedVersion="6" minRefreshableVersion="3" recordCount="1624" xr:uid="{00000000-000A-0000-FFFF-FFFF02000000}">
  <cacheSource type="worksheet">
    <worksheetSource ref="A5:D1629" sheet="Indicateur12"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tring="0" containsBlank="1" containsNumber="1" minValue="8.9884671953866295" maxValue="203.74389172404"/>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2019173644"/>
    </ext>
  </extLst>
</pivotCacheDefinition>
</file>

<file path=xl/pivotCache/pivotCacheRecords1.xml><?xml version="1.0" encoding="utf-8"?>
<pivotCacheRecords xmlns="http://schemas.openxmlformats.org/spreadsheetml/2006/main" xmlns:r="http://schemas.openxmlformats.org/officeDocument/2006/relationships" count="1624">
  <r>
    <x v="0"/>
    <s v="CO2 emissions (kt)"/>
    <m/>
    <x v="0"/>
  </r>
  <r>
    <x v="1"/>
    <s v="CO2 emissions (kt)"/>
    <n v="271.358"/>
    <x v="0"/>
  </r>
  <r>
    <x v="2"/>
    <s v="CO2 emissions (kt)"/>
    <n v="55.005000000000003"/>
    <x v="0"/>
  </r>
  <r>
    <x v="3"/>
    <s v="CO2 emissions (kt)"/>
    <n v="11.000999999999999"/>
    <x v="0"/>
  </r>
  <r>
    <x v="4"/>
    <s v="CO2 emissions (kt)"/>
    <n v="40.337000000000003"/>
    <x v="0"/>
  </r>
  <r>
    <x v="5"/>
    <s v="CO2 emissions (kt)"/>
    <n v="352.03199999999998"/>
    <x v="0"/>
  </r>
  <r>
    <x v="6"/>
    <s v="CO2 emissions (kt)"/>
    <n v="410.70400000000001"/>
    <x v="0"/>
  </r>
  <r>
    <x v="7"/>
    <s v="CO2 emissions (kt)"/>
    <n v="286.02600000000001"/>
    <x v="0"/>
  </r>
  <r>
    <x v="8"/>
    <s v="CO2 emissions (kt)"/>
    <n v="2427.5540000000001"/>
    <x v="0"/>
  </r>
  <r>
    <x v="9"/>
    <s v="CO2 emissions (kt)"/>
    <m/>
    <x v="0"/>
  </r>
  <r>
    <x v="10"/>
    <s v="CO2 emissions (kt)"/>
    <n v="165.01499999999999"/>
    <x v="0"/>
  </r>
  <r>
    <x v="11"/>
    <s v="CO2 emissions (kt)"/>
    <n v="399.70299999999997"/>
    <x v="0"/>
  </r>
  <r>
    <x v="12"/>
    <s v="CO2 emissions (kt)"/>
    <m/>
    <x v="0"/>
  </r>
  <r>
    <x v="13"/>
    <s v="CO2 emissions (kt)"/>
    <n v="121.011"/>
    <x v="0"/>
  </r>
  <r>
    <x v="14"/>
    <s v="CO2 emissions (kt)"/>
    <m/>
    <x v="0"/>
  </r>
  <r>
    <x v="15"/>
    <s v="CO2 emissions (kt)"/>
    <n v="1884.838"/>
    <x v="0"/>
  </r>
  <r>
    <x v="16"/>
    <s v="CO2 emissions (kt)"/>
    <n v="2717.2469999999998"/>
    <x v="0"/>
  </r>
  <r>
    <x v="17"/>
    <s v="CO2 emissions (kt)"/>
    <n v="80.674000000000007"/>
    <x v="0"/>
  </r>
  <r>
    <x v="18"/>
    <s v="CO2 emissions (kt)"/>
    <n v="531.71500000000003"/>
    <x v="0"/>
  </r>
  <r>
    <x v="19"/>
    <s v="CO2 emissions (kt)"/>
    <n v="29.335999999999999"/>
    <x v="0"/>
  </r>
  <r>
    <x v="20"/>
    <s v="CO2 emissions (kt)"/>
    <n v="106.343"/>
    <x v="0"/>
  </r>
  <r>
    <x v="21"/>
    <s v="CO2 emissions (kt)"/>
    <n v="11.000999999999999"/>
    <x v="0"/>
  </r>
  <r>
    <x v="22"/>
    <s v="CO2 emissions (kt)"/>
    <n v="2258.8719999999998"/>
    <x v="0"/>
  </r>
  <r>
    <x v="23"/>
    <s v="CO2 emissions (kt)"/>
    <m/>
    <x v="0"/>
  </r>
  <r>
    <x v="24"/>
    <s v="CO2 emissions (kt)"/>
    <n v="828.74199999999996"/>
    <x v="0"/>
  </r>
  <r>
    <x v="25"/>
    <s v="CO2 emissions (kt)"/>
    <n v="421.70499999999998"/>
    <x v="0"/>
  </r>
  <r>
    <x v="26"/>
    <s v="CO2 emissions (kt)"/>
    <m/>
    <x v="0"/>
  </r>
  <r>
    <x v="27"/>
    <s v="CO2 emissions (kt)"/>
    <m/>
    <x v="0"/>
  </r>
  <r>
    <x v="0"/>
    <s v="CO2 emissions (kt)"/>
    <m/>
    <x v="1"/>
  </r>
  <r>
    <x v="1"/>
    <s v="CO2 emissions (kt)"/>
    <n v="282.35899999999998"/>
    <x v="1"/>
  </r>
  <r>
    <x v="2"/>
    <s v="CO2 emissions (kt)"/>
    <n v="51.338000000000001"/>
    <x v="1"/>
  </r>
  <r>
    <x v="3"/>
    <s v="CO2 emissions (kt)"/>
    <n v="11.000999999999999"/>
    <x v="1"/>
  </r>
  <r>
    <x v="4"/>
    <s v="CO2 emissions (kt)"/>
    <n v="44.003999999999998"/>
    <x v="1"/>
  </r>
  <r>
    <x v="5"/>
    <s v="CO2 emissions (kt)"/>
    <n v="341.03100000000001"/>
    <x v="1"/>
  </r>
  <r>
    <x v="6"/>
    <s v="CO2 emissions (kt)"/>
    <n v="616.05600000000004"/>
    <x v="1"/>
  </r>
  <r>
    <x v="7"/>
    <s v="CO2 emissions (kt)"/>
    <n v="297.02699999999999"/>
    <x v="1"/>
  </r>
  <r>
    <x v="8"/>
    <s v="CO2 emissions (kt)"/>
    <n v="2401.8850000000002"/>
    <x v="1"/>
  </r>
  <r>
    <x v="9"/>
    <s v="CO2 emissions (kt)"/>
    <m/>
    <x v="1"/>
  </r>
  <r>
    <x v="10"/>
    <s v="CO2 emissions (kt)"/>
    <n v="161.34800000000001"/>
    <x v="1"/>
  </r>
  <r>
    <x v="11"/>
    <s v="CO2 emissions (kt)"/>
    <n v="355.69900000000001"/>
    <x v="1"/>
  </r>
  <r>
    <x v="12"/>
    <s v="CO2 emissions (kt)"/>
    <m/>
    <x v="1"/>
  </r>
  <r>
    <x v="13"/>
    <s v="CO2 emissions (kt)"/>
    <n v="117.34399999999999"/>
    <x v="1"/>
  </r>
  <r>
    <x v="14"/>
    <s v="CO2 emissions (kt)"/>
    <m/>
    <x v="1"/>
  </r>
  <r>
    <x v="15"/>
    <s v="CO2 emissions (kt)"/>
    <n v="2632.9059999999999"/>
    <x v="1"/>
  </r>
  <r>
    <x v="16"/>
    <s v="CO2 emissions (kt)"/>
    <n v="2592.569"/>
    <x v="1"/>
  </r>
  <r>
    <x v="17"/>
    <s v="CO2 emissions (kt)"/>
    <n v="80.674000000000007"/>
    <x v="1"/>
  </r>
  <r>
    <x v="18"/>
    <s v="CO2 emissions (kt)"/>
    <n v="561.05100000000004"/>
    <x v="1"/>
  </r>
  <r>
    <x v="19"/>
    <s v="CO2 emissions (kt)"/>
    <n v="55.005000000000003"/>
    <x v="1"/>
  </r>
  <r>
    <x v="20"/>
    <s v="CO2 emissions (kt)"/>
    <n v="139.346"/>
    <x v="1"/>
  </r>
  <r>
    <x v="21"/>
    <s v="CO2 emissions (kt)"/>
    <n v="11.000999999999999"/>
    <x v="1"/>
  </r>
  <r>
    <x v="22"/>
    <s v="CO2 emissions (kt)"/>
    <n v="2335.8789999999999"/>
    <x v="1"/>
  </r>
  <r>
    <x v="23"/>
    <s v="CO2 emissions (kt)"/>
    <m/>
    <x v="1"/>
  </r>
  <r>
    <x v="24"/>
    <s v="CO2 emissions (kt)"/>
    <n v="704.06399999999996"/>
    <x v="1"/>
  </r>
  <r>
    <x v="25"/>
    <s v="CO2 emissions (kt)"/>
    <n v="407.03699999999998"/>
    <x v="1"/>
  </r>
  <r>
    <x v="26"/>
    <s v="CO2 emissions (kt)"/>
    <m/>
    <x v="1"/>
  </r>
  <r>
    <x v="27"/>
    <s v="CO2 emissions (kt)"/>
    <m/>
    <x v="1"/>
  </r>
  <r>
    <x v="0"/>
    <s v="CO2 emissions (kt)"/>
    <n v="44.003999999999998"/>
    <x v="2"/>
  </r>
  <r>
    <x v="1"/>
    <s v="CO2 emissions (kt)"/>
    <n v="289.69299999999998"/>
    <x v="2"/>
  </r>
  <r>
    <x v="2"/>
    <s v="CO2 emissions (kt)"/>
    <n v="84.340999999999994"/>
    <x v="2"/>
  </r>
  <r>
    <x v="3"/>
    <s v="CO2 emissions (kt)"/>
    <n v="11.000999999999999"/>
    <x v="2"/>
  </r>
  <r>
    <x v="4"/>
    <s v="CO2 emissions (kt)"/>
    <n v="47.670999999999999"/>
    <x v="2"/>
  </r>
  <r>
    <x v="5"/>
    <s v="CO2 emissions (kt)"/>
    <n v="396.036"/>
    <x v="2"/>
  </r>
  <r>
    <x v="6"/>
    <s v="CO2 emissions (kt)"/>
    <n v="660.06"/>
    <x v="2"/>
  </r>
  <r>
    <x v="7"/>
    <s v="CO2 emissions (kt)"/>
    <n v="304.36099999999999"/>
    <x v="2"/>
  </r>
  <r>
    <x v="8"/>
    <s v="CO2 emissions (kt)"/>
    <n v="2625.5720000000001"/>
    <x v="2"/>
  </r>
  <r>
    <x v="9"/>
    <s v="CO2 emissions (kt)"/>
    <m/>
    <x v="2"/>
  </r>
  <r>
    <x v="10"/>
    <s v="CO2 emissions (kt)"/>
    <n v="253.023"/>
    <x v="2"/>
  </r>
  <r>
    <x v="11"/>
    <s v="CO2 emissions (kt)"/>
    <n v="396.036"/>
    <x v="2"/>
  </r>
  <r>
    <x v="12"/>
    <s v="CO2 emissions (kt)"/>
    <m/>
    <x v="2"/>
  </r>
  <r>
    <x v="13"/>
    <s v="CO2 emissions (kt)"/>
    <n v="139.346"/>
    <x v="2"/>
  </r>
  <r>
    <x v="14"/>
    <s v="CO2 emissions (kt)"/>
    <m/>
    <x v="2"/>
  </r>
  <r>
    <x v="15"/>
    <s v="CO2 emissions (kt)"/>
    <n v="1987.5139999999999"/>
    <x v="2"/>
  </r>
  <r>
    <x v="16"/>
    <s v="CO2 emissions (kt)"/>
    <n v="2882.2620000000002"/>
    <x v="2"/>
  </r>
  <r>
    <x v="17"/>
    <s v="CO2 emissions (kt)"/>
    <n v="88.007999999999996"/>
    <x v="2"/>
  </r>
  <r>
    <x v="18"/>
    <s v="CO2 emissions (kt)"/>
    <n v="660.06"/>
    <x v="2"/>
  </r>
  <r>
    <x v="19"/>
    <s v="CO2 emissions (kt)"/>
    <n v="66.006"/>
    <x v="2"/>
  </r>
  <r>
    <x v="20"/>
    <s v="CO2 emissions (kt)"/>
    <n v="84.340999999999994"/>
    <x v="2"/>
  </r>
  <r>
    <x v="21"/>
    <s v="CO2 emissions (kt)"/>
    <n v="11.000999999999999"/>
    <x v="2"/>
  </r>
  <r>
    <x v="22"/>
    <s v="CO2 emissions (kt)"/>
    <n v="2563.2330000000002"/>
    <x v="2"/>
  </r>
  <r>
    <x v="23"/>
    <s v="CO2 emissions (kt)"/>
    <m/>
    <x v="2"/>
  </r>
  <r>
    <x v="24"/>
    <s v="CO2 emissions (kt)"/>
    <n v="766.40300000000002"/>
    <x v="2"/>
  </r>
  <r>
    <x v="25"/>
    <s v="CO2 emissions (kt)"/>
    <n v="429.03899999999999"/>
    <x v="2"/>
  </r>
  <r>
    <x v="26"/>
    <s v="CO2 emissions (kt)"/>
    <m/>
    <x v="2"/>
  </r>
  <r>
    <x v="27"/>
    <s v="CO2 emissions (kt)"/>
    <m/>
    <x v="2"/>
  </r>
  <r>
    <x v="0"/>
    <s v="CO2 emissions (kt)"/>
    <n v="47.670999999999999"/>
    <x v="3"/>
  </r>
  <r>
    <x v="1"/>
    <s v="CO2 emissions (kt)"/>
    <n v="300.69400000000002"/>
    <x v="3"/>
  </r>
  <r>
    <x v="2"/>
    <s v="CO2 emissions (kt)"/>
    <n v="91.674999999999997"/>
    <x v="3"/>
  </r>
  <r>
    <x v="3"/>
    <s v="CO2 emissions (kt)"/>
    <n v="11.000999999999999"/>
    <x v="3"/>
  </r>
  <r>
    <x v="4"/>
    <s v="CO2 emissions (kt)"/>
    <n v="66.006"/>
    <x v="3"/>
  </r>
  <r>
    <x v="5"/>
    <s v="CO2 emissions (kt)"/>
    <n v="421.70499999999998"/>
    <x v="3"/>
  </r>
  <r>
    <x v="6"/>
    <s v="CO2 emissions (kt)"/>
    <n v="696.73"/>
    <x v="3"/>
  </r>
  <r>
    <x v="7"/>
    <s v="CO2 emissions (kt)"/>
    <n v="249.35599999999999"/>
    <x v="3"/>
  </r>
  <r>
    <x v="8"/>
    <s v="CO2 emissions (kt)"/>
    <n v="2856.5929999999998"/>
    <x v="3"/>
  </r>
  <r>
    <x v="9"/>
    <s v="CO2 emissions (kt)"/>
    <m/>
    <x v="3"/>
  </r>
  <r>
    <x v="10"/>
    <s v="CO2 emissions (kt)"/>
    <n v="355.69900000000001"/>
    <x v="3"/>
  </r>
  <r>
    <x v="11"/>
    <s v="CO2 emissions (kt)"/>
    <n v="462.04199999999997"/>
    <x v="3"/>
  </r>
  <r>
    <x v="12"/>
    <s v="CO2 emissions (kt)"/>
    <m/>
    <x v="3"/>
  </r>
  <r>
    <x v="13"/>
    <s v="CO2 emissions (kt)"/>
    <n v="176.01599999999999"/>
    <x v="3"/>
  </r>
  <r>
    <x v="14"/>
    <s v="CO2 emissions (kt)"/>
    <m/>
    <x v="3"/>
  </r>
  <r>
    <x v="15"/>
    <s v="CO2 emissions (kt)"/>
    <n v="1661.1510000000001"/>
    <x v="3"/>
  </r>
  <r>
    <x v="16"/>
    <s v="CO2 emissions (kt)"/>
    <n v="2636.5729999999999"/>
    <x v="3"/>
  </r>
  <r>
    <x v="17"/>
    <s v="CO2 emissions (kt)"/>
    <n v="99.009"/>
    <x v="3"/>
  </r>
  <r>
    <x v="18"/>
    <s v="CO2 emissions (kt)"/>
    <n v="843.41"/>
    <x v="3"/>
  </r>
  <r>
    <x v="19"/>
    <s v="CO2 emissions (kt)"/>
    <n v="88.007999999999996"/>
    <x v="3"/>
  </r>
  <r>
    <x v="20"/>
    <s v="CO2 emissions (kt)"/>
    <n v="84.340999999999994"/>
    <x v="3"/>
  </r>
  <r>
    <x v="21"/>
    <s v="CO2 emissions (kt)"/>
    <n v="7.3339999999999996"/>
    <x v="3"/>
  </r>
  <r>
    <x v="22"/>
    <s v="CO2 emissions (kt)"/>
    <n v="2533.8969999999999"/>
    <x v="3"/>
  </r>
  <r>
    <x v="23"/>
    <s v="CO2 emissions (kt)"/>
    <m/>
    <x v="3"/>
  </r>
  <r>
    <x v="24"/>
    <s v="CO2 emissions (kt)"/>
    <n v="803.07299999999998"/>
    <x v="3"/>
  </r>
  <r>
    <x v="25"/>
    <s v="CO2 emissions (kt)"/>
    <n v="432.70600000000002"/>
    <x v="3"/>
  </r>
  <r>
    <x v="26"/>
    <s v="CO2 emissions (kt)"/>
    <m/>
    <x v="3"/>
  </r>
  <r>
    <x v="27"/>
    <s v="CO2 emissions (kt)"/>
    <m/>
    <x v="3"/>
  </r>
  <r>
    <x v="0"/>
    <s v="CO2 emissions (kt)"/>
    <n v="47.670999999999999"/>
    <x v="4"/>
  </r>
  <r>
    <x v="1"/>
    <s v="CO2 emissions (kt)"/>
    <n v="337.36399999999998"/>
    <x v="4"/>
  </r>
  <r>
    <x v="2"/>
    <s v="CO2 emissions (kt)"/>
    <n v="99.009"/>
    <x v="4"/>
  </r>
  <r>
    <x v="3"/>
    <s v="CO2 emissions (kt)"/>
    <n v="11.000999999999999"/>
    <x v="4"/>
  </r>
  <r>
    <x v="4"/>
    <s v="CO2 emissions (kt)"/>
    <n v="84.340999999999994"/>
    <x v="4"/>
  </r>
  <r>
    <x v="5"/>
    <s v="CO2 emissions (kt)"/>
    <n v="407.03699999999998"/>
    <x v="4"/>
  </r>
  <r>
    <x v="6"/>
    <s v="CO2 emissions (kt)"/>
    <n v="700.39700000000005"/>
    <x v="4"/>
  </r>
  <r>
    <x v="7"/>
    <s v="CO2 emissions (kt)"/>
    <n v="300.69400000000002"/>
    <x v="4"/>
  </r>
  <r>
    <x v="8"/>
    <s v="CO2 emissions (kt)"/>
    <n v="2827.2570000000001"/>
    <x v="4"/>
  </r>
  <r>
    <x v="9"/>
    <s v="CO2 emissions (kt)"/>
    <m/>
    <x v="4"/>
  </r>
  <r>
    <x v="10"/>
    <s v="CO2 emissions (kt)"/>
    <n v="484.04399999999998"/>
    <x v="4"/>
  </r>
  <r>
    <x v="11"/>
    <s v="CO2 emissions (kt)"/>
    <n v="484.04399999999998"/>
    <x v="4"/>
  </r>
  <r>
    <x v="12"/>
    <s v="CO2 emissions (kt)"/>
    <n v="330.03"/>
    <x v="4"/>
  </r>
  <r>
    <x v="13"/>
    <s v="CO2 emissions (kt)"/>
    <n v="176.01599999999999"/>
    <x v="4"/>
  </r>
  <r>
    <x v="14"/>
    <s v="CO2 emissions (kt)"/>
    <m/>
    <x v="4"/>
  </r>
  <r>
    <x v="15"/>
    <s v="CO2 emissions (kt)"/>
    <n v="2141.5279999999998"/>
    <x v="4"/>
  </r>
  <r>
    <x v="16"/>
    <s v="CO2 emissions (kt)"/>
    <n v="2860.26"/>
    <x v="4"/>
  </r>
  <r>
    <x v="17"/>
    <s v="CO2 emissions (kt)"/>
    <n v="150.34700000000001"/>
    <x v="4"/>
  </r>
  <r>
    <x v="18"/>
    <s v="CO2 emissions (kt)"/>
    <n v="949.75300000000004"/>
    <x v="4"/>
  </r>
  <r>
    <x v="19"/>
    <s v="CO2 emissions (kt)"/>
    <n v="95.341999999999999"/>
    <x v="4"/>
  </r>
  <r>
    <x v="20"/>
    <s v="CO2 emissions (kt)"/>
    <n v="36.67"/>
    <x v="4"/>
  </r>
  <r>
    <x v="21"/>
    <s v="CO2 emissions (kt)"/>
    <n v="11.000999999999999"/>
    <x v="4"/>
  </r>
  <r>
    <x v="22"/>
    <s v="CO2 emissions (kt)"/>
    <n v="2273.54"/>
    <x v="4"/>
  </r>
  <r>
    <x v="23"/>
    <s v="CO2 emissions (kt)"/>
    <m/>
    <x v="4"/>
  </r>
  <r>
    <x v="24"/>
    <s v="CO2 emissions (kt)"/>
    <n v="1034.0940000000001"/>
    <x v="4"/>
  </r>
  <r>
    <x v="25"/>
    <s v="CO2 emissions (kt)"/>
    <n v="491.37799999999999"/>
    <x v="4"/>
  </r>
  <r>
    <x v="26"/>
    <s v="CO2 emissions (kt)"/>
    <n v="3278.2979999999998"/>
    <x v="4"/>
  </r>
  <r>
    <x v="27"/>
    <s v="CO2 emissions (kt)"/>
    <n v="4473.74"/>
    <x v="4"/>
  </r>
  <r>
    <x v="0"/>
    <s v="CO2 emissions (kt)"/>
    <n v="36.67"/>
    <x v="5"/>
  </r>
  <r>
    <x v="1"/>
    <s v="CO2 emissions (kt)"/>
    <n v="311.69499999999999"/>
    <x v="5"/>
  </r>
  <r>
    <x v="2"/>
    <s v="CO2 emissions (kt)"/>
    <n v="106.343"/>
    <x v="5"/>
  </r>
  <r>
    <x v="3"/>
    <s v="CO2 emissions (kt)"/>
    <n v="14.667999999999999"/>
    <x v="5"/>
  </r>
  <r>
    <x v="4"/>
    <s v="CO2 emissions (kt)"/>
    <n v="121.011"/>
    <x v="5"/>
  </r>
  <r>
    <x v="5"/>
    <s v="CO2 emissions (kt)"/>
    <n v="645.39200000000005"/>
    <x v="5"/>
  </r>
  <r>
    <x v="6"/>
    <s v="CO2 emissions (kt)"/>
    <n v="696.73"/>
    <x v="5"/>
  </r>
  <r>
    <x v="7"/>
    <s v="CO2 emissions (kt)"/>
    <n v="304.36099999999999"/>
    <x v="5"/>
  </r>
  <r>
    <x v="8"/>
    <s v="CO2 emissions (kt)"/>
    <n v="2467.8910000000001"/>
    <x v="5"/>
  </r>
  <r>
    <x v="9"/>
    <s v="CO2 emissions (kt)"/>
    <m/>
    <x v="5"/>
  </r>
  <r>
    <x v="10"/>
    <s v="CO2 emissions (kt)"/>
    <n v="557.38400000000001"/>
    <x v="5"/>
  </r>
  <r>
    <x v="11"/>
    <s v="CO2 emissions (kt)"/>
    <n v="557.38400000000001"/>
    <x v="5"/>
  </r>
  <r>
    <x v="12"/>
    <s v="CO2 emissions (kt)"/>
    <n v="348.36500000000001"/>
    <x v="5"/>
  </r>
  <r>
    <x v="13"/>
    <s v="CO2 emissions (kt)"/>
    <n v="198.018"/>
    <x v="5"/>
  </r>
  <r>
    <x v="14"/>
    <s v="CO2 emissions (kt)"/>
    <m/>
    <x v="5"/>
  </r>
  <r>
    <x v="15"/>
    <s v="CO2 emissions (kt)"/>
    <n v="2005.8489999999999"/>
    <x v="5"/>
  </r>
  <r>
    <x v="16"/>
    <s v="CO2 emissions (kt)"/>
    <n v="2728.248"/>
    <x v="5"/>
  </r>
  <r>
    <x v="17"/>
    <s v="CO2 emissions (kt)"/>
    <n v="179.68299999999999"/>
    <x v="5"/>
  </r>
  <r>
    <x v="18"/>
    <s v="CO2 emissions (kt)"/>
    <n v="781.07100000000003"/>
    <x v="5"/>
  </r>
  <r>
    <x v="19"/>
    <s v="CO2 emissions (kt)"/>
    <n v="91.674999999999997"/>
    <x v="5"/>
  </r>
  <r>
    <x v="20"/>
    <s v="CO2 emissions (kt)"/>
    <n v="47.670999999999999"/>
    <x v="5"/>
  </r>
  <r>
    <x v="21"/>
    <s v="CO2 emissions (kt)"/>
    <n v="11.000999999999999"/>
    <x v="5"/>
  </r>
  <r>
    <x v="22"/>
    <s v="CO2 emissions (kt)"/>
    <n v="2658.5749999999998"/>
    <x v="5"/>
  </r>
  <r>
    <x v="23"/>
    <s v="CO2 emissions (kt)"/>
    <m/>
    <x v="5"/>
  </r>
  <r>
    <x v="24"/>
    <s v="CO2 emissions (kt)"/>
    <n v="1162.4390000000001"/>
    <x v="5"/>
  </r>
  <r>
    <x v="25"/>
    <s v="CO2 emissions (kt)"/>
    <n v="627.05700000000002"/>
    <x v="5"/>
  </r>
  <r>
    <x v="26"/>
    <s v="CO2 emissions (kt)"/>
    <n v="3916.3560000000002"/>
    <x v="5"/>
  </r>
  <r>
    <x v="27"/>
    <s v="CO2 emissions (kt)"/>
    <n v="5214.4740000000002"/>
    <x v="5"/>
  </r>
  <r>
    <x v="0"/>
    <s v="CO2 emissions (kt)"/>
    <n v="47.670999999999999"/>
    <x v="6"/>
  </r>
  <r>
    <x v="1"/>
    <s v="CO2 emissions (kt)"/>
    <n v="344.69799999999998"/>
    <x v="6"/>
  </r>
  <r>
    <x v="2"/>
    <s v="CO2 emissions (kt)"/>
    <n v="84.340999999999994"/>
    <x v="6"/>
  </r>
  <r>
    <x v="3"/>
    <s v="CO2 emissions (kt)"/>
    <n v="18.335000000000001"/>
    <x v="6"/>
  </r>
  <r>
    <x v="4"/>
    <s v="CO2 emissions (kt)"/>
    <n v="139.346"/>
    <x v="6"/>
  </r>
  <r>
    <x v="5"/>
    <s v="CO2 emissions (kt)"/>
    <n v="825.07500000000005"/>
    <x v="6"/>
  </r>
  <r>
    <x v="6"/>
    <s v="CO2 emissions (kt)"/>
    <n v="718.73199999999997"/>
    <x v="6"/>
  </r>
  <r>
    <x v="7"/>
    <s v="CO2 emissions (kt)"/>
    <n v="304.36099999999999"/>
    <x v="6"/>
  </r>
  <r>
    <x v="8"/>
    <s v="CO2 emissions (kt)"/>
    <n v="2684.2440000000001"/>
    <x v="6"/>
  </r>
  <r>
    <x v="9"/>
    <s v="CO2 emissions (kt)"/>
    <m/>
    <x v="6"/>
  </r>
  <r>
    <x v="10"/>
    <s v="CO2 emissions (kt)"/>
    <n v="612.38900000000001"/>
    <x v="6"/>
  </r>
  <r>
    <x v="11"/>
    <s v="CO2 emissions (kt)"/>
    <n v="579.38599999999997"/>
    <x v="6"/>
  </r>
  <r>
    <x v="12"/>
    <s v="CO2 emissions (kt)"/>
    <n v="429.03899999999999"/>
    <x v="6"/>
  </r>
  <r>
    <x v="13"/>
    <s v="CO2 emissions (kt)"/>
    <n v="190.684"/>
    <x v="6"/>
  </r>
  <r>
    <x v="14"/>
    <s v="CO2 emissions (kt)"/>
    <m/>
    <x v="6"/>
  </r>
  <r>
    <x v="15"/>
    <s v="CO2 emissions (kt)"/>
    <n v="2126.86"/>
    <x v="6"/>
  </r>
  <r>
    <x v="16"/>
    <s v="CO2 emissions (kt)"/>
    <n v="2808.922"/>
    <x v="6"/>
  </r>
  <r>
    <x v="17"/>
    <s v="CO2 emissions (kt)"/>
    <n v="190.684"/>
    <x v="6"/>
  </r>
  <r>
    <x v="18"/>
    <s v="CO2 emissions (kt)"/>
    <n v="960.75400000000002"/>
    <x v="6"/>
  </r>
  <r>
    <x v="19"/>
    <s v="CO2 emissions (kt)"/>
    <n v="135.679"/>
    <x v="6"/>
  </r>
  <r>
    <x v="20"/>
    <s v="CO2 emissions (kt)"/>
    <n v="44.003999999999998"/>
    <x v="6"/>
  </r>
  <r>
    <x v="21"/>
    <s v="CO2 emissions (kt)"/>
    <n v="11.000999999999999"/>
    <x v="6"/>
  </r>
  <r>
    <x v="22"/>
    <s v="CO2 emissions (kt)"/>
    <n v="2662.2420000000002"/>
    <x v="6"/>
  </r>
  <r>
    <x v="23"/>
    <s v="CO2 emissions (kt)"/>
    <m/>
    <x v="6"/>
  </r>
  <r>
    <x v="24"/>
    <s v="CO2 emissions (kt)"/>
    <n v="1371.4580000000001"/>
    <x v="6"/>
  </r>
  <r>
    <x v="25"/>
    <s v="CO2 emissions (kt)"/>
    <n v="733.4"/>
    <x v="6"/>
  </r>
  <r>
    <x v="26"/>
    <s v="CO2 emissions (kt)"/>
    <n v="3501.9850000000001"/>
    <x v="6"/>
  </r>
  <r>
    <x v="27"/>
    <s v="CO2 emissions (kt)"/>
    <n v="6046.8829999999998"/>
    <x v="6"/>
  </r>
  <r>
    <x v="0"/>
    <s v="CO2 emissions (kt)"/>
    <n v="47.670999999999999"/>
    <x v="7"/>
  </r>
  <r>
    <x v="1"/>
    <s v="CO2 emissions (kt)"/>
    <n v="458.375"/>
    <x v="7"/>
  </r>
  <r>
    <x v="2"/>
    <s v="CO2 emissions (kt)"/>
    <n v="117.34399999999999"/>
    <x v="7"/>
  </r>
  <r>
    <x v="3"/>
    <s v="CO2 emissions (kt)"/>
    <n v="18.335000000000001"/>
    <x v="7"/>
  </r>
  <r>
    <x v="4"/>
    <s v="CO2 emissions (kt)"/>
    <n v="88.007999999999996"/>
    <x v="7"/>
  </r>
  <r>
    <x v="5"/>
    <s v="CO2 emissions (kt)"/>
    <n v="1074.431"/>
    <x v="7"/>
  </r>
  <r>
    <x v="6"/>
    <s v="CO2 emissions (kt)"/>
    <n v="726.06600000000003"/>
    <x v="7"/>
  </r>
  <r>
    <x v="7"/>
    <s v="CO2 emissions (kt)"/>
    <n v="260.35700000000003"/>
    <x v="7"/>
  </r>
  <r>
    <x v="8"/>
    <s v="CO2 emissions (kt)"/>
    <n v="2702.5790000000002"/>
    <x v="7"/>
  </r>
  <r>
    <x v="9"/>
    <s v="CO2 emissions (kt)"/>
    <m/>
    <x v="7"/>
  </r>
  <r>
    <x v="10"/>
    <s v="CO2 emissions (kt)"/>
    <n v="612.38900000000001"/>
    <x v="7"/>
  </r>
  <r>
    <x v="11"/>
    <s v="CO2 emissions (kt)"/>
    <n v="843.41"/>
    <x v="7"/>
  </r>
  <r>
    <x v="12"/>
    <s v="CO2 emissions (kt)"/>
    <n v="366.7"/>
    <x v="7"/>
  </r>
  <r>
    <x v="13"/>
    <s v="CO2 emissions (kt)"/>
    <n v="223.68700000000001"/>
    <x v="7"/>
  </r>
  <r>
    <x v="14"/>
    <s v="CO2 emissions (kt)"/>
    <m/>
    <x v="7"/>
  </r>
  <r>
    <x v="15"/>
    <s v="CO2 emissions (kt)"/>
    <n v="1873.837"/>
    <x v="7"/>
  </r>
  <r>
    <x v="16"/>
    <s v="CO2 emissions (kt)"/>
    <n v="3619.3290000000002"/>
    <x v="7"/>
  </r>
  <r>
    <x v="17"/>
    <s v="CO2 emissions (kt)"/>
    <n v="212.68600000000001"/>
    <x v="7"/>
  </r>
  <r>
    <x v="18"/>
    <s v="CO2 emissions (kt)"/>
    <n v="1081.7650000000001"/>
    <x v="7"/>
  </r>
  <r>
    <x v="19"/>
    <s v="CO2 emissions (kt)"/>
    <n v="132.012"/>
    <x v="7"/>
  </r>
  <r>
    <x v="20"/>
    <s v="CO2 emissions (kt)"/>
    <n v="40.337000000000003"/>
    <x v="7"/>
  </r>
  <r>
    <x v="21"/>
    <s v="CO2 emissions (kt)"/>
    <n v="11.000999999999999"/>
    <x v="7"/>
  </r>
  <r>
    <x v="22"/>
    <s v="CO2 emissions (kt)"/>
    <n v="2948.268"/>
    <x v="7"/>
  </r>
  <r>
    <x v="23"/>
    <s v="CO2 emissions (kt)"/>
    <m/>
    <x v="7"/>
  </r>
  <r>
    <x v="24"/>
    <s v="CO2 emissions (kt)"/>
    <n v="1760.16"/>
    <x v="7"/>
  </r>
  <r>
    <x v="25"/>
    <s v="CO2 emissions (kt)"/>
    <n v="810.40700000000004"/>
    <x v="7"/>
  </r>
  <r>
    <x v="26"/>
    <s v="CO2 emissions (kt)"/>
    <n v="4792.7690000000002"/>
    <x v="7"/>
  </r>
  <r>
    <x v="27"/>
    <s v="CO2 emissions (kt)"/>
    <n v="5298.8149999999996"/>
    <x v="7"/>
  </r>
  <r>
    <x v="0"/>
    <s v="CO2 emissions (kt)"/>
    <n v="55.005000000000003"/>
    <x v="8"/>
  </r>
  <r>
    <x v="1"/>
    <s v="CO2 emissions (kt)"/>
    <n v="506.04599999999999"/>
    <x v="8"/>
  </r>
  <r>
    <x v="2"/>
    <s v="CO2 emissions (kt)"/>
    <n v="124.678"/>
    <x v="8"/>
  </r>
  <r>
    <x v="3"/>
    <s v="CO2 emissions (kt)"/>
    <n v="18.335000000000001"/>
    <x v="8"/>
  </r>
  <r>
    <x v="4"/>
    <s v="CO2 emissions (kt)"/>
    <n v="121.011"/>
    <x v="8"/>
  </r>
  <r>
    <x v="5"/>
    <s v="CO2 emissions (kt)"/>
    <n v="1727.1569999999999"/>
    <x v="8"/>
  </r>
  <r>
    <x v="6"/>
    <s v="CO2 emissions (kt)"/>
    <n v="748.06799999999998"/>
    <x v="8"/>
  </r>
  <r>
    <x v="7"/>
    <s v="CO2 emissions (kt)"/>
    <n v="264.024"/>
    <x v="8"/>
  </r>
  <r>
    <x v="8"/>
    <s v="CO2 emissions (kt)"/>
    <n v="2819.9229999999998"/>
    <x v="8"/>
  </r>
  <r>
    <x v="9"/>
    <s v="CO2 emissions (kt)"/>
    <m/>
    <x v="8"/>
  </r>
  <r>
    <x v="10"/>
    <s v="CO2 emissions (kt)"/>
    <n v="883.74699999999996"/>
    <x v="8"/>
  </r>
  <r>
    <x v="11"/>
    <s v="CO2 emissions (kt)"/>
    <n v="913.08299999999997"/>
    <x v="8"/>
  </r>
  <r>
    <x v="12"/>
    <s v="CO2 emissions (kt)"/>
    <n v="388.702"/>
    <x v="8"/>
  </r>
  <r>
    <x v="13"/>
    <s v="CO2 emissions (kt)"/>
    <n v="198.018"/>
    <x v="8"/>
  </r>
  <r>
    <x v="14"/>
    <s v="CO2 emissions (kt)"/>
    <m/>
    <x v="8"/>
  </r>
  <r>
    <x v="15"/>
    <s v="CO2 emissions (kt)"/>
    <n v="2779.5859999999998"/>
    <x v="8"/>
  </r>
  <r>
    <x v="16"/>
    <s v="CO2 emissions (kt)"/>
    <n v="2929.933"/>
    <x v="8"/>
  </r>
  <r>
    <x v="17"/>
    <s v="CO2 emissions (kt)"/>
    <n v="253.023"/>
    <x v="8"/>
  </r>
  <r>
    <x v="18"/>
    <s v="CO2 emissions (kt)"/>
    <n v="1232.1120000000001"/>
    <x v="8"/>
  </r>
  <r>
    <x v="19"/>
    <s v="CO2 emissions (kt)"/>
    <n v="161.34800000000001"/>
    <x v="8"/>
  </r>
  <r>
    <x v="20"/>
    <s v="CO2 emissions (kt)"/>
    <n v="55.005000000000003"/>
    <x v="8"/>
  </r>
  <r>
    <x v="21"/>
    <s v="CO2 emissions (kt)"/>
    <n v="14.667999999999999"/>
    <x v="8"/>
  </r>
  <r>
    <x v="22"/>
    <s v="CO2 emissions (kt)"/>
    <n v="3241.6280000000002"/>
    <x v="8"/>
  </r>
  <r>
    <x v="23"/>
    <s v="CO2 emissions (kt)"/>
    <m/>
    <x v="8"/>
  </r>
  <r>
    <x v="24"/>
    <s v="CO2 emissions (kt)"/>
    <n v="1653.817"/>
    <x v="8"/>
  </r>
  <r>
    <x v="25"/>
    <s v="CO2 emissions (kt)"/>
    <n v="982.75599999999997"/>
    <x v="8"/>
  </r>
  <r>
    <x v="26"/>
    <s v="CO2 emissions (kt)"/>
    <n v="4572.7489999999998"/>
    <x v="8"/>
  </r>
  <r>
    <x v="27"/>
    <s v="CO2 emissions (kt)"/>
    <n v="6384.2470000000003"/>
    <x v="8"/>
  </r>
  <r>
    <x v="0"/>
    <s v="CO2 emissions (kt)"/>
    <n v="73.34"/>
    <x v="9"/>
  </r>
  <r>
    <x v="1"/>
    <s v="CO2 emissions (kt)"/>
    <n v="572.05200000000002"/>
    <x v="9"/>
  </r>
  <r>
    <x v="2"/>
    <s v="CO2 emissions (kt)"/>
    <n v="161.34800000000001"/>
    <x v="9"/>
  </r>
  <r>
    <x v="3"/>
    <s v="CO2 emissions (kt)"/>
    <n v="18.335000000000001"/>
    <x v="9"/>
  </r>
  <r>
    <x v="4"/>
    <s v="CO2 emissions (kt)"/>
    <n v="84.340999999999994"/>
    <x v="9"/>
  </r>
  <r>
    <x v="5"/>
    <s v="CO2 emissions (kt)"/>
    <n v="1668.4849999999999"/>
    <x v="9"/>
  </r>
  <r>
    <x v="6"/>
    <s v="CO2 emissions (kt)"/>
    <n v="748.06799999999998"/>
    <x v="9"/>
  </r>
  <r>
    <x v="7"/>
    <s v="CO2 emissions (kt)"/>
    <n v="315.36200000000002"/>
    <x v="9"/>
  </r>
  <r>
    <x v="8"/>
    <s v="CO2 emissions (kt)"/>
    <n v="3131.6179999999999"/>
    <x v="9"/>
  </r>
  <r>
    <x v="9"/>
    <s v="CO2 emissions (kt)"/>
    <m/>
    <x v="9"/>
  </r>
  <r>
    <x v="10"/>
    <s v="CO2 emissions (kt)"/>
    <n v="1272.4490000000001"/>
    <x v="9"/>
  </r>
  <r>
    <x v="11"/>
    <s v="CO2 emissions (kt)"/>
    <n v="850.74400000000003"/>
    <x v="9"/>
  </r>
  <r>
    <x v="12"/>
    <s v="CO2 emissions (kt)"/>
    <n v="381.36799999999999"/>
    <x v="9"/>
  </r>
  <r>
    <x v="13"/>
    <s v="CO2 emissions (kt)"/>
    <n v="161.34800000000001"/>
    <x v="9"/>
  </r>
  <r>
    <x v="14"/>
    <s v="CO2 emissions (kt)"/>
    <m/>
    <x v="9"/>
  </r>
  <r>
    <x v="15"/>
    <s v="CO2 emissions (kt)"/>
    <n v="3241.6280000000002"/>
    <x v="9"/>
  </r>
  <r>
    <x v="16"/>
    <s v="CO2 emissions (kt)"/>
    <n v="3215.9589999999998"/>
    <x v="9"/>
  </r>
  <r>
    <x v="17"/>
    <s v="CO2 emissions (kt)"/>
    <n v="399.70299999999997"/>
    <x v="9"/>
  </r>
  <r>
    <x v="18"/>
    <s v="CO2 emissions (kt)"/>
    <n v="1287.117"/>
    <x v="9"/>
  </r>
  <r>
    <x v="19"/>
    <s v="CO2 emissions (kt)"/>
    <n v="190.684"/>
    <x v="9"/>
  </r>
  <r>
    <x v="20"/>
    <s v="CO2 emissions (kt)"/>
    <n v="58.671999999999997"/>
    <x v="9"/>
  </r>
  <r>
    <x v="21"/>
    <s v="CO2 emissions (kt)"/>
    <n v="14.667999999999999"/>
    <x v="9"/>
  </r>
  <r>
    <x v="22"/>
    <s v="CO2 emissions (kt)"/>
    <n v="4319.7259999999997"/>
    <x v="9"/>
  </r>
  <r>
    <x v="23"/>
    <s v="CO2 emissions (kt)"/>
    <m/>
    <x v="9"/>
  </r>
  <r>
    <x v="24"/>
    <s v="CO2 emissions (kt)"/>
    <n v="1796.83"/>
    <x v="9"/>
  </r>
  <r>
    <x v="25"/>
    <s v="CO2 emissions (kt)"/>
    <n v="1177.107"/>
    <x v="9"/>
  </r>
  <r>
    <x v="26"/>
    <s v="CO2 emissions (kt)"/>
    <n v="4275.7219999999998"/>
    <x v="9"/>
  </r>
  <r>
    <x v="27"/>
    <s v="CO2 emissions (kt)"/>
    <n v="6750.9470000000001"/>
    <x v="9"/>
  </r>
  <r>
    <x v="0"/>
    <s v="CO2 emissions (kt)"/>
    <n v="62.338999999999999"/>
    <x v="10"/>
  </r>
  <r>
    <x v="1"/>
    <s v="CO2 emissions (kt)"/>
    <n v="638.05799999999999"/>
    <x v="10"/>
  </r>
  <r>
    <x v="2"/>
    <s v="CO2 emissions (kt)"/>
    <n v="124.678"/>
    <x v="10"/>
  </r>
  <r>
    <x v="3"/>
    <s v="CO2 emissions (kt)"/>
    <n v="29.335999999999999"/>
    <x v="10"/>
  </r>
  <r>
    <x v="4"/>
    <s v="CO2 emissions (kt)"/>
    <n v="139.346"/>
    <x v="10"/>
  </r>
  <r>
    <x v="5"/>
    <s v="CO2 emissions (kt)"/>
    <n v="1653.817"/>
    <x v="10"/>
  </r>
  <r>
    <x v="6"/>
    <s v="CO2 emissions (kt)"/>
    <n v="792.072"/>
    <x v="10"/>
  </r>
  <r>
    <x v="7"/>
    <s v="CO2 emissions (kt)"/>
    <n v="385.03500000000003"/>
    <x v="10"/>
  </r>
  <r>
    <x v="8"/>
    <s v="CO2 emissions (kt)"/>
    <n v="3083.9470000000001"/>
    <x v="10"/>
  </r>
  <r>
    <x v="9"/>
    <s v="CO2 emissions (kt)"/>
    <m/>
    <x v="10"/>
  </r>
  <r>
    <x v="10"/>
    <s v="CO2 emissions (kt)"/>
    <n v="1452.1320000000001"/>
    <x v="10"/>
  </r>
  <r>
    <x v="11"/>
    <s v="CO2 emissions (kt)"/>
    <n v="971.755"/>
    <x v="10"/>
  </r>
  <r>
    <x v="12"/>
    <s v="CO2 emissions (kt)"/>
    <n v="454.70800000000003"/>
    <x v="10"/>
  </r>
  <r>
    <x v="13"/>
    <s v="CO2 emissions (kt)"/>
    <n v="201.685"/>
    <x v="10"/>
  </r>
  <r>
    <x v="14"/>
    <s v="CO2 emissions (kt)"/>
    <m/>
    <x v="10"/>
  </r>
  <r>
    <x v="15"/>
    <s v="CO2 emissions (kt)"/>
    <n v="2984.9380000000001"/>
    <x v="10"/>
  </r>
  <r>
    <x v="16"/>
    <s v="CO2 emissions (kt)"/>
    <n v="4616.7529999999997"/>
    <x v="10"/>
  </r>
  <r>
    <x v="17"/>
    <s v="CO2 emissions (kt)"/>
    <n v="227.35400000000001"/>
    <x v="10"/>
  </r>
  <r>
    <x v="18"/>
    <s v="CO2 emissions (kt)"/>
    <n v="1404.461"/>
    <x v="10"/>
  </r>
  <r>
    <x v="19"/>
    <s v="CO2 emissions (kt)"/>
    <n v="216.35300000000001"/>
    <x v="10"/>
  </r>
  <r>
    <x v="20"/>
    <s v="CO2 emissions (kt)"/>
    <n v="58.671999999999997"/>
    <x v="10"/>
  </r>
  <r>
    <x v="21"/>
    <s v="CO2 emissions (kt)"/>
    <n v="14.667999999999999"/>
    <x v="10"/>
  </r>
  <r>
    <x v="22"/>
    <s v="CO2 emissions (kt)"/>
    <n v="3597.3270000000002"/>
    <x v="10"/>
  </r>
  <r>
    <x v="23"/>
    <s v="CO2 emissions (kt)"/>
    <m/>
    <x v="10"/>
  </r>
  <r>
    <x v="24"/>
    <s v="CO2 emissions (kt)"/>
    <n v="1767.4939999999999"/>
    <x v="10"/>
  </r>
  <r>
    <x v="25"/>
    <s v="CO2 emissions (kt)"/>
    <n v="1444.798"/>
    <x v="10"/>
  </r>
  <r>
    <x v="26"/>
    <s v="CO2 emissions (kt)"/>
    <n v="3769.6759999999999"/>
    <x v="10"/>
  </r>
  <r>
    <x v="27"/>
    <s v="CO2 emissions (kt)"/>
    <n v="8162.7420000000002"/>
    <x v="10"/>
  </r>
  <r>
    <x v="0"/>
    <s v="CO2 emissions (kt)"/>
    <n v="73.34"/>
    <x v="11"/>
  </r>
  <r>
    <x v="1"/>
    <s v="CO2 emissions (kt)"/>
    <n v="810.40700000000004"/>
    <x v="11"/>
  </r>
  <r>
    <x v="2"/>
    <s v="CO2 emissions (kt)"/>
    <n v="150.34700000000001"/>
    <x v="11"/>
  </r>
  <r>
    <x v="3"/>
    <s v="CO2 emissions (kt)"/>
    <n v="29.335999999999999"/>
    <x v="11"/>
  </r>
  <r>
    <x v="4"/>
    <s v="CO2 emissions (kt)"/>
    <n v="161.34800000000001"/>
    <x v="11"/>
  </r>
  <r>
    <x v="5"/>
    <s v="CO2 emissions (kt)"/>
    <n v="1851.835"/>
    <x v="11"/>
  </r>
  <r>
    <x v="6"/>
    <s v="CO2 emissions (kt)"/>
    <n v="814.07399999999996"/>
    <x v="11"/>
  </r>
  <r>
    <x v="7"/>
    <s v="CO2 emissions (kt)"/>
    <n v="403.37"/>
    <x v="11"/>
  </r>
  <r>
    <x v="8"/>
    <s v="CO2 emissions (kt)"/>
    <n v="3685.335"/>
    <x v="11"/>
  </r>
  <r>
    <x v="9"/>
    <s v="CO2 emissions (kt)"/>
    <m/>
    <x v="11"/>
  </r>
  <r>
    <x v="10"/>
    <s v="CO2 emissions (kt)"/>
    <n v="1525.472"/>
    <x v="11"/>
  </r>
  <r>
    <x v="11"/>
    <s v="CO2 emissions (kt)"/>
    <n v="1026.76"/>
    <x v="11"/>
  </r>
  <r>
    <x v="12"/>
    <s v="CO2 emissions (kt)"/>
    <n v="502.37900000000002"/>
    <x v="11"/>
  </r>
  <r>
    <x v="13"/>
    <s v="CO2 emissions (kt)"/>
    <n v="227.35400000000001"/>
    <x v="11"/>
  </r>
  <r>
    <x v="14"/>
    <s v="CO2 emissions (kt)"/>
    <m/>
    <x v="11"/>
  </r>
  <r>
    <x v="15"/>
    <s v="CO2 emissions (kt)"/>
    <n v="3615.6619999999998"/>
    <x v="11"/>
  </r>
  <r>
    <x v="16"/>
    <s v="CO2 emissions (kt)"/>
    <n v="5104.4639999999999"/>
    <x v="11"/>
  </r>
  <r>
    <x v="17"/>
    <s v="CO2 emissions (kt)"/>
    <n v="198.018"/>
    <x v="11"/>
  </r>
  <r>
    <x v="18"/>
    <s v="CO2 emissions (kt)"/>
    <n v="1507.1369999999999"/>
    <x v="11"/>
  </r>
  <r>
    <x v="19"/>
    <s v="CO2 emissions (kt)"/>
    <n v="231.02099999999999"/>
    <x v="11"/>
  </r>
  <r>
    <x v="20"/>
    <s v="CO2 emissions (kt)"/>
    <n v="62.338999999999999"/>
    <x v="11"/>
  </r>
  <r>
    <x v="21"/>
    <s v="CO2 emissions (kt)"/>
    <n v="11.000999999999999"/>
    <x v="11"/>
  </r>
  <r>
    <x v="22"/>
    <s v="CO2 emissions (kt)"/>
    <n v="3197.6239999999998"/>
    <x v="11"/>
  </r>
  <r>
    <x v="23"/>
    <s v="CO2 emissions (kt)"/>
    <m/>
    <x v="11"/>
  </r>
  <r>
    <x v="24"/>
    <s v="CO2 emissions (kt)"/>
    <n v="2464.2240000000002"/>
    <x v="11"/>
  </r>
  <r>
    <x v="25"/>
    <s v="CO2 emissions (kt)"/>
    <n v="1441.1310000000001"/>
    <x v="11"/>
  </r>
  <r>
    <x v="26"/>
    <s v="CO2 emissions (kt)"/>
    <n v="3791.6779999999999"/>
    <x v="11"/>
  </r>
  <r>
    <x v="27"/>
    <s v="CO2 emissions (kt)"/>
    <n v="8742.1280000000006"/>
    <x v="11"/>
  </r>
  <r>
    <x v="0"/>
    <s v="CO2 emissions (kt)"/>
    <n v="73.34"/>
    <x v="12"/>
  </r>
  <r>
    <x v="1"/>
    <s v="CO2 emissions (kt)"/>
    <n v="861.745"/>
    <x v="12"/>
  </r>
  <r>
    <x v="2"/>
    <s v="CO2 emissions (kt)"/>
    <n v="121.011"/>
    <x v="12"/>
  </r>
  <r>
    <x v="3"/>
    <s v="CO2 emissions (kt)"/>
    <n v="29.335999999999999"/>
    <x v="12"/>
  </r>
  <r>
    <x v="4"/>
    <s v="CO2 emissions (kt)"/>
    <n v="190.684"/>
    <x v="12"/>
  </r>
  <r>
    <x v="5"/>
    <s v="CO2 emissions (kt)"/>
    <n v="1408.1279999999999"/>
    <x v="12"/>
  </r>
  <r>
    <x v="6"/>
    <s v="CO2 emissions (kt)"/>
    <n v="832.40899999999999"/>
    <x v="12"/>
  </r>
  <r>
    <x v="7"/>
    <s v="CO2 emissions (kt)"/>
    <n v="392.36900000000003"/>
    <x v="12"/>
  </r>
  <r>
    <x v="8"/>
    <s v="CO2 emissions (kt)"/>
    <n v="3872.3519999999999"/>
    <x v="12"/>
  </r>
  <r>
    <x v="9"/>
    <s v="CO2 emissions (kt)"/>
    <m/>
    <x v="12"/>
  </r>
  <r>
    <x v="10"/>
    <s v="CO2 emissions (kt)"/>
    <n v="1507.1369999999999"/>
    <x v="12"/>
  </r>
  <r>
    <x v="11"/>
    <s v="CO2 emissions (kt)"/>
    <n v="1287.117"/>
    <x v="12"/>
  </r>
  <r>
    <x v="12"/>
    <s v="CO2 emissions (kt)"/>
    <n v="546.38300000000004"/>
    <x v="12"/>
  </r>
  <r>
    <x v="13"/>
    <s v="CO2 emissions (kt)"/>
    <n v="245.68899999999999"/>
    <x v="12"/>
  </r>
  <r>
    <x v="14"/>
    <s v="CO2 emissions (kt)"/>
    <m/>
    <x v="12"/>
  </r>
  <r>
    <x v="15"/>
    <s v="CO2 emissions (kt)"/>
    <n v="3300.3"/>
    <x v="12"/>
  </r>
  <r>
    <x v="16"/>
    <s v="CO2 emissions (kt)"/>
    <n v="4899.1120000000001"/>
    <x v="12"/>
  </r>
  <r>
    <x v="17"/>
    <s v="CO2 emissions (kt)"/>
    <n v="267.69099999999997"/>
    <x v="12"/>
  </r>
  <r>
    <x v="18"/>
    <s v="CO2 emissions (kt)"/>
    <n v="1606.146"/>
    <x v="12"/>
  </r>
  <r>
    <x v="19"/>
    <s v="CO2 emissions (kt)"/>
    <n v="253.023"/>
    <x v="12"/>
  </r>
  <r>
    <x v="20"/>
    <s v="CO2 emissions (kt)"/>
    <n v="66.006"/>
    <x v="12"/>
  </r>
  <r>
    <x v="21"/>
    <s v="CO2 emissions (kt)"/>
    <n v="11.000999999999999"/>
    <x v="12"/>
  </r>
  <r>
    <x v="22"/>
    <s v="CO2 emissions (kt)"/>
    <n v="3542.3220000000001"/>
    <x v="12"/>
  </r>
  <r>
    <x v="23"/>
    <s v="CO2 emissions (kt)"/>
    <m/>
    <x v="12"/>
  </r>
  <r>
    <x v="24"/>
    <s v="CO2 emissions (kt)"/>
    <n v="2167.1970000000001"/>
    <x v="12"/>
  </r>
  <r>
    <x v="25"/>
    <s v="CO2 emissions (kt)"/>
    <n v="1382.4590000000001"/>
    <x v="12"/>
  </r>
  <r>
    <x v="26"/>
    <s v="CO2 emissions (kt)"/>
    <n v="4066.703"/>
    <x v="12"/>
  </r>
  <r>
    <x v="27"/>
    <s v="CO2 emissions (kt)"/>
    <n v="8225.0810000000001"/>
    <x v="12"/>
  </r>
  <r>
    <x v="0"/>
    <s v="CO2 emissions (kt)"/>
    <n v="73.34"/>
    <x v="13"/>
  </r>
  <r>
    <x v="1"/>
    <s v="CO2 emissions (kt)"/>
    <n v="898.41499999999996"/>
    <x v="13"/>
  </r>
  <r>
    <x v="2"/>
    <s v="CO2 emissions (kt)"/>
    <n v="161.34800000000001"/>
    <x v="13"/>
  </r>
  <r>
    <x v="3"/>
    <s v="CO2 emissions (kt)"/>
    <n v="29.335999999999999"/>
    <x v="13"/>
  </r>
  <r>
    <x v="4"/>
    <s v="CO2 emissions (kt)"/>
    <n v="179.68299999999999"/>
    <x v="13"/>
  </r>
  <r>
    <x v="5"/>
    <s v="CO2 emissions (kt)"/>
    <n v="1752.826"/>
    <x v="13"/>
  </r>
  <r>
    <x v="6"/>
    <s v="CO2 emissions (kt)"/>
    <n v="803.07299999999998"/>
    <x v="13"/>
  </r>
  <r>
    <x v="7"/>
    <s v="CO2 emissions (kt)"/>
    <n v="421.70499999999998"/>
    <x v="13"/>
  </r>
  <r>
    <x v="8"/>
    <s v="CO2 emissions (kt)"/>
    <n v="3920.0230000000001"/>
    <x v="13"/>
  </r>
  <r>
    <x v="9"/>
    <s v="CO2 emissions (kt)"/>
    <m/>
    <x v="13"/>
  </r>
  <r>
    <x v="10"/>
    <s v="CO2 emissions (kt)"/>
    <n v="1481.4680000000001"/>
    <x v="13"/>
  </r>
  <r>
    <x v="11"/>
    <s v="CO2 emissions (kt)"/>
    <n v="1074.431"/>
    <x v="13"/>
  </r>
  <r>
    <x v="12"/>
    <s v="CO2 emissions (kt)"/>
    <n v="572.05200000000002"/>
    <x v="13"/>
  </r>
  <r>
    <x v="13"/>
    <s v="CO2 emissions (kt)"/>
    <n v="267.69099999999997"/>
    <x v="13"/>
  </r>
  <r>
    <x v="14"/>
    <s v="CO2 emissions (kt)"/>
    <m/>
    <x v="13"/>
  </r>
  <r>
    <x v="15"/>
    <s v="CO2 emissions (kt)"/>
    <n v="3564.3240000000001"/>
    <x v="13"/>
  </r>
  <r>
    <x v="16"/>
    <s v="CO2 emissions (kt)"/>
    <n v="4110.7070000000003"/>
    <x v="13"/>
  </r>
  <r>
    <x v="17"/>
    <s v="CO2 emissions (kt)"/>
    <n v="421.70499999999998"/>
    <x v="13"/>
  </r>
  <r>
    <x v="18"/>
    <s v="CO2 emissions (kt)"/>
    <n v="1829.8330000000001"/>
    <x v="13"/>
  </r>
  <r>
    <x v="19"/>
    <s v="CO2 emissions (kt)"/>
    <n v="330.03"/>
    <x v="13"/>
  </r>
  <r>
    <x v="20"/>
    <s v="CO2 emissions (kt)"/>
    <n v="69.673000000000002"/>
    <x v="13"/>
  </r>
  <r>
    <x v="21"/>
    <s v="CO2 emissions (kt)"/>
    <n v="14.667999999999999"/>
    <x v="13"/>
  </r>
  <r>
    <x v="22"/>
    <s v="CO2 emissions (kt)"/>
    <n v="3689.002"/>
    <x v="13"/>
  </r>
  <r>
    <x v="23"/>
    <s v="CO2 emissions (kt)"/>
    <m/>
    <x v="13"/>
  </r>
  <r>
    <x v="24"/>
    <s v="CO2 emissions (kt)"/>
    <n v="3186.623"/>
    <x v="13"/>
  </r>
  <r>
    <x v="25"/>
    <s v="CO2 emissions (kt)"/>
    <n v="1180.7739999999999"/>
    <x v="13"/>
  </r>
  <r>
    <x v="26"/>
    <s v="CO2 emissions (kt)"/>
    <n v="4591.0839999999998"/>
    <x v="13"/>
  </r>
  <r>
    <x v="27"/>
    <s v="CO2 emissions (kt)"/>
    <n v="9281.1769999999997"/>
    <x v="13"/>
  </r>
  <r>
    <x v="0"/>
    <s v="CO2 emissions (kt)"/>
    <n v="91.674999999999997"/>
    <x v="14"/>
  </r>
  <r>
    <x v="1"/>
    <s v="CO2 emissions (kt)"/>
    <n v="975.42200000000003"/>
    <x v="14"/>
  </r>
  <r>
    <x v="2"/>
    <s v="CO2 emissions (kt)"/>
    <n v="150.34700000000001"/>
    <x v="14"/>
  </r>
  <r>
    <x v="3"/>
    <s v="CO2 emissions (kt)"/>
    <n v="29.335999999999999"/>
    <x v="14"/>
  </r>
  <r>
    <x v="4"/>
    <s v="CO2 emissions (kt)"/>
    <n v="194.351"/>
    <x v="14"/>
  </r>
  <r>
    <x v="5"/>
    <s v="CO2 emissions (kt)"/>
    <n v="1738.1579999999999"/>
    <x v="14"/>
  </r>
  <r>
    <x v="6"/>
    <s v="CO2 emissions (kt)"/>
    <n v="839.74300000000005"/>
    <x v="14"/>
  </r>
  <r>
    <x v="7"/>
    <s v="CO2 emissions (kt)"/>
    <n v="473.04300000000001"/>
    <x v="14"/>
  </r>
  <r>
    <x v="8"/>
    <s v="CO2 emissions (kt)"/>
    <n v="4950.45"/>
    <x v="14"/>
  </r>
  <r>
    <x v="9"/>
    <s v="CO2 emissions (kt)"/>
    <m/>
    <x v="14"/>
  </r>
  <r>
    <x v="10"/>
    <s v="CO2 emissions (kt)"/>
    <n v="1723.49"/>
    <x v="14"/>
  </r>
  <r>
    <x v="11"/>
    <s v="CO2 emissions (kt)"/>
    <n v="1188.1079999999999"/>
    <x v="14"/>
  </r>
  <r>
    <x v="12"/>
    <s v="CO2 emissions (kt)"/>
    <n v="550.04999999999995"/>
    <x v="14"/>
  </r>
  <r>
    <x v="13"/>
    <s v="CO2 emissions (kt)"/>
    <n v="304.36099999999999"/>
    <x v="14"/>
  </r>
  <r>
    <x v="14"/>
    <s v="CO2 emissions (kt)"/>
    <m/>
    <x v="14"/>
  </r>
  <r>
    <x v="15"/>
    <s v="CO2 emissions (kt)"/>
    <n v="3149.953"/>
    <x v="14"/>
  </r>
  <r>
    <x v="16"/>
    <s v="CO2 emissions (kt)"/>
    <n v="4675.4250000000002"/>
    <x v="14"/>
  </r>
  <r>
    <x v="17"/>
    <s v="CO2 emissions (kt)"/>
    <n v="425.37200000000001"/>
    <x v="14"/>
  </r>
  <r>
    <x v="18"/>
    <s v="CO2 emissions (kt)"/>
    <n v="1950.8440000000001"/>
    <x v="14"/>
  </r>
  <r>
    <x v="19"/>
    <s v="CO2 emissions (kt)"/>
    <n v="289.69299999999998"/>
    <x v="14"/>
  </r>
  <r>
    <x v="20"/>
    <s v="CO2 emissions (kt)"/>
    <n v="73.34"/>
    <x v="14"/>
  </r>
  <r>
    <x v="21"/>
    <s v="CO2 emissions (kt)"/>
    <n v="18.335000000000001"/>
    <x v="14"/>
  </r>
  <r>
    <x v="22"/>
    <s v="CO2 emissions (kt)"/>
    <n v="2933.6"/>
    <x v="14"/>
  </r>
  <r>
    <x v="23"/>
    <s v="CO2 emissions (kt)"/>
    <m/>
    <x v="14"/>
  </r>
  <r>
    <x v="24"/>
    <s v="CO2 emissions (kt)"/>
    <n v="2306.5430000000001"/>
    <x v="14"/>
  </r>
  <r>
    <x v="25"/>
    <s v="CO2 emissions (kt)"/>
    <n v="1195.442"/>
    <x v="14"/>
  </r>
  <r>
    <x v="26"/>
    <s v="CO2 emissions (kt)"/>
    <n v="4202.3819999999996"/>
    <x v="14"/>
  </r>
  <r>
    <x v="27"/>
    <s v="CO2 emissions (kt)"/>
    <n v="9057.49"/>
    <x v="14"/>
  </r>
  <r>
    <x v="0"/>
    <s v="CO2 emissions (kt)"/>
    <n v="77.007000000000005"/>
    <x v="15"/>
  </r>
  <r>
    <x v="1"/>
    <s v="CO2 emissions (kt)"/>
    <n v="1162.4390000000001"/>
    <x v="15"/>
  </r>
  <r>
    <x v="2"/>
    <s v="CO2 emissions (kt)"/>
    <n v="183.35"/>
    <x v="15"/>
  </r>
  <r>
    <x v="3"/>
    <s v="CO2 emissions (kt)"/>
    <n v="33.003"/>
    <x v="15"/>
  </r>
  <r>
    <x v="4"/>
    <s v="CO2 emissions (kt)"/>
    <n v="198.018"/>
    <x v="15"/>
  </r>
  <r>
    <x v="5"/>
    <s v="CO2 emissions (kt)"/>
    <n v="1210.1099999999999"/>
    <x v="15"/>
  </r>
  <r>
    <x v="6"/>
    <s v="CO2 emissions (kt)"/>
    <n v="843.41"/>
    <x v="15"/>
  </r>
  <r>
    <x v="7"/>
    <s v="CO2 emissions (kt)"/>
    <n v="484.04399999999998"/>
    <x v="15"/>
  </r>
  <r>
    <x v="8"/>
    <s v="CO2 emissions (kt)"/>
    <n v="4976.1189999999997"/>
    <x v="15"/>
  </r>
  <r>
    <x v="9"/>
    <s v="CO2 emissions (kt)"/>
    <m/>
    <x v="15"/>
  </r>
  <r>
    <x v="10"/>
    <s v="CO2 emissions (kt)"/>
    <n v="1485.135"/>
    <x v="15"/>
  </r>
  <r>
    <x v="11"/>
    <s v="CO2 emissions (kt)"/>
    <n v="1694.154"/>
    <x v="15"/>
  </r>
  <r>
    <x v="12"/>
    <s v="CO2 emissions (kt)"/>
    <n v="579.38599999999997"/>
    <x v="15"/>
  </r>
  <r>
    <x v="13"/>
    <s v="CO2 emissions (kt)"/>
    <n v="341.03100000000001"/>
    <x v="15"/>
  </r>
  <r>
    <x v="14"/>
    <s v="CO2 emissions (kt)"/>
    <m/>
    <x v="15"/>
  </r>
  <r>
    <x v="15"/>
    <s v="CO2 emissions (kt)"/>
    <n v="2885.9290000000001"/>
    <x v="15"/>
  </r>
  <r>
    <x v="16"/>
    <s v="CO2 emissions (kt)"/>
    <n v="4587.4170000000004"/>
    <x v="15"/>
  </r>
  <r>
    <x v="17"/>
    <s v="CO2 emissions (kt)"/>
    <n v="352.03199999999998"/>
    <x v="15"/>
  </r>
  <r>
    <x v="18"/>
    <s v="CO2 emissions (kt)"/>
    <n v="1928.8420000000001"/>
    <x v="15"/>
  </r>
  <r>
    <x v="19"/>
    <s v="CO2 emissions (kt)"/>
    <n v="333.697"/>
    <x v="15"/>
  </r>
  <r>
    <x v="20"/>
    <s v="CO2 emissions (kt)"/>
    <n v="176.01599999999999"/>
    <x v="15"/>
  </r>
  <r>
    <x v="21"/>
    <s v="CO2 emissions (kt)"/>
    <n v="18.335000000000001"/>
    <x v="15"/>
  </r>
  <r>
    <x v="22"/>
    <s v="CO2 emissions (kt)"/>
    <n v="2896.93"/>
    <x v="15"/>
  </r>
  <r>
    <x v="23"/>
    <s v="CO2 emissions (kt)"/>
    <m/>
    <x v="15"/>
  </r>
  <r>
    <x v="24"/>
    <s v="CO2 emissions (kt)"/>
    <n v="2284.5410000000002"/>
    <x v="15"/>
  </r>
  <r>
    <x v="25"/>
    <s v="CO2 emissions (kt)"/>
    <n v="1133.1030000000001"/>
    <x v="15"/>
  </r>
  <r>
    <x v="26"/>
    <s v="CO2 emissions (kt)"/>
    <n v="4081.3710000000001"/>
    <x v="15"/>
  </r>
  <r>
    <x v="27"/>
    <s v="CO2 emissions (kt)"/>
    <n v="8320.4230000000007"/>
    <x v="15"/>
  </r>
  <r>
    <x v="0"/>
    <s v="CO2 emissions (kt)"/>
    <n v="88.007999999999996"/>
    <x v="16"/>
  </r>
  <r>
    <x v="1"/>
    <s v="CO2 emissions (kt)"/>
    <n v="1092.7660000000001"/>
    <x v="16"/>
  </r>
  <r>
    <x v="2"/>
    <s v="CO2 emissions (kt)"/>
    <n v="183.35"/>
    <x v="16"/>
  </r>
  <r>
    <x v="3"/>
    <s v="CO2 emissions (kt)"/>
    <n v="40.337000000000003"/>
    <x v="16"/>
  </r>
  <r>
    <x v="4"/>
    <s v="CO2 emissions (kt)"/>
    <n v="198.018"/>
    <x v="16"/>
  </r>
  <r>
    <x v="5"/>
    <s v="CO2 emissions (kt)"/>
    <n v="1177.107"/>
    <x v="16"/>
  </r>
  <r>
    <x v="6"/>
    <s v="CO2 emissions (kt)"/>
    <n v="887.41399999999999"/>
    <x v="16"/>
  </r>
  <r>
    <x v="7"/>
    <s v="CO2 emissions (kt)"/>
    <n v="674.72799999999995"/>
    <x v="16"/>
  </r>
  <r>
    <x v="8"/>
    <s v="CO2 emissions (kt)"/>
    <n v="4609.4189999999999"/>
    <x v="16"/>
  </r>
  <r>
    <x v="9"/>
    <s v="CO2 emissions (kt)"/>
    <m/>
    <x v="16"/>
  </r>
  <r>
    <x v="10"/>
    <s v="CO2 emissions (kt)"/>
    <n v="1477.8009999999999"/>
    <x v="16"/>
  </r>
  <r>
    <x v="11"/>
    <s v="CO2 emissions (kt)"/>
    <n v="993.75699999999995"/>
    <x v="16"/>
  </r>
  <r>
    <x v="12"/>
    <s v="CO2 emissions (kt)"/>
    <n v="583.053"/>
    <x v="16"/>
  </r>
  <r>
    <x v="13"/>
    <s v="CO2 emissions (kt)"/>
    <n v="341.03100000000001"/>
    <x v="16"/>
  </r>
  <r>
    <x v="14"/>
    <s v="CO2 emissions (kt)"/>
    <m/>
    <x v="16"/>
  </r>
  <r>
    <x v="15"/>
    <s v="CO2 emissions (kt)"/>
    <n v="2559.5659999999998"/>
    <x v="16"/>
  </r>
  <r>
    <x v="16"/>
    <s v="CO2 emissions (kt)"/>
    <n v="4899.1120000000001"/>
    <x v="16"/>
  </r>
  <r>
    <x v="17"/>
    <s v="CO2 emissions (kt)"/>
    <n v="282.35899999999998"/>
    <x v="16"/>
  </r>
  <r>
    <x v="18"/>
    <s v="CO2 emissions (kt)"/>
    <n v="2225.8690000000001"/>
    <x v="16"/>
  </r>
  <r>
    <x v="19"/>
    <s v="CO2 emissions (kt)"/>
    <n v="333.697"/>
    <x v="16"/>
  </r>
  <r>
    <x v="20"/>
    <s v="CO2 emissions (kt)"/>
    <n v="267.69099999999997"/>
    <x v="16"/>
  </r>
  <r>
    <x v="21"/>
    <s v="CO2 emissions (kt)"/>
    <n v="29.335999999999999"/>
    <x v="16"/>
  </r>
  <r>
    <x v="22"/>
    <s v="CO2 emissions (kt)"/>
    <n v="2805.2550000000001"/>
    <x v="16"/>
  </r>
  <r>
    <x v="23"/>
    <s v="CO2 emissions (kt)"/>
    <m/>
    <x v="16"/>
  </r>
  <r>
    <x v="24"/>
    <s v="CO2 emissions (kt)"/>
    <n v="2790.587"/>
    <x v="16"/>
  </r>
  <r>
    <x v="25"/>
    <s v="CO2 emissions (kt)"/>
    <n v="990.09"/>
    <x v="16"/>
  </r>
  <r>
    <x v="26"/>
    <s v="CO2 emissions (kt)"/>
    <n v="4026.366"/>
    <x v="16"/>
  </r>
  <r>
    <x v="27"/>
    <s v="CO2 emissions (kt)"/>
    <n v="10868.987999999999"/>
    <x v="16"/>
  </r>
  <r>
    <x v="0"/>
    <s v="CO2 emissions (kt)"/>
    <n v="99.009"/>
    <x v="17"/>
  </r>
  <r>
    <x v="1"/>
    <s v="CO2 emissions (kt)"/>
    <n v="1565.809"/>
    <x v="17"/>
  </r>
  <r>
    <x v="2"/>
    <s v="CO2 emissions (kt)"/>
    <n v="198.018"/>
    <x v="17"/>
  </r>
  <r>
    <x v="3"/>
    <s v="CO2 emissions (kt)"/>
    <n v="40.337000000000003"/>
    <x v="17"/>
  </r>
  <r>
    <x v="4"/>
    <s v="CO2 emissions (kt)"/>
    <n v="198.018"/>
    <x v="17"/>
  </r>
  <r>
    <x v="5"/>
    <s v="CO2 emissions (kt)"/>
    <n v="1048.7619999999999"/>
    <x v="17"/>
  </r>
  <r>
    <x v="6"/>
    <s v="CO2 emissions (kt)"/>
    <n v="902.08199999999999"/>
    <x v="17"/>
  </r>
  <r>
    <x v="7"/>
    <s v="CO2 emissions (kt)"/>
    <n v="707.73099999999999"/>
    <x v="17"/>
  </r>
  <r>
    <x v="8"/>
    <s v="CO2 emissions (kt)"/>
    <n v="5056.7929999999997"/>
    <x v="17"/>
  </r>
  <r>
    <x v="9"/>
    <s v="CO2 emissions (kt)"/>
    <m/>
    <x v="17"/>
  </r>
  <r>
    <x v="10"/>
    <s v="CO2 emissions (kt)"/>
    <n v="1474.134"/>
    <x v="17"/>
  </r>
  <r>
    <x v="11"/>
    <s v="CO2 emissions (kt)"/>
    <n v="847.077"/>
    <x v="17"/>
  </r>
  <r>
    <x v="12"/>
    <s v="CO2 emissions (kt)"/>
    <n v="638.05799999999999"/>
    <x v="17"/>
  </r>
  <r>
    <x v="13"/>
    <s v="CO2 emissions (kt)"/>
    <n v="414.37099999999998"/>
    <x v="17"/>
  </r>
  <r>
    <x v="14"/>
    <s v="CO2 emissions (kt)"/>
    <m/>
    <x v="17"/>
  </r>
  <r>
    <x v="15"/>
    <s v="CO2 emissions (kt)"/>
    <n v="2713.58"/>
    <x v="17"/>
  </r>
  <r>
    <x v="16"/>
    <s v="CO2 emissions (kt)"/>
    <n v="5174.1369999999997"/>
    <x v="17"/>
  </r>
  <r>
    <x v="17"/>
    <s v="CO2 emissions (kt)"/>
    <n v="337.36399999999998"/>
    <x v="17"/>
  </r>
  <r>
    <x v="18"/>
    <s v="CO2 emissions (kt)"/>
    <n v="2838.2579999999998"/>
    <x v="17"/>
  </r>
  <r>
    <x v="19"/>
    <s v="CO2 emissions (kt)"/>
    <n v="366.7"/>
    <x v="17"/>
  </r>
  <r>
    <x v="20"/>
    <s v="CO2 emissions (kt)"/>
    <n v="267.69099999999997"/>
    <x v="17"/>
  </r>
  <r>
    <x v="21"/>
    <s v="CO2 emissions (kt)"/>
    <n v="29.335999999999999"/>
    <x v="17"/>
  </r>
  <r>
    <x v="22"/>
    <s v="CO2 emissions (kt)"/>
    <n v="2918.9319999999998"/>
    <x v="17"/>
  </r>
  <r>
    <x v="23"/>
    <s v="CO2 emissions (kt)"/>
    <m/>
    <x v="17"/>
  </r>
  <r>
    <x v="24"/>
    <s v="CO2 emissions (kt)"/>
    <n v="2013.183"/>
    <x v="17"/>
  </r>
  <r>
    <x v="25"/>
    <s v="CO2 emissions (kt)"/>
    <n v="806.74"/>
    <x v="17"/>
  </r>
  <r>
    <x v="26"/>
    <s v="CO2 emissions (kt)"/>
    <n v="3744.0070000000001"/>
    <x v="17"/>
  </r>
  <r>
    <x v="27"/>
    <s v="CO2 emissions (kt)"/>
    <n v="9299.5120000000006"/>
    <x v="17"/>
  </r>
  <r>
    <x v="0"/>
    <s v="CO2 emissions (kt)"/>
    <n v="102.676"/>
    <x v="18"/>
  </r>
  <r>
    <x v="1"/>
    <s v="CO2 emissions (kt)"/>
    <n v="2002.182"/>
    <x v="18"/>
  </r>
  <r>
    <x v="2"/>
    <s v="CO2 emissions (kt)"/>
    <n v="194.351"/>
    <x v="18"/>
  </r>
  <r>
    <x v="3"/>
    <s v="CO2 emissions (kt)"/>
    <n v="29.335999999999999"/>
    <x v="18"/>
  </r>
  <r>
    <x v="4"/>
    <s v="CO2 emissions (kt)"/>
    <n v="201.685"/>
    <x v="18"/>
  </r>
  <r>
    <x v="5"/>
    <s v="CO2 emissions (kt)"/>
    <n v="1371.4580000000001"/>
    <x v="18"/>
  </r>
  <r>
    <x v="6"/>
    <s v="CO2 emissions (kt)"/>
    <n v="902.08199999999999"/>
    <x v="18"/>
  </r>
  <r>
    <x v="7"/>
    <s v="CO2 emissions (kt)"/>
    <n v="755.40200000000004"/>
    <x v="18"/>
  </r>
  <r>
    <x v="8"/>
    <s v="CO2 emissions (kt)"/>
    <n v="5324.4840000000004"/>
    <x v="18"/>
  </r>
  <r>
    <x v="9"/>
    <s v="CO2 emissions (kt)"/>
    <m/>
    <x v="18"/>
  </r>
  <r>
    <x v="10"/>
    <s v="CO2 emissions (kt)"/>
    <n v="1507.1369999999999"/>
    <x v="18"/>
  </r>
  <r>
    <x v="11"/>
    <s v="CO2 emissions (kt)"/>
    <n v="1019.426"/>
    <x v="18"/>
  </r>
  <r>
    <x v="12"/>
    <s v="CO2 emissions (kt)"/>
    <n v="671.06100000000004"/>
    <x v="18"/>
  </r>
  <r>
    <x v="13"/>
    <s v="CO2 emissions (kt)"/>
    <n v="396.036"/>
    <x v="18"/>
  </r>
  <r>
    <x v="14"/>
    <s v="CO2 emissions (kt)"/>
    <m/>
    <x v="18"/>
  </r>
  <r>
    <x v="15"/>
    <s v="CO2 emissions (kt)"/>
    <n v="2874.9279999999999"/>
    <x v="18"/>
  </r>
  <r>
    <x v="16"/>
    <s v="CO2 emissions (kt)"/>
    <n v="5155.8019999999997"/>
    <x v="18"/>
  </r>
  <r>
    <x v="17"/>
    <s v="CO2 emissions (kt)"/>
    <n v="330.03"/>
    <x v="18"/>
  </r>
  <r>
    <x v="18"/>
    <s v="CO2 emissions (kt)"/>
    <n v="2632.9059999999999"/>
    <x v="18"/>
  </r>
  <r>
    <x v="19"/>
    <s v="CO2 emissions (kt)"/>
    <n v="418.03800000000001"/>
    <x v="18"/>
  </r>
  <r>
    <x v="20"/>
    <s v="CO2 emissions (kt)"/>
    <n v="289.69299999999998"/>
    <x v="18"/>
  </r>
  <r>
    <x v="21"/>
    <s v="CO2 emissions (kt)"/>
    <n v="33.003"/>
    <x v="18"/>
  </r>
  <r>
    <x v="22"/>
    <s v="CO2 emissions (kt)"/>
    <n v="3450.6469999999999"/>
    <x v="18"/>
  </r>
  <r>
    <x v="23"/>
    <s v="CO2 emissions (kt)"/>
    <m/>
    <x v="18"/>
  </r>
  <r>
    <x v="24"/>
    <s v="CO2 emissions (kt)"/>
    <n v="2203.8670000000002"/>
    <x v="18"/>
  </r>
  <r>
    <x v="25"/>
    <s v="CO2 emissions (kt)"/>
    <n v="700.39700000000005"/>
    <x v="18"/>
  </r>
  <r>
    <x v="26"/>
    <s v="CO2 emissions (kt)"/>
    <n v="3476.3159999999998"/>
    <x v="18"/>
  </r>
  <r>
    <x v="27"/>
    <s v="CO2 emissions (kt)"/>
    <n v="9295.8449999999993"/>
    <x v="18"/>
  </r>
  <r>
    <x v="0"/>
    <s v="CO2 emissions (kt)"/>
    <n v="110.01"/>
    <x v="19"/>
  </r>
  <r>
    <x v="1"/>
    <s v="CO2 emissions (kt)"/>
    <n v="1829.8330000000001"/>
    <x v="19"/>
  </r>
  <r>
    <x v="2"/>
    <s v="CO2 emissions (kt)"/>
    <n v="201.685"/>
    <x v="19"/>
  </r>
  <r>
    <x v="3"/>
    <s v="CO2 emissions (kt)"/>
    <n v="22.001999999999999"/>
    <x v="19"/>
  </r>
  <r>
    <x v="4"/>
    <s v="CO2 emissions (kt)"/>
    <n v="363.03300000000002"/>
    <x v="19"/>
  </r>
  <r>
    <x v="5"/>
    <s v="CO2 emissions (kt)"/>
    <n v="1848.1679999999999"/>
    <x v="19"/>
  </r>
  <r>
    <x v="6"/>
    <s v="CO2 emissions (kt)"/>
    <n v="946.08600000000001"/>
    <x v="19"/>
  </r>
  <r>
    <x v="7"/>
    <s v="CO2 emissions (kt)"/>
    <n v="755.40200000000004"/>
    <x v="19"/>
  </r>
  <r>
    <x v="8"/>
    <s v="CO2 emissions (kt)"/>
    <n v="5038.4579999999996"/>
    <x v="19"/>
  </r>
  <r>
    <x v="9"/>
    <s v="CO2 emissions (kt)"/>
    <m/>
    <x v="19"/>
  </r>
  <r>
    <x v="10"/>
    <s v="CO2 emissions (kt)"/>
    <n v="1947.1769999999999"/>
    <x v="19"/>
  </r>
  <r>
    <x v="11"/>
    <s v="CO2 emissions (kt)"/>
    <n v="1133.1030000000001"/>
    <x v="19"/>
  </r>
  <r>
    <x v="12"/>
    <s v="CO2 emissions (kt)"/>
    <n v="638.05799999999999"/>
    <x v="19"/>
  </r>
  <r>
    <x v="13"/>
    <s v="CO2 emissions (kt)"/>
    <n v="429.03899999999999"/>
    <x v="19"/>
  </r>
  <r>
    <x v="14"/>
    <s v="CO2 emissions (kt)"/>
    <m/>
    <x v="19"/>
  </r>
  <r>
    <x v="15"/>
    <s v="CO2 emissions (kt)"/>
    <n v="2643.9070000000002"/>
    <x v="19"/>
  </r>
  <r>
    <x v="16"/>
    <s v="CO2 emissions (kt)"/>
    <n v="5100.7969999999996"/>
    <x v="19"/>
  </r>
  <r>
    <x v="17"/>
    <s v="CO2 emissions (kt)"/>
    <n v="513.38"/>
    <x v="19"/>
  </r>
  <r>
    <x v="18"/>
    <s v="CO2 emissions (kt)"/>
    <n v="1712.489"/>
    <x v="19"/>
  </r>
  <r>
    <x v="19"/>
    <s v="CO2 emissions (kt)"/>
    <n v="480.37700000000001"/>
    <x v="19"/>
  </r>
  <r>
    <x v="20"/>
    <s v="CO2 emissions (kt)"/>
    <n v="297.02699999999999"/>
    <x v="19"/>
  </r>
  <r>
    <x v="21"/>
    <s v="CO2 emissions (kt)"/>
    <n v="33.003"/>
    <x v="19"/>
  </r>
  <r>
    <x v="22"/>
    <s v="CO2 emissions (kt)"/>
    <n v="3828.348"/>
    <x v="19"/>
  </r>
  <r>
    <x v="23"/>
    <s v="CO2 emissions (kt)"/>
    <m/>
    <x v="19"/>
  </r>
  <r>
    <x v="24"/>
    <s v="CO2 emissions (kt)"/>
    <n v="2071.855"/>
    <x v="19"/>
  </r>
  <r>
    <x v="25"/>
    <s v="CO2 emissions (kt)"/>
    <n v="674.72799999999995"/>
    <x v="19"/>
  </r>
  <r>
    <x v="26"/>
    <s v="CO2 emissions (kt)"/>
    <n v="3604.6610000000001"/>
    <x v="19"/>
  </r>
  <r>
    <x v="27"/>
    <s v="CO2 emissions (kt)"/>
    <n v="9449.8590000000004"/>
    <x v="19"/>
  </r>
  <r>
    <x v="0"/>
    <s v="CO2 emissions (kt)"/>
    <n v="146.68"/>
    <x v="20"/>
  </r>
  <r>
    <x v="1"/>
    <s v="CO2 emissions (kt)"/>
    <n v="3905.355"/>
    <x v="20"/>
  </r>
  <r>
    <x v="2"/>
    <s v="CO2 emissions (kt)"/>
    <n v="209.01900000000001"/>
    <x v="20"/>
  </r>
  <r>
    <x v="3"/>
    <s v="CO2 emissions (kt)"/>
    <n v="47.670999999999999"/>
    <x v="20"/>
  </r>
  <r>
    <x v="4"/>
    <s v="CO2 emissions (kt)"/>
    <n v="348.36500000000001"/>
    <x v="20"/>
  </r>
  <r>
    <x v="5"/>
    <s v="CO2 emissions (kt)"/>
    <n v="1822.499"/>
    <x v="20"/>
  </r>
  <r>
    <x v="6"/>
    <s v="CO2 emissions (kt)"/>
    <n v="964.42100000000005"/>
    <x v="20"/>
  </r>
  <r>
    <x v="7"/>
    <s v="CO2 emissions (kt)"/>
    <n v="751.73500000000001"/>
    <x v="20"/>
  </r>
  <r>
    <x v="8"/>
    <s v="CO2 emissions (kt)"/>
    <n v="6197.23"/>
    <x v="20"/>
  </r>
  <r>
    <x v="9"/>
    <s v="CO2 emissions (kt)"/>
    <m/>
    <x v="20"/>
  </r>
  <r>
    <x v="10"/>
    <s v="CO2 emissions (kt)"/>
    <n v="2042.519"/>
    <x v="20"/>
  </r>
  <r>
    <x v="11"/>
    <s v="CO2 emissions (kt)"/>
    <n v="1617.1469999999999"/>
    <x v="20"/>
  </r>
  <r>
    <x v="12"/>
    <s v="CO2 emissions (kt)"/>
    <n v="711.39800000000002"/>
    <x v="20"/>
  </r>
  <r>
    <x v="13"/>
    <s v="CO2 emissions (kt)"/>
    <n v="392.36900000000003"/>
    <x v="20"/>
  </r>
  <r>
    <x v="14"/>
    <s v="CO2 emissions (kt)"/>
    <m/>
    <x v="20"/>
  </r>
  <r>
    <x v="15"/>
    <s v="CO2 emissions (kt)"/>
    <n v="3208.625"/>
    <x v="20"/>
  </r>
  <r>
    <x v="16"/>
    <s v="CO2 emissions (kt)"/>
    <n v="5526.1689999999999"/>
    <x v="20"/>
  </r>
  <r>
    <x v="17"/>
    <s v="CO2 emissions (kt)"/>
    <n v="542.71600000000001"/>
    <x v="20"/>
  </r>
  <r>
    <x v="18"/>
    <s v="CO2 emissions (kt)"/>
    <n v="2027.8510000000001"/>
    <x v="20"/>
  </r>
  <r>
    <x v="19"/>
    <s v="CO2 emissions (kt)"/>
    <n v="572.05200000000002"/>
    <x v="20"/>
  </r>
  <r>
    <x v="20"/>
    <s v="CO2 emissions (kt)"/>
    <n v="495.04500000000002"/>
    <x v="20"/>
  </r>
  <r>
    <x v="21"/>
    <s v="CO2 emissions (kt)"/>
    <n v="40.337000000000003"/>
    <x v="20"/>
  </r>
  <r>
    <x v="22"/>
    <s v="CO2 emissions (kt)"/>
    <n v="3410.31"/>
    <x v="20"/>
  </r>
  <r>
    <x v="23"/>
    <s v="CO2 emissions (kt)"/>
    <m/>
    <x v="20"/>
  </r>
  <r>
    <x v="24"/>
    <s v="CO2 emissions (kt)"/>
    <n v="1884.838"/>
    <x v="20"/>
  </r>
  <r>
    <x v="25"/>
    <s v="CO2 emissions (kt)"/>
    <n v="627.05700000000002"/>
    <x v="20"/>
  </r>
  <r>
    <x v="26"/>
    <s v="CO2 emissions (kt)"/>
    <n v="3531.3209999999999"/>
    <x v="20"/>
  </r>
  <r>
    <x v="27"/>
    <s v="CO2 emissions (kt)"/>
    <n v="9636.8760000000002"/>
    <x v="20"/>
  </r>
  <r>
    <x v="0"/>
    <s v="CO2 emissions (kt)"/>
    <n v="157.68100000000001"/>
    <x v="21"/>
  </r>
  <r>
    <x v="1"/>
    <s v="CO2 emissions (kt)"/>
    <n v="5342.8190000000004"/>
    <x v="21"/>
  </r>
  <r>
    <x v="2"/>
    <s v="CO2 emissions (kt)"/>
    <n v="209.01900000000001"/>
    <x v="21"/>
  </r>
  <r>
    <x v="3"/>
    <s v="CO2 emissions (kt)"/>
    <n v="47.670999999999999"/>
    <x v="21"/>
  </r>
  <r>
    <x v="4"/>
    <s v="CO2 emissions (kt)"/>
    <n v="300.69400000000002"/>
    <x v="21"/>
  </r>
  <r>
    <x v="5"/>
    <s v="CO2 emissions (kt)"/>
    <n v="1866.5029999999999"/>
    <x v="21"/>
  </r>
  <r>
    <x v="6"/>
    <s v="CO2 emissions (kt)"/>
    <n v="990.09"/>
    <x v="21"/>
  </r>
  <r>
    <x v="7"/>
    <s v="CO2 emissions (kt)"/>
    <n v="766.40300000000002"/>
    <x v="21"/>
  </r>
  <r>
    <x v="8"/>
    <s v="CO2 emissions (kt)"/>
    <n v="6527.26"/>
    <x v="21"/>
  </r>
  <r>
    <x v="9"/>
    <s v="CO2 emissions (kt)"/>
    <m/>
    <x v="21"/>
  </r>
  <r>
    <x v="10"/>
    <s v="CO2 emissions (kt)"/>
    <n v="1939.8430000000001"/>
    <x v="21"/>
  </r>
  <r>
    <x v="11"/>
    <s v="CO2 emissions (kt)"/>
    <n v="1026.76"/>
    <x v="21"/>
  </r>
  <r>
    <x v="12"/>
    <s v="CO2 emissions (kt)"/>
    <n v="605.05499999999995"/>
    <x v="21"/>
  </r>
  <r>
    <x v="13"/>
    <s v="CO2 emissions (kt)"/>
    <n v="396.036"/>
    <x v="21"/>
  </r>
  <r>
    <x v="14"/>
    <s v="CO2 emissions (kt)"/>
    <m/>
    <x v="21"/>
  </r>
  <r>
    <x v="15"/>
    <s v="CO2 emissions (kt)"/>
    <n v="2489.893"/>
    <x v="21"/>
  </r>
  <r>
    <x v="16"/>
    <s v="CO2 emissions (kt)"/>
    <n v="5639.8459999999995"/>
    <x v="21"/>
  </r>
  <r>
    <x v="17"/>
    <s v="CO2 emissions (kt)"/>
    <n v="454.70800000000003"/>
    <x v="21"/>
  </r>
  <r>
    <x v="18"/>
    <s v="CO2 emissions (kt)"/>
    <n v="2141.5279999999998"/>
    <x v="21"/>
  </r>
  <r>
    <x v="19"/>
    <s v="CO2 emissions (kt)"/>
    <n v="685.72900000000004"/>
    <x v="21"/>
  </r>
  <r>
    <x v="20"/>
    <s v="CO2 emissions (kt)"/>
    <n v="601.38800000000003"/>
    <x v="21"/>
  </r>
  <r>
    <x v="21"/>
    <s v="CO2 emissions (kt)"/>
    <n v="44.003999999999998"/>
    <x v="21"/>
  </r>
  <r>
    <x v="22"/>
    <s v="CO2 emissions (kt)"/>
    <n v="4033.7"/>
    <x v="21"/>
  </r>
  <r>
    <x v="23"/>
    <s v="CO2 emissions (kt)"/>
    <m/>
    <x v="21"/>
  </r>
  <r>
    <x v="24"/>
    <s v="CO2 emissions (kt)"/>
    <n v="2123.1930000000002"/>
    <x v="21"/>
  </r>
  <r>
    <x v="25"/>
    <s v="CO2 emissions (kt)"/>
    <n v="528.048"/>
    <x v="21"/>
  </r>
  <r>
    <x v="26"/>
    <s v="CO2 emissions (kt)"/>
    <n v="3366.306"/>
    <x v="21"/>
  </r>
  <r>
    <x v="27"/>
    <s v="CO2 emissions (kt)"/>
    <n v="9435.1910000000007"/>
    <x v="21"/>
  </r>
  <r>
    <x v="0"/>
    <s v="CO2 emissions (kt)"/>
    <n v="157.68100000000001"/>
    <x v="22"/>
  </r>
  <r>
    <x v="1"/>
    <s v="CO2 emissions (kt)"/>
    <n v="6343.91"/>
    <x v="22"/>
  </r>
  <r>
    <x v="2"/>
    <s v="CO2 emissions (kt)"/>
    <n v="205.352"/>
    <x v="22"/>
  </r>
  <r>
    <x v="3"/>
    <s v="CO2 emissions (kt)"/>
    <n v="47.670999999999999"/>
    <x v="22"/>
  </r>
  <r>
    <x v="4"/>
    <s v="CO2 emissions (kt)"/>
    <n v="348.36500000000001"/>
    <x v="22"/>
  </r>
  <r>
    <x v="5"/>
    <s v="CO2 emissions (kt)"/>
    <n v="1481.4680000000001"/>
    <x v="22"/>
  </r>
  <r>
    <x v="6"/>
    <s v="CO2 emissions (kt)"/>
    <n v="982.75599999999997"/>
    <x v="22"/>
  </r>
  <r>
    <x v="7"/>
    <s v="CO2 emissions (kt)"/>
    <n v="825.07500000000005"/>
    <x v="22"/>
  </r>
  <r>
    <x v="8"/>
    <s v="CO2 emissions (kt)"/>
    <n v="4693.76"/>
    <x v="22"/>
  </r>
  <r>
    <x v="9"/>
    <s v="CO2 emissions (kt)"/>
    <m/>
    <x v="22"/>
  </r>
  <r>
    <x v="10"/>
    <s v="CO2 emissions (kt)"/>
    <n v="601.38800000000003"/>
    <x v="22"/>
  </r>
  <r>
    <x v="11"/>
    <s v="CO2 emissions (kt)"/>
    <n v="1015.759"/>
    <x v="22"/>
  </r>
  <r>
    <x v="12"/>
    <s v="CO2 emissions (kt)"/>
    <n v="594.05399999999997"/>
    <x v="22"/>
  </r>
  <r>
    <x v="13"/>
    <s v="CO2 emissions (kt)"/>
    <n v="366.7"/>
    <x v="22"/>
  </r>
  <r>
    <x v="14"/>
    <s v="CO2 emissions (kt)"/>
    <m/>
    <x v="22"/>
  </r>
  <r>
    <x v="15"/>
    <s v="CO2 emissions (kt)"/>
    <n v="2541.2310000000002"/>
    <x v="22"/>
  </r>
  <r>
    <x v="16"/>
    <s v="CO2 emissions (kt)"/>
    <n v="5599.509"/>
    <x v="22"/>
  </r>
  <r>
    <x v="17"/>
    <s v="CO2 emissions (kt)"/>
    <n v="443.70699999999999"/>
    <x v="22"/>
  </r>
  <r>
    <x v="18"/>
    <s v="CO2 emissions (kt)"/>
    <n v="2115.8589999999999"/>
    <x v="22"/>
  </r>
  <r>
    <x v="19"/>
    <s v="CO2 emissions (kt)"/>
    <n v="748.06799999999998"/>
    <x v="22"/>
  </r>
  <r>
    <x v="20"/>
    <s v="CO2 emissions (kt)"/>
    <n v="608.72199999999998"/>
    <x v="22"/>
  </r>
  <r>
    <x v="21"/>
    <s v="CO2 emissions (kt)"/>
    <n v="47.670999999999999"/>
    <x v="22"/>
  </r>
  <r>
    <x v="22"/>
    <s v="CO2 emissions (kt)"/>
    <n v="4499.4089999999997"/>
    <x v="22"/>
  </r>
  <r>
    <x v="23"/>
    <s v="CO2 emissions (kt)"/>
    <m/>
    <x v="22"/>
  </r>
  <r>
    <x v="24"/>
    <s v="CO2 emissions (kt)"/>
    <n v="2167.1970000000001"/>
    <x v="22"/>
  </r>
  <r>
    <x v="25"/>
    <s v="CO2 emissions (kt)"/>
    <n v="546.38300000000004"/>
    <x v="22"/>
  </r>
  <r>
    <x v="26"/>
    <s v="CO2 emissions (kt)"/>
    <n v="3520.32"/>
    <x v="22"/>
  </r>
  <r>
    <x v="27"/>
    <s v="CO2 emissions (kt)"/>
    <n v="8811.8009999999995"/>
    <x v="22"/>
  </r>
  <r>
    <x v="0"/>
    <s v="CO2 emissions (kt)"/>
    <n v="205.352"/>
    <x v="23"/>
  </r>
  <r>
    <x v="1"/>
    <s v="CO2 emissions (kt)"/>
    <n v="6589.5990000000002"/>
    <x v="23"/>
  </r>
  <r>
    <x v="2"/>
    <s v="CO2 emissions (kt)"/>
    <n v="205.352"/>
    <x v="23"/>
  </r>
  <r>
    <x v="3"/>
    <s v="CO2 emissions (kt)"/>
    <n v="47.670999999999999"/>
    <x v="23"/>
  </r>
  <r>
    <x v="4"/>
    <s v="CO2 emissions (kt)"/>
    <n v="348.36500000000001"/>
    <x v="23"/>
  </r>
  <r>
    <x v="5"/>
    <s v="CO2 emissions (kt)"/>
    <n v="1844.501"/>
    <x v="23"/>
  </r>
  <r>
    <x v="6"/>
    <s v="CO2 emissions (kt)"/>
    <n v="953.42"/>
    <x v="23"/>
  </r>
  <r>
    <x v="7"/>
    <s v="CO2 emissions (kt)"/>
    <n v="894.74800000000005"/>
    <x v="23"/>
  </r>
  <r>
    <x v="8"/>
    <s v="CO2 emissions (kt)"/>
    <n v="4660.7569999999996"/>
    <x v="23"/>
  </r>
  <r>
    <x v="9"/>
    <s v="CO2 emissions (kt)"/>
    <m/>
    <x v="23"/>
  </r>
  <r>
    <x v="10"/>
    <s v="CO2 emissions (kt)"/>
    <n v="711.39800000000002"/>
    <x v="23"/>
  </r>
  <r>
    <x v="11"/>
    <s v="CO2 emissions (kt)"/>
    <n v="652.726"/>
    <x v="23"/>
  </r>
  <r>
    <x v="12"/>
    <s v="CO2 emissions (kt)"/>
    <n v="575.71900000000005"/>
    <x v="23"/>
  </r>
  <r>
    <x v="13"/>
    <s v="CO2 emissions (kt)"/>
    <n v="418.03800000000001"/>
    <x v="23"/>
  </r>
  <r>
    <x v="14"/>
    <s v="CO2 emissions (kt)"/>
    <m/>
    <x v="23"/>
  </r>
  <r>
    <x v="15"/>
    <s v="CO2 emissions (kt)"/>
    <n v="1976.5129999999999"/>
    <x v="23"/>
  </r>
  <r>
    <x v="16"/>
    <s v="CO2 emissions (kt)"/>
    <n v="5775.5249999999996"/>
    <x v="23"/>
  </r>
  <r>
    <x v="17"/>
    <s v="CO2 emissions (kt)"/>
    <n v="495.04500000000002"/>
    <x v="23"/>
  </r>
  <r>
    <x v="18"/>
    <s v="CO2 emissions (kt)"/>
    <n v="2002.182"/>
    <x v="23"/>
  </r>
  <r>
    <x v="19"/>
    <s v="CO2 emissions (kt)"/>
    <n v="964.42100000000005"/>
    <x v="23"/>
  </r>
  <r>
    <x v="20"/>
    <s v="CO2 emissions (kt)"/>
    <n v="696.73"/>
    <x v="23"/>
  </r>
  <r>
    <x v="21"/>
    <s v="CO2 emissions (kt)"/>
    <n v="55.005000000000003"/>
    <x v="23"/>
  </r>
  <r>
    <x v="22"/>
    <s v="CO2 emissions (kt)"/>
    <n v="4884.4440000000004"/>
    <x v="23"/>
  </r>
  <r>
    <x v="23"/>
    <s v="CO2 emissions (kt)"/>
    <m/>
    <x v="23"/>
  </r>
  <r>
    <x v="24"/>
    <s v="CO2 emissions (kt)"/>
    <n v="2218.5349999999999"/>
    <x v="23"/>
  </r>
  <r>
    <x v="25"/>
    <s v="CO2 emissions (kt)"/>
    <n v="616.05600000000004"/>
    <x v="23"/>
  </r>
  <r>
    <x v="26"/>
    <s v="CO2 emissions (kt)"/>
    <n v="3270.9639999999999"/>
    <x v="23"/>
  </r>
  <r>
    <x v="27"/>
    <s v="CO2 emissions (kt)"/>
    <n v="10461.950999999999"/>
    <x v="23"/>
  </r>
  <r>
    <x v="0"/>
    <s v="CO2 emissions (kt)"/>
    <n v="220.02"/>
    <x v="24"/>
  </r>
  <r>
    <x v="1"/>
    <s v="CO2 emissions (kt)"/>
    <n v="6057.884"/>
    <x v="24"/>
  </r>
  <r>
    <x v="2"/>
    <s v="CO2 emissions (kt)"/>
    <n v="216.35300000000001"/>
    <x v="24"/>
  </r>
  <r>
    <x v="3"/>
    <s v="CO2 emissions (kt)"/>
    <n v="47.670999999999999"/>
    <x v="24"/>
  </r>
  <r>
    <x v="4"/>
    <s v="CO2 emissions (kt)"/>
    <n v="352.03199999999998"/>
    <x v="24"/>
  </r>
  <r>
    <x v="5"/>
    <s v="CO2 emissions (kt)"/>
    <n v="1664.818"/>
    <x v="24"/>
  </r>
  <r>
    <x v="6"/>
    <s v="CO2 emissions (kt)"/>
    <n v="979.08900000000006"/>
    <x v="24"/>
  </r>
  <r>
    <x v="7"/>
    <s v="CO2 emissions (kt)"/>
    <n v="913.08299999999997"/>
    <x v="24"/>
  </r>
  <r>
    <x v="8"/>
    <s v="CO2 emissions (kt)"/>
    <n v="4319.7259999999997"/>
    <x v="24"/>
  </r>
  <r>
    <x v="9"/>
    <s v="CO2 emissions (kt)"/>
    <m/>
    <x v="24"/>
  </r>
  <r>
    <x v="10"/>
    <s v="CO2 emissions (kt)"/>
    <n v="700.39700000000005"/>
    <x v="24"/>
  </r>
  <r>
    <x v="11"/>
    <s v="CO2 emissions (kt)"/>
    <n v="869.07899999999995"/>
    <x v="24"/>
  </r>
  <r>
    <x v="12"/>
    <s v="CO2 emissions (kt)"/>
    <n v="557.38400000000001"/>
    <x v="24"/>
  </r>
  <r>
    <x v="13"/>
    <s v="CO2 emissions (kt)"/>
    <n v="436.37299999999999"/>
    <x v="24"/>
  </r>
  <r>
    <x v="14"/>
    <s v="CO2 emissions (kt)"/>
    <m/>
    <x v="24"/>
  </r>
  <r>
    <x v="15"/>
    <s v="CO2 emissions (kt)"/>
    <n v="1536.473"/>
    <x v="24"/>
  </r>
  <r>
    <x v="16"/>
    <s v="CO2 emissions (kt)"/>
    <n v="6571.2640000000001"/>
    <x v="24"/>
  </r>
  <r>
    <x v="17"/>
    <s v="CO2 emissions (kt)"/>
    <n v="704.06399999999996"/>
    <x v="24"/>
  </r>
  <r>
    <x v="18"/>
    <s v="CO2 emissions (kt)"/>
    <n v="1851.835"/>
    <x v="24"/>
  </r>
  <r>
    <x v="19"/>
    <s v="CO2 emissions (kt)"/>
    <n v="993.75699999999995"/>
    <x v="24"/>
  </r>
  <r>
    <x v="20"/>
    <s v="CO2 emissions (kt)"/>
    <n v="634.39099999999996"/>
    <x v="24"/>
  </r>
  <r>
    <x v="21"/>
    <s v="CO2 emissions (kt)"/>
    <n v="51.338000000000001"/>
    <x v="24"/>
  </r>
  <r>
    <x v="22"/>
    <s v="CO2 emissions (kt)"/>
    <n v="3883.3530000000001"/>
    <x v="24"/>
  </r>
  <r>
    <x v="23"/>
    <s v="CO2 emissions (kt)"/>
    <m/>
    <x v="24"/>
  </r>
  <r>
    <x v="24"/>
    <s v="CO2 emissions (kt)"/>
    <n v="2368.8820000000001"/>
    <x v="24"/>
  </r>
  <r>
    <x v="25"/>
    <s v="CO2 emissions (kt)"/>
    <n v="583.053"/>
    <x v="24"/>
  </r>
  <r>
    <x v="26"/>
    <s v="CO2 emissions (kt)"/>
    <n v="2819.9229999999998"/>
    <x v="24"/>
  </r>
  <r>
    <x v="27"/>
    <s v="CO2 emissions (kt)"/>
    <n v="9922.902"/>
    <x v="24"/>
  </r>
  <r>
    <x v="0"/>
    <s v="CO2 emissions (kt)"/>
    <n v="231.02099999999999"/>
    <x v="25"/>
  </r>
  <r>
    <x v="1"/>
    <s v="CO2 emissions (kt)"/>
    <n v="6475.9219999999996"/>
    <x v="25"/>
  </r>
  <r>
    <x v="2"/>
    <s v="CO2 emissions (kt)"/>
    <n v="179.68299999999999"/>
    <x v="25"/>
  </r>
  <r>
    <x v="3"/>
    <s v="CO2 emissions (kt)"/>
    <n v="47.670999999999999"/>
    <x v="25"/>
  </r>
  <r>
    <x v="4"/>
    <s v="CO2 emissions (kt)"/>
    <n v="359.36599999999999"/>
    <x v="25"/>
  </r>
  <r>
    <x v="5"/>
    <s v="CO2 emissions (kt)"/>
    <n v="1815.165"/>
    <x v="25"/>
  </r>
  <r>
    <x v="6"/>
    <s v="CO2 emissions (kt)"/>
    <n v="993.75699999999995"/>
    <x v="25"/>
  </r>
  <r>
    <x v="7"/>
    <s v="CO2 emissions (kt)"/>
    <n v="942.41899999999998"/>
    <x v="25"/>
  </r>
  <r>
    <x v="8"/>
    <s v="CO2 emissions (kt)"/>
    <n v="3769.6759999999999"/>
    <x v="25"/>
  </r>
  <r>
    <x v="9"/>
    <s v="CO2 emissions (kt)"/>
    <m/>
    <x v="25"/>
  </r>
  <r>
    <x v="10"/>
    <s v="CO2 emissions (kt)"/>
    <n v="722.399"/>
    <x v="25"/>
  </r>
  <r>
    <x v="11"/>
    <s v="CO2 emissions (kt)"/>
    <n v="1056.096"/>
    <x v="25"/>
  </r>
  <r>
    <x v="12"/>
    <s v="CO2 emissions (kt)"/>
    <n v="557.38400000000001"/>
    <x v="25"/>
  </r>
  <r>
    <x v="13"/>
    <s v="CO2 emissions (kt)"/>
    <n v="407.03699999999998"/>
    <x v="25"/>
  </r>
  <r>
    <x v="14"/>
    <s v="CO2 emissions (kt)"/>
    <m/>
    <x v="25"/>
  </r>
  <r>
    <x v="15"/>
    <s v="CO2 emissions (kt)"/>
    <n v="1147.771"/>
    <x v="25"/>
  </r>
  <r>
    <x v="16"/>
    <s v="CO2 emissions (kt)"/>
    <n v="6710.61"/>
    <x v="25"/>
  </r>
  <r>
    <x v="17"/>
    <s v="CO2 emissions (kt)"/>
    <n v="678.39499999999998"/>
    <x v="25"/>
  </r>
  <r>
    <x v="18"/>
    <s v="CO2 emissions (kt)"/>
    <n v="1991.181"/>
    <x v="25"/>
  </r>
  <r>
    <x v="19"/>
    <s v="CO2 emissions (kt)"/>
    <n v="997.42399999999998"/>
    <x v="25"/>
  </r>
  <r>
    <x v="20"/>
    <s v="CO2 emissions (kt)"/>
    <n v="616.05600000000004"/>
    <x v="25"/>
  </r>
  <r>
    <x v="21"/>
    <s v="CO2 emissions (kt)"/>
    <n v="55.005000000000003"/>
    <x v="25"/>
  </r>
  <r>
    <x v="22"/>
    <s v="CO2 emissions (kt)"/>
    <n v="3956.6930000000002"/>
    <x v="25"/>
  </r>
  <r>
    <x v="23"/>
    <s v="CO2 emissions (kt)"/>
    <m/>
    <x v="25"/>
  </r>
  <r>
    <x v="24"/>
    <s v="CO2 emissions (kt)"/>
    <n v="2357.8809999999999"/>
    <x v="25"/>
  </r>
  <r>
    <x v="25"/>
    <s v="CO2 emissions (kt)"/>
    <n v="619.72299999999996"/>
    <x v="25"/>
  </r>
  <r>
    <x v="26"/>
    <s v="CO2 emissions (kt)"/>
    <n v="2753.9169999999999"/>
    <x v="25"/>
  </r>
  <r>
    <x v="27"/>
    <s v="CO2 emissions (kt)"/>
    <n v="10263.933000000001"/>
    <x v="25"/>
  </r>
  <r>
    <x v="0"/>
    <s v="CO2 emissions (kt)"/>
    <n v="234.68799999999999"/>
    <x v="26"/>
  </r>
  <r>
    <x v="1"/>
    <s v="CO2 emissions (kt)"/>
    <n v="1994.848"/>
    <x v="26"/>
  </r>
  <r>
    <x v="2"/>
    <s v="CO2 emissions (kt)"/>
    <n v="187.017"/>
    <x v="26"/>
  </r>
  <r>
    <x v="3"/>
    <s v="CO2 emissions (kt)"/>
    <n v="44.003999999999998"/>
    <x v="26"/>
  </r>
  <r>
    <x v="4"/>
    <s v="CO2 emissions (kt)"/>
    <n v="377.70100000000002"/>
    <x v="26"/>
  </r>
  <r>
    <x v="5"/>
    <s v="CO2 emissions (kt)"/>
    <n v="2214.8679999999999"/>
    <x v="26"/>
  </r>
  <r>
    <x v="6"/>
    <s v="CO2 emissions (kt)"/>
    <n v="997.42399999999998"/>
    <x v="26"/>
  </r>
  <r>
    <x v="7"/>
    <s v="CO2 emissions (kt)"/>
    <n v="843.41"/>
    <x v="26"/>
  </r>
  <r>
    <x v="8"/>
    <s v="CO2 emissions (kt)"/>
    <n v="4162.0450000000001"/>
    <x v="26"/>
  </r>
  <r>
    <x v="9"/>
    <s v="CO2 emissions (kt)"/>
    <m/>
    <x v="26"/>
  </r>
  <r>
    <x v="10"/>
    <s v="CO2 emissions (kt)"/>
    <n v="729.73299999999995"/>
    <x v="26"/>
  </r>
  <r>
    <x v="11"/>
    <s v="CO2 emissions (kt)"/>
    <n v="1140.4369999999999"/>
    <x v="26"/>
  </r>
  <r>
    <x v="12"/>
    <s v="CO2 emissions (kt)"/>
    <n v="553.71699999999998"/>
    <x v="26"/>
  </r>
  <r>
    <x v="13"/>
    <s v="CO2 emissions (kt)"/>
    <n v="381.36799999999999"/>
    <x v="26"/>
  </r>
  <r>
    <x v="14"/>
    <s v="CO2 emissions (kt)"/>
    <m/>
    <x v="26"/>
  </r>
  <r>
    <x v="15"/>
    <s v="CO2 emissions (kt)"/>
    <n v="982.75599999999997"/>
    <x v="26"/>
  </r>
  <r>
    <x v="16"/>
    <s v="CO2 emissions (kt)"/>
    <n v="6791.2839999999997"/>
    <x v="26"/>
  </r>
  <r>
    <x v="17"/>
    <s v="CO2 emissions (kt)"/>
    <n v="704.06399999999996"/>
    <x v="26"/>
  </r>
  <r>
    <x v="18"/>
    <s v="CO2 emissions (kt)"/>
    <n v="2262.5390000000002"/>
    <x v="26"/>
  </r>
  <r>
    <x v="19"/>
    <s v="CO2 emissions (kt)"/>
    <n v="902.08199999999999"/>
    <x v="26"/>
  </r>
  <r>
    <x v="20"/>
    <s v="CO2 emissions (kt)"/>
    <n v="597.721"/>
    <x v="26"/>
  </r>
  <r>
    <x v="21"/>
    <s v="CO2 emissions (kt)"/>
    <n v="51.338000000000001"/>
    <x v="26"/>
  </r>
  <r>
    <x v="22"/>
    <s v="CO2 emissions (kt)"/>
    <n v="3703.67"/>
    <x v="26"/>
  </r>
  <r>
    <x v="23"/>
    <s v="CO2 emissions (kt)"/>
    <m/>
    <x v="26"/>
  </r>
  <r>
    <x v="24"/>
    <s v="CO2 emissions (kt)"/>
    <n v="2299.2089999999998"/>
    <x v="26"/>
  </r>
  <r>
    <x v="25"/>
    <s v="CO2 emissions (kt)"/>
    <n v="704.06399999999996"/>
    <x v="26"/>
  </r>
  <r>
    <x v="26"/>
    <s v="CO2 emissions (kt)"/>
    <n v="2889.596"/>
    <x v="26"/>
  </r>
  <r>
    <x v="27"/>
    <s v="CO2 emissions (kt)"/>
    <n v="13127.86"/>
    <x v="26"/>
  </r>
  <r>
    <x v="0"/>
    <s v="CO2 emissions (kt)"/>
    <n v="249.35599999999999"/>
    <x v="27"/>
  </r>
  <r>
    <x v="1"/>
    <s v="CO2 emissions (kt)"/>
    <n v="1844.501"/>
    <x v="27"/>
  </r>
  <r>
    <x v="2"/>
    <s v="CO2 emissions (kt)"/>
    <n v="198.018"/>
    <x v="27"/>
  </r>
  <r>
    <x v="3"/>
    <s v="CO2 emissions (kt)"/>
    <n v="47.670999999999999"/>
    <x v="27"/>
  </r>
  <r>
    <x v="4"/>
    <s v="CO2 emissions (kt)"/>
    <n v="388.702"/>
    <x v="27"/>
  </r>
  <r>
    <x v="5"/>
    <s v="CO2 emissions (kt)"/>
    <n v="2581.5680000000002"/>
    <x v="27"/>
  </r>
  <r>
    <x v="6"/>
    <s v="CO2 emissions (kt)"/>
    <n v="993.75699999999995"/>
    <x v="27"/>
  </r>
  <r>
    <x v="7"/>
    <s v="CO2 emissions (kt)"/>
    <n v="913.08299999999997"/>
    <x v="27"/>
  </r>
  <r>
    <x v="8"/>
    <s v="CO2 emissions (kt)"/>
    <n v="5174.1369999999997"/>
    <x v="27"/>
  </r>
  <r>
    <x v="9"/>
    <s v="CO2 emissions (kt)"/>
    <m/>
    <x v="27"/>
  </r>
  <r>
    <x v="10"/>
    <s v="CO2 emissions (kt)"/>
    <n v="766.40300000000002"/>
    <x v="27"/>
  </r>
  <r>
    <x v="11"/>
    <s v="CO2 emissions (kt)"/>
    <n v="1287.117"/>
    <x v="27"/>
  </r>
  <r>
    <x v="12"/>
    <s v="CO2 emissions (kt)"/>
    <n v="546.38300000000004"/>
    <x v="27"/>
  </r>
  <r>
    <x v="13"/>
    <s v="CO2 emissions (kt)"/>
    <n v="359.36599999999999"/>
    <x v="27"/>
  </r>
  <r>
    <x v="14"/>
    <s v="CO2 emissions (kt)"/>
    <m/>
    <x v="27"/>
  </r>
  <r>
    <x v="15"/>
    <s v="CO2 emissions (kt)"/>
    <n v="982.75599999999997"/>
    <x v="27"/>
  </r>
  <r>
    <x v="16"/>
    <s v="CO2 emissions (kt)"/>
    <n v="4976.1189999999997"/>
    <x v="27"/>
  </r>
  <r>
    <x v="17"/>
    <s v="CO2 emissions (kt)"/>
    <n v="872.74599999999998"/>
    <x v="27"/>
  </r>
  <r>
    <x v="18"/>
    <s v="CO2 emissions (kt)"/>
    <n v="2438.5549999999998"/>
    <x v="27"/>
  </r>
  <r>
    <x v="19"/>
    <s v="CO2 emissions (kt)"/>
    <n v="1001.091"/>
    <x v="27"/>
  </r>
  <r>
    <x v="20"/>
    <s v="CO2 emissions (kt)"/>
    <n v="616.05600000000004"/>
    <x v="27"/>
  </r>
  <r>
    <x v="21"/>
    <s v="CO2 emissions (kt)"/>
    <n v="51.338000000000001"/>
    <x v="27"/>
  </r>
  <r>
    <x v="22"/>
    <s v="CO2 emissions (kt)"/>
    <n v="4074.0369999999998"/>
    <x v="27"/>
  </r>
  <r>
    <x v="23"/>
    <s v="CO2 emissions (kt)"/>
    <m/>
    <x v="27"/>
  </r>
  <r>
    <x v="24"/>
    <s v="CO2 emissions (kt)"/>
    <n v="2390.884"/>
    <x v="27"/>
  </r>
  <r>
    <x v="25"/>
    <s v="CO2 emissions (kt)"/>
    <n v="770.07"/>
    <x v="27"/>
  </r>
  <r>
    <x v="26"/>
    <s v="CO2 emissions (kt)"/>
    <n v="2702.5790000000002"/>
    <x v="27"/>
  </r>
  <r>
    <x v="27"/>
    <s v="CO2 emissions (kt)"/>
    <n v="15240.052"/>
    <x v="27"/>
  </r>
  <r>
    <x v="0"/>
    <s v="CO2 emissions (kt)"/>
    <n v="227.35400000000001"/>
    <x v="28"/>
  </r>
  <r>
    <x v="1"/>
    <s v="CO2 emissions (kt)"/>
    <n v="2200.1999999999998"/>
    <x v="28"/>
  </r>
  <r>
    <x v="2"/>
    <s v="CO2 emissions (kt)"/>
    <n v="66.006"/>
    <x v="28"/>
  </r>
  <r>
    <x v="3"/>
    <s v="CO2 emissions (kt)"/>
    <n v="51.338000000000001"/>
    <x v="28"/>
  </r>
  <r>
    <x v="4"/>
    <s v="CO2 emissions (kt)"/>
    <n v="348.36500000000001"/>
    <x v="28"/>
  </r>
  <r>
    <x v="5"/>
    <s v="CO2 emissions (kt)"/>
    <n v="2673.2429999999999"/>
    <x v="28"/>
  </r>
  <r>
    <x v="6"/>
    <s v="CO2 emissions (kt)"/>
    <n v="1026.76"/>
    <x v="28"/>
  </r>
  <r>
    <x v="7"/>
    <s v="CO2 emissions (kt)"/>
    <n v="1023.093"/>
    <x v="28"/>
  </r>
  <r>
    <x v="8"/>
    <s v="CO2 emissions (kt)"/>
    <n v="4789.1019999999999"/>
    <x v="28"/>
  </r>
  <r>
    <x v="9"/>
    <s v="CO2 emissions (kt)"/>
    <m/>
    <x v="28"/>
  </r>
  <r>
    <x v="10"/>
    <s v="CO2 emissions (kt)"/>
    <n v="817.74099999999999"/>
    <x v="28"/>
  </r>
  <r>
    <x v="11"/>
    <s v="CO2 emissions (kt)"/>
    <n v="1290.7840000000001"/>
    <x v="28"/>
  </r>
  <r>
    <x v="12"/>
    <s v="CO2 emissions (kt)"/>
    <n v="542.71600000000001"/>
    <x v="28"/>
  </r>
  <r>
    <x v="13"/>
    <s v="CO2 emissions (kt)"/>
    <n v="385.03500000000003"/>
    <x v="28"/>
  </r>
  <r>
    <x v="14"/>
    <s v="CO2 emissions (kt)"/>
    <m/>
    <x v="28"/>
  </r>
  <r>
    <x v="15"/>
    <s v="CO2 emissions (kt)"/>
    <n v="1012.092"/>
    <x v="28"/>
  </r>
  <r>
    <x v="16"/>
    <s v="CO2 emissions (kt)"/>
    <n v="4118.0410000000002"/>
    <x v="28"/>
  </r>
  <r>
    <x v="17"/>
    <s v="CO2 emissions (kt)"/>
    <n v="993.75699999999995"/>
    <x v="28"/>
  </r>
  <r>
    <x v="18"/>
    <s v="CO2 emissions (kt)"/>
    <n v="2247.8710000000001"/>
    <x v="28"/>
  </r>
  <r>
    <x v="19"/>
    <s v="CO2 emissions (kt)"/>
    <n v="990.09"/>
    <x v="28"/>
  </r>
  <r>
    <x v="20"/>
    <s v="CO2 emissions (kt)"/>
    <n v="696.73"/>
    <x v="28"/>
  </r>
  <r>
    <x v="21"/>
    <s v="CO2 emissions (kt)"/>
    <n v="47.670999999999999"/>
    <x v="28"/>
  </r>
  <r>
    <x v="22"/>
    <s v="CO2 emissions (kt)"/>
    <n v="3490.9839999999999"/>
    <x v="28"/>
  </r>
  <r>
    <x v="23"/>
    <s v="CO2 emissions (kt)"/>
    <m/>
    <x v="28"/>
  </r>
  <r>
    <x v="24"/>
    <s v="CO2 emissions (kt)"/>
    <n v="2288.2080000000001"/>
    <x v="28"/>
  </r>
  <r>
    <x v="25"/>
    <s v="CO2 emissions (kt)"/>
    <n v="865.41200000000003"/>
    <x v="28"/>
  </r>
  <r>
    <x v="26"/>
    <s v="CO2 emissions (kt)"/>
    <n v="3142.6190000000001"/>
    <x v="28"/>
  </r>
  <r>
    <x v="27"/>
    <s v="CO2 emissions (kt)"/>
    <n v="16101.797"/>
    <x v="28"/>
  </r>
  <r>
    <x v="0"/>
    <s v="CO2 emissions (kt)"/>
    <n v="267.69099999999997"/>
    <x v="29"/>
  </r>
  <r>
    <x v="1"/>
    <s v="CO2 emissions (kt)"/>
    <n v="7634.6940000000004"/>
    <x v="29"/>
  </r>
  <r>
    <x v="2"/>
    <s v="CO2 emissions (kt)"/>
    <n v="102.676"/>
    <x v="29"/>
  </r>
  <r>
    <x v="3"/>
    <s v="CO2 emissions (kt)"/>
    <n v="51.338000000000001"/>
    <x v="29"/>
  </r>
  <r>
    <x v="4"/>
    <s v="CO2 emissions (kt)"/>
    <n v="388.702"/>
    <x v="29"/>
  </r>
  <r>
    <x v="5"/>
    <s v="CO2 emissions (kt)"/>
    <n v="2827.2570000000001"/>
    <x v="29"/>
  </r>
  <r>
    <x v="6"/>
    <s v="CO2 emissions (kt)"/>
    <n v="1045.095"/>
    <x v="29"/>
  </r>
  <r>
    <x v="7"/>
    <s v="CO2 emissions (kt)"/>
    <n v="1037.761"/>
    <x v="29"/>
  </r>
  <r>
    <x v="8"/>
    <s v="CO2 emissions (kt)"/>
    <n v="5192.4719999999998"/>
    <x v="29"/>
  </r>
  <r>
    <x v="9"/>
    <s v="CO2 emissions (kt)"/>
    <m/>
    <x v="29"/>
  </r>
  <r>
    <x v="10"/>
    <s v="CO2 emissions (kt)"/>
    <n v="667.39400000000001"/>
    <x v="29"/>
  </r>
  <r>
    <x v="11"/>
    <s v="CO2 emissions (kt)"/>
    <n v="931.41800000000001"/>
    <x v="29"/>
  </r>
  <r>
    <x v="12"/>
    <s v="CO2 emissions (kt)"/>
    <n v="564.71799999999996"/>
    <x v="29"/>
  </r>
  <r>
    <x v="13"/>
    <s v="CO2 emissions (kt)"/>
    <n v="418.03800000000001"/>
    <x v="29"/>
  </r>
  <r>
    <x v="14"/>
    <s v="CO2 emissions (kt)"/>
    <m/>
    <x v="29"/>
  </r>
  <r>
    <x v="15"/>
    <s v="CO2 emissions (kt)"/>
    <n v="1041.4280000000001"/>
    <x v="29"/>
  </r>
  <r>
    <x v="16"/>
    <s v="CO2 emissions (kt)"/>
    <n v="4462.7389999999996"/>
    <x v="29"/>
  </r>
  <r>
    <x v="17"/>
    <s v="CO2 emissions (kt)"/>
    <n v="913.08299999999997"/>
    <x v="29"/>
  </r>
  <r>
    <x v="18"/>
    <s v="CO2 emissions (kt)"/>
    <n v="1477.8009999999999"/>
    <x v="29"/>
  </r>
  <r>
    <x v="19"/>
    <s v="CO2 emissions (kt)"/>
    <n v="1041.4280000000001"/>
    <x v="29"/>
  </r>
  <r>
    <x v="20"/>
    <s v="CO2 emissions (kt)"/>
    <n v="689.39599999999996"/>
    <x v="29"/>
  </r>
  <r>
    <x v="21"/>
    <s v="CO2 emissions (kt)"/>
    <n v="47.670999999999999"/>
    <x v="29"/>
  </r>
  <r>
    <x v="22"/>
    <s v="CO2 emissions (kt)"/>
    <n v="3483.65"/>
    <x v="29"/>
  </r>
  <r>
    <x v="23"/>
    <s v="CO2 emissions (kt)"/>
    <m/>
    <x v="29"/>
  </r>
  <r>
    <x v="24"/>
    <s v="CO2 emissions (kt)"/>
    <n v="2207.5340000000001"/>
    <x v="29"/>
  </r>
  <r>
    <x v="25"/>
    <s v="CO2 emissions (kt)"/>
    <n v="803.07299999999998"/>
    <x v="29"/>
  </r>
  <r>
    <x v="26"/>
    <s v="CO2 emissions (kt)"/>
    <n v="2603.5700000000002"/>
    <x v="29"/>
  </r>
  <r>
    <x v="27"/>
    <s v="CO2 emissions (kt)"/>
    <n v="16186.138000000001"/>
    <x v="29"/>
  </r>
  <r>
    <x v="0"/>
    <s v="CO2 emissions (kt)"/>
    <n v="209.01900000000001"/>
    <x v="30"/>
  </r>
  <r>
    <x v="1"/>
    <s v="CO2 emissions (kt)"/>
    <n v="1734.491"/>
    <x v="30"/>
  </r>
  <r>
    <x v="2"/>
    <s v="CO2 emissions (kt)"/>
    <n v="143.01300000000001"/>
    <x v="30"/>
  </r>
  <r>
    <x v="3"/>
    <s v="CO2 emissions (kt)"/>
    <n v="62.338999999999999"/>
    <x v="30"/>
  </r>
  <r>
    <x v="4"/>
    <s v="CO2 emissions (kt)"/>
    <n v="322.69600000000003"/>
    <x v="30"/>
  </r>
  <r>
    <x v="5"/>
    <s v="CO2 emissions (kt)"/>
    <n v="3017.9409999999998"/>
    <x v="30"/>
  </r>
  <r>
    <x v="6"/>
    <s v="CO2 emissions (kt)"/>
    <n v="1004.758"/>
    <x v="30"/>
  </r>
  <r>
    <x v="7"/>
    <s v="CO2 emissions (kt)"/>
    <n v="993.75699999999995"/>
    <x v="30"/>
  </r>
  <r>
    <x v="8"/>
    <s v="CO2 emissions (kt)"/>
    <n v="5823.1959999999999"/>
    <x v="30"/>
  </r>
  <r>
    <x v="9"/>
    <s v="CO2 emissions (kt)"/>
    <m/>
    <x v="30"/>
  </r>
  <r>
    <x v="10"/>
    <s v="CO2 emissions (kt)"/>
    <n v="473.04300000000001"/>
    <x v="30"/>
  </r>
  <r>
    <x v="11"/>
    <s v="CO2 emissions (kt)"/>
    <n v="949.75300000000004"/>
    <x v="30"/>
  </r>
  <r>
    <x v="12"/>
    <s v="CO2 emissions (kt)"/>
    <n v="748.06799999999998"/>
    <x v="30"/>
  </r>
  <r>
    <x v="13"/>
    <s v="CO2 emissions (kt)"/>
    <n v="421.70499999999998"/>
    <x v="30"/>
  </r>
  <r>
    <x v="14"/>
    <s v="CO2 emissions (kt)"/>
    <m/>
    <x v="30"/>
  </r>
  <r>
    <x v="15"/>
    <s v="CO2 emissions (kt)"/>
    <n v="1023.093"/>
    <x v="30"/>
  </r>
  <r>
    <x v="16"/>
    <s v="CO2 emissions (kt)"/>
    <n v="4275.7219999999998"/>
    <x v="30"/>
  </r>
  <r>
    <x v="17"/>
    <s v="CO2 emissions (kt)"/>
    <n v="634.39099999999996"/>
    <x v="30"/>
  </r>
  <r>
    <x v="18"/>
    <s v="CO2 emissions (kt)"/>
    <n v="2548.5650000000001"/>
    <x v="30"/>
  </r>
  <r>
    <x v="19"/>
    <s v="CO2 emissions (kt)"/>
    <n v="733.4"/>
    <x v="30"/>
  </r>
  <r>
    <x v="20"/>
    <s v="CO2 emissions (kt)"/>
    <n v="542.71600000000001"/>
    <x v="30"/>
  </r>
  <r>
    <x v="21"/>
    <s v="CO2 emissions (kt)"/>
    <n v="47.670999999999999"/>
    <x v="30"/>
  </r>
  <r>
    <x v="22"/>
    <s v="CO2 emissions (kt)"/>
    <n v="3868.6849999999999"/>
    <x v="30"/>
  </r>
  <r>
    <x v="23"/>
    <s v="CO2 emissions (kt)"/>
    <m/>
    <x v="30"/>
  </r>
  <r>
    <x v="24"/>
    <s v="CO2 emissions (kt)"/>
    <n v="2266.2060000000001"/>
    <x v="30"/>
  </r>
  <r>
    <x v="25"/>
    <s v="CO2 emissions (kt)"/>
    <n v="759.06899999999996"/>
    <x v="30"/>
  </r>
  <r>
    <x v="26"/>
    <s v="CO2 emissions (kt)"/>
    <n v="2445.8890000000001"/>
    <x v="30"/>
  </r>
  <r>
    <x v="27"/>
    <s v="CO2 emissions (kt)"/>
    <n v="15643.422"/>
    <x v="30"/>
  </r>
  <r>
    <x v="0"/>
    <s v="CO2 emissions (kt)"/>
    <n v="238.35499999999999"/>
    <x v="31"/>
  </r>
  <r>
    <x v="1"/>
    <s v="CO2 emissions (kt)"/>
    <n v="1103.7670000000001"/>
    <x v="31"/>
  </r>
  <r>
    <x v="2"/>
    <s v="CO2 emissions (kt)"/>
    <n v="66.006"/>
    <x v="31"/>
  </r>
  <r>
    <x v="3"/>
    <s v="CO2 emissions (kt)"/>
    <n v="66.006"/>
    <x v="31"/>
  </r>
  <r>
    <x v="4"/>
    <s v="CO2 emissions (kt)"/>
    <n v="311.69499999999999"/>
    <x v="31"/>
  </r>
  <r>
    <x v="5"/>
    <s v="CO2 emissions (kt)"/>
    <n v="2984.9380000000001"/>
    <x v="31"/>
  </r>
  <r>
    <x v="6"/>
    <s v="CO2 emissions (kt)"/>
    <n v="1026.76"/>
    <x v="31"/>
  </r>
  <r>
    <x v="7"/>
    <s v="CO2 emissions (kt)"/>
    <n v="997.42399999999998"/>
    <x v="31"/>
  </r>
  <r>
    <x v="8"/>
    <s v="CO2 emissions (kt)"/>
    <n v="4840.4399999999996"/>
    <x v="31"/>
  </r>
  <r>
    <x v="9"/>
    <s v="CO2 emissions (kt)"/>
    <m/>
    <x v="31"/>
  </r>
  <r>
    <x v="10"/>
    <s v="CO2 emissions (kt)"/>
    <n v="278.69200000000001"/>
    <x v="31"/>
  </r>
  <r>
    <x v="11"/>
    <s v="CO2 emissions (kt)"/>
    <n v="1034.0940000000001"/>
    <x v="31"/>
  </r>
  <r>
    <x v="12"/>
    <s v="CO2 emissions (kt)"/>
    <n v="795.73900000000003"/>
    <x v="31"/>
  </r>
  <r>
    <x v="13"/>
    <s v="CO2 emissions (kt)"/>
    <n v="436.37299999999999"/>
    <x v="31"/>
  </r>
  <r>
    <x v="14"/>
    <s v="CO2 emissions (kt)"/>
    <m/>
    <x v="31"/>
  </r>
  <r>
    <x v="15"/>
    <s v="CO2 emissions (kt)"/>
    <n v="1023.093"/>
    <x v="31"/>
  </r>
  <r>
    <x v="16"/>
    <s v="CO2 emissions (kt)"/>
    <n v="4180.38"/>
    <x v="31"/>
  </r>
  <r>
    <x v="17"/>
    <s v="CO2 emissions (kt)"/>
    <n v="960.75400000000002"/>
    <x v="31"/>
  </r>
  <r>
    <x v="18"/>
    <s v="CO2 emissions (kt)"/>
    <n v="2005.8489999999999"/>
    <x v="31"/>
  </r>
  <r>
    <x v="19"/>
    <s v="CO2 emissions (kt)"/>
    <n v="722.399"/>
    <x v="31"/>
  </r>
  <r>
    <x v="20"/>
    <s v="CO2 emissions (kt)"/>
    <n v="487.71100000000001"/>
    <x v="31"/>
  </r>
  <r>
    <x v="21"/>
    <s v="CO2 emissions (kt)"/>
    <n v="47.670999999999999"/>
    <x v="31"/>
  </r>
  <r>
    <x v="22"/>
    <s v="CO2 emissions (kt)"/>
    <n v="4176.7129999999997"/>
    <x v="31"/>
  </r>
  <r>
    <x v="23"/>
    <s v="CO2 emissions (kt)"/>
    <m/>
    <x v="31"/>
  </r>
  <r>
    <x v="24"/>
    <s v="CO2 emissions (kt)"/>
    <n v="2398.2179999999998"/>
    <x v="31"/>
  </r>
  <r>
    <x v="25"/>
    <s v="CO2 emissions (kt)"/>
    <n v="781.07100000000003"/>
    <x v="31"/>
  </r>
  <r>
    <x v="26"/>
    <s v="CO2 emissions (kt)"/>
    <n v="2416.5529999999999"/>
    <x v="31"/>
  </r>
  <r>
    <x v="27"/>
    <s v="CO2 emissions (kt)"/>
    <n v="15955.117"/>
    <x v="31"/>
  </r>
  <r>
    <x v="0"/>
    <s v="CO2 emissions (kt)"/>
    <n v="216.35300000000001"/>
    <x v="32"/>
  </r>
  <r>
    <x v="1"/>
    <s v="CO2 emissions (kt)"/>
    <n v="3788.011"/>
    <x v="32"/>
  </r>
  <r>
    <x v="2"/>
    <s v="CO2 emissions (kt)"/>
    <n v="84.340999999999994"/>
    <x v="32"/>
  </r>
  <r>
    <x v="3"/>
    <s v="CO2 emissions (kt)"/>
    <n v="66.006"/>
    <x v="32"/>
  </r>
  <r>
    <x v="4"/>
    <s v="CO2 emissions (kt)"/>
    <n v="311.69499999999999"/>
    <x v="32"/>
  </r>
  <r>
    <x v="5"/>
    <s v="CO2 emissions (kt)"/>
    <n v="2966.6030000000001"/>
    <x v="32"/>
  </r>
  <r>
    <x v="6"/>
    <s v="CO2 emissions (kt)"/>
    <n v="1059.7629999999999"/>
    <x v="32"/>
  </r>
  <r>
    <x v="7"/>
    <s v="CO2 emissions (kt)"/>
    <n v="909.41600000000005"/>
    <x v="32"/>
  </r>
  <r>
    <x v="8"/>
    <s v="CO2 emissions (kt)"/>
    <n v="5540.8370000000004"/>
    <x v="32"/>
  </r>
  <r>
    <x v="9"/>
    <s v="CO2 emissions (kt)"/>
    <m/>
    <x v="32"/>
  </r>
  <r>
    <x v="10"/>
    <s v="CO2 emissions (kt)"/>
    <n v="282.35899999999998"/>
    <x v="32"/>
  </r>
  <r>
    <x v="11"/>
    <s v="CO2 emissions (kt)"/>
    <n v="1004.758"/>
    <x v="32"/>
  </r>
  <r>
    <x v="12"/>
    <s v="CO2 emissions (kt)"/>
    <n v="795.73900000000003"/>
    <x v="32"/>
  </r>
  <r>
    <x v="13"/>
    <s v="CO2 emissions (kt)"/>
    <n v="443.70699999999999"/>
    <x v="32"/>
  </r>
  <r>
    <x v="14"/>
    <s v="CO2 emissions (kt)"/>
    <n v="20971.573"/>
    <x v="32"/>
  </r>
  <r>
    <x v="15"/>
    <s v="CO2 emissions (kt)"/>
    <n v="1004.758"/>
    <x v="32"/>
  </r>
  <r>
    <x v="16"/>
    <s v="CO2 emissions (kt)"/>
    <n v="4888.1109999999999"/>
    <x v="32"/>
  </r>
  <r>
    <x v="17"/>
    <s v="CO2 emissions (kt)"/>
    <n v="1331.1210000000001"/>
    <x v="32"/>
  </r>
  <r>
    <x v="18"/>
    <s v="CO2 emissions (kt)"/>
    <n v="2394.5509999999999"/>
    <x v="32"/>
  </r>
  <r>
    <x v="19"/>
    <s v="CO2 emissions (kt)"/>
    <n v="700.39700000000005"/>
    <x v="32"/>
  </r>
  <r>
    <x v="20"/>
    <s v="CO2 emissions (kt)"/>
    <n v="487.71100000000001"/>
    <x v="32"/>
  </r>
  <r>
    <x v="21"/>
    <s v="CO2 emissions (kt)"/>
    <n v="47.670999999999999"/>
    <x v="32"/>
  </r>
  <r>
    <x v="22"/>
    <s v="CO2 emissions (kt)"/>
    <n v="5185.1379999999999"/>
    <x v="32"/>
  </r>
  <r>
    <x v="23"/>
    <s v="CO2 emissions (kt)"/>
    <n v="7315.665"/>
    <x v="32"/>
  </r>
  <r>
    <x v="24"/>
    <s v="CO2 emissions (kt)"/>
    <n v="2324.8780000000002"/>
    <x v="32"/>
  </r>
  <r>
    <x v="25"/>
    <s v="CO2 emissions (kt)"/>
    <n v="788.40499999999997"/>
    <x v="32"/>
  </r>
  <r>
    <x v="26"/>
    <s v="CO2 emissions (kt)"/>
    <n v="2456.89"/>
    <x v="32"/>
  </r>
  <r>
    <x v="27"/>
    <s v="CO2 emissions (kt)"/>
    <n v="17011.213"/>
    <x v="32"/>
  </r>
  <r>
    <x v="0"/>
    <s v="CO2 emissions (kt)"/>
    <n v="227.35400000000001"/>
    <x v="33"/>
  </r>
  <r>
    <x v="1"/>
    <s v="CO2 emissions (kt)"/>
    <n v="3898.0210000000002"/>
    <x v="33"/>
  </r>
  <r>
    <x v="2"/>
    <s v="CO2 emissions (kt)"/>
    <n v="91.674999999999997"/>
    <x v="33"/>
  </r>
  <r>
    <x v="3"/>
    <s v="CO2 emissions (kt)"/>
    <n v="69.673000000000002"/>
    <x v="33"/>
  </r>
  <r>
    <x v="4"/>
    <s v="CO2 emissions (kt)"/>
    <n v="311.69499999999999"/>
    <x v="33"/>
  </r>
  <r>
    <x v="5"/>
    <s v="CO2 emissions (kt)"/>
    <n v="3028.942"/>
    <x v="33"/>
  </r>
  <r>
    <x v="6"/>
    <s v="CO2 emissions (kt)"/>
    <n v="1089.0989999999999"/>
    <x v="33"/>
  </r>
  <r>
    <x v="7"/>
    <s v="CO2 emissions (kt)"/>
    <n v="663.72699999999998"/>
    <x v="33"/>
  </r>
  <r>
    <x v="8"/>
    <s v="CO2 emissions (kt)"/>
    <n v="6347.5770000000002"/>
    <x v="33"/>
  </r>
  <r>
    <x v="9"/>
    <s v="CO2 emissions (kt)"/>
    <m/>
    <x v="33"/>
  </r>
  <r>
    <x v="10"/>
    <s v="CO2 emissions (kt)"/>
    <n v="315.36200000000002"/>
    <x v="33"/>
  </r>
  <r>
    <x v="11"/>
    <s v="CO2 emissions (kt)"/>
    <n v="1030.4269999999999"/>
    <x v="33"/>
  </r>
  <r>
    <x v="12"/>
    <s v="CO2 emissions (kt)"/>
    <n v="891.08100000000002"/>
    <x v="33"/>
  </r>
  <r>
    <x v="13"/>
    <s v="CO2 emissions (kt)"/>
    <n v="454.70800000000003"/>
    <x v="33"/>
  </r>
  <r>
    <x v="14"/>
    <s v="CO2 emissions (kt)"/>
    <n v="15628.754000000001"/>
    <x v="33"/>
  </r>
  <r>
    <x v="15"/>
    <s v="CO2 emissions (kt)"/>
    <n v="1078.098"/>
    <x v="33"/>
  </r>
  <r>
    <x v="16"/>
    <s v="CO2 emissions (kt)"/>
    <n v="5342.8190000000004"/>
    <x v="33"/>
  </r>
  <r>
    <x v="17"/>
    <s v="CO2 emissions (kt)"/>
    <n v="1466.8"/>
    <x v="33"/>
  </r>
  <r>
    <x v="18"/>
    <s v="CO2 emissions (kt)"/>
    <n v="2302.8760000000002"/>
    <x v="33"/>
  </r>
  <r>
    <x v="19"/>
    <s v="CO2 emissions (kt)"/>
    <n v="781.07100000000003"/>
    <x v="33"/>
  </r>
  <r>
    <x v="20"/>
    <s v="CO2 emissions (kt)"/>
    <n v="495.04500000000002"/>
    <x v="33"/>
  </r>
  <r>
    <x v="21"/>
    <s v="CO2 emissions (kt)"/>
    <n v="47.670999999999999"/>
    <x v="33"/>
  </r>
  <r>
    <x v="22"/>
    <s v="CO2 emissions (kt)"/>
    <n v="5042.125"/>
    <x v="33"/>
  </r>
  <r>
    <x v="23"/>
    <s v="CO2 emissions (kt)"/>
    <n v="5177.8040000000001"/>
    <x v="33"/>
  </r>
  <r>
    <x v="24"/>
    <s v="CO2 emissions (kt)"/>
    <n v="2596.2359999999999"/>
    <x v="33"/>
  </r>
  <r>
    <x v="25"/>
    <s v="CO2 emissions (kt)"/>
    <n v="781.07100000000003"/>
    <x v="33"/>
  </r>
  <r>
    <x v="26"/>
    <s v="CO2 emissions (kt)"/>
    <n v="2500.8939999999998"/>
    <x v="33"/>
  </r>
  <r>
    <x v="27"/>
    <s v="CO2 emissions (kt)"/>
    <n v="16362.154"/>
    <x v="33"/>
  </r>
  <r>
    <x v="0"/>
    <s v="CO2 emissions (kt)"/>
    <n v="234.68799999999999"/>
    <x v="34"/>
  </r>
  <r>
    <x v="1"/>
    <s v="CO2 emissions (kt)"/>
    <n v="3817.3470000000002"/>
    <x v="34"/>
  </r>
  <r>
    <x v="2"/>
    <s v="CO2 emissions (kt)"/>
    <n v="102.676"/>
    <x v="34"/>
  </r>
  <r>
    <x v="3"/>
    <s v="CO2 emissions (kt)"/>
    <n v="69.673000000000002"/>
    <x v="34"/>
  </r>
  <r>
    <x v="4"/>
    <s v="CO2 emissions (kt)"/>
    <n v="304.36099999999999"/>
    <x v="34"/>
  </r>
  <r>
    <x v="5"/>
    <s v="CO2 emissions (kt)"/>
    <n v="2240.5369999999998"/>
    <x v="34"/>
  </r>
  <r>
    <x v="6"/>
    <s v="CO2 emissions (kt)"/>
    <n v="1250.4469999999999"/>
    <x v="34"/>
  </r>
  <r>
    <x v="7"/>
    <s v="CO2 emissions (kt)"/>
    <n v="300.69400000000002"/>
    <x v="34"/>
  </r>
  <r>
    <x v="8"/>
    <s v="CO2 emissions (kt)"/>
    <n v="6556.5959999999995"/>
    <x v="34"/>
  </r>
  <r>
    <x v="9"/>
    <s v="CO2 emissions (kt)"/>
    <m/>
    <x v="34"/>
  </r>
  <r>
    <x v="10"/>
    <s v="CO2 emissions (kt)"/>
    <n v="311.69499999999999"/>
    <x v="34"/>
  </r>
  <r>
    <x v="11"/>
    <s v="CO2 emissions (kt)"/>
    <n v="1268.7819999999999"/>
    <x v="34"/>
  </r>
  <r>
    <x v="12"/>
    <s v="CO2 emissions (kt)"/>
    <n v="916.75"/>
    <x v="34"/>
  </r>
  <r>
    <x v="13"/>
    <s v="CO2 emissions (kt)"/>
    <n v="462.04199999999997"/>
    <x v="34"/>
  </r>
  <r>
    <x v="14"/>
    <s v="CO2 emissions (kt)"/>
    <n v="12090.099"/>
    <x v="34"/>
  </r>
  <r>
    <x v="15"/>
    <s v="CO2 emissions (kt)"/>
    <n v="1063.43"/>
    <x v="34"/>
  </r>
  <r>
    <x v="16"/>
    <s v="CO2 emissions (kt)"/>
    <n v="6244.9009999999998"/>
    <x v="34"/>
  </r>
  <r>
    <x v="17"/>
    <s v="CO2 emissions (kt)"/>
    <n v="1697.8209999999999"/>
    <x v="34"/>
  </r>
  <r>
    <x v="18"/>
    <s v="CO2 emissions (kt)"/>
    <n v="2541.2310000000002"/>
    <x v="34"/>
  </r>
  <r>
    <x v="19"/>
    <s v="CO2 emissions (kt)"/>
    <n v="773.73699999999997"/>
    <x v="34"/>
  </r>
  <r>
    <x v="20"/>
    <s v="CO2 emissions (kt)"/>
    <n v="473.04300000000001"/>
    <x v="34"/>
  </r>
  <r>
    <x v="21"/>
    <s v="CO2 emissions (kt)"/>
    <n v="47.670999999999999"/>
    <x v="34"/>
  </r>
  <r>
    <x v="22"/>
    <s v="CO2 emissions (kt)"/>
    <n v="5526.1689999999999"/>
    <x v="34"/>
  </r>
  <r>
    <x v="23"/>
    <s v="CO2 emissions (kt)"/>
    <n v="2357.8809999999999"/>
    <x v="34"/>
  </r>
  <r>
    <x v="24"/>
    <s v="CO2 emissions (kt)"/>
    <n v="2405.5520000000001"/>
    <x v="34"/>
  </r>
  <r>
    <x v="25"/>
    <s v="CO2 emissions (kt)"/>
    <n v="707.73099999999999"/>
    <x v="34"/>
  </r>
  <r>
    <x v="26"/>
    <s v="CO2 emissions (kt)"/>
    <n v="2420.2199999999998"/>
    <x v="34"/>
  </r>
  <r>
    <x v="27"/>
    <s v="CO2 emissions (kt)"/>
    <n v="17795.951000000001"/>
    <x v="34"/>
  </r>
  <r>
    <x v="0"/>
    <s v="CO2 emissions (kt)"/>
    <n v="238.35499999999999"/>
    <x v="35"/>
  </r>
  <r>
    <x v="1"/>
    <s v="CO2 emissions (kt)"/>
    <n v="4228.0510000000004"/>
    <x v="35"/>
  </r>
  <r>
    <x v="2"/>
    <s v="CO2 emissions (kt)"/>
    <n v="110.01"/>
    <x v="35"/>
  </r>
  <r>
    <x v="3"/>
    <s v="CO2 emissions (kt)"/>
    <n v="73.34"/>
    <x v="35"/>
  </r>
  <r>
    <x v="4"/>
    <s v="CO2 emissions (kt)"/>
    <n v="304.36099999999999"/>
    <x v="35"/>
  </r>
  <r>
    <x v="5"/>
    <s v="CO2 emissions (kt)"/>
    <n v="2563.2330000000002"/>
    <x v="35"/>
  </r>
  <r>
    <x v="6"/>
    <s v="CO2 emissions (kt)"/>
    <n v="1290.7840000000001"/>
    <x v="35"/>
  </r>
  <r>
    <x v="7"/>
    <s v="CO2 emissions (kt)"/>
    <n v="902.08199999999999"/>
    <x v="35"/>
  </r>
  <r>
    <x v="8"/>
    <s v="CO2 emissions (kt)"/>
    <n v="7554.02"/>
    <x v="35"/>
  </r>
  <r>
    <x v="9"/>
    <s v="CO2 emissions (kt)"/>
    <m/>
    <x v="35"/>
  </r>
  <r>
    <x v="10"/>
    <s v="CO2 emissions (kt)"/>
    <n v="326.363"/>
    <x v="35"/>
  </r>
  <r>
    <x v="11"/>
    <s v="CO2 emissions (kt)"/>
    <n v="1265.115"/>
    <x v="35"/>
  </r>
  <r>
    <x v="12"/>
    <s v="CO2 emissions (kt)"/>
    <n v="920.41700000000003"/>
    <x v="35"/>
  </r>
  <r>
    <x v="13"/>
    <s v="CO2 emissions (kt)"/>
    <n v="469.37599999999998"/>
    <x v="35"/>
  </r>
  <r>
    <x v="14"/>
    <s v="CO2 emissions (kt)"/>
    <n v="11191.683999999999"/>
    <x v="35"/>
  </r>
  <r>
    <x v="15"/>
    <s v="CO2 emissions (kt)"/>
    <n v="1114.768"/>
    <x v="35"/>
  </r>
  <r>
    <x v="16"/>
    <s v="CO2 emissions (kt)"/>
    <n v="6959.9660000000003"/>
    <x v="35"/>
  </r>
  <r>
    <x v="17"/>
    <s v="CO2 emissions (kt)"/>
    <n v="2035.1849999999999"/>
    <x v="35"/>
  </r>
  <r>
    <x v="18"/>
    <s v="CO2 emissions (kt)"/>
    <n v="2779.5859999999998"/>
    <x v="35"/>
  </r>
  <r>
    <x v="19"/>
    <s v="CO2 emissions (kt)"/>
    <n v="810.40700000000004"/>
    <x v="35"/>
  </r>
  <r>
    <x v="20"/>
    <s v="CO2 emissions (kt)"/>
    <n v="462.04199999999997"/>
    <x v="35"/>
  </r>
  <r>
    <x v="21"/>
    <s v="CO2 emissions (kt)"/>
    <n v="47.670999999999999"/>
    <x v="35"/>
  </r>
  <r>
    <x v="22"/>
    <s v="CO2 emissions (kt)"/>
    <n v="5903.87"/>
    <x v="35"/>
  </r>
  <r>
    <x v="23"/>
    <s v="CO2 emissions (kt)"/>
    <n v="2449.556"/>
    <x v="35"/>
  </r>
  <r>
    <x v="24"/>
    <s v="CO2 emissions (kt)"/>
    <n v="3553.3229999999999"/>
    <x v="35"/>
  </r>
  <r>
    <x v="25"/>
    <s v="CO2 emissions (kt)"/>
    <n v="938.75199999999995"/>
    <x v="35"/>
  </r>
  <r>
    <x v="26"/>
    <s v="CO2 emissions (kt)"/>
    <n v="2170.864"/>
    <x v="35"/>
  </r>
  <r>
    <x v="27"/>
    <s v="CO2 emissions (kt)"/>
    <n v="15130.041999999999"/>
    <x v="35"/>
  </r>
  <r>
    <x v="0"/>
    <s v="CO2 emissions (kt)"/>
    <n v="242.02199999999999"/>
    <x v="36"/>
  </r>
  <r>
    <x v="1"/>
    <s v="CO2 emissions (kt)"/>
    <n v="4462.7389999999996"/>
    <x v="36"/>
  </r>
  <r>
    <x v="2"/>
    <s v="CO2 emissions (kt)"/>
    <n v="124.678"/>
    <x v="36"/>
  </r>
  <r>
    <x v="3"/>
    <s v="CO2 emissions (kt)"/>
    <n v="77.007000000000005"/>
    <x v="36"/>
  </r>
  <r>
    <x v="4"/>
    <s v="CO2 emissions (kt)"/>
    <n v="311.69499999999999"/>
    <x v="36"/>
  </r>
  <r>
    <x v="5"/>
    <s v="CO2 emissions (kt)"/>
    <n v="2860.26"/>
    <x v="36"/>
  </r>
  <r>
    <x v="6"/>
    <s v="CO2 emissions (kt)"/>
    <n v="1364.124"/>
    <x v="36"/>
  </r>
  <r>
    <x v="7"/>
    <s v="CO2 emissions (kt)"/>
    <n v="1034.0940000000001"/>
    <x v="36"/>
  </r>
  <r>
    <x v="8"/>
    <s v="CO2 emissions (kt)"/>
    <n v="9328.848"/>
    <x v="36"/>
  </r>
  <r>
    <x v="9"/>
    <s v="CO2 emissions (kt)"/>
    <m/>
    <x v="36"/>
  </r>
  <r>
    <x v="10"/>
    <s v="CO2 emissions (kt)"/>
    <n v="337.36399999999998"/>
    <x v="36"/>
  </r>
  <r>
    <x v="11"/>
    <s v="CO2 emissions (kt)"/>
    <n v="1364.124"/>
    <x v="36"/>
  </r>
  <r>
    <x v="12"/>
    <s v="CO2 emissions (kt)"/>
    <n v="913.08299999999997"/>
    <x v="36"/>
  </r>
  <r>
    <x v="13"/>
    <s v="CO2 emissions (kt)"/>
    <n v="487.71100000000001"/>
    <x v="36"/>
  </r>
  <r>
    <x v="14"/>
    <s v="CO2 emissions (kt)"/>
    <n v="11521.714"/>
    <x v="36"/>
  </r>
  <r>
    <x v="15"/>
    <s v="CO2 emissions (kt)"/>
    <n v="1041.4280000000001"/>
    <x v="36"/>
  </r>
  <r>
    <x v="16"/>
    <s v="CO2 emissions (kt)"/>
    <n v="7256.9930000000004"/>
    <x v="36"/>
  </r>
  <r>
    <x v="17"/>
    <s v="CO2 emissions (kt)"/>
    <n v="2486.2260000000001"/>
    <x v="36"/>
  </r>
  <r>
    <x v="18"/>
    <s v="CO2 emissions (kt)"/>
    <n v="2874.9279999999999"/>
    <x v="36"/>
  </r>
  <r>
    <x v="19"/>
    <s v="CO2 emissions (kt)"/>
    <n v="902.08199999999999"/>
    <x v="36"/>
  </r>
  <r>
    <x v="20"/>
    <s v="CO2 emissions (kt)"/>
    <n v="480.37700000000001"/>
    <x v="36"/>
  </r>
  <r>
    <x v="21"/>
    <s v="CO2 emissions (kt)"/>
    <n v="47.670999999999999"/>
    <x v="36"/>
  </r>
  <r>
    <x v="22"/>
    <s v="CO2 emissions (kt)"/>
    <n v="7062.6419999999998"/>
    <x v="36"/>
  </r>
  <r>
    <x v="23"/>
    <s v="CO2 emissions (kt)"/>
    <n v="2827.2570000000001"/>
    <x v="36"/>
  </r>
  <r>
    <x v="24"/>
    <s v="CO2 emissions (kt)"/>
    <n v="3461.6480000000001"/>
    <x v="36"/>
  </r>
  <r>
    <x v="25"/>
    <s v="CO2 emissions (kt)"/>
    <n v="1059.7629999999999"/>
    <x v="36"/>
  </r>
  <r>
    <x v="26"/>
    <s v="CO2 emissions (kt)"/>
    <n v="1870.17"/>
    <x v="36"/>
  </r>
  <r>
    <x v="27"/>
    <s v="CO2 emissions (kt)"/>
    <n v="14994.362999999999"/>
    <x v="36"/>
  </r>
  <r>
    <x v="0"/>
    <s v="CO2 emissions (kt)"/>
    <n v="249.35599999999999"/>
    <x v="37"/>
  </r>
  <r>
    <x v="1"/>
    <s v="CO2 emissions (kt)"/>
    <n v="3215.9589999999998"/>
    <x v="37"/>
  </r>
  <r>
    <x v="2"/>
    <s v="CO2 emissions (kt)"/>
    <n v="143.01300000000001"/>
    <x v="37"/>
  </r>
  <r>
    <x v="3"/>
    <s v="CO2 emissions (kt)"/>
    <n v="80.674000000000007"/>
    <x v="37"/>
  </r>
  <r>
    <x v="4"/>
    <s v="CO2 emissions (kt)"/>
    <n v="326.363"/>
    <x v="37"/>
  </r>
  <r>
    <x v="5"/>
    <s v="CO2 emissions (kt)"/>
    <n v="3050.944"/>
    <x v="37"/>
  </r>
  <r>
    <x v="6"/>
    <s v="CO2 emissions (kt)"/>
    <n v="1419.1289999999999"/>
    <x v="37"/>
  </r>
  <r>
    <x v="7"/>
    <s v="CO2 emissions (kt)"/>
    <n v="1367.7909999999999"/>
    <x v="37"/>
  </r>
  <r>
    <x v="8"/>
    <s v="CO2 emissions (kt)"/>
    <n v="8265.4179999999997"/>
    <x v="37"/>
  </r>
  <r>
    <x v="9"/>
    <s v="CO2 emissions (kt)"/>
    <m/>
    <x v="37"/>
  </r>
  <r>
    <x v="10"/>
    <s v="CO2 emissions (kt)"/>
    <n v="348.36500000000001"/>
    <x v="37"/>
  </r>
  <r>
    <x v="11"/>
    <s v="CO2 emissions (kt)"/>
    <n v="1650.15"/>
    <x v="37"/>
  </r>
  <r>
    <x v="12"/>
    <s v="CO2 emissions (kt)"/>
    <n v="964.42100000000005"/>
    <x v="37"/>
  </r>
  <r>
    <x v="13"/>
    <s v="CO2 emissions (kt)"/>
    <n v="524.38099999999997"/>
    <x v="37"/>
  </r>
  <r>
    <x v="14"/>
    <s v="CO2 emissions (kt)"/>
    <n v="7099.3119999999999"/>
    <x v="37"/>
  </r>
  <r>
    <x v="15"/>
    <s v="CO2 emissions (kt)"/>
    <n v="1125.769"/>
    <x v="37"/>
  </r>
  <r>
    <x v="16"/>
    <s v="CO2 emissions (kt)"/>
    <n v="7499.0150000000003"/>
    <x v="37"/>
  </r>
  <r>
    <x v="17"/>
    <s v="CO2 emissions (kt)"/>
    <n v="2783.2530000000002"/>
    <x v="37"/>
  </r>
  <r>
    <x v="18"/>
    <s v="CO2 emissions (kt)"/>
    <n v="3142.6190000000001"/>
    <x v="37"/>
  </r>
  <r>
    <x v="19"/>
    <s v="CO2 emissions (kt)"/>
    <n v="909.41600000000005"/>
    <x v="37"/>
  </r>
  <r>
    <x v="20"/>
    <s v="CO2 emissions (kt)"/>
    <n v="498.71199999999999"/>
    <x v="37"/>
  </r>
  <r>
    <x v="21"/>
    <s v="CO2 emissions (kt)"/>
    <n v="47.670999999999999"/>
    <x v="37"/>
  </r>
  <r>
    <x v="22"/>
    <s v="CO2 emissions (kt)"/>
    <n v="7616.3590000000004"/>
    <x v="37"/>
  </r>
  <r>
    <x v="23"/>
    <s v="CO2 emissions (kt)"/>
    <n v="2152.529"/>
    <x v="37"/>
  </r>
  <r>
    <x v="24"/>
    <s v="CO2 emissions (kt)"/>
    <n v="2882.2620000000002"/>
    <x v="37"/>
  </r>
  <r>
    <x v="25"/>
    <s v="CO2 emissions (kt)"/>
    <n v="1107.434"/>
    <x v="37"/>
  </r>
  <r>
    <x v="26"/>
    <s v="CO2 emissions (kt)"/>
    <n v="2390.884"/>
    <x v="37"/>
  </r>
  <r>
    <x v="27"/>
    <s v="CO2 emissions (kt)"/>
    <n v="14407.643"/>
    <x v="37"/>
  </r>
  <r>
    <x v="0"/>
    <s v="CO2 emissions (kt)"/>
    <n v="249.35599999999999"/>
    <x v="38"/>
  </r>
  <r>
    <x v="1"/>
    <s v="CO2 emissions (kt)"/>
    <n v="3208.625"/>
    <x v="38"/>
  </r>
  <r>
    <x v="2"/>
    <s v="CO2 emissions (kt)"/>
    <n v="150.34700000000001"/>
    <x v="38"/>
  </r>
  <r>
    <x v="3"/>
    <s v="CO2 emissions (kt)"/>
    <n v="88.007999999999996"/>
    <x v="38"/>
  </r>
  <r>
    <x v="4"/>
    <s v="CO2 emissions (kt)"/>
    <n v="315.36200000000002"/>
    <x v="38"/>
  </r>
  <r>
    <x v="5"/>
    <s v="CO2 emissions (kt)"/>
    <n v="3219.6260000000002"/>
    <x v="38"/>
  </r>
  <r>
    <x v="6"/>
    <s v="CO2 emissions (kt)"/>
    <n v="1503.47"/>
    <x v="38"/>
  </r>
  <r>
    <x v="7"/>
    <s v="CO2 emissions (kt)"/>
    <n v="1232.1120000000001"/>
    <x v="38"/>
  </r>
  <r>
    <x v="8"/>
    <s v="CO2 emissions (kt)"/>
    <n v="10036.579"/>
    <x v="38"/>
  </r>
  <r>
    <x v="9"/>
    <s v="CO2 emissions (kt)"/>
    <m/>
    <x v="38"/>
  </r>
  <r>
    <x v="10"/>
    <s v="CO2 emissions (kt)"/>
    <n v="374.03399999999999"/>
    <x v="38"/>
  </r>
  <r>
    <x v="11"/>
    <s v="CO2 emissions (kt)"/>
    <n v="1738.1579999999999"/>
    <x v="38"/>
  </r>
  <r>
    <x v="12"/>
    <s v="CO2 emissions (kt)"/>
    <n v="935.08500000000004"/>
    <x v="38"/>
  </r>
  <r>
    <x v="13"/>
    <s v="CO2 emissions (kt)"/>
    <n v="762.73599999999999"/>
    <x v="38"/>
  </r>
  <r>
    <x v="14"/>
    <s v="CO2 emissions (kt)"/>
    <n v="6270.57"/>
    <x v="38"/>
  </r>
  <r>
    <x v="15"/>
    <s v="CO2 emissions (kt)"/>
    <n v="1133.1030000000001"/>
    <x v="38"/>
  </r>
  <r>
    <x v="16"/>
    <s v="CO2 emissions (kt)"/>
    <n v="8078.4009999999998"/>
    <x v="38"/>
  </r>
  <r>
    <x v="17"/>
    <s v="CO2 emissions (kt)"/>
    <n v="2251.538"/>
    <x v="38"/>
  </r>
  <r>
    <x v="18"/>
    <s v="CO2 emissions (kt)"/>
    <n v="3421.3110000000001"/>
    <x v="38"/>
  </r>
  <r>
    <x v="19"/>
    <s v="CO2 emissions (kt)"/>
    <n v="957.08699999999999"/>
    <x v="38"/>
  </r>
  <r>
    <x v="20"/>
    <s v="CO2 emissions (kt)"/>
    <n v="487.71100000000001"/>
    <x v="38"/>
  </r>
  <r>
    <x v="21"/>
    <s v="CO2 emissions (kt)"/>
    <n v="47.670999999999999"/>
    <x v="38"/>
  </r>
  <r>
    <x v="22"/>
    <s v="CO2 emissions (kt)"/>
    <n v="7825.3779999999997"/>
    <x v="38"/>
  </r>
  <r>
    <x v="23"/>
    <s v="CO2 emissions (kt)"/>
    <n v="2497.2269999999999"/>
    <x v="38"/>
  </r>
  <r>
    <x v="24"/>
    <s v="CO2 emissions (kt)"/>
    <n v="2555.8989999999999"/>
    <x v="38"/>
  </r>
  <r>
    <x v="25"/>
    <s v="CO2 emissions (kt)"/>
    <n v="1265.115"/>
    <x v="38"/>
  </r>
  <r>
    <x v="26"/>
    <s v="CO2 emissions (kt)"/>
    <n v="2313.877"/>
    <x v="38"/>
  </r>
  <r>
    <x v="27"/>
    <s v="CO2 emissions (kt)"/>
    <n v="14253.629000000001"/>
    <x v="38"/>
  </r>
  <r>
    <x v="0"/>
    <s v="CO2 emissions (kt)"/>
    <n v="253.023"/>
    <x v="39"/>
  </r>
  <r>
    <x v="1"/>
    <s v="CO2 emissions (kt)"/>
    <n v="3080.28"/>
    <x v="39"/>
  </r>
  <r>
    <x v="2"/>
    <s v="CO2 emissions (kt)"/>
    <n v="161.34800000000001"/>
    <x v="39"/>
  </r>
  <r>
    <x v="3"/>
    <s v="CO2 emissions (kt)"/>
    <n v="91.674999999999997"/>
    <x v="39"/>
  </r>
  <r>
    <x v="4"/>
    <s v="CO2 emissions (kt)"/>
    <n v="315.36200000000002"/>
    <x v="39"/>
  </r>
  <r>
    <x v="5"/>
    <s v="CO2 emissions (kt)"/>
    <n v="3157.2869999999998"/>
    <x v="39"/>
  </r>
  <r>
    <x v="6"/>
    <s v="CO2 emissions (kt)"/>
    <n v="1580.4770000000001"/>
    <x v="39"/>
  </r>
  <r>
    <x v="7"/>
    <s v="CO2 emissions (kt)"/>
    <n v="1331.1210000000001"/>
    <x v="39"/>
  </r>
  <r>
    <x v="8"/>
    <s v="CO2 emissions (kt)"/>
    <n v="10172.258"/>
    <x v="39"/>
  </r>
  <r>
    <x v="9"/>
    <s v="CO2 emissions (kt)"/>
    <m/>
    <x v="39"/>
  </r>
  <r>
    <x v="10"/>
    <s v="CO2 emissions (kt)"/>
    <n v="392.36900000000003"/>
    <x v="39"/>
  </r>
  <r>
    <x v="11"/>
    <s v="CO2 emissions (kt)"/>
    <n v="1917.8409999999999"/>
    <x v="39"/>
  </r>
  <r>
    <x v="12"/>
    <s v="CO2 emissions (kt)"/>
    <n v="942.41899999999998"/>
    <x v="39"/>
  </r>
  <r>
    <x v="13"/>
    <s v="CO2 emissions (kt)"/>
    <n v="795.73900000000003"/>
    <x v="39"/>
  </r>
  <r>
    <x v="14"/>
    <s v="CO2 emissions (kt)"/>
    <n v="4503.076"/>
    <x v="39"/>
  </r>
  <r>
    <x v="15"/>
    <s v="CO2 emissions (kt)"/>
    <n v="1188.1079999999999"/>
    <x v="39"/>
  </r>
  <r>
    <x v="16"/>
    <s v="CO2 emissions (kt)"/>
    <n v="8969.482"/>
    <x v="39"/>
  </r>
  <r>
    <x v="17"/>
    <s v="CO2 emissions (kt)"/>
    <n v="3219.6260000000002"/>
    <x v="39"/>
  </r>
  <r>
    <x v="18"/>
    <s v="CO2 emissions (kt)"/>
    <n v="3626.663"/>
    <x v="39"/>
  </r>
  <r>
    <x v="19"/>
    <s v="CO2 emissions (kt)"/>
    <n v="953.42"/>
    <x v="39"/>
  </r>
  <r>
    <x v="20"/>
    <s v="CO2 emissions (kt)"/>
    <n v="509.71300000000002"/>
    <x v="39"/>
  </r>
  <r>
    <x v="21"/>
    <s v="CO2 emissions (kt)"/>
    <n v="47.670999999999999"/>
    <x v="39"/>
  </r>
  <r>
    <x v="22"/>
    <s v="CO2 emissions (kt)"/>
    <n v="8617.4500000000007"/>
    <x v="39"/>
  </r>
  <r>
    <x v="23"/>
    <s v="CO2 emissions (kt)"/>
    <n v="2519.2289999999998"/>
    <x v="39"/>
  </r>
  <r>
    <x v="24"/>
    <s v="CO2 emissions (kt)"/>
    <n v="2537.5639999999999"/>
    <x v="39"/>
  </r>
  <r>
    <x v="25"/>
    <s v="CO2 emissions (kt)"/>
    <n v="1312.7860000000001"/>
    <x v="39"/>
  </r>
  <r>
    <x v="26"/>
    <s v="CO2 emissions (kt)"/>
    <n v="1807.8309999999999"/>
    <x v="39"/>
  </r>
  <r>
    <x v="27"/>
    <s v="CO2 emissions (kt)"/>
    <n v="15834.106"/>
    <x v="39"/>
  </r>
  <r>
    <x v="0"/>
    <s v="CO2 emissions (kt)"/>
    <n v="271.358"/>
    <x v="40"/>
  </r>
  <r>
    <x v="1"/>
    <s v="CO2 emissions (kt)"/>
    <n v="3432.3119999999999"/>
    <x v="40"/>
  </r>
  <r>
    <x v="2"/>
    <s v="CO2 emissions (kt)"/>
    <n v="176.01599999999999"/>
    <x v="40"/>
  </r>
  <r>
    <x v="3"/>
    <s v="CO2 emissions (kt)"/>
    <n v="102.676"/>
    <x v="40"/>
  </r>
  <r>
    <x v="4"/>
    <s v="CO2 emissions (kt)"/>
    <n v="341.03100000000001"/>
    <x v="40"/>
  </r>
  <r>
    <x v="5"/>
    <s v="CO2 emissions (kt)"/>
    <n v="3549.6559999999999"/>
    <x v="40"/>
  </r>
  <r>
    <x v="6"/>
    <s v="CO2 emissions (kt)"/>
    <n v="1642.816"/>
    <x v="40"/>
  </r>
  <r>
    <x v="7"/>
    <s v="CO2 emissions (kt)"/>
    <n v="1367.7909999999999"/>
    <x v="40"/>
  </r>
  <r>
    <x v="8"/>
    <s v="CO2 emissions (kt)"/>
    <n v="10417.947"/>
    <x v="40"/>
  </r>
  <r>
    <x v="9"/>
    <s v="CO2 emissions (kt)"/>
    <m/>
    <x v="40"/>
  </r>
  <r>
    <x v="10"/>
    <s v="CO2 emissions (kt)"/>
    <n v="421.70499999999998"/>
    <x v="40"/>
  </r>
  <r>
    <x v="11"/>
    <s v="CO2 emissions (kt)"/>
    <n v="1873.837"/>
    <x v="40"/>
  </r>
  <r>
    <x v="12"/>
    <s v="CO2 emissions (kt)"/>
    <n v="869.07899999999995"/>
    <x v="40"/>
  </r>
  <r>
    <x v="13"/>
    <s v="CO2 emissions (kt)"/>
    <n v="821.40800000000002"/>
    <x v="40"/>
  </r>
  <r>
    <x v="14"/>
    <s v="CO2 emissions (kt)"/>
    <n v="3512.9859999999999"/>
    <x v="40"/>
  </r>
  <r>
    <x v="15"/>
    <s v="CO2 emissions (kt)"/>
    <n v="1349.4559999999999"/>
    <x v="40"/>
  </r>
  <r>
    <x v="16"/>
    <s v="CO2 emissions (kt)"/>
    <n v="10087.916999999999"/>
    <x v="40"/>
  </r>
  <r>
    <x v="17"/>
    <s v="CO2 emissions (kt)"/>
    <n v="3069.279"/>
    <x v="40"/>
  </r>
  <r>
    <x v="18"/>
    <s v="CO2 emissions (kt)"/>
    <n v="3762.3420000000001"/>
    <x v="40"/>
  </r>
  <r>
    <x v="19"/>
    <s v="CO2 emissions (kt)"/>
    <n v="696.73"/>
    <x v="40"/>
  </r>
  <r>
    <x v="20"/>
    <s v="CO2 emissions (kt)"/>
    <n v="528.048"/>
    <x v="40"/>
  </r>
  <r>
    <x v="21"/>
    <s v="CO2 emissions (kt)"/>
    <n v="47.670999999999999"/>
    <x v="40"/>
  </r>
  <r>
    <x v="22"/>
    <s v="CO2 emissions (kt)"/>
    <n v="10238.263999999999"/>
    <x v="40"/>
  </r>
  <r>
    <x v="23"/>
    <s v="CO2 emissions (kt)"/>
    <n v="2236.87"/>
    <x v="40"/>
  </r>
  <r>
    <x v="24"/>
    <s v="CO2 emissions (kt)"/>
    <n v="2651.241"/>
    <x v="40"/>
  </r>
  <r>
    <x v="25"/>
    <s v="CO2 emissions (kt)"/>
    <n v="1430.13"/>
    <x v="40"/>
  </r>
  <r>
    <x v="26"/>
    <s v="CO2 emissions (kt)"/>
    <n v="1822.499"/>
    <x v="40"/>
  </r>
  <r>
    <x v="27"/>
    <s v="CO2 emissions (kt)"/>
    <n v="13923.599"/>
    <x v="40"/>
  </r>
  <r>
    <x v="0"/>
    <s v="CO2 emissions (kt)"/>
    <n v="205.352"/>
    <x v="41"/>
  </r>
  <r>
    <x v="1"/>
    <s v="CO2 emissions (kt)"/>
    <n v="3421.3110000000001"/>
    <x v="41"/>
  </r>
  <r>
    <x v="2"/>
    <s v="CO2 emissions (kt)"/>
    <n v="172.34899999999999"/>
    <x v="41"/>
  </r>
  <r>
    <x v="3"/>
    <s v="CO2 emissions (kt)"/>
    <n v="102.676"/>
    <x v="41"/>
  </r>
  <r>
    <x v="4"/>
    <s v="CO2 emissions (kt)"/>
    <n v="366.7"/>
    <x v="41"/>
  </r>
  <r>
    <x v="5"/>
    <s v="CO2 emissions (kt)"/>
    <n v="4352.7290000000003"/>
    <x v="41"/>
  </r>
  <r>
    <x v="6"/>
    <s v="CO2 emissions (kt)"/>
    <n v="1719.8230000000001"/>
    <x v="41"/>
  </r>
  <r>
    <x v="7"/>
    <s v="CO2 emissions (kt)"/>
    <n v="1569.4760000000001"/>
    <x v="41"/>
  </r>
  <r>
    <x v="8"/>
    <s v="CO2 emissions (kt)"/>
    <n v="9369.1849999999995"/>
    <x v="41"/>
  </r>
  <r>
    <x v="9"/>
    <s v="CO2 emissions (kt)"/>
    <m/>
    <x v="41"/>
  </r>
  <r>
    <x v="10"/>
    <s v="CO2 emissions (kt)"/>
    <n v="491.37799999999999"/>
    <x v="41"/>
  </r>
  <r>
    <x v="11"/>
    <s v="CO2 emissions (kt)"/>
    <n v="1741.825"/>
    <x v="41"/>
  </r>
  <r>
    <x v="12"/>
    <s v="CO2 emissions (kt)"/>
    <n v="865.41200000000003"/>
    <x v="41"/>
  </r>
  <r>
    <x v="13"/>
    <s v="CO2 emissions (kt)"/>
    <n v="828.74199999999996"/>
    <x v="41"/>
  </r>
  <r>
    <x v="14"/>
    <s v="CO2 emissions (kt)"/>
    <n v="3714.6709999999998"/>
    <x v="41"/>
  </r>
  <r>
    <x v="15"/>
    <s v="CO2 emissions (kt)"/>
    <n v="1580.4770000000001"/>
    <x v="41"/>
  </r>
  <r>
    <x v="16"/>
    <s v="CO2 emissions (kt)"/>
    <n v="8723.7929999999997"/>
    <x v="41"/>
  </r>
  <r>
    <x v="17"/>
    <s v="CO2 emissions (kt)"/>
    <n v="3267.297"/>
    <x v="41"/>
  </r>
  <r>
    <x v="18"/>
    <s v="CO2 emissions (kt)"/>
    <n v="3964.027"/>
    <x v="41"/>
  </r>
  <r>
    <x v="19"/>
    <s v="CO2 emissions (kt)"/>
    <n v="656.39300000000003"/>
    <x v="41"/>
  </r>
  <r>
    <x v="20"/>
    <s v="CO2 emissions (kt)"/>
    <n v="531.71500000000003"/>
    <x v="41"/>
  </r>
  <r>
    <x v="21"/>
    <s v="CO2 emissions (kt)"/>
    <n v="51.338000000000001"/>
    <x v="41"/>
  </r>
  <r>
    <x v="22"/>
    <s v="CO2 emissions (kt)"/>
    <n v="10443.616"/>
    <x v="41"/>
  </r>
  <r>
    <x v="23"/>
    <s v="CO2 emissions (kt)"/>
    <n v="2291.875"/>
    <x v="41"/>
  </r>
  <r>
    <x v="24"/>
    <s v="CO2 emissions (kt)"/>
    <n v="3127.951"/>
    <x v="41"/>
  </r>
  <r>
    <x v="25"/>
    <s v="CO2 emissions (kt)"/>
    <n v="1510.8040000000001"/>
    <x v="41"/>
  </r>
  <r>
    <x v="26"/>
    <s v="CO2 emissions (kt)"/>
    <n v="1906.84"/>
    <x v="41"/>
  </r>
  <r>
    <x v="27"/>
    <s v="CO2 emissions (kt)"/>
    <n v="12596.145"/>
    <x v="41"/>
  </r>
  <r>
    <x v="0"/>
    <s v="CO2 emissions (kt)"/>
    <n v="212.68600000000001"/>
    <x v="42"/>
  </r>
  <r>
    <x v="1"/>
    <s v="CO2 emissions (kt)"/>
    <n v="3417.6439999999998"/>
    <x v="42"/>
  </r>
  <r>
    <x v="2"/>
    <s v="CO2 emissions (kt)"/>
    <n v="168.68199999999999"/>
    <x v="42"/>
  </r>
  <r>
    <x v="3"/>
    <s v="CO2 emissions (kt)"/>
    <n v="102.676"/>
    <x v="42"/>
  </r>
  <r>
    <x v="4"/>
    <s v="CO2 emissions (kt)"/>
    <n v="399.70299999999997"/>
    <x v="42"/>
  </r>
  <r>
    <x v="5"/>
    <s v="CO2 emissions (kt)"/>
    <n v="4521.4110000000001"/>
    <x v="42"/>
  </r>
  <r>
    <x v="6"/>
    <s v="CO2 emissions (kt)"/>
    <n v="1804.164"/>
    <x v="42"/>
  </r>
  <r>
    <x v="7"/>
    <s v="CO2 emissions (kt)"/>
    <n v="1826.1659999999999"/>
    <x v="42"/>
  </r>
  <r>
    <x v="8"/>
    <s v="CO2 emissions (kt)"/>
    <n v="7968.3909999999996"/>
    <x v="42"/>
  </r>
  <r>
    <x v="9"/>
    <s v="CO2 emissions (kt)"/>
    <m/>
    <x v="42"/>
  </r>
  <r>
    <x v="10"/>
    <s v="CO2 emissions (kt)"/>
    <n v="487.71100000000001"/>
    <x v="42"/>
  </r>
  <r>
    <x v="11"/>
    <s v="CO2 emissions (kt)"/>
    <n v="1235.779"/>
    <x v="42"/>
  </r>
  <r>
    <x v="12"/>
    <s v="CO2 emissions (kt)"/>
    <n v="850.74400000000003"/>
    <x v="42"/>
  </r>
  <r>
    <x v="13"/>
    <s v="CO2 emissions (kt)"/>
    <n v="847.077"/>
    <x v="42"/>
  </r>
  <r>
    <x v="14"/>
    <s v="CO2 emissions (kt)"/>
    <n v="3986.029"/>
    <x v="42"/>
  </r>
  <r>
    <x v="15"/>
    <s v="CO2 emissions (kt)"/>
    <n v="1587.8109999999999"/>
    <x v="42"/>
  </r>
  <r>
    <x v="16"/>
    <s v="CO2 emissions (kt)"/>
    <n v="9207.8369999999995"/>
    <x v="42"/>
  </r>
  <r>
    <x v="17"/>
    <s v="CO2 emissions (kt)"/>
    <n v="2625.5720000000001"/>
    <x v="42"/>
  </r>
  <r>
    <x v="18"/>
    <s v="CO2 emissions (kt)"/>
    <n v="4037.3670000000002"/>
    <x v="42"/>
  </r>
  <r>
    <x v="19"/>
    <s v="CO2 emissions (kt)"/>
    <n v="700.39700000000005"/>
    <x v="42"/>
  </r>
  <r>
    <x v="20"/>
    <s v="CO2 emissions (kt)"/>
    <n v="531.71500000000003"/>
    <x v="42"/>
  </r>
  <r>
    <x v="21"/>
    <s v="CO2 emissions (kt)"/>
    <n v="58.671999999999997"/>
    <x v="42"/>
  </r>
  <r>
    <x v="22"/>
    <s v="CO2 emissions (kt)"/>
    <n v="11056.004999999999"/>
    <x v="42"/>
  </r>
  <r>
    <x v="23"/>
    <s v="CO2 emissions (kt)"/>
    <n v="1881.171"/>
    <x v="42"/>
  </r>
  <r>
    <x v="24"/>
    <s v="CO2 emissions (kt)"/>
    <n v="3589.9929999999999"/>
    <x v="42"/>
  </r>
  <r>
    <x v="25"/>
    <s v="CO2 emissions (kt)"/>
    <n v="1558.4749999999999"/>
    <x v="42"/>
  </r>
  <r>
    <x v="26"/>
    <s v="CO2 emissions (kt)"/>
    <n v="1983.847"/>
    <x v="42"/>
  </r>
  <r>
    <x v="27"/>
    <s v="CO2 emissions (kt)"/>
    <n v="11965.421"/>
    <x v="42"/>
  </r>
  <r>
    <x v="0"/>
    <s v="CO2 emissions (kt)"/>
    <n v="161.34800000000001"/>
    <x v="43"/>
  </r>
  <r>
    <x v="1"/>
    <s v="CO2 emissions (kt)"/>
    <n v="3795.3449999999998"/>
    <x v="43"/>
  </r>
  <r>
    <x v="2"/>
    <s v="CO2 emissions (kt)"/>
    <n v="381.36799999999999"/>
    <x v="43"/>
  </r>
  <r>
    <x v="3"/>
    <s v="CO2 emissions (kt)"/>
    <n v="132.012"/>
    <x v="43"/>
  </r>
  <r>
    <x v="4"/>
    <s v="CO2 emissions (kt)"/>
    <n v="421.70499999999998"/>
    <x v="43"/>
  </r>
  <r>
    <x v="5"/>
    <s v="CO2 emissions (kt)"/>
    <n v="4987.12"/>
    <x v="43"/>
  </r>
  <r>
    <x v="6"/>
    <s v="CO2 emissions (kt)"/>
    <n v="1881.171"/>
    <x v="43"/>
  </r>
  <r>
    <x v="7"/>
    <s v="CO2 emissions (kt)"/>
    <n v="1734.491"/>
    <x v="43"/>
  </r>
  <r>
    <x v="8"/>
    <s v="CO2 emissions (kt)"/>
    <n v="6754.6139999999996"/>
    <x v="43"/>
  </r>
  <r>
    <x v="9"/>
    <s v="CO2 emissions (kt)"/>
    <m/>
    <x v="43"/>
  </r>
  <r>
    <x v="10"/>
    <s v="CO2 emissions (kt)"/>
    <n v="520.71400000000006"/>
    <x v="43"/>
  </r>
  <r>
    <x v="11"/>
    <s v="CO2 emissions (kt)"/>
    <n v="1701.4880000000001"/>
    <x v="43"/>
  </r>
  <r>
    <x v="12"/>
    <s v="CO2 emissions (kt)"/>
    <n v="916.75"/>
    <x v="43"/>
  </r>
  <r>
    <x v="13"/>
    <s v="CO2 emissions (kt)"/>
    <n v="843.41"/>
    <x v="43"/>
  </r>
  <r>
    <x v="14"/>
    <s v="CO2 emissions (kt)"/>
    <n v="4290.3900000000003"/>
    <x v="43"/>
  </r>
  <r>
    <x v="15"/>
    <s v="CO2 emissions (kt)"/>
    <n v="1917.8409999999999"/>
    <x v="43"/>
  </r>
  <r>
    <x v="16"/>
    <s v="CO2 emissions (kt)"/>
    <n v="9845.8950000000004"/>
    <x v="43"/>
  </r>
  <r>
    <x v="17"/>
    <s v="CO2 emissions (kt)"/>
    <n v="2841.9250000000002"/>
    <x v="43"/>
  </r>
  <r>
    <x v="18"/>
    <s v="CO2 emissions (kt)"/>
    <n v="4411.4009999999998"/>
    <x v="43"/>
  </r>
  <r>
    <x v="19"/>
    <s v="CO2 emissions (kt)"/>
    <n v="759.06899999999996"/>
    <x v="43"/>
  </r>
  <r>
    <x v="20"/>
    <s v="CO2 emissions (kt)"/>
    <n v="520.71400000000006"/>
    <x v="43"/>
  </r>
  <r>
    <x v="21"/>
    <s v="CO2 emissions (kt)"/>
    <n v="66.006"/>
    <x v="43"/>
  </r>
  <r>
    <x v="22"/>
    <s v="CO2 emissions (kt)"/>
    <n v="11078.007"/>
    <x v="43"/>
  </r>
  <r>
    <x v="23"/>
    <s v="CO2 emissions (kt)"/>
    <n v="2075.5219999999999"/>
    <x v="43"/>
  </r>
  <r>
    <x v="24"/>
    <s v="CO2 emissions (kt)"/>
    <n v="3806.346"/>
    <x v="43"/>
  </r>
  <r>
    <x v="25"/>
    <s v="CO2 emissions (kt)"/>
    <n v="1598.8119999999999"/>
    <x v="43"/>
  </r>
  <r>
    <x v="26"/>
    <s v="CO2 emissions (kt)"/>
    <n v="2112.192"/>
    <x v="43"/>
  </r>
  <r>
    <x v="27"/>
    <s v="CO2 emissions (kt)"/>
    <n v="10656.302"/>
    <x v="43"/>
  </r>
  <r>
    <x v="0"/>
    <s v="CO2 emissions (kt)"/>
    <n v="198.018"/>
    <x v="44"/>
  </r>
  <r>
    <x v="1"/>
    <s v="CO2 emissions (kt)"/>
    <n v="3956.6930000000002"/>
    <x v="44"/>
  </r>
  <r>
    <x v="2"/>
    <s v="CO2 emissions (kt)"/>
    <n v="377.70100000000002"/>
    <x v="44"/>
  </r>
  <r>
    <x v="3"/>
    <s v="CO2 emissions (kt)"/>
    <n v="143.01300000000001"/>
    <x v="44"/>
  </r>
  <r>
    <x v="4"/>
    <s v="CO2 emissions (kt)"/>
    <n v="407.03699999999998"/>
    <x v="44"/>
  </r>
  <r>
    <x v="5"/>
    <s v="CO2 emissions (kt)"/>
    <n v="5295.1480000000001"/>
    <x v="44"/>
  </r>
  <r>
    <x v="6"/>
    <s v="CO2 emissions (kt)"/>
    <n v="1943.51"/>
    <x v="44"/>
  </r>
  <r>
    <x v="7"/>
    <s v="CO2 emissions (kt)"/>
    <n v="1987.5139999999999"/>
    <x v="44"/>
  </r>
  <r>
    <x v="8"/>
    <s v="CO2 emissions (kt)"/>
    <n v="7623.6930000000002"/>
    <x v="44"/>
  </r>
  <r>
    <x v="9"/>
    <s v="CO2 emissions (kt)"/>
    <m/>
    <x v="44"/>
  </r>
  <r>
    <x v="10"/>
    <s v="CO2 emissions (kt)"/>
    <n v="616.05600000000004"/>
    <x v="44"/>
  </r>
  <r>
    <x v="11"/>
    <s v="CO2 emissions (kt)"/>
    <n v="1807.8309999999999"/>
    <x v="44"/>
  </r>
  <r>
    <x v="12"/>
    <s v="CO2 emissions (kt)"/>
    <n v="931.41800000000001"/>
    <x v="44"/>
  </r>
  <r>
    <x v="13"/>
    <s v="CO2 emissions (kt)"/>
    <n v="876.41300000000001"/>
    <x v="44"/>
  </r>
  <r>
    <x v="14"/>
    <s v="CO2 emissions (kt)"/>
    <n v="4554.4139999999998"/>
    <x v="44"/>
  </r>
  <r>
    <x v="15"/>
    <s v="CO2 emissions (kt)"/>
    <n v="1921.508"/>
    <x v="44"/>
  </r>
  <r>
    <x v="16"/>
    <s v="CO2 emissions (kt)"/>
    <n v="12434.797"/>
    <x v="44"/>
  </r>
  <r>
    <x v="17"/>
    <s v="CO2 emissions (kt)"/>
    <n v="2669.576"/>
    <x v="44"/>
  </r>
  <r>
    <x v="18"/>
    <s v="CO2 emissions (kt)"/>
    <n v="4426.0690000000004"/>
    <x v="44"/>
  </r>
  <r>
    <x v="19"/>
    <s v="CO2 emissions (kt)"/>
    <n v="814.07399999999996"/>
    <x v="44"/>
  </r>
  <r>
    <x v="20"/>
    <s v="CO2 emissions (kt)"/>
    <n v="528.048"/>
    <x v="44"/>
  </r>
  <r>
    <x v="21"/>
    <s v="CO2 emissions (kt)"/>
    <n v="73.34"/>
    <x v="44"/>
  </r>
  <r>
    <x v="22"/>
    <s v="CO2 emissions (kt)"/>
    <n v="12299.118"/>
    <x v="44"/>
  </r>
  <r>
    <x v="23"/>
    <s v="CO2 emissions (kt)"/>
    <n v="2563.2330000000002"/>
    <x v="44"/>
  </r>
  <r>
    <x v="24"/>
    <s v="CO2 emissions (kt)"/>
    <n v="4363.7299999999996"/>
    <x v="44"/>
  </r>
  <r>
    <x v="25"/>
    <s v="CO2 emissions (kt)"/>
    <n v="1738.1579999999999"/>
    <x v="44"/>
  </r>
  <r>
    <x v="26"/>
    <s v="CO2 emissions (kt)"/>
    <n v="2145.1950000000002"/>
    <x v="44"/>
  </r>
  <r>
    <x v="27"/>
    <s v="CO2 emissions (kt)"/>
    <n v="9486.5290000000005"/>
    <x v="44"/>
  </r>
  <r>
    <x v="0"/>
    <s v="CO2 emissions (kt)"/>
    <n v="154.01400000000001"/>
    <x v="45"/>
  </r>
  <r>
    <x v="1"/>
    <s v="CO2 emissions (kt)"/>
    <n v="3696.3359999999998"/>
    <x v="45"/>
  </r>
  <r>
    <x v="2"/>
    <s v="CO2 emissions (kt)"/>
    <n v="399.70299999999997"/>
    <x v="45"/>
  </r>
  <r>
    <x v="3"/>
    <s v="CO2 emissions (kt)"/>
    <n v="139.346"/>
    <x v="45"/>
  </r>
  <r>
    <x v="4"/>
    <s v="CO2 emissions (kt)"/>
    <n v="414.37099999999998"/>
    <x v="45"/>
  </r>
  <r>
    <x v="5"/>
    <s v="CO2 emissions (kt)"/>
    <n v="5119.1319999999996"/>
    <x v="45"/>
  </r>
  <r>
    <x v="6"/>
    <s v="CO2 emissions (kt)"/>
    <n v="1826.1659999999999"/>
    <x v="45"/>
  </r>
  <r>
    <x v="7"/>
    <s v="CO2 emissions (kt)"/>
    <n v="2075.5219999999999"/>
    <x v="45"/>
  </r>
  <r>
    <x v="8"/>
    <s v="CO2 emissions (kt)"/>
    <n v="8562.4449999999997"/>
    <x v="45"/>
  </r>
  <r>
    <x v="9"/>
    <s v="CO2 emissions (kt)"/>
    <m/>
    <x v="45"/>
  </r>
  <r>
    <x v="10"/>
    <s v="CO2 emissions (kt)"/>
    <n v="726.06600000000003"/>
    <x v="45"/>
  </r>
  <r>
    <x v="11"/>
    <s v="CO2 emissions (kt)"/>
    <n v="1741.825"/>
    <x v="45"/>
  </r>
  <r>
    <x v="12"/>
    <s v="CO2 emissions (kt)"/>
    <n v="876.41300000000001"/>
    <x v="45"/>
  </r>
  <r>
    <x v="13"/>
    <s v="CO2 emissions (kt)"/>
    <n v="898.41499999999996"/>
    <x v="45"/>
  </r>
  <r>
    <x v="14"/>
    <s v="CO2 emissions (kt)"/>
    <n v="4895.4449999999997"/>
    <x v="45"/>
  </r>
  <r>
    <x v="15"/>
    <s v="CO2 emissions (kt)"/>
    <n v="1822.499"/>
    <x v="45"/>
  </r>
  <r>
    <x v="16"/>
    <s v="CO2 emissions (kt)"/>
    <n v="11598.721"/>
    <x v="45"/>
  </r>
  <r>
    <x v="17"/>
    <s v="CO2 emissions (kt)"/>
    <n v="3083.9470000000001"/>
    <x v="45"/>
  </r>
  <r>
    <x v="18"/>
    <s v="CO2 emissions (kt)"/>
    <n v="4319.7259999999997"/>
    <x v="45"/>
  </r>
  <r>
    <x v="19"/>
    <s v="CO2 emissions (kt)"/>
    <n v="715.06500000000005"/>
    <x v="45"/>
  </r>
  <r>
    <x v="20"/>
    <s v="CO2 emissions (kt)"/>
    <n v="528.048"/>
    <x v="45"/>
  </r>
  <r>
    <x v="21"/>
    <s v="CO2 emissions (kt)"/>
    <n v="77.007000000000005"/>
    <x v="45"/>
  </r>
  <r>
    <x v="22"/>
    <s v="CO2 emissions (kt)"/>
    <n v="12101.1"/>
    <x v="45"/>
  </r>
  <r>
    <x v="23"/>
    <s v="CO2 emissions (kt)"/>
    <n v="2442.2220000000002"/>
    <x v="45"/>
  </r>
  <r>
    <x v="24"/>
    <s v="CO2 emissions (kt)"/>
    <n v="5504.1670000000004"/>
    <x v="45"/>
  </r>
  <r>
    <x v="25"/>
    <s v="CO2 emissions (kt)"/>
    <n v="2170.864"/>
    <x v="45"/>
  </r>
  <r>
    <x v="26"/>
    <s v="CO2 emissions (kt)"/>
    <n v="2288.2080000000001"/>
    <x v="45"/>
  </r>
  <r>
    <x v="27"/>
    <s v="CO2 emissions (kt)"/>
    <n v="10769.978999999999"/>
    <x v="45"/>
  </r>
  <r>
    <x v="0"/>
    <s v="CO2 emissions (kt)"/>
    <n v="187.017"/>
    <x v="46"/>
  </r>
  <r>
    <x v="1"/>
    <s v="CO2 emissions (kt)"/>
    <n v="3861.3510000000001"/>
    <x v="46"/>
  </r>
  <r>
    <x v="2"/>
    <s v="CO2 emissions (kt)"/>
    <n v="407.03699999999998"/>
    <x v="46"/>
  </r>
  <r>
    <x v="3"/>
    <s v="CO2 emissions (kt)"/>
    <n v="161.34800000000001"/>
    <x v="46"/>
  </r>
  <r>
    <x v="4"/>
    <s v="CO2 emissions (kt)"/>
    <n v="410.70400000000001"/>
    <x v="46"/>
  </r>
  <r>
    <x v="5"/>
    <s v="CO2 emissions (kt)"/>
    <n v="5504.1670000000004"/>
    <x v="46"/>
  </r>
  <r>
    <x v="6"/>
    <s v="CO2 emissions (kt)"/>
    <n v="1892.172"/>
    <x v="46"/>
  </r>
  <r>
    <x v="7"/>
    <s v="CO2 emissions (kt)"/>
    <n v="2112.192"/>
    <x v="46"/>
  </r>
  <r>
    <x v="8"/>
    <s v="CO2 emissions (kt)"/>
    <n v="9574.5370000000003"/>
    <x v="46"/>
  </r>
  <r>
    <x v="9"/>
    <s v="CO2 emissions (kt)"/>
    <m/>
    <x v="46"/>
  </r>
  <r>
    <x v="10"/>
    <s v="CO2 emissions (kt)"/>
    <n v="748.06799999999998"/>
    <x v="46"/>
  </r>
  <r>
    <x v="11"/>
    <s v="CO2 emissions (kt)"/>
    <n v="1683.153"/>
    <x v="46"/>
  </r>
  <r>
    <x v="12"/>
    <s v="CO2 emissions (kt)"/>
    <n v="913.08299999999997"/>
    <x v="46"/>
  </r>
  <r>
    <x v="13"/>
    <s v="CO2 emissions (kt)"/>
    <n v="942.41899999999998"/>
    <x v="46"/>
  </r>
  <r>
    <x v="14"/>
    <s v="CO2 emissions (kt)"/>
    <n v="4994.4539999999997"/>
    <x v="46"/>
  </r>
  <r>
    <x v="15"/>
    <s v="CO2 emissions (kt)"/>
    <n v="1980.18"/>
    <x v="46"/>
  </r>
  <r>
    <x v="16"/>
    <s v="CO2 emissions (kt)"/>
    <n v="12849.168"/>
    <x v="46"/>
  </r>
  <r>
    <x v="17"/>
    <s v="CO2 emissions (kt)"/>
    <n v="2563.2330000000002"/>
    <x v="46"/>
  </r>
  <r>
    <x v="18"/>
    <s v="CO2 emissions (kt)"/>
    <n v="4466.4059999999999"/>
    <x v="46"/>
  </r>
  <r>
    <x v="19"/>
    <s v="CO2 emissions (kt)"/>
    <n v="693.06299999999999"/>
    <x v="46"/>
  </r>
  <r>
    <x v="20"/>
    <s v="CO2 emissions (kt)"/>
    <n v="528.048"/>
    <x v="46"/>
  </r>
  <r>
    <x v="21"/>
    <s v="CO2 emissions (kt)"/>
    <n v="84.340999999999994"/>
    <x v="46"/>
  </r>
  <r>
    <x v="22"/>
    <s v="CO2 emissions (kt)"/>
    <n v="11976.422"/>
    <x v="46"/>
  </r>
  <r>
    <x v="23"/>
    <s v="CO2 emissions (kt)"/>
    <n v="2658.5749999999998"/>
    <x v="46"/>
  </r>
  <r>
    <x v="24"/>
    <s v="CO2 emissions (kt)"/>
    <n v="6028.5479999999998"/>
    <x v="46"/>
  </r>
  <r>
    <x v="25"/>
    <s v="CO2 emissions (kt)"/>
    <n v="2537.5639999999999"/>
    <x v="46"/>
  </r>
  <r>
    <x v="26"/>
    <s v="CO2 emissions (kt)"/>
    <n v="2291.875"/>
    <x v="46"/>
  </r>
  <r>
    <x v="27"/>
    <s v="CO2 emissions (kt)"/>
    <n v="10447.282999999999"/>
    <x v="46"/>
  </r>
  <r>
    <x v="0"/>
    <s v="CO2 emissions (kt)"/>
    <n v="187.017"/>
    <x v="47"/>
  </r>
  <r>
    <x v="1"/>
    <s v="CO2 emissions (kt)"/>
    <n v="5834.1970000000001"/>
    <x v="47"/>
  </r>
  <r>
    <x v="2"/>
    <s v="CO2 emissions (kt)"/>
    <n v="462.04199999999997"/>
    <x v="47"/>
  </r>
  <r>
    <x v="3"/>
    <s v="CO2 emissions (kt)"/>
    <n v="102.676"/>
    <x v="47"/>
  </r>
  <r>
    <x v="4"/>
    <s v="CO2 emissions (kt)"/>
    <n v="462.04199999999997"/>
    <x v="47"/>
  </r>
  <r>
    <x v="5"/>
    <s v="CO2 emissions (kt)"/>
    <n v="6013.88"/>
    <x v="47"/>
  </r>
  <r>
    <x v="6"/>
    <s v="CO2 emissions (kt)"/>
    <n v="1969.1790000000001"/>
    <x v="47"/>
  </r>
  <r>
    <x v="7"/>
    <s v="CO2 emissions (kt)"/>
    <n v="2390.884"/>
    <x v="47"/>
  </r>
  <r>
    <x v="8"/>
    <s v="CO2 emissions (kt)"/>
    <n v="9831.2270000000008"/>
    <x v="47"/>
  </r>
  <r>
    <x v="9"/>
    <s v="CO2 emissions (kt)"/>
    <m/>
    <x v="47"/>
  </r>
  <r>
    <x v="10"/>
    <s v="CO2 emissions (kt)"/>
    <n v="667.39400000000001"/>
    <x v="47"/>
  </r>
  <r>
    <x v="11"/>
    <s v="CO2 emissions (kt)"/>
    <n v="1815.165"/>
    <x v="47"/>
  </r>
  <r>
    <x v="12"/>
    <s v="CO2 emissions (kt)"/>
    <n v="887.41399999999999"/>
    <x v="47"/>
  </r>
  <r>
    <x v="13"/>
    <s v="CO2 emissions (kt)"/>
    <n v="1008.425"/>
    <x v="47"/>
  </r>
  <r>
    <x v="14"/>
    <s v="CO2 emissions (kt)"/>
    <n v="4679.0919999999996"/>
    <x v="47"/>
  </r>
  <r>
    <x v="15"/>
    <s v="CO2 emissions (kt)"/>
    <n v="2262.5390000000002"/>
    <x v="47"/>
  </r>
  <r>
    <x v="16"/>
    <s v="CO2 emissions (kt)"/>
    <n v="12874.837"/>
    <x v="47"/>
  </r>
  <r>
    <x v="17"/>
    <s v="CO2 emissions (kt)"/>
    <n v="2614.5709999999999"/>
    <x v="47"/>
  </r>
  <r>
    <x v="18"/>
    <s v="CO2 emissions (kt)"/>
    <n v="4605.7520000000004"/>
    <x v="47"/>
  </r>
  <r>
    <x v="19"/>
    <s v="CO2 emissions (kt)"/>
    <n v="722.399"/>
    <x v="47"/>
  </r>
  <r>
    <x v="20"/>
    <s v="CO2 emissions (kt)"/>
    <n v="557.38400000000001"/>
    <x v="47"/>
  </r>
  <r>
    <x v="21"/>
    <s v="CO2 emissions (kt)"/>
    <n v="84.340999999999994"/>
    <x v="47"/>
  </r>
  <r>
    <x v="22"/>
    <s v="CO2 emissions (kt)"/>
    <n v="12354.123"/>
    <x v="47"/>
  </r>
  <r>
    <x v="23"/>
    <s v="CO2 emissions (kt)"/>
    <n v="3234.2939999999999"/>
    <x v="47"/>
  </r>
  <r>
    <x v="24"/>
    <s v="CO2 emissions (kt)"/>
    <n v="5896.5360000000001"/>
    <x v="47"/>
  </r>
  <r>
    <x v="25"/>
    <s v="CO2 emissions (kt)"/>
    <n v="2889.596"/>
    <x v="47"/>
  </r>
  <r>
    <x v="26"/>
    <s v="CO2 emissions (kt)"/>
    <n v="1928.8420000000001"/>
    <x v="47"/>
  </r>
  <r>
    <x v="27"/>
    <s v="CO2 emissions (kt)"/>
    <n v="9886.232"/>
    <x v="47"/>
  </r>
  <r>
    <x v="0"/>
    <s v="CO2 emissions (kt)"/>
    <n v="190.684"/>
    <x v="48"/>
  </r>
  <r>
    <x v="1"/>
    <s v="CO2 emissions (kt)"/>
    <n v="5544.5039999999999"/>
    <x v="48"/>
  </r>
  <r>
    <x v="2"/>
    <s v="CO2 emissions (kt)"/>
    <n v="509.71300000000002"/>
    <x v="48"/>
  </r>
  <r>
    <x v="3"/>
    <s v="CO2 emissions (kt)"/>
    <n v="106.343"/>
    <x v="48"/>
  </r>
  <r>
    <x v="4"/>
    <s v="CO2 emissions (kt)"/>
    <n v="498.71199999999999"/>
    <x v="48"/>
  </r>
  <r>
    <x v="5"/>
    <s v="CO2 emissions (kt)"/>
    <n v="6578.598"/>
    <x v="48"/>
  </r>
  <r>
    <x v="6"/>
    <s v="CO2 emissions (kt)"/>
    <n v="2189.1990000000001"/>
    <x v="48"/>
  </r>
  <r>
    <x v="7"/>
    <s v="CO2 emissions (kt)"/>
    <n v="2398.2179999999998"/>
    <x v="48"/>
  </r>
  <r>
    <x v="8"/>
    <s v="CO2 emissions (kt)"/>
    <n v="10241.931"/>
    <x v="48"/>
  </r>
  <r>
    <x v="9"/>
    <s v="CO2 emissions (kt)"/>
    <m/>
    <x v="48"/>
  </r>
  <r>
    <x v="10"/>
    <s v="CO2 emissions (kt)"/>
    <n v="564.71799999999996"/>
    <x v="48"/>
  </r>
  <r>
    <x v="11"/>
    <s v="CO2 emissions (kt)"/>
    <n v="1888.5050000000001"/>
    <x v="48"/>
  </r>
  <r>
    <x v="12"/>
    <s v="CO2 emissions (kt)"/>
    <n v="1056.096"/>
    <x v="48"/>
  </r>
  <r>
    <x v="13"/>
    <s v="CO2 emissions (kt)"/>
    <n v="1070.7639999999999"/>
    <x v="48"/>
  </r>
  <r>
    <x v="14"/>
    <s v="CO2 emissions (kt)"/>
    <n v="4778.1009999999997"/>
    <x v="48"/>
  </r>
  <r>
    <x v="15"/>
    <s v="CO2 emissions (kt)"/>
    <n v="2266.2060000000001"/>
    <x v="48"/>
  </r>
  <r>
    <x v="16"/>
    <s v="CO2 emissions (kt)"/>
    <n v="9801.8909999999996"/>
    <x v="48"/>
  </r>
  <r>
    <x v="17"/>
    <s v="CO2 emissions (kt)"/>
    <n v="3421.3110000000001"/>
    <x v="48"/>
  </r>
  <r>
    <x v="18"/>
    <s v="CO2 emissions (kt)"/>
    <n v="4422.402"/>
    <x v="48"/>
  </r>
  <r>
    <x v="19"/>
    <s v="CO2 emissions (kt)"/>
    <n v="810.40700000000004"/>
    <x v="48"/>
  </r>
  <r>
    <x v="20"/>
    <s v="CO2 emissions (kt)"/>
    <n v="542.71600000000001"/>
    <x v="48"/>
  </r>
  <r>
    <x v="21"/>
    <s v="CO2 emissions (kt)"/>
    <n v="84.340999999999994"/>
    <x v="48"/>
  </r>
  <r>
    <x v="22"/>
    <s v="CO2 emissions (kt)"/>
    <n v="12207.442999999999"/>
    <x v="48"/>
  </r>
  <r>
    <x v="23"/>
    <s v="CO2 emissions (kt)"/>
    <n v="2904.2640000000001"/>
    <x v="48"/>
  </r>
  <r>
    <x v="24"/>
    <s v="CO2 emissions (kt)"/>
    <n v="6142.2250000000004"/>
    <x v="48"/>
  </r>
  <r>
    <x v="25"/>
    <s v="CO2 emissions (kt)"/>
    <n v="3190.29"/>
    <x v="48"/>
  </r>
  <r>
    <x v="26"/>
    <s v="CO2 emissions (kt)"/>
    <n v="2170.864"/>
    <x v="48"/>
  </r>
  <r>
    <x v="27"/>
    <s v="CO2 emissions (kt)"/>
    <n v="7770.3729999999996"/>
    <x v="48"/>
  </r>
  <r>
    <x v="0"/>
    <s v="CO2 emissions (kt)"/>
    <n v="190.684"/>
    <x v="49"/>
  </r>
  <r>
    <x v="1"/>
    <s v="CO2 emissions (kt)"/>
    <n v="6725.2780000000002"/>
    <x v="49"/>
  </r>
  <r>
    <x v="2"/>
    <s v="CO2 emissions (kt)"/>
    <n v="491.37799999999999"/>
    <x v="49"/>
  </r>
  <r>
    <x v="3"/>
    <s v="CO2 emissions (kt)"/>
    <n v="132.012"/>
    <x v="49"/>
  </r>
  <r>
    <x v="4"/>
    <s v="CO2 emissions (kt)"/>
    <n v="462.04199999999997"/>
    <x v="49"/>
  </r>
  <r>
    <x v="5"/>
    <s v="CO2 emissions (kt)"/>
    <n v="6629.9359999999997"/>
    <x v="49"/>
  </r>
  <r>
    <x v="6"/>
    <s v="CO2 emissions (kt)"/>
    <n v="2262.5390000000002"/>
    <x v="49"/>
  </r>
  <r>
    <x v="7"/>
    <s v="CO2 emissions (kt)"/>
    <n v="2269.873"/>
    <x v="49"/>
  </r>
  <r>
    <x v="8"/>
    <s v="CO2 emissions (kt)"/>
    <n v="12350.456"/>
    <x v="49"/>
  </r>
  <r>
    <x v="9"/>
    <s v="CO2 emissions (kt)"/>
    <m/>
    <x v="49"/>
  </r>
  <r>
    <x v="10"/>
    <s v="CO2 emissions (kt)"/>
    <n v="517.04700000000003"/>
    <x v="49"/>
  </r>
  <r>
    <x v="11"/>
    <s v="CO2 emissions (kt)"/>
    <n v="1771.1610000000001"/>
    <x v="49"/>
  </r>
  <r>
    <x v="12"/>
    <s v="CO2 emissions (kt)"/>
    <n v="946.08600000000001"/>
    <x v="49"/>
  </r>
  <r>
    <x v="13"/>
    <s v="CO2 emissions (kt)"/>
    <n v="806.74"/>
    <x v="49"/>
  </r>
  <r>
    <x v="14"/>
    <s v="CO2 emissions (kt)"/>
    <n v="4550.7470000000003"/>
    <x v="49"/>
  </r>
  <r>
    <x v="15"/>
    <s v="CO2 emissions (kt)"/>
    <n v="2530.23"/>
    <x v="49"/>
  </r>
  <r>
    <x v="16"/>
    <s v="CO2 emissions (kt)"/>
    <n v="10230.93"/>
    <x v="49"/>
  </r>
  <r>
    <x v="17"/>
    <s v="CO2 emissions (kt)"/>
    <n v="4334.3940000000002"/>
    <x v="49"/>
  </r>
  <r>
    <x v="18"/>
    <s v="CO2 emissions (kt)"/>
    <n v="4495.7420000000002"/>
    <x v="49"/>
  </r>
  <r>
    <x v="19"/>
    <s v="CO2 emissions (kt)"/>
    <n v="968.08799999999997"/>
    <x v="49"/>
  </r>
  <r>
    <x v="20"/>
    <s v="CO2 emissions (kt)"/>
    <n v="575.71900000000005"/>
    <x v="49"/>
  </r>
  <r>
    <x v="21"/>
    <s v="CO2 emissions (kt)"/>
    <n v="91.674999999999997"/>
    <x v="49"/>
  </r>
  <r>
    <x v="22"/>
    <s v="CO2 emissions (kt)"/>
    <n v="13175.531000000001"/>
    <x v="49"/>
  </r>
  <r>
    <x v="23"/>
    <s v="CO2 emissions (kt)"/>
    <n v="2453.223"/>
    <x v="49"/>
  </r>
  <r>
    <x v="24"/>
    <s v="CO2 emissions (kt)"/>
    <n v="5918.5379999999996"/>
    <x v="49"/>
  </r>
  <r>
    <x v="25"/>
    <s v="CO2 emissions (kt)"/>
    <n v="3380.9740000000002"/>
    <x v="49"/>
  </r>
  <r>
    <x v="26"/>
    <s v="CO2 emissions (kt)"/>
    <n v="2508.2280000000001"/>
    <x v="49"/>
  </r>
  <r>
    <x v="27"/>
    <s v="CO2 emissions (kt)"/>
    <n v="5603.1760000000004"/>
    <x v="49"/>
  </r>
  <r>
    <x v="0"/>
    <s v="CO2 emissions (kt)"/>
    <n v="212.68600000000001"/>
    <x v="50"/>
  </r>
  <r>
    <x v="1"/>
    <s v="CO2 emissions (kt)"/>
    <n v="6780.2830000000004"/>
    <x v="50"/>
  </r>
  <r>
    <x v="2"/>
    <s v="CO2 emissions (kt)"/>
    <n v="517.04700000000003"/>
    <x v="50"/>
  </r>
  <r>
    <x v="3"/>
    <s v="CO2 emissions (kt)"/>
    <n v="161.34800000000001"/>
    <x v="50"/>
  </r>
  <r>
    <x v="4"/>
    <s v="CO2 emissions (kt)"/>
    <n v="517.04700000000003"/>
    <x v="50"/>
  </r>
  <r>
    <x v="5"/>
    <s v="CO2 emissions (kt)"/>
    <n v="6585.9319999999998"/>
    <x v="50"/>
  </r>
  <r>
    <x v="6"/>
    <s v="CO2 emissions (kt)"/>
    <n v="2603.5700000000002"/>
    <x v="50"/>
  </r>
  <r>
    <x v="7"/>
    <s v="CO2 emissions (kt)"/>
    <n v="2126.86"/>
    <x v="50"/>
  </r>
  <r>
    <x v="8"/>
    <s v="CO2 emissions (kt)"/>
    <n v="12174.44"/>
    <x v="50"/>
  </r>
  <r>
    <x v="9"/>
    <s v="CO2 emissions (kt)"/>
    <m/>
    <x v="50"/>
  </r>
  <r>
    <x v="10"/>
    <s v="CO2 emissions (kt)"/>
    <n v="792.072"/>
    <x v="50"/>
  </r>
  <r>
    <x v="11"/>
    <s v="CO2 emissions (kt)"/>
    <n v="1958.1780000000001"/>
    <x v="50"/>
  </r>
  <r>
    <x v="12"/>
    <s v="CO2 emissions (kt)"/>
    <n v="1144.104"/>
    <x v="50"/>
  </r>
  <r>
    <x v="13"/>
    <s v="CO2 emissions (kt)"/>
    <n v="964.42100000000005"/>
    <x v="50"/>
  </r>
  <r>
    <x v="14"/>
    <s v="CO2 emissions (kt)"/>
    <n v="4932.1149999999998"/>
    <x v="50"/>
  </r>
  <r>
    <x v="15"/>
    <s v="CO2 emissions (kt)"/>
    <n v="2735.5819999999999"/>
    <x v="50"/>
  </r>
  <r>
    <x v="16"/>
    <s v="CO2 emissions (kt)"/>
    <n v="12515.471"/>
    <x v="50"/>
  </r>
  <r>
    <x v="17"/>
    <s v="CO2 emissions (kt)"/>
    <n v="5056.7929999999997"/>
    <x v="50"/>
  </r>
  <r>
    <x v="18"/>
    <s v="CO2 emissions (kt)"/>
    <n v="4536.0789999999997"/>
    <x v="50"/>
  </r>
  <r>
    <x v="19"/>
    <s v="CO2 emissions (kt)"/>
    <n v="1173.44"/>
    <x v="50"/>
  </r>
  <r>
    <x v="20"/>
    <s v="CO2 emissions (kt)"/>
    <n v="590.38699999999994"/>
    <x v="50"/>
  </r>
  <r>
    <x v="21"/>
    <s v="CO2 emissions (kt)"/>
    <n v="99.009"/>
    <x v="50"/>
  </r>
  <r>
    <x v="22"/>
    <s v="CO2 emissions (kt)"/>
    <n v="13263.539000000001"/>
    <x v="50"/>
  </r>
  <r>
    <x v="23"/>
    <s v="CO2 emissions (kt)"/>
    <n v="2544.8980000000001"/>
    <x v="50"/>
  </r>
  <r>
    <x v="24"/>
    <s v="CO2 emissions (kt)"/>
    <n v="7106.6459999999997"/>
    <x v="50"/>
  </r>
  <r>
    <x v="25"/>
    <s v="CO2 emissions (kt)"/>
    <n v="3920.0230000000001"/>
    <x v="50"/>
  </r>
  <r>
    <x v="26"/>
    <s v="CO2 emissions (kt)"/>
    <n v="2691.578"/>
    <x v="50"/>
  </r>
  <r>
    <x v="27"/>
    <s v="CO2 emissions (kt)"/>
    <n v="7777.7070000000003"/>
    <x v="50"/>
  </r>
  <r>
    <x v="0"/>
    <s v="CO2 emissions (kt)"/>
    <n v="242.02199999999999"/>
    <x v="51"/>
  </r>
  <r>
    <x v="1"/>
    <s v="CO2 emissions (kt)"/>
    <n v="5768.1909999999998"/>
    <x v="51"/>
  </r>
  <r>
    <x v="2"/>
    <s v="CO2 emissions (kt)"/>
    <n v="539.04899999999998"/>
    <x v="51"/>
  </r>
  <r>
    <x v="3"/>
    <s v="CO2 emissions (kt)"/>
    <n v="135.679"/>
    <x v="51"/>
  </r>
  <r>
    <x v="4"/>
    <s v="CO2 emissions (kt)"/>
    <n v="473.04300000000001"/>
    <x v="51"/>
  </r>
  <r>
    <x v="5"/>
    <s v="CO2 emissions (kt)"/>
    <n v="7726.3689999999997"/>
    <x v="51"/>
  </r>
  <r>
    <x v="6"/>
    <s v="CO2 emissions (kt)"/>
    <n v="2779.5859999999998"/>
    <x v="51"/>
  </r>
  <r>
    <x v="7"/>
    <s v="CO2 emissions (kt)"/>
    <n v="2218.5349999999999"/>
    <x v="51"/>
  </r>
  <r>
    <x v="8"/>
    <s v="CO2 emissions (kt)"/>
    <n v="13457.89"/>
    <x v="51"/>
  </r>
  <r>
    <x v="9"/>
    <s v="CO2 emissions (kt)"/>
    <m/>
    <x v="51"/>
  </r>
  <r>
    <x v="10"/>
    <s v="CO2 emissions (kt)"/>
    <n v="891.08100000000002"/>
    <x v="51"/>
  </r>
  <r>
    <x v="11"/>
    <s v="CO2 emissions (kt)"/>
    <n v="2339.5459999999998"/>
    <x v="51"/>
  </r>
  <r>
    <x v="12"/>
    <s v="CO2 emissions (kt)"/>
    <n v="1180.7739999999999"/>
    <x v="51"/>
  </r>
  <r>
    <x v="13"/>
    <s v="CO2 emissions (kt)"/>
    <n v="1045.095"/>
    <x v="51"/>
  </r>
  <r>
    <x v="14"/>
    <s v="CO2 emissions (kt)"/>
    <n v="5038.4579999999996"/>
    <x v="51"/>
  </r>
  <r>
    <x v="15"/>
    <s v="CO2 emissions (kt)"/>
    <n v="3223.2930000000001"/>
    <x v="51"/>
  </r>
  <r>
    <x v="16"/>
    <s v="CO2 emissions (kt)"/>
    <n v="14297.633"/>
    <x v="51"/>
  </r>
  <r>
    <x v="17"/>
    <s v="CO2 emissions (kt)"/>
    <n v="5533.5029999999997"/>
    <x v="51"/>
  </r>
  <r>
    <x v="18"/>
    <s v="CO2 emissions (kt)"/>
    <n v="4880.777"/>
    <x v="51"/>
  </r>
  <r>
    <x v="19"/>
    <s v="CO2 emissions (kt)"/>
    <n v="1327.454"/>
    <x v="51"/>
  </r>
  <r>
    <x v="20"/>
    <s v="CO2 emissions (kt)"/>
    <n v="663.72699999999998"/>
    <x v="51"/>
  </r>
  <r>
    <x v="21"/>
    <s v="CO2 emissions (kt)"/>
    <n v="102.676"/>
    <x v="51"/>
  </r>
  <r>
    <x v="22"/>
    <s v="CO2 emissions (kt)"/>
    <n v="15137.376"/>
    <x v="51"/>
  </r>
  <r>
    <x v="23"/>
    <s v="CO2 emissions (kt)"/>
    <n v="2350.547"/>
    <x v="51"/>
  </r>
  <r>
    <x v="24"/>
    <s v="CO2 emissions (kt)"/>
    <n v="8093.0690000000004"/>
    <x v="51"/>
  </r>
  <r>
    <x v="25"/>
    <s v="CO2 emissions (kt)"/>
    <n v="4264.7209999999995"/>
    <x v="51"/>
  </r>
  <r>
    <x v="26"/>
    <s v="CO2 emissions (kt)"/>
    <n v="2937.2669999999998"/>
    <x v="51"/>
  </r>
  <r>
    <x v="27"/>
    <s v="CO2 emissions (kt)"/>
    <n v="9563.5360000000001"/>
    <x v="51"/>
  </r>
  <r>
    <x v="0"/>
    <s v="CO2 emissions (kt)"/>
    <n v="282.35899999999998"/>
    <x v="52"/>
  </r>
  <r>
    <x v="1"/>
    <s v="CO2 emissions (kt)"/>
    <n v="6127.5569999999998"/>
    <x v="52"/>
  </r>
  <r>
    <x v="2"/>
    <s v="CO2 emissions (kt)"/>
    <n v="612.38900000000001"/>
    <x v="52"/>
  </r>
  <r>
    <x v="3"/>
    <s v="CO2 emissions (kt)"/>
    <n v="143.01300000000001"/>
    <x v="52"/>
  </r>
  <r>
    <x v="4"/>
    <s v="CO2 emissions (kt)"/>
    <n v="517.04700000000003"/>
    <x v="52"/>
  </r>
  <r>
    <x v="5"/>
    <s v="CO2 emissions (kt)"/>
    <n v="8562.4449999999997"/>
    <x v="52"/>
  </r>
  <r>
    <x v="6"/>
    <s v="CO2 emissions (kt)"/>
    <n v="2581.5680000000002"/>
    <x v="52"/>
  </r>
  <r>
    <x v="7"/>
    <s v="CO2 emissions (kt)"/>
    <n v="2313.877"/>
    <x v="52"/>
  </r>
  <r>
    <x v="8"/>
    <s v="CO2 emissions (kt)"/>
    <n v="12515.471"/>
    <x v="52"/>
  </r>
  <r>
    <x v="9"/>
    <s v="CO2 emissions (kt)"/>
    <m/>
    <x v="52"/>
  </r>
  <r>
    <x v="10"/>
    <s v="CO2 emissions (kt)"/>
    <n v="1026.76"/>
    <x v="52"/>
  </r>
  <r>
    <x v="11"/>
    <s v="CO2 emissions (kt)"/>
    <n v="2706.2460000000001"/>
    <x v="52"/>
  </r>
  <r>
    <x v="12"/>
    <s v="CO2 emissions (kt)"/>
    <n v="1096.433"/>
    <x v="52"/>
  </r>
  <r>
    <x v="13"/>
    <s v="CO2 emissions (kt)"/>
    <n v="993.75699999999995"/>
    <x v="52"/>
  </r>
  <r>
    <x v="14"/>
    <s v="CO2 emissions (kt)"/>
    <n v="4924.7809999999999"/>
    <x v="52"/>
  </r>
  <r>
    <x v="15"/>
    <s v="CO2 emissions (kt)"/>
    <n v="3120.6170000000002"/>
    <x v="52"/>
  </r>
  <r>
    <x v="16"/>
    <s v="CO2 emissions (kt)"/>
    <n v="11070.673000000001"/>
    <x v="52"/>
  </r>
  <r>
    <x v="17"/>
    <s v="CO2 emissions (kt)"/>
    <n v="5856.1989999999996"/>
    <x v="52"/>
  </r>
  <r>
    <x v="18"/>
    <s v="CO2 emissions (kt)"/>
    <n v="4620.42"/>
    <x v="52"/>
  </r>
  <r>
    <x v="19"/>
    <s v="CO2 emissions (kt)"/>
    <n v="1866.5029999999999"/>
    <x v="52"/>
  </r>
  <r>
    <x v="20"/>
    <s v="CO2 emissions (kt)"/>
    <n v="737.06700000000001"/>
    <x v="52"/>
  </r>
  <r>
    <x v="21"/>
    <s v="CO2 emissions (kt)"/>
    <n v="113.67700000000001"/>
    <x v="52"/>
  </r>
  <r>
    <x v="22"/>
    <s v="CO2 emissions (kt)"/>
    <n v="16032.124"/>
    <x v="52"/>
  </r>
  <r>
    <x v="23"/>
    <s v="CO2 emissions (kt)"/>
    <n v="2933.6"/>
    <x v="52"/>
  </r>
  <r>
    <x v="24"/>
    <s v="CO2 emissions (kt)"/>
    <n v="9545.2009999999991"/>
    <x v="52"/>
  </r>
  <r>
    <x v="25"/>
    <s v="CO2 emissions (kt)"/>
    <n v="4070.37"/>
    <x v="52"/>
  </r>
  <r>
    <x v="26"/>
    <s v="CO2 emissions (kt)"/>
    <n v="3667"/>
    <x v="52"/>
  </r>
  <r>
    <x v="27"/>
    <s v="CO2 emissions (kt)"/>
    <n v="7792.375"/>
    <x v="52"/>
  </r>
  <r>
    <x v="0"/>
    <s v="CO2 emissions (kt)"/>
    <n v="289.69299999999998"/>
    <x v="53"/>
  </r>
  <r>
    <x v="1"/>
    <s v="CO2 emissions (kt)"/>
    <n v="6772.9489999999996"/>
    <x v="53"/>
  </r>
  <r>
    <x v="2"/>
    <s v="CO2 emissions (kt)"/>
    <n v="700.39700000000005"/>
    <x v="53"/>
  </r>
  <r>
    <x v="3"/>
    <s v="CO2 emissions (kt)"/>
    <n v="176.01599999999999"/>
    <x v="53"/>
  </r>
  <r>
    <x v="4"/>
    <s v="CO2 emissions (kt)"/>
    <n v="608.72199999999998"/>
    <x v="53"/>
  </r>
  <r>
    <x v="5"/>
    <s v="CO2 emissions (kt)"/>
    <n v="10634.3"/>
    <x v="53"/>
  </r>
  <r>
    <x v="6"/>
    <s v="CO2 emissions (kt)"/>
    <n v="2299.2089999999998"/>
    <x v="53"/>
  </r>
  <r>
    <x v="7"/>
    <s v="CO2 emissions (kt)"/>
    <n v="2405.5520000000001"/>
    <x v="53"/>
  </r>
  <r>
    <x v="8"/>
    <s v="CO2 emissions (kt)"/>
    <n v="13333.212"/>
    <x v="53"/>
  </r>
  <r>
    <x v="9"/>
    <s v="CO2 emissions (kt)"/>
    <m/>
    <x v="53"/>
  </r>
  <r>
    <x v="10"/>
    <s v="CO2 emissions (kt)"/>
    <n v="957.08699999999999"/>
    <x v="53"/>
  </r>
  <r>
    <x v="11"/>
    <s v="CO2 emissions (kt)"/>
    <n v="3116.95"/>
    <x v="53"/>
  </r>
  <r>
    <x v="12"/>
    <s v="CO2 emissions (kt)"/>
    <n v="1224.778"/>
    <x v="53"/>
  </r>
  <r>
    <x v="13"/>
    <s v="CO2 emissions (kt)"/>
    <n v="1026.76"/>
    <x v="53"/>
  </r>
  <r>
    <x v="14"/>
    <s v="CO2 emissions (kt)"/>
    <n v="4998.1210000000001"/>
    <x v="53"/>
  </r>
  <r>
    <x v="15"/>
    <s v="CO2 emissions (kt)"/>
    <n v="4019.0320000000002"/>
    <x v="53"/>
  </r>
  <r>
    <x v="16"/>
    <s v="CO2 emissions (kt)"/>
    <n v="12860.169"/>
    <x v="53"/>
  </r>
  <r>
    <x v="17"/>
    <s v="CO2 emissions (kt)"/>
    <n v="6637.27"/>
    <x v="53"/>
  </r>
  <r>
    <x v="18"/>
    <s v="CO2 emissions (kt)"/>
    <n v="4550.7470000000003"/>
    <x v="53"/>
  </r>
  <r>
    <x v="19"/>
    <s v="CO2 emissions (kt)"/>
    <n v="1939.8430000000001"/>
    <x v="53"/>
  </r>
  <r>
    <x v="20"/>
    <s v="CO2 emissions (kt)"/>
    <n v="803.07299999999998"/>
    <x v="53"/>
  </r>
  <r>
    <x v="21"/>
    <s v="CO2 emissions (kt)"/>
    <n v="113.67700000000001"/>
    <x v="53"/>
  </r>
  <r>
    <x v="22"/>
    <s v="CO2 emissions (kt)"/>
    <n v="15489.407999999999"/>
    <x v="53"/>
  </r>
  <r>
    <x v="23"/>
    <s v="CO2 emissions (kt)"/>
    <n v="3479.9830000000002"/>
    <x v="53"/>
  </r>
  <r>
    <x v="24"/>
    <s v="CO2 emissions (kt)"/>
    <n v="11177.016"/>
    <x v="53"/>
  </r>
  <r>
    <x v="25"/>
    <s v="CO2 emissions (kt)"/>
    <n v="4869.7759999999998"/>
    <x v="53"/>
  </r>
  <r>
    <x v="26"/>
    <s v="CO2 emissions (kt)"/>
    <n v="3956.6930000000002"/>
    <x v="53"/>
  </r>
  <r>
    <x v="27"/>
    <s v="CO2 emissions (kt)"/>
    <n v="11675.727999999999"/>
    <x v="53"/>
  </r>
  <r>
    <x v="0"/>
    <s v="CO2 emissions (kt)"/>
    <n v="440.04"/>
    <x v="54"/>
  </r>
  <r>
    <x v="1"/>
    <s v="CO2 emissions (kt)"/>
    <n v="7003.97"/>
    <x v="54"/>
  </r>
  <r>
    <x v="2"/>
    <s v="CO2 emissions (kt)"/>
    <n v="729.73299999999995"/>
    <x v="54"/>
  </r>
  <r>
    <x v="3"/>
    <s v="CO2 emissions (kt)"/>
    <n v="154.01400000000001"/>
    <x v="54"/>
  </r>
  <r>
    <x v="4"/>
    <s v="CO2 emissions (kt)"/>
    <n v="722.399"/>
    <x v="54"/>
  </r>
  <r>
    <x v="5"/>
    <s v="CO2 emissions (kt)"/>
    <n v="11598.721"/>
    <x v="54"/>
  </r>
  <r>
    <x v="6"/>
    <s v="CO2 emissions (kt)"/>
    <n v="2449.556"/>
    <x v="54"/>
  </r>
  <r>
    <x v="7"/>
    <s v="CO2 emissions (kt)"/>
    <n v="2860.26"/>
    <x v="54"/>
  </r>
  <r>
    <x v="8"/>
    <s v="CO2 emissions (kt)"/>
    <n v="14286.632"/>
    <x v="54"/>
  </r>
  <r>
    <x v="9"/>
    <s v="CO2 emissions (kt)"/>
    <m/>
    <x v="54"/>
  </r>
  <r>
    <x v="10"/>
    <s v="CO2 emissions (kt)"/>
    <n v="935.08500000000004"/>
    <x v="54"/>
  </r>
  <r>
    <x v="11"/>
    <s v="CO2 emissions (kt)"/>
    <n v="3076.6129999999998"/>
    <x v="54"/>
  </r>
  <r>
    <x v="12"/>
    <s v="CO2 emissions (kt)"/>
    <n v="1276.116"/>
    <x v="54"/>
  </r>
  <r>
    <x v="13"/>
    <s v="CO2 emissions (kt)"/>
    <n v="1411.7950000000001"/>
    <x v="54"/>
  </r>
  <r>
    <x v="14"/>
    <s v="CO2 emissions (kt)"/>
    <n v="4932.1149999999998"/>
    <x v="54"/>
  </r>
  <r>
    <x v="15"/>
    <s v="CO2 emissions (kt)"/>
    <n v="8426.7659999999996"/>
    <x v="54"/>
  </r>
  <r>
    <x v="16"/>
    <s v="CO2 emissions (kt)"/>
    <n v="21631.633000000002"/>
    <x v="54"/>
  </r>
  <r>
    <x v="17"/>
    <s v="CO2 emissions (kt)"/>
    <n v="8030.73"/>
    <x v="54"/>
  </r>
  <r>
    <x v="18"/>
    <s v="CO2 emissions (kt)"/>
    <n v="4862.442"/>
    <x v="54"/>
  </r>
  <r>
    <x v="19"/>
    <s v="CO2 emissions (kt)"/>
    <n v="2126.86"/>
    <x v="54"/>
  </r>
  <r>
    <x v="20"/>
    <s v="CO2 emissions (kt)"/>
    <n v="839.74300000000005"/>
    <x v="54"/>
  </r>
  <r>
    <x v="21"/>
    <s v="CO2 emissions (kt)"/>
    <n v="113.67700000000001"/>
    <x v="54"/>
  </r>
  <r>
    <x v="22"/>
    <s v="CO2 emissions (kt)"/>
    <n v="18393.671999999999"/>
    <x v="54"/>
  </r>
  <r>
    <x v="23"/>
    <s v="CO2 emissions (kt)"/>
    <n v="5188.8050000000003"/>
    <x v="54"/>
  </r>
  <r>
    <x v="24"/>
    <s v="CO2 emissions (kt)"/>
    <n v="11562.050999999999"/>
    <x v="54"/>
  </r>
  <r>
    <x v="25"/>
    <s v="CO2 emissions (kt)"/>
    <n v="5229.1419999999998"/>
    <x v="54"/>
  </r>
  <r>
    <x v="26"/>
    <s v="CO2 emissions (kt)"/>
    <n v="4503.076"/>
    <x v="54"/>
  </r>
  <r>
    <x v="27"/>
    <s v="CO2 emissions (kt)"/>
    <n v="12020.425999999999"/>
    <x v="54"/>
  </r>
  <r>
    <x v="0"/>
    <s v="CO2 emissions (kt)"/>
    <m/>
    <x v="55"/>
  </r>
  <r>
    <x v="1"/>
    <s v="CO2 emissions (kt)"/>
    <m/>
    <x v="55"/>
  </r>
  <r>
    <x v="2"/>
    <s v="CO2 emissions (kt)"/>
    <m/>
    <x v="55"/>
  </r>
  <r>
    <x v="3"/>
    <s v="CO2 emissions (kt)"/>
    <m/>
    <x v="55"/>
  </r>
  <r>
    <x v="4"/>
    <s v="CO2 emissions (kt)"/>
    <m/>
    <x v="55"/>
  </r>
  <r>
    <x v="5"/>
    <s v="CO2 emissions (kt)"/>
    <m/>
    <x v="55"/>
  </r>
  <r>
    <x v="6"/>
    <s v="CO2 emissions (kt)"/>
    <m/>
    <x v="55"/>
  </r>
  <r>
    <x v="7"/>
    <s v="CO2 emissions (kt)"/>
    <m/>
    <x v="55"/>
  </r>
  <r>
    <x v="8"/>
    <s v="CO2 emissions (kt)"/>
    <m/>
    <x v="55"/>
  </r>
  <r>
    <x v="9"/>
    <s v="CO2 emissions (kt)"/>
    <m/>
    <x v="55"/>
  </r>
  <r>
    <x v="10"/>
    <s v="CO2 emissions (kt)"/>
    <m/>
    <x v="55"/>
  </r>
  <r>
    <x v="11"/>
    <s v="CO2 emissions (kt)"/>
    <m/>
    <x v="55"/>
  </r>
  <r>
    <x v="12"/>
    <s v="CO2 emissions (kt)"/>
    <m/>
    <x v="55"/>
  </r>
  <r>
    <x v="13"/>
    <s v="CO2 emissions (kt)"/>
    <m/>
    <x v="55"/>
  </r>
  <r>
    <x v="14"/>
    <s v="CO2 emissions (kt)"/>
    <m/>
    <x v="55"/>
  </r>
  <r>
    <x v="15"/>
    <s v="CO2 emissions (kt)"/>
    <m/>
    <x v="55"/>
  </r>
  <r>
    <x v="16"/>
    <s v="CO2 emissions (kt)"/>
    <m/>
    <x v="55"/>
  </r>
  <r>
    <x v="17"/>
    <s v="CO2 emissions (kt)"/>
    <m/>
    <x v="55"/>
  </r>
  <r>
    <x v="18"/>
    <s v="CO2 emissions (kt)"/>
    <m/>
    <x v="55"/>
  </r>
  <r>
    <x v="19"/>
    <s v="CO2 emissions (kt)"/>
    <m/>
    <x v="55"/>
  </r>
  <r>
    <x v="20"/>
    <s v="CO2 emissions (kt)"/>
    <m/>
    <x v="55"/>
  </r>
  <r>
    <x v="21"/>
    <s v="CO2 emissions (kt)"/>
    <m/>
    <x v="55"/>
  </r>
  <r>
    <x v="22"/>
    <s v="CO2 emissions (kt)"/>
    <m/>
    <x v="55"/>
  </r>
  <r>
    <x v="23"/>
    <s v="CO2 emissions (kt)"/>
    <m/>
    <x v="55"/>
  </r>
  <r>
    <x v="24"/>
    <s v="CO2 emissions (kt)"/>
    <m/>
    <x v="55"/>
  </r>
  <r>
    <x v="25"/>
    <s v="CO2 emissions (kt)"/>
    <m/>
    <x v="55"/>
  </r>
  <r>
    <x v="26"/>
    <s v="CO2 emissions (kt)"/>
    <m/>
    <x v="55"/>
  </r>
  <r>
    <x v="27"/>
    <s v="CO2 emissions (kt)"/>
    <m/>
    <x v="55"/>
  </r>
  <r>
    <x v="0"/>
    <s v="CO2 emissions (kt)"/>
    <m/>
    <x v="56"/>
  </r>
  <r>
    <x v="1"/>
    <s v="CO2 emissions (kt)"/>
    <m/>
    <x v="56"/>
  </r>
  <r>
    <x v="2"/>
    <s v="CO2 emissions (kt)"/>
    <m/>
    <x v="56"/>
  </r>
  <r>
    <x v="3"/>
    <s v="CO2 emissions (kt)"/>
    <m/>
    <x v="56"/>
  </r>
  <r>
    <x v="4"/>
    <s v="CO2 emissions (kt)"/>
    <m/>
    <x v="56"/>
  </r>
  <r>
    <x v="5"/>
    <s v="CO2 emissions (kt)"/>
    <m/>
    <x v="56"/>
  </r>
  <r>
    <x v="6"/>
    <s v="CO2 emissions (kt)"/>
    <m/>
    <x v="56"/>
  </r>
  <r>
    <x v="7"/>
    <s v="CO2 emissions (kt)"/>
    <m/>
    <x v="56"/>
  </r>
  <r>
    <x v="8"/>
    <s v="CO2 emissions (kt)"/>
    <m/>
    <x v="56"/>
  </r>
  <r>
    <x v="9"/>
    <s v="CO2 emissions (kt)"/>
    <m/>
    <x v="56"/>
  </r>
  <r>
    <x v="10"/>
    <s v="CO2 emissions (kt)"/>
    <m/>
    <x v="56"/>
  </r>
  <r>
    <x v="11"/>
    <s v="CO2 emissions (kt)"/>
    <m/>
    <x v="56"/>
  </r>
  <r>
    <x v="12"/>
    <s v="CO2 emissions (kt)"/>
    <m/>
    <x v="56"/>
  </r>
  <r>
    <x v="13"/>
    <s v="CO2 emissions (kt)"/>
    <m/>
    <x v="56"/>
  </r>
  <r>
    <x v="14"/>
    <s v="CO2 emissions (kt)"/>
    <m/>
    <x v="56"/>
  </r>
  <r>
    <x v="15"/>
    <s v="CO2 emissions (kt)"/>
    <m/>
    <x v="56"/>
  </r>
  <r>
    <x v="16"/>
    <s v="CO2 emissions (kt)"/>
    <m/>
    <x v="56"/>
  </r>
  <r>
    <x v="17"/>
    <s v="CO2 emissions (kt)"/>
    <m/>
    <x v="56"/>
  </r>
  <r>
    <x v="18"/>
    <s v="CO2 emissions (kt)"/>
    <m/>
    <x v="56"/>
  </r>
  <r>
    <x v="19"/>
    <s v="CO2 emissions (kt)"/>
    <m/>
    <x v="56"/>
  </r>
  <r>
    <x v="20"/>
    <s v="CO2 emissions (kt)"/>
    <m/>
    <x v="56"/>
  </r>
  <r>
    <x v="21"/>
    <s v="CO2 emissions (kt)"/>
    <m/>
    <x v="56"/>
  </r>
  <r>
    <x v="22"/>
    <s v="CO2 emissions (kt)"/>
    <m/>
    <x v="56"/>
  </r>
  <r>
    <x v="23"/>
    <s v="CO2 emissions (kt)"/>
    <m/>
    <x v="56"/>
  </r>
  <r>
    <x v="24"/>
    <s v="CO2 emissions (kt)"/>
    <m/>
    <x v="56"/>
  </r>
  <r>
    <x v="25"/>
    <s v="CO2 emissions (kt)"/>
    <m/>
    <x v="56"/>
  </r>
  <r>
    <x v="26"/>
    <s v="CO2 emissions (kt)"/>
    <m/>
    <x v="56"/>
  </r>
  <r>
    <x v="27"/>
    <s v="CO2 emissions (kt)"/>
    <m/>
    <x v="56"/>
  </r>
  <r>
    <x v="0"/>
    <s v="CO2 emissions (kt)"/>
    <m/>
    <x v="57"/>
  </r>
  <r>
    <x v="1"/>
    <s v="CO2 emissions (kt)"/>
    <m/>
    <x v="57"/>
  </r>
  <r>
    <x v="2"/>
    <s v="CO2 emissions (kt)"/>
    <m/>
    <x v="57"/>
  </r>
  <r>
    <x v="3"/>
    <s v="CO2 emissions (kt)"/>
    <m/>
    <x v="57"/>
  </r>
  <r>
    <x v="4"/>
    <s v="CO2 emissions (kt)"/>
    <m/>
    <x v="57"/>
  </r>
  <r>
    <x v="5"/>
    <s v="CO2 emissions (kt)"/>
    <m/>
    <x v="57"/>
  </r>
  <r>
    <x v="6"/>
    <s v="CO2 emissions (kt)"/>
    <m/>
    <x v="57"/>
  </r>
  <r>
    <x v="7"/>
    <s v="CO2 emissions (kt)"/>
    <m/>
    <x v="57"/>
  </r>
  <r>
    <x v="8"/>
    <s v="CO2 emissions (kt)"/>
    <m/>
    <x v="57"/>
  </r>
  <r>
    <x v="9"/>
    <s v="CO2 emissions (kt)"/>
    <m/>
    <x v="57"/>
  </r>
  <r>
    <x v="10"/>
    <s v="CO2 emissions (kt)"/>
    <m/>
    <x v="57"/>
  </r>
  <r>
    <x v="11"/>
    <s v="CO2 emissions (kt)"/>
    <m/>
    <x v="57"/>
  </r>
  <r>
    <x v="12"/>
    <s v="CO2 emissions (kt)"/>
    <m/>
    <x v="57"/>
  </r>
  <r>
    <x v="13"/>
    <s v="CO2 emissions (kt)"/>
    <m/>
    <x v="57"/>
  </r>
  <r>
    <x v="14"/>
    <s v="CO2 emissions (kt)"/>
    <m/>
    <x v="57"/>
  </r>
  <r>
    <x v="15"/>
    <s v="CO2 emissions (kt)"/>
    <m/>
    <x v="57"/>
  </r>
  <r>
    <x v="16"/>
    <s v="CO2 emissions (kt)"/>
    <m/>
    <x v="57"/>
  </r>
  <r>
    <x v="17"/>
    <s v="CO2 emissions (kt)"/>
    <m/>
    <x v="57"/>
  </r>
  <r>
    <x v="18"/>
    <s v="CO2 emissions (kt)"/>
    <m/>
    <x v="57"/>
  </r>
  <r>
    <x v="19"/>
    <s v="CO2 emissions (kt)"/>
    <m/>
    <x v="57"/>
  </r>
  <r>
    <x v="20"/>
    <s v="CO2 emissions (kt)"/>
    <m/>
    <x v="57"/>
  </r>
  <r>
    <x v="21"/>
    <s v="CO2 emissions (kt)"/>
    <m/>
    <x v="57"/>
  </r>
  <r>
    <x v="22"/>
    <s v="CO2 emissions (kt)"/>
    <m/>
    <x v="57"/>
  </r>
  <r>
    <x v="23"/>
    <s v="CO2 emissions (kt)"/>
    <m/>
    <x v="57"/>
  </r>
  <r>
    <x v="24"/>
    <s v="CO2 emissions (kt)"/>
    <m/>
    <x v="57"/>
  </r>
  <r>
    <x v="25"/>
    <s v="CO2 emissions (kt)"/>
    <m/>
    <x v="57"/>
  </r>
  <r>
    <x v="26"/>
    <s v="CO2 emissions (kt)"/>
    <m/>
    <x v="57"/>
  </r>
  <r>
    <x v="27"/>
    <s v="CO2 emissions (kt)"/>
    <m/>
    <x v="57"/>
  </r>
</pivotCacheRecords>
</file>

<file path=xl/pivotCache/pivotCacheRecords2.xml><?xml version="1.0" encoding="utf-8"?>
<pivotCacheRecords xmlns="http://schemas.openxmlformats.org/spreadsheetml/2006/main" xmlns:r="http://schemas.openxmlformats.org/officeDocument/2006/relationships" count="1624">
  <r>
    <x v="0"/>
    <s v="Food production index (2004-2006 = 100)"/>
    <m/>
    <x v="0"/>
  </r>
  <r>
    <x v="1"/>
    <s v="Food production index (2004-2006 = 100)"/>
    <m/>
    <x v="0"/>
  </r>
  <r>
    <x v="2"/>
    <s v="Food production index (2004-2006 = 100)"/>
    <m/>
    <x v="0"/>
  </r>
  <r>
    <x v="3"/>
    <s v="Food production index (2004-2006 = 100)"/>
    <m/>
    <x v="0"/>
  </r>
  <r>
    <x v="4"/>
    <s v="Food production index (2004-2006 = 100)"/>
    <m/>
    <x v="0"/>
  </r>
  <r>
    <x v="5"/>
    <s v="Food production index (2004-2006 = 100)"/>
    <m/>
    <x v="0"/>
  </r>
  <r>
    <x v="6"/>
    <s v="Food production index (2004-2006 = 100)"/>
    <m/>
    <x v="0"/>
  </r>
  <r>
    <x v="7"/>
    <s v="Food production index (2004-2006 = 100)"/>
    <m/>
    <x v="0"/>
  </r>
  <r>
    <x v="8"/>
    <s v="Food production index (2004-2006 = 100)"/>
    <m/>
    <x v="0"/>
  </r>
  <r>
    <x v="9"/>
    <s v="Food production index (2004-2006 = 100)"/>
    <m/>
    <x v="0"/>
  </r>
  <r>
    <x v="10"/>
    <s v="Food production index (2004-2006 = 100)"/>
    <m/>
    <x v="0"/>
  </r>
  <r>
    <x v="11"/>
    <s v="Food production index (2004-2006 = 100)"/>
    <m/>
    <x v="0"/>
  </r>
  <r>
    <x v="12"/>
    <s v="Food production index (2004-2006 = 100)"/>
    <m/>
    <x v="0"/>
  </r>
  <r>
    <x v="13"/>
    <s v="Food production index (2004-2006 = 100)"/>
    <m/>
    <x v="0"/>
  </r>
  <r>
    <x v="14"/>
    <s v="Food production index (2004-2006 = 100)"/>
    <m/>
    <x v="0"/>
  </r>
  <r>
    <x v="15"/>
    <s v="Food production index (2004-2006 = 100)"/>
    <m/>
    <x v="0"/>
  </r>
  <r>
    <x v="16"/>
    <s v="Food production index (2004-2006 = 100)"/>
    <m/>
    <x v="0"/>
  </r>
  <r>
    <x v="17"/>
    <s v="Food production index (2004-2006 = 100)"/>
    <m/>
    <x v="0"/>
  </r>
  <r>
    <x v="18"/>
    <s v="Food production index (2004-2006 = 100)"/>
    <m/>
    <x v="0"/>
  </r>
  <r>
    <x v="19"/>
    <s v="Food production index (2004-2006 = 100)"/>
    <m/>
    <x v="0"/>
  </r>
  <r>
    <x v="20"/>
    <s v="Food production index (2004-2006 = 100)"/>
    <m/>
    <x v="0"/>
  </r>
  <r>
    <x v="21"/>
    <s v="Food production index (2004-2006 = 100)"/>
    <m/>
    <x v="0"/>
  </r>
  <r>
    <x v="22"/>
    <s v="Food production index (2004-2006 = 100)"/>
    <m/>
    <x v="0"/>
  </r>
  <r>
    <x v="23"/>
    <s v="Food production index (2004-2006 = 100)"/>
    <m/>
    <x v="0"/>
  </r>
  <r>
    <x v="24"/>
    <s v="Food production index (2004-2006 = 100)"/>
    <m/>
    <x v="0"/>
  </r>
  <r>
    <x v="25"/>
    <s v="Food production index (2004-2006 = 100)"/>
    <m/>
    <x v="0"/>
  </r>
  <r>
    <x v="26"/>
    <s v="Food production index (2004-2006 = 100)"/>
    <m/>
    <x v="0"/>
  </r>
  <r>
    <x v="27"/>
    <s v="Food production index (2004-2006 = 100)"/>
    <m/>
    <x v="0"/>
  </r>
  <r>
    <x v="0"/>
    <s v="Food production index (2004-2006 = 100)"/>
    <n v="63.16"/>
    <x v="1"/>
  </r>
  <r>
    <x v="1"/>
    <s v="Food production index (2004-2006 = 100)"/>
    <n v="25.99"/>
    <x v="1"/>
  </r>
  <r>
    <x v="2"/>
    <s v="Food production index (2004-2006 = 100)"/>
    <n v="35.450000000000003"/>
    <x v="1"/>
  </r>
  <r>
    <x v="3"/>
    <s v="Food production index (2004-2006 = 100)"/>
    <n v="40.909999999999997"/>
    <x v="1"/>
  </r>
  <r>
    <x v="4"/>
    <s v="Food production index (2004-2006 = 100)"/>
    <n v="13.34"/>
    <x v="1"/>
  </r>
  <r>
    <x v="5"/>
    <s v="Food production index (2004-2006 = 100)"/>
    <m/>
    <x v="1"/>
  </r>
  <r>
    <x v="6"/>
    <s v="Food production index (2004-2006 = 100)"/>
    <n v="36.6"/>
    <x v="1"/>
  </r>
  <r>
    <x v="7"/>
    <s v="Food production index (2004-2006 = 100)"/>
    <n v="63.29"/>
    <x v="1"/>
  </r>
  <r>
    <x v="8"/>
    <s v="Food production index (2004-2006 = 100)"/>
    <n v="23.87"/>
    <x v="1"/>
  </r>
  <r>
    <x v="9"/>
    <s v="Food production index (2004-2006 = 100)"/>
    <m/>
    <x v="1"/>
  </r>
  <r>
    <x v="10"/>
    <s v="Food production index (2004-2006 = 100)"/>
    <n v="48.4"/>
    <x v="1"/>
  </r>
  <r>
    <x v="11"/>
    <s v="Food production index (2004-2006 = 100)"/>
    <n v="46.02"/>
    <x v="1"/>
  </r>
  <r>
    <x v="12"/>
    <s v="Food production index (2004-2006 = 100)"/>
    <n v="22.8"/>
    <x v="1"/>
  </r>
  <r>
    <x v="13"/>
    <s v="Food production index (2004-2006 = 100)"/>
    <n v="23.17"/>
    <x v="1"/>
  </r>
  <r>
    <x v="14"/>
    <s v="Food production index (2004-2006 = 100)"/>
    <m/>
    <x v="1"/>
  </r>
  <r>
    <x v="15"/>
    <s v="Food production index (2004-2006 = 100)"/>
    <n v="45.97"/>
    <x v="1"/>
  </r>
  <r>
    <x v="16"/>
    <s v="Food production index (2004-2006 = 100)"/>
    <n v="21.53"/>
    <x v="1"/>
  </r>
  <r>
    <x v="17"/>
    <s v="Food production index (2004-2006 = 100)"/>
    <n v="28.34"/>
    <x v="1"/>
  </r>
  <r>
    <x v="18"/>
    <s v="Food production index (2004-2006 = 100)"/>
    <n v="28.01"/>
    <x v="1"/>
  </r>
  <r>
    <x v="19"/>
    <s v="Food production index (2004-2006 = 100)"/>
    <n v="24.84"/>
    <x v="1"/>
  </r>
  <r>
    <x v="20"/>
    <s v="Food production index (2004-2006 = 100)"/>
    <n v="24.48"/>
    <x v="1"/>
  </r>
  <r>
    <x v="21"/>
    <s v="Food production index (2004-2006 = 100)"/>
    <n v="79.56"/>
    <x v="1"/>
  </r>
  <r>
    <x v="22"/>
    <s v="Food production index (2004-2006 = 100)"/>
    <n v="41.48"/>
    <x v="1"/>
  </r>
  <r>
    <x v="23"/>
    <s v="Food production index (2004-2006 = 100)"/>
    <m/>
    <x v="1"/>
  </r>
  <r>
    <x v="24"/>
    <s v="Food production index (2004-2006 = 100)"/>
    <n v="25.01"/>
    <x v="1"/>
  </r>
  <r>
    <x v="25"/>
    <s v="Food production index (2004-2006 = 100)"/>
    <n v="30.99"/>
    <x v="1"/>
  </r>
  <r>
    <x v="26"/>
    <s v="Food production index (2004-2006 = 100)"/>
    <n v="28.15"/>
    <x v="1"/>
  </r>
  <r>
    <x v="27"/>
    <s v="Food production index (2004-2006 = 100)"/>
    <n v="39.58"/>
    <x v="1"/>
  </r>
  <r>
    <x v="0"/>
    <s v="Food production index (2004-2006 = 100)"/>
    <n v="63.4"/>
    <x v="2"/>
  </r>
  <r>
    <x v="1"/>
    <s v="Food production index (2004-2006 = 100)"/>
    <n v="27.5"/>
    <x v="2"/>
  </r>
  <r>
    <x v="2"/>
    <s v="Food production index (2004-2006 = 100)"/>
    <n v="37.39"/>
    <x v="2"/>
  </r>
  <r>
    <x v="3"/>
    <s v="Food production index (2004-2006 = 100)"/>
    <n v="40.450000000000003"/>
    <x v="2"/>
  </r>
  <r>
    <x v="4"/>
    <s v="Food production index (2004-2006 = 100)"/>
    <n v="13.7"/>
    <x v="2"/>
  </r>
  <r>
    <x v="5"/>
    <s v="Food production index (2004-2006 = 100)"/>
    <m/>
    <x v="2"/>
  </r>
  <r>
    <x v="6"/>
    <s v="Food production index (2004-2006 = 100)"/>
    <n v="37.270000000000003"/>
    <x v="2"/>
  </r>
  <r>
    <x v="7"/>
    <s v="Food production index (2004-2006 = 100)"/>
    <n v="64.709999999999994"/>
    <x v="2"/>
  </r>
  <r>
    <x v="8"/>
    <s v="Food production index (2004-2006 = 100)"/>
    <n v="24.39"/>
    <x v="2"/>
  </r>
  <r>
    <x v="9"/>
    <s v="Food production index (2004-2006 = 100)"/>
    <m/>
    <x v="2"/>
  </r>
  <r>
    <x v="10"/>
    <s v="Food production index (2004-2006 = 100)"/>
    <n v="48.96"/>
    <x v="2"/>
  </r>
  <r>
    <x v="11"/>
    <s v="Food production index (2004-2006 = 100)"/>
    <n v="47.2"/>
    <x v="2"/>
  </r>
  <r>
    <x v="12"/>
    <s v="Food production index (2004-2006 = 100)"/>
    <n v="23.98"/>
    <x v="2"/>
  </r>
  <r>
    <x v="13"/>
    <s v="Food production index (2004-2006 = 100)"/>
    <n v="24.87"/>
    <x v="2"/>
  </r>
  <r>
    <x v="14"/>
    <s v="Food production index (2004-2006 = 100)"/>
    <m/>
    <x v="2"/>
  </r>
  <r>
    <x v="15"/>
    <s v="Food production index (2004-2006 = 100)"/>
    <n v="47.17"/>
    <x v="2"/>
  </r>
  <r>
    <x v="16"/>
    <s v="Food production index (2004-2006 = 100)"/>
    <n v="24"/>
    <x v="2"/>
  </r>
  <r>
    <x v="17"/>
    <s v="Food production index (2004-2006 = 100)"/>
    <n v="28.59"/>
    <x v="2"/>
  </r>
  <r>
    <x v="18"/>
    <s v="Food production index (2004-2006 = 100)"/>
    <n v="29.54"/>
    <x v="2"/>
  </r>
  <r>
    <x v="19"/>
    <s v="Food production index (2004-2006 = 100)"/>
    <n v="28.05"/>
    <x v="2"/>
  </r>
  <r>
    <x v="20"/>
    <s v="Food production index (2004-2006 = 100)"/>
    <n v="32.71"/>
    <x v="2"/>
  </r>
  <r>
    <x v="21"/>
    <s v="Food production index (2004-2006 = 100)"/>
    <n v="83.43"/>
    <x v="2"/>
  </r>
  <r>
    <x v="22"/>
    <s v="Food production index (2004-2006 = 100)"/>
    <n v="44.39"/>
    <x v="2"/>
  </r>
  <r>
    <x v="23"/>
    <s v="Food production index (2004-2006 = 100)"/>
    <m/>
    <x v="2"/>
  </r>
  <r>
    <x v="24"/>
    <s v="Food production index (2004-2006 = 100)"/>
    <n v="25.84"/>
    <x v="2"/>
  </r>
  <r>
    <x v="25"/>
    <s v="Food production index (2004-2006 = 100)"/>
    <n v="30.99"/>
    <x v="2"/>
  </r>
  <r>
    <x v="26"/>
    <s v="Food production index (2004-2006 = 100)"/>
    <n v="27.85"/>
    <x v="2"/>
  </r>
  <r>
    <x v="27"/>
    <s v="Food production index (2004-2006 = 100)"/>
    <n v="42.59"/>
    <x v="2"/>
  </r>
  <r>
    <x v="0"/>
    <s v="Food production index (2004-2006 = 100)"/>
    <n v="64.23"/>
    <x v="3"/>
  </r>
  <r>
    <x v="1"/>
    <s v="Food production index (2004-2006 = 100)"/>
    <n v="29.65"/>
    <x v="3"/>
  </r>
  <r>
    <x v="2"/>
    <s v="Food production index (2004-2006 = 100)"/>
    <n v="39.82"/>
    <x v="3"/>
  </r>
  <r>
    <x v="3"/>
    <s v="Food production index (2004-2006 = 100)"/>
    <n v="45.14"/>
    <x v="3"/>
  </r>
  <r>
    <x v="4"/>
    <s v="Food production index (2004-2006 = 100)"/>
    <n v="14.14"/>
    <x v="3"/>
  </r>
  <r>
    <x v="5"/>
    <s v="Food production index (2004-2006 = 100)"/>
    <m/>
    <x v="3"/>
  </r>
  <r>
    <x v="6"/>
    <s v="Food production index (2004-2006 = 100)"/>
    <n v="35.25"/>
    <x v="3"/>
  </r>
  <r>
    <x v="7"/>
    <s v="Food production index (2004-2006 = 100)"/>
    <n v="66.959999999999994"/>
    <x v="3"/>
  </r>
  <r>
    <x v="8"/>
    <s v="Food production index (2004-2006 = 100)"/>
    <n v="24.39"/>
    <x v="3"/>
  </r>
  <r>
    <x v="9"/>
    <s v="Food production index (2004-2006 = 100)"/>
    <m/>
    <x v="3"/>
  </r>
  <r>
    <x v="10"/>
    <s v="Food production index (2004-2006 = 100)"/>
    <n v="49.99"/>
    <x v="3"/>
  </r>
  <r>
    <x v="11"/>
    <s v="Food production index (2004-2006 = 100)"/>
    <n v="48.72"/>
    <x v="3"/>
  </r>
  <r>
    <x v="12"/>
    <s v="Food production index (2004-2006 = 100)"/>
    <n v="23.67"/>
    <x v="3"/>
  </r>
  <r>
    <x v="13"/>
    <s v="Food production index (2004-2006 = 100)"/>
    <n v="25.69"/>
    <x v="3"/>
  </r>
  <r>
    <x v="14"/>
    <s v="Food production index (2004-2006 = 100)"/>
    <m/>
    <x v="3"/>
  </r>
  <r>
    <x v="15"/>
    <s v="Food production index (2004-2006 = 100)"/>
    <n v="48.69"/>
    <x v="3"/>
  </r>
  <r>
    <x v="16"/>
    <s v="Food production index (2004-2006 = 100)"/>
    <n v="24.95"/>
    <x v="3"/>
  </r>
  <r>
    <x v="17"/>
    <s v="Food production index (2004-2006 = 100)"/>
    <n v="29.14"/>
    <x v="3"/>
  </r>
  <r>
    <x v="18"/>
    <s v="Food production index (2004-2006 = 100)"/>
    <n v="32.33"/>
    <x v="3"/>
  </r>
  <r>
    <x v="19"/>
    <s v="Food production index (2004-2006 = 100)"/>
    <n v="29.55"/>
    <x v="3"/>
  </r>
  <r>
    <x v="20"/>
    <s v="Food production index (2004-2006 = 100)"/>
    <n v="23.99"/>
    <x v="3"/>
  </r>
  <r>
    <x v="21"/>
    <s v="Food production index (2004-2006 = 100)"/>
    <n v="71.260000000000005"/>
    <x v="3"/>
  </r>
  <r>
    <x v="22"/>
    <s v="Food production index (2004-2006 = 100)"/>
    <n v="46.3"/>
    <x v="3"/>
  </r>
  <r>
    <x v="23"/>
    <s v="Food production index (2004-2006 = 100)"/>
    <m/>
    <x v="3"/>
  </r>
  <r>
    <x v="24"/>
    <s v="Food production index (2004-2006 = 100)"/>
    <n v="28.18"/>
    <x v="3"/>
  </r>
  <r>
    <x v="25"/>
    <s v="Food production index (2004-2006 = 100)"/>
    <n v="33.33"/>
    <x v="3"/>
  </r>
  <r>
    <x v="26"/>
    <s v="Food production index (2004-2006 = 100)"/>
    <n v="27.59"/>
    <x v="3"/>
  </r>
  <r>
    <x v="27"/>
    <s v="Food production index (2004-2006 = 100)"/>
    <n v="40.659999999999997"/>
    <x v="3"/>
  </r>
  <r>
    <x v="0"/>
    <s v="Food production index (2004-2006 = 100)"/>
    <n v="69.37"/>
    <x v="4"/>
  </r>
  <r>
    <x v="1"/>
    <s v="Food production index (2004-2006 = 100)"/>
    <n v="30.56"/>
    <x v="4"/>
  </r>
  <r>
    <x v="2"/>
    <s v="Food production index (2004-2006 = 100)"/>
    <n v="38.909999999999997"/>
    <x v="4"/>
  </r>
  <r>
    <x v="3"/>
    <s v="Food production index (2004-2006 = 100)"/>
    <n v="45.83"/>
    <x v="4"/>
  </r>
  <r>
    <x v="4"/>
    <s v="Food production index (2004-2006 = 100)"/>
    <n v="14.45"/>
    <x v="4"/>
  </r>
  <r>
    <x v="5"/>
    <s v="Food production index (2004-2006 = 100)"/>
    <m/>
    <x v="4"/>
  </r>
  <r>
    <x v="6"/>
    <s v="Food production index (2004-2006 = 100)"/>
    <n v="37.090000000000003"/>
    <x v="4"/>
  </r>
  <r>
    <x v="7"/>
    <s v="Food production index (2004-2006 = 100)"/>
    <n v="68.34"/>
    <x v="4"/>
  </r>
  <r>
    <x v="8"/>
    <s v="Food production index (2004-2006 = 100)"/>
    <n v="25.57"/>
    <x v="4"/>
  </r>
  <r>
    <x v="9"/>
    <s v="Food production index (2004-2006 = 100)"/>
    <m/>
    <x v="4"/>
  </r>
  <r>
    <x v="10"/>
    <s v="Food production index (2004-2006 = 100)"/>
    <n v="50.92"/>
    <x v="4"/>
  </r>
  <r>
    <x v="11"/>
    <s v="Food production index (2004-2006 = 100)"/>
    <n v="50.77"/>
    <x v="4"/>
  </r>
  <r>
    <x v="12"/>
    <s v="Food production index (2004-2006 = 100)"/>
    <n v="25.36"/>
    <x v="4"/>
  </r>
  <r>
    <x v="13"/>
    <s v="Food production index (2004-2006 = 100)"/>
    <n v="25.78"/>
    <x v="4"/>
  </r>
  <r>
    <x v="14"/>
    <s v="Food production index (2004-2006 = 100)"/>
    <m/>
    <x v="4"/>
  </r>
  <r>
    <x v="15"/>
    <s v="Food production index (2004-2006 = 100)"/>
    <n v="50.61"/>
    <x v="4"/>
  </r>
  <r>
    <x v="16"/>
    <s v="Food production index (2004-2006 = 100)"/>
    <n v="26.2"/>
    <x v="4"/>
  </r>
  <r>
    <x v="17"/>
    <s v="Food production index (2004-2006 = 100)"/>
    <n v="29.64"/>
    <x v="4"/>
  </r>
  <r>
    <x v="18"/>
    <s v="Food production index (2004-2006 = 100)"/>
    <n v="34.71"/>
    <x v="4"/>
  </r>
  <r>
    <x v="19"/>
    <s v="Food production index (2004-2006 = 100)"/>
    <n v="29.46"/>
    <x v="4"/>
  </r>
  <r>
    <x v="20"/>
    <s v="Food production index (2004-2006 = 100)"/>
    <n v="23.84"/>
    <x v="4"/>
  </r>
  <r>
    <x v="21"/>
    <s v="Food production index (2004-2006 = 100)"/>
    <n v="86.37"/>
    <x v="4"/>
  </r>
  <r>
    <x v="22"/>
    <s v="Food production index (2004-2006 = 100)"/>
    <n v="49.21"/>
    <x v="4"/>
  </r>
  <r>
    <x v="23"/>
    <s v="Food production index (2004-2006 = 100)"/>
    <m/>
    <x v="4"/>
  </r>
  <r>
    <x v="24"/>
    <s v="Food production index (2004-2006 = 100)"/>
    <n v="28.2"/>
    <x v="4"/>
  </r>
  <r>
    <x v="25"/>
    <s v="Food production index (2004-2006 = 100)"/>
    <n v="33.94"/>
    <x v="4"/>
  </r>
  <r>
    <x v="26"/>
    <s v="Food production index (2004-2006 = 100)"/>
    <n v="29.21"/>
    <x v="4"/>
  </r>
  <r>
    <x v="27"/>
    <s v="Food production index (2004-2006 = 100)"/>
    <n v="39.61"/>
    <x v="4"/>
  </r>
  <r>
    <x v="0"/>
    <s v="Food production index (2004-2006 = 100)"/>
    <n v="69.739999999999995"/>
    <x v="5"/>
  </r>
  <r>
    <x v="1"/>
    <s v="Food production index (2004-2006 = 100)"/>
    <n v="28.15"/>
    <x v="5"/>
  </r>
  <r>
    <x v="2"/>
    <s v="Food production index (2004-2006 = 100)"/>
    <n v="38.32"/>
    <x v="5"/>
  </r>
  <r>
    <x v="3"/>
    <s v="Food production index (2004-2006 = 100)"/>
    <n v="46.76"/>
    <x v="5"/>
  </r>
  <r>
    <x v="4"/>
    <s v="Food production index (2004-2006 = 100)"/>
    <n v="14.73"/>
    <x v="5"/>
  </r>
  <r>
    <x v="5"/>
    <s v="Food production index (2004-2006 = 100)"/>
    <m/>
    <x v="5"/>
  </r>
  <r>
    <x v="6"/>
    <s v="Food production index (2004-2006 = 100)"/>
    <n v="36.409999999999997"/>
    <x v="5"/>
  </r>
  <r>
    <x v="7"/>
    <s v="Food production index (2004-2006 = 100)"/>
    <n v="70.290000000000006"/>
    <x v="5"/>
  </r>
  <r>
    <x v="8"/>
    <s v="Food production index (2004-2006 = 100)"/>
    <n v="26.1"/>
    <x v="5"/>
  </r>
  <r>
    <x v="9"/>
    <s v="Food production index (2004-2006 = 100)"/>
    <m/>
    <x v="5"/>
  </r>
  <r>
    <x v="10"/>
    <s v="Food production index (2004-2006 = 100)"/>
    <n v="53.43"/>
    <x v="5"/>
  </r>
  <r>
    <x v="11"/>
    <s v="Food production index (2004-2006 = 100)"/>
    <n v="49.69"/>
    <x v="5"/>
  </r>
  <r>
    <x v="12"/>
    <s v="Food production index (2004-2006 = 100)"/>
    <n v="26.15"/>
    <x v="5"/>
  </r>
  <r>
    <x v="13"/>
    <s v="Food production index (2004-2006 = 100)"/>
    <n v="27.55"/>
    <x v="5"/>
  </r>
  <r>
    <x v="14"/>
    <s v="Food production index (2004-2006 = 100)"/>
    <m/>
    <x v="5"/>
  </r>
  <r>
    <x v="15"/>
    <s v="Food production index (2004-2006 = 100)"/>
    <n v="49.71"/>
    <x v="5"/>
  </r>
  <r>
    <x v="16"/>
    <s v="Food production index (2004-2006 = 100)"/>
    <n v="25.46"/>
    <x v="5"/>
  </r>
  <r>
    <x v="17"/>
    <s v="Food production index (2004-2006 = 100)"/>
    <n v="30.49"/>
    <x v="5"/>
  </r>
  <r>
    <x v="18"/>
    <s v="Food production index (2004-2006 = 100)"/>
    <n v="35.68"/>
    <x v="5"/>
  </r>
  <r>
    <x v="19"/>
    <s v="Food production index (2004-2006 = 100)"/>
    <n v="29.75"/>
    <x v="5"/>
  </r>
  <r>
    <x v="20"/>
    <s v="Food production index (2004-2006 = 100)"/>
    <n v="26.79"/>
    <x v="5"/>
  </r>
  <r>
    <x v="21"/>
    <s v="Food production index (2004-2006 = 100)"/>
    <n v="79.98"/>
    <x v="5"/>
  </r>
  <r>
    <x v="22"/>
    <s v="Food production index (2004-2006 = 100)"/>
    <n v="44.53"/>
    <x v="5"/>
  </r>
  <r>
    <x v="23"/>
    <s v="Food production index (2004-2006 = 100)"/>
    <m/>
    <x v="5"/>
  </r>
  <r>
    <x v="24"/>
    <s v="Food production index (2004-2006 = 100)"/>
    <n v="28.58"/>
    <x v="5"/>
  </r>
  <r>
    <x v="25"/>
    <s v="Food production index (2004-2006 = 100)"/>
    <n v="30.76"/>
    <x v="5"/>
  </r>
  <r>
    <x v="26"/>
    <s v="Food production index (2004-2006 = 100)"/>
    <n v="30.5"/>
    <x v="5"/>
  </r>
  <r>
    <x v="27"/>
    <s v="Food production index (2004-2006 = 100)"/>
    <n v="39.880000000000003"/>
    <x v="5"/>
  </r>
  <r>
    <x v="0"/>
    <s v="Food production index (2004-2006 = 100)"/>
    <n v="70.010000000000005"/>
    <x v="6"/>
  </r>
  <r>
    <x v="1"/>
    <s v="Food production index (2004-2006 = 100)"/>
    <n v="29.71"/>
    <x v="6"/>
  </r>
  <r>
    <x v="2"/>
    <s v="Food production index (2004-2006 = 100)"/>
    <n v="38.82"/>
    <x v="6"/>
  </r>
  <r>
    <x v="3"/>
    <s v="Food production index (2004-2006 = 100)"/>
    <n v="47.85"/>
    <x v="6"/>
  </r>
  <r>
    <x v="4"/>
    <s v="Food production index (2004-2006 = 100)"/>
    <n v="15.95"/>
    <x v="6"/>
  </r>
  <r>
    <x v="5"/>
    <s v="Food production index (2004-2006 = 100)"/>
    <m/>
    <x v="6"/>
  </r>
  <r>
    <x v="6"/>
    <s v="Food production index (2004-2006 = 100)"/>
    <n v="39.21"/>
    <x v="6"/>
  </r>
  <r>
    <x v="7"/>
    <s v="Food production index (2004-2006 = 100)"/>
    <n v="71.739999999999995"/>
    <x v="6"/>
  </r>
  <r>
    <x v="8"/>
    <s v="Food production index (2004-2006 = 100)"/>
    <n v="25.79"/>
    <x v="6"/>
  </r>
  <r>
    <x v="9"/>
    <s v="Food production index (2004-2006 = 100)"/>
    <m/>
    <x v="6"/>
  </r>
  <r>
    <x v="10"/>
    <s v="Food production index (2004-2006 = 100)"/>
    <n v="54.69"/>
    <x v="6"/>
  </r>
  <r>
    <x v="11"/>
    <s v="Food production index (2004-2006 = 100)"/>
    <n v="53.1"/>
    <x v="6"/>
  </r>
  <r>
    <x v="12"/>
    <s v="Food production index (2004-2006 = 100)"/>
    <n v="27.05"/>
    <x v="6"/>
  </r>
  <r>
    <x v="13"/>
    <s v="Food production index (2004-2006 = 100)"/>
    <n v="27.73"/>
    <x v="6"/>
  </r>
  <r>
    <x v="14"/>
    <s v="Food production index (2004-2006 = 100)"/>
    <m/>
    <x v="6"/>
  </r>
  <r>
    <x v="15"/>
    <s v="Food production index (2004-2006 = 100)"/>
    <n v="49.69"/>
    <x v="6"/>
  </r>
  <r>
    <x v="16"/>
    <s v="Food production index (2004-2006 = 100)"/>
    <n v="22.44"/>
    <x v="6"/>
  </r>
  <r>
    <x v="17"/>
    <s v="Food production index (2004-2006 = 100)"/>
    <n v="29.23"/>
    <x v="6"/>
  </r>
  <r>
    <x v="18"/>
    <s v="Food production index (2004-2006 = 100)"/>
    <n v="36.979999999999997"/>
    <x v="6"/>
  </r>
  <r>
    <x v="19"/>
    <s v="Food production index (2004-2006 = 100)"/>
    <n v="31.65"/>
    <x v="6"/>
  </r>
  <r>
    <x v="20"/>
    <s v="Food production index (2004-2006 = 100)"/>
    <n v="29.35"/>
    <x v="6"/>
  </r>
  <r>
    <x v="21"/>
    <s v="Food production index (2004-2006 = 100)"/>
    <n v="83.25"/>
    <x v="6"/>
  </r>
  <r>
    <x v="22"/>
    <s v="Food production index (2004-2006 = 100)"/>
    <n v="45.13"/>
    <x v="6"/>
  </r>
  <r>
    <x v="23"/>
    <s v="Food production index (2004-2006 = 100)"/>
    <m/>
    <x v="6"/>
  </r>
  <r>
    <x v="24"/>
    <s v="Food production index (2004-2006 = 100)"/>
    <n v="31.89"/>
    <x v="6"/>
  </r>
  <r>
    <x v="25"/>
    <s v="Food production index (2004-2006 = 100)"/>
    <n v="31.7"/>
    <x v="6"/>
  </r>
  <r>
    <x v="26"/>
    <s v="Food production index (2004-2006 = 100)"/>
    <n v="33.61"/>
    <x v="6"/>
  </r>
  <r>
    <x v="27"/>
    <s v="Food production index (2004-2006 = 100)"/>
    <n v="46.98"/>
    <x v="6"/>
  </r>
  <r>
    <x v="0"/>
    <s v="Food production index (2004-2006 = 100)"/>
    <n v="72.709999999999994"/>
    <x v="7"/>
  </r>
  <r>
    <x v="1"/>
    <s v="Food production index (2004-2006 = 100)"/>
    <n v="32.72"/>
    <x v="7"/>
  </r>
  <r>
    <x v="2"/>
    <s v="Food production index (2004-2006 = 100)"/>
    <n v="38.26"/>
    <x v="7"/>
  </r>
  <r>
    <x v="3"/>
    <s v="Food production index (2004-2006 = 100)"/>
    <n v="48.37"/>
    <x v="7"/>
  </r>
  <r>
    <x v="4"/>
    <s v="Food production index (2004-2006 = 100)"/>
    <n v="16.649999999999999"/>
    <x v="7"/>
  </r>
  <r>
    <x v="5"/>
    <s v="Food production index (2004-2006 = 100)"/>
    <m/>
    <x v="7"/>
  </r>
  <r>
    <x v="6"/>
    <s v="Food production index (2004-2006 = 100)"/>
    <n v="40.85"/>
    <x v="7"/>
  </r>
  <r>
    <x v="7"/>
    <s v="Food production index (2004-2006 = 100)"/>
    <n v="74.23"/>
    <x v="7"/>
  </r>
  <r>
    <x v="8"/>
    <s v="Food production index (2004-2006 = 100)"/>
    <n v="26.97"/>
    <x v="7"/>
  </r>
  <r>
    <x v="9"/>
    <s v="Food production index (2004-2006 = 100)"/>
    <m/>
    <x v="7"/>
  </r>
  <r>
    <x v="10"/>
    <s v="Food production index (2004-2006 = 100)"/>
    <n v="55.54"/>
    <x v="7"/>
  </r>
  <r>
    <x v="11"/>
    <s v="Food production index (2004-2006 = 100)"/>
    <n v="55.34"/>
    <x v="7"/>
  </r>
  <r>
    <x v="12"/>
    <s v="Food production index (2004-2006 = 100)"/>
    <n v="31.6"/>
    <x v="7"/>
  </r>
  <r>
    <x v="13"/>
    <s v="Food production index (2004-2006 = 100)"/>
    <n v="29.37"/>
    <x v="7"/>
  </r>
  <r>
    <x v="14"/>
    <s v="Food production index (2004-2006 = 100)"/>
    <m/>
    <x v="7"/>
  </r>
  <r>
    <x v="15"/>
    <s v="Food production index (2004-2006 = 100)"/>
    <n v="51.71"/>
    <x v="7"/>
  </r>
  <r>
    <x v="16"/>
    <s v="Food production index (2004-2006 = 100)"/>
    <n v="24.98"/>
    <x v="7"/>
  </r>
  <r>
    <x v="17"/>
    <s v="Food production index (2004-2006 = 100)"/>
    <n v="30.24"/>
    <x v="7"/>
  </r>
  <r>
    <x v="18"/>
    <s v="Food production index (2004-2006 = 100)"/>
    <n v="40.299999999999997"/>
    <x v="7"/>
  </r>
  <r>
    <x v="19"/>
    <s v="Food production index (2004-2006 = 100)"/>
    <n v="34.42"/>
    <x v="7"/>
  </r>
  <r>
    <x v="20"/>
    <s v="Food production index (2004-2006 = 100)"/>
    <n v="35.549999999999997"/>
    <x v="7"/>
  </r>
  <r>
    <x v="21"/>
    <s v="Food production index (2004-2006 = 100)"/>
    <n v="83.62"/>
    <x v="7"/>
  </r>
  <r>
    <x v="22"/>
    <s v="Food production index (2004-2006 = 100)"/>
    <n v="50.38"/>
    <x v="7"/>
  </r>
  <r>
    <x v="23"/>
    <s v="Food production index (2004-2006 = 100)"/>
    <m/>
    <x v="7"/>
  </r>
  <r>
    <x v="24"/>
    <s v="Food production index (2004-2006 = 100)"/>
    <n v="31.81"/>
    <x v="7"/>
  </r>
  <r>
    <x v="25"/>
    <s v="Food production index (2004-2006 = 100)"/>
    <n v="36.81"/>
    <x v="7"/>
  </r>
  <r>
    <x v="26"/>
    <s v="Food production index (2004-2006 = 100)"/>
    <n v="34.409999999999997"/>
    <x v="7"/>
  </r>
  <r>
    <x v="27"/>
    <s v="Food production index (2004-2006 = 100)"/>
    <n v="51.82"/>
    <x v="7"/>
  </r>
  <r>
    <x v="0"/>
    <s v="Food production index (2004-2006 = 100)"/>
    <n v="74.89"/>
    <x v="8"/>
  </r>
  <r>
    <x v="1"/>
    <s v="Food production index (2004-2006 = 100)"/>
    <n v="34.130000000000003"/>
    <x v="8"/>
  </r>
  <r>
    <x v="2"/>
    <s v="Food production index (2004-2006 = 100)"/>
    <n v="40.119999999999997"/>
    <x v="8"/>
  </r>
  <r>
    <x v="3"/>
    <s v="Food production index (2004-2006 = 100)"/>
    <n v="49.05"/>
    <x v="8"/>
  </r>
  <r>
    <x v="4"/>
    <s v="Food production index (2004-2006 = 100)"/>
    <n v="17.91"/>
    <x v="8"/>
  </r>
  <r>
    <x v="5"/>
    <s v="Food production index (2004-2006 = 100)"/>
    <m/>
    <x v="8"/>
  </r>
  <r>
    <x v="6"/>
    <s v="Food production index (2004-2006 = 100)"/>
    <n v="41.88"/>
    <x v="8"/>
  </r>
  <r>
    <x v="7"/>
    <s v="Food production index (2004-2006 = 100)"/>
    <n v="75.42"/>
    <x v="8"/>
  </r>
  <r>
    <x v="8"/>
    <s v="Food production index (2004-2006 = 100)"/>
    <n v="29.09"/>
    <x v="8"/>
  </r>
  <r>
    <x v="9"/>
    <s v="Food production index (2004-2006 = 100)"/>
    <m/>
    <x v="8"/>
  </r>
  <r>
    <x v="10"/>
    <s v="Food production index (2004-2006 = 100)"/>
    <n v="57.85"/>
    <x v="8"/>
  </r>
  <r>
    <x v="11"/>
    <s v="Food production index (2004-2006 = 100)"/>
    <n v="56.39"/>
    <x v="8"/>
  </r>
  <r>
    <x v="12"/>
    <s v="Food production index (2004-2006 = 100)"/>
    <n v="29.99"/>
    <x v="8"/>
  </r>
  <r>
    <x v="13"/>
    <s v="Food production index (2004-2006 = 100)"/>
    <n v="28.7"/>
    <x v="8"/>
  </r>
  <r>
    <x v="14"/>
    <s v="Food production index (2004-2006 = 100)"/>
    <m/>
    <x v="8"/>
  </r>
  <r>
    <x v="15"/>
    <s v="Food production index (2004-2006 = 100)"/>
    <n v="57.22"/>
    <x v="8"/>
  </r>
  <r>
    <x v="16"/>
    <s v="Food production index (2004-2006 = 100)"/>
    <n v="25.31"/>
    <x v="8"/>
  </r>
  <r>
    <x v="17"/>
    <s v="Food production index (2004-2006 = 100)"/>
    <n v="31.03"/>
    <x v="8"/>
  </r>
  <r>
    <x v="18"/>
    <s v="Food production index (2004-2006 = 100)"/>
    <n v="43.15"/>
    <x v="8"/>
  </r>
  <r>
    <x v="19"/>
    <s v="Food production index (2004-2006 = 100)"/>
    <n v="32.049999999999997"/>
    <x v="8"/>
  </r>
  <r>
    <x v="20"/>
    <s v="Food production index (2004-2006 = 100)"/>
    <n v="34.81"/>
    <x v="8"/>
  </r>
  <r>
    <x v="21"/>
    <s v="Food production index (2004-2006 = 100)"/>
    <n v="80.7"/>
    <x v="8"/>
  </r>
  <r>
    <x v="22"/>
    <s v="Food production index (2004-2006 = 100)"/>
    <n v="53.04"/>
    <x v="8"/>
  </r>
  <r>
    <x v="23"/>
    <s v="Food production index (2004-2006 = 100)"/>
    <m/>
    <x v="8"/>
  </r>
  <r>
    <x v="24"/>
    <s v="Food production index (2004-2006 = 100)"/>
    <n v="31.36"/>
    <x v="8"/>
  </r>
  <r>
    <x v="25"/>
    <s v="Food production index (2004-2006 = 100)"/>
    <n v="39.78"/>
    <x v="8"/>
  </r>
  <r>
    <x v="26"/>
    <s v="Food production index (2004-2006 = 100)"/>
    <n v="35.08"/>
    <x v="8"/>
  </r>
  <r>
    <x v="27"/>
    <s v="Food production index (2004-2006 = 100)"/>
    <n v="44.43"/>
    <x v="8"/>
  </r>
  <r>
    <x v="0"/>
    <s v="Food production index (2004-2006 = 100)"/>
    <n v="74.66"/>
    <x v="9"/>
  </r>
  <r>
    <x v="1"/>
    <s v="Food production index (2004-2006 = 100)"/>
    <n v="33.67"/>
    <x v="9"/>
  </r>
  <r>
    <x v="2"/>
    <s v="Food production index (2004-2006 = 100)"/>
    <n v="39.51"/>
    <x v="9"/>
  </r>
  <r>
    <x v="3"/>
    <s v="Food production index (2004-2006 = 100)"/>
    <n v="51.57"/>
    <x v="9"/>
  </r>
  <r>
    <x v="4"/>
    <s v="Food production index (2004-2006 = 100)"/>
    <n v="19.260000000000002"/>
    <x v="9"/>
  </r>
  <r>
    <x v="5"/>
    <s v="Food production index (2004-2006 = 100)"/>
    <m/>
    <x v="9"/>
  </r>
  <r>
    <x v="6"/>
    <s v="Food production index (2004-2006 = 100)"/>
    <n v="41.62"/>
    <x v="9"/>
  </r>
  <r>
    <x v="7"/>
    <s v="Food production index (2004-2006 = 100)"/>
    <n v="77.64"/>
    <x v="9"/>
  </r>
  <r>
    <x v="8"/>
    <s v="Food production index (2004-2006 = 100)"/>
    <n v="29.83"/>
    <x v="9"/>
  </r>
  <r>
    <x v="9"/>
    <s v="Food production index (2004-2006 = 100)"/>
    <m/>
    <x v="9"/>
  </r>
  <r>
    <x v="10"/>
    <s v="Food production index (2004-2006 = 100)"/>
    <n v="59.52"/>
    <x v="9"/>
  </r>
  <r>
    <x v="11"/>
    <s v="Food production index (2004-2006 = 100)"/>
    <n v="58.68"/>
    <x v="9"/>
  </r>
  <r>
    <x v="12"/>
    <s v="Food production index (2004-2006 = 100)"/>
    <n v="31.1"/>
    <x v="9"/>
  </r>
  <r>
    <x v="13"/>
    <s v="Food production index (2004-2006 = 100)"/>
    <n v="31.49"/>
    <x v="9"/>
  </r>
  <r>
    <x v="14"/>
    <s v="Food production index (2004-2006 = 100)"/>
    <m/>
    <x v="9"/>
  </r>
  <r>
    <x v="15"/>
    <s v="Food production index (2004-2006 = 100)"/>
    <n v="56.88"/>
    <x v="9"/>
  </r>
  <r>
    <x v="16"/>
    <s v="Food production index (2004-2006 = 100)"/>
    <n v="25.12"/>
    <x v="9"/>
  </r>
  <r>
    <x v="17"/>
    <s v="Food production index (2004-2006 = 100)"/>
    <n v="32.1"/>
    <x v="9"/>
  </r>
  <r>
    <x v="18"/>
    <s v="Food production index (2004-2006 = 100)"/>
    <n v="45.06"/>
    <x v="9"/>
  </r>
  <r>
    <x v="19"/>
    <s v="Food production index (2004-2006 = 100)"/>
    <n v="34.69"/>
    <x v="9"/>
  </r>
  <r>
    <x v="20"/>
    <s v="Food production index (2004-2006 = 100)"/>
    <n v="37.49"/>
    <x v="9"/>
  </r>
  <r>
    <x v="21"/>
    <s v="Food production index (2004-2006 = 100)"/>
    <n v="74.8"/>
    <x v="9"/>
  </r>
  <r>
    <x v="22"/>
    <s v="Food production index (2004-2006 = 100)"/>
    <n v="52.7"/>
    <x v="9"/>
  </r>
  <r>
    <x v="23"/>
    <s v="Food production index (2004-2006 = 100)"/>
    <m/>
    <x v="9"/>
  </r>
  <r>
    <x v="24"/>
    <s v="Food production index (2004-2006 = 100)"/>
    <n v="32.28"/>
    <x v="9"/>
  </r>
  <r>
    <x v="25"/>
    <s v="Food production index (2004-2006 = 100)"/>
    <n v="43.36"/>
    <x v="9"/>
  </r>
  <r>
    <x v="26"/>
    <s v="Food production index (2004-2006 = 100)"/>
    <n v="35.83"/>
    <x v="9"/>
  </r>
  <r>
    <x v="27"/>
    <s v="Food production index (2004-2006 = 100)"/>
    <n v="56.38"/>
    <x v="9"/>
  </r>
  <r>
    <x v="0"/>
    <s v="Food production index (2004-2006 = 100)"/>
    <n v="75.41"/>
    <x v="10"/>
  </r>
  <r>
    <x v="1"/>
    <s v="Food production index (2004-2006 = 100)"/>
    <n v="37"/>
    <x v="10"/>
  </r>
  <r>
    <x v="2"/>
    <s v="Food production index (2004-2006 = 100)"/>
    <n v="38.19"/>
    <x v="10"/>
  </r>
  <r>
    <x v="3"/>
    <s v="Food production index (2004-2006 = 100)"/>
    <n v="49.93"/>
    <x v="10"/>
  </r>
  <r>
    <x v="4"/>
    <s v="Food production index (2004-2006 = 100)"/>
    <n v="20"/>
    <x v="10"/>
  </r>
  <r>
    <x v="5"/>
    <s v="Food production index (2004-2006 = 100)"/>
    <m/>
    <x v="10"/>
  </r>
  <r>
    <x v="6"/>
    <s v="Food production index (2004-2006 = 100)"/>
    <n v="43.07"/>
    <x v="10"/>
  </r>
  <r>
    <x v="7"/>
    <s v="Food production index (2004-2006 = 100)"/>
    <n v="79.92"/>
    <x v="10"/>
  </r>
  <r>
    <x v="8"/>
    <s v="Food production index (2004-2006 = 100)"/>
    <n v="31.17"/>
    <x v="10"/>
  </r>
  <r>
    <x v="9"/>
    <s v="Food production index (2004-2006 = 100)"/>
    <m/>
    <x v="10"/>
  </r>
  <r>
    <x v="10"/>
    <s v="Food production index (2004-2006 = 100)"/>
    <n v="63.58"/>
    <x v="10"/>
  </r>
  <r>
    <x v="11"/>
    <s v="Food production index (2004-2006 = 100)"/>
    <n v="59.86"/>
    <x v="10"/>
  </r>
  <r>
    <x v="12"/>
    <s v="Food production index (2004-2006 = 100)"/>
    <n v="29"/>
    <x v="10"/>
  </r>
  <r>
    <x v="13"/>
    <s v="Food production index (2004-2006 = 100)"/>
    <n v="31.62"/>
    <x v="10"/>
  </r>
  <r>
    <x v="14"/>
    <s v="Food production index (2004-2006 = 100)"/>
    <m/>
    <x v="10"/>
  </r>
  <r>
    <x v="15"/>
    <s v="Food production index (2004-2006 = 100)"/>
    <n v="59.74"/>
    <x v="10"/>
  </r>
  <r>
    <x v="16"/>
    <s v="Food production index (2004-2006 = 100)"/>
    <n v="26"/>
    <x v="10"/>
  </r>
  <r>
    <x v="17"/>
    <s v="Food production index (2004-2006 = 100)"/>
    <n v="33.119999999999997"/>
    <x v="10"/>
  </r>
  <r>
    <x v="18"/>
    <s v="Food production index (2004-2006 = 100)"/>
    <n v="46.57"/>
    <x v="10"/>
  </r>
  <r>
    <x v="19"/>
    <s v="Food production index (2004-2006 = 100)"/>
    <n v="33.03"/>
    <x v="10"/>
  </r>
  <r>
    <x v="20"/>
    <s v="Food production index (2004-2006 = 100)"/>
    <n v="39.14"/>
    <x v="10"/>
  </r>
  <r>
    <x v="21"/>
    <s v="Food production index (2004-2006 = 100)"/>
    <n v="74.930000000000007"/>
    <x v="10"/>
  </r>
  <r>
    <x v="22"/>
    <s v="Food production index (2004-2006 = 100)"/>
    <n v="56.67"/>
    <x v="10"/>
  </r>
  <r>
    <x v="23"/>
    <s v="Food production index (2004-2006 = 100)"/>
    <m/>
    <x v="10"/>
  </r>
  <r>
    <x v="24"/>
    <s v="Food production index (2004-2006 = 100)"/>
    <n v="34"/>
    <x v="10"/>
  </r>
  <r>
    <x v="25"/>
    <s v="Food production index (2004-2006 = 100)"/>
    <n v="55.41"/>
    <x v="10"/>
  </r>
  <r>
    <x v="26"/>
    <s v="Food production index (2004-2006 = 100)"/>
    <n v="34.97"/>
    <x v="10"/>
  </r>
  <r>
    <x v="27"/>
    <s v="Food production index (2004-2006 = 100)"/>
    <n v="53.82"/>
    <x v="10"/>
  </r>
  <r>
    <x v="0"/>
    <s v="Food production index (2004-2006 = 100)"/>
    <n v="77.34"/>
    <x v="11"/>
  </r>
  <r>
    <x v="1"/>
    <s v="Food production index (2004-2006 = 100)"/>
    <n v="38.6"/>
    <x v="11"/>
  </r>
  <r>
    <x v="2"/>
    <s v="Food production index (2004-2006 = 100)"/>
    <n v="37.840000000000003"/>
    <x v="11"/>
  </r>
  <r>
    <x v="3"/>
    <s v="Food production index (2004-2006 = 100)"/>
    <n v="51.64"/>
    <x v="11"/>
  </r>
  <r>
    <x v="4"/>
    <s v="Food production index (2004-2006 = 100)"/>
    <n v="20.92"/>
    <x v="11"/>
  </r>
  <r>
    <x v="5"/>
    <s v="Food production index (2004-2006 = 100)"/>
    <m/>
    <x v="11"/>
  </r>
  <r>
    <x v="6"/>
    <s v="Food production index (2004-2006 = 100)"/>
    <n v="44.39"/>
    <x v="11"/>
  </r>
  <r>
    <x v="7"/>
    <s v="Food production index (2004-2006 = 100)"/>
    <n v="82.21"/>
    <x v="11"/>
  </r>
  <r>
    <x v="8"/>
    <s v="Food production index (2004-2006 = 100)"/>
    <n v="31.88"/>
    <x v="11"/>
  </r>
  <r>
    <x v="9"/>
    <s v="Food production index (2004-2006 = 100)"/>
    <m/>
    <x v="11"/>
  </r>
  <r>
    <x v="10"/>
    <s v="Food production index (2004-2006 = 100)"/>
    <n v="66.48"/>
    <x v="11"/>
  </r>
  <r>
    <x v="11"/>
    <s v="Food production index (2004-2006 = 100)"/>
    <n v="59.31"/>
    <x v="11"/>
  </r>
  <r>
    <x v="12"/>
    <s v="Food production index (2004-2006 = 100)"/>
    <n v="34.51"/>
    <x v="11"/>
  </r>
  <r>
    <x v="13"/>
    <s v="Food production index (2004-2006 = 100)"/>
    <n v="31.07"/>
    <x v="11"/>
  </r>
  <r>
    <x v="14"/>
    <s v="Food production index (2004-2006 = 100)"/>
    <m/>
    <x v="11"/>
  </r>
  <r>
    <x v="15"/>
    <s v="Food production index (2004-2006 = 100)"/>
    <n v="63.03"/>
    <x v="11"/>
  </r>
  <r>
    <x v="16"/>
    <s v="Food production index (2004-2006 = 100)"/>
    <n v="26.72"/>
    <x v="11"/>
  </r>
  <r>
    <x v="17"/>
    <s v="Food production index (2004-2006 = 100)"/>
    <n v="33.450000000000003"/>
    <x v="11"/>
  </r>
  <r>
    <x v="18"/>
    <s v="Food production index (2004-2006 = 100)"/>
    <n v="47.97"/>
    <x v="11"/>
  </r>
  <r>
    <x v="19"/>
    <s v="Food production index (2004-2006 = 100)"/>
    <n v="33.57"/>
    <x v="11"/>
  </r>
  <r>
    <x v="20"/>
    <s v="Food production index (2004-2006 = 100)"/>
    <n v="39.99"/>
    <x v="11"/>
  </r>
  <r>
    <x v="21"/>
    <s v="Food production index (2004-2006 = 100)"/>
    <n v="81.150000000000006"/>
    <x v="11"/>
  </r>
  <r>
    <x v="22"/>
    <s v="Food production index (2004-2006 = 100)"/>
    <n v="56.29"/>
    <x v="11"/>
  </r>
  <r>
    <x v="23"/>
    <s v="Food production index (2004-2006 = 100)"/>
    <m/>
    <x v="11"/>
  </r>
  <r>
    <x v="24"/>
    <s v="Food production index (2004-2006 = 100)"/>
    <n v="34.25"/>
    <x v="11"/>
  </r>
  <r>
    <x v="25"/>
    <s v="Food production index (2004-2006 = 100)"/>
    <n v="54.38"/>
    <x v="11"/>
  </r>
  <r>
    <x v="26"/>
    <s v="Food production index (2004-2006 = 100)"/>
    <n v="40.200000000000003"/>
    <x v="11"/>
  </r>
  <r>
    <x v="27"/>
    <s v="Food production index (2004-2006 = 100)"/>
    <n v="68.459999999999994"/>
    <x v="11"/>
  </r>
  <r>
    <x v="0"/>
    <s v="Food production index (2004-2006 = 100)"/>
    <n v="70.680000000000007"/>
    <x v="12"/>
  </r>
  <r>
    <x v="1"/>
    <s v="Food production index (2004-2006 = 100)"/>
    <n v="40.4"/>
    <x v="12"/>
  </r>
  <r>
    <x v="2"/>
    <s v="Food production index (2004-2006 = 100)"/>
    <n v="36.020000000000003"/>
    <x v="12"/>
  </r>
  <r>
    <x v="3"/>
    <s v="Food production index (2004-2006 = 100)"/>
    <n v="51.29"/>
    <x v="12"/>
  </r>
  <r>
    <x v="4"/>
    <s v="Food production index (2004-2006 = 100)"/>
    <n v="22.03"/>
    <x v="12"/>
  </r>
  <r>
    <x v="5"/>
    <s v="Food production index (2004-2006 = 100)"/>
    <m/>
    <x v="12"/>
  </r>
  <r>
    <x v="6"/>
    <s v="Food production index (2004-2006 = 100)"/>
    <n v="42.45"/>
    <x v="12"/>
  </r>
  <r>
    <x v="7"/>
    <s v="Food production index (2004-2006 = 100)"/>
    <n v="85.17"/>
    <x v="12"/>
  </r>
  <r>
    <x v="8"/>
    <s v="Food production index (2004-2006 = 100)"/>
    <n v="33.200000000000003"/>
    <x v="12"/>
  </r>
  <r>
    <x v="9"/>
    <s v="Food production index (2004-2006 = 100)"/>
    <m/>
    <x v="12"/>
  </r>
  <r>
    <x v="10"/>
    <s v="Food production index (2004-2006 = 100)"/>
    <n v="67.5"/>
    <x v="12"/>
  </r>
  <r>
    <x v="11"/>
    <s v="Food production index (2004-2006 = 100)"/>
    <n v="60.93"/>
    <x v="12"/>
  </r>
  <r>
    <x v="12"/>
    <s v="Food production index (2004-2006 = 100)"/>
    <n v="36"/>
    <x v="12"/>
  </r>
  <r>
    <x v="13"/>
    <s v="Food production index (2004-2006 = 100)"/>
    <n v="27.42"/>
    <x v="12"/>
  </r>
  <r>
    <x v="14"/>
    <s v="Food production index (2004-2006 = 100)"/>
    <m/>
    <x v="12"/>
  </r>
  <r>
    <x v="15"/>
    <s v="Food production index (2004-2006 = 100)"/>
    <n v="64.63"/>
    <x v="12"/>
  </r>
  <r>
    <x v="16"/>
    <s v="Food production index (2004-2006 = 100)"/>
    <n v="25.12"/>
    <x v="12"/>
  </r>
  <r>
    <x v="17"/>
    <s v="Food production index (2004-2006 = 100)"/>
    <n v="32.119999999999997"/>
    <x v="12"/>
  </r>
  <r>
    <x v="18"/>
    <s v="Food production index (2004-2006 = 100)"/>
    <n v="49.57"/>
    <x v="12"/>
  </r>
  <r>
    <x v="19"/>
    <s v="Food production index (2004-2006 = 100)"/>
    <n v="33.5"/>
    <x v="12"/>
  </r>
  <r>
    <x v="20"/>
    <s v="Food production index (2004-2006 = 100)"/>
    <n v="39.35"/>
    <x v="12"/>
  </r>
  <r>
    <x v="21"/>
    <s v="Food production index (2004-2006 = 100)"/>
    <n v="78.52"/>
    <x v="12"/>
  </r>
  <r>
    <x v="22"/>
    <s v="Food production index (2004-2006 = 100)"/>
    <n v="55.46"/>
    <x v="12"/>
  </r>
  <r>
    <x v="23"/>
    <s v="Food production index (2004-2006 = 100)"/>
    <m/>
    <x v="12"/>
  </r>
  <r>
    <x v="24"/>
    <s v="Food production index (2004-2006 = 100)"/>
    <n v="34.42"/>
    <x v="12"/>
  </r>
  <r>
    <x v="25"/>
    <s v="Food production index (2004-2006 = 100)"/>
    <n v="55.71"/>
    <x v="12"/>
  </r>
  <r>
    <x v="26"/>
    <s v="Food production index (2004-2006 = 100)"/>
    <n v="46.57"/>
    <x v="12"/>
  </r>
  <r>
    <x v="27"/>
    <s v="Food production index (2004-2006 = 100)"/>
    <n v="78.53"/>
    <x v="12"/>
  </r>
  <r>
    <x v="0"/>
    <s v="Food production index (2004-2006 = 100)"/>
    <n v="79.680000000000007"/>
    <x v="13"/>
  </r>
  <r>
    <x v="1"/>
    <s v="Food production index (2004-2006 = 100)"/>
    <n v="41.53"/>
    <x v="13"/>
  </r>
  <r>
    <x v="2"/>
    <s v="Food production index (2004-2006 = 100)"/>
    <n v="33.340000000000003"/>
    <x v="13"/>
  </r>
  <r>
    <x v="3"/>
    <s v="Food production index (2004-2006 = 100)"/>
    <n v="51.28"/>
    <x v="13"/>
  </r>
  <r>
    <x v="4"/>
    <s v="Food production index (2004-2006 = 100)"/>
    <n v="22.02"/>
    <x v="13"/>
  </r>
  <r>
    <x v="5"/>
    <s v="Food production index (2004-2006 = 100)"/>
    <m/>
    <x v="13"/>
  </r>
  <r>
    <x v="6"/>
    <s v="Food production index (2004-2006 = 100)"/>
    <n v="43"/>
    <x v="13"/>
  </r>
  <r>
    <x v="7"/>
    <s v="Food production index (2004-2006 = 100)"/>
    <n v="86.21"/>
    <x v="13"/>
  </r>
  <r>
    <x v="8"/>
    <s v="Food production index (2004-2006 = 100)"/>
    <n v="34.479999999999997"/>
    <x v="13"/>
  </r>
  <r>
    <x v="9"/>
    <s v="Food production index (2004-2006 = 100)"/>
    <m/>
    <x v="13"/>
  </r>
  <r>
    <x v="10"/>
    <s v="Food production index (2004-2006 = 100)"/>
    <n v="68.58"/>
    <x v="13"/>
  </r>
  <r>
    <x v="11"/>
    <s v="Food production index (2004-2006 = 100)"/>
    <n v="61.28"/>
    <x v="13"/>
  </r>
  <r>
    <x v="12"/>
    <s v="Food production index (2004-2006 = 100)"/>
    <n v="38.42"/>
    <x v="13"/>
  </r>
  <r>
    <x v="13"/>
    <s v="Food production index (2004-2006 = 100)"/>
    <n v="25.11"/>
    <x v="13"/>
  </r>
  <r>
    <x v="14"/>
    <s v="Food production index (2004-2006 = 100)"/>
    <m/>
    <x v="13"/>
  </r>
  <r>
    <x v="15"/>
    <s v="Food production index (2004-2006 = 100)"/>
    <n v="68.400000000000006"/>
    <x v="13"/>
  </r>
  <r>
    <x v="16"/>
    <s v="Food production index (2004-2006 = 100)"/>
    <n v="27.45"/>
    <x v="13"/>
  </r>
  <r>
    <x v="17"/>
    <s v="Food production index (2004-2006 = 100)"/>
    <n v="35.44"/>
    <x v="13"/>
  </r>
  <r>
    <x v="18"/>
    <s v="Food production index (2004-2006 = 100)"/>
    <n v="49.91"/>
    <x v="13"/>
  </r>
  <r>
    <x v="19"/>
    <s v="Food production index (2004-2006 = 100)"/>
    <n v="24.63"/>
    <x v="13"/>
  </r>
  <r>
    <x v="20"/>
    <s v="Food production index (2004-2006 = 100)"/>
    <n v="41.02"/>
    <x v="13"/>
  </r>
  <r>
    <x v="21"/>
    <s v="Food production index (2004-2006 = 100)"/>
    <n v="82.15"/>
    <x v="13"/>
  </r>
  <r>
    <x v="22"/>
    <s v="Food production index (2004-2006 = 100)"/>
    <n v="54.14"/>
    <x v="13"/>
  </r>
  <r>
    <x v="23"/>
    <s v="Food production index (2004-2006 = 100)"/>
    <m/>
    <x v="13"/>
  </r>
  <r>
    <x v="24"/>
    <s v="Food production index (2004-2006 = 100)"/>
    <n v="36.369999999999997"/>
    <x v="13"/>
  </r>
  <r>
    <x v="25"/>
    <s v="Food production index (2004-2006 = 100)"/>
    <n v="54.96"/>
    <x v="13"/>
  </r>
  <r>
    <x v="26"/>
    <s v="Food production index (2004-2006 = 100)"/>
    <n v="42.07"/>
    <x v="13"/>
  </r>
  <r>
    <x v="27"/>
    <s v="Food production index (2004-2006 = 100)"/>
    <n v="63.91"/>
    <x v="13"/>
  </r>
  <r>
    <x v="0"/>
    <s v="Food production index (2004-2006 = 100)"/>
    <n v="73.89"/>
    <x v="14"/>
  </r>
  <r>
    <x v="1"/>
    <s v="Food production index (2004-2006 = 100)"/>
    <n v="44.75"/>
    <x v="14"/>
  </r>
  <r>
    <x v="2"/>
    <s v="Food production index (2004-2006 = 100)"/>
    <n v="34.08"/>
    <x v="14"/>
  </r>
  <r>
    <x v="3"/>
    <s v="Food production index (2004-2006 = 100)"/>
    <n v="54.98"/>
    <x v="14"/>
  </r>
  <r>
    <x v="4"/>
    <s v="Food production index (2004-2006 = 100)"/>
    <n v="23.5"/>
    <x v="14"/>
  </r>
  <r>
    <x v="5"/>
    <s v="Food production index (2004-2006 = 100)"/>
    <m/>
    <x v="14"/>
  </r>
  <r>
    <x v="6"/>
    <s v="Food production index (2004-2006 = 100)"/>
    <n v="43.47"/>
    <x v="14"/>
  </r>
  <r>
    <x v="7"/>
    <s v="Food production index (2004-2006 = 100)"/>
    <n v="88.2"/>
    <x v="14"/>
  </r>
  <r>
    <x v="8"/>
    <s v="Food production index (2004-2006 = 100)"/>
    <n v="35.17"/>
    <x v="14"/>
  </r>
  <r>
    <x v="9"/>
    <s v="Food production index (2004-2006 = 100)"/>
    <m/>
    <x v="14"/>
  </r>
  <r>
    <x v="10"/>
    <s v="Food production index (2004-2006 = 100)"/>
    <n v="74.760000000000005"/>
    <x v="14"/>
  </r>
  <r>
    <x v="11"/>
    <s v="Food production index (2004-2006 = 100)"/>
    <n v="68.72"/>
    <x v="14"/>
  </r>
  <r>
    <x v="12"/>
    <s v="Food production index (2004-2006 = 100)"/>
    <n v="38.64"/>
    <x v="14"/>
  </r>
  <r>
    <x v="13"/>
    <s v="Food production index (2004-2006 = 100)"/>
    <n v="28.59"/>
    <x v="14"/>
  </r>
  <r>
    <x v="14"/>
    <s v="Food production index (2004-2006 = 100)"/>
    <m/>
    <x v="14"/>
  </r>
  <r>
    <x v="15"/>
    <s v="Food production index (2004-2006 = 100)"/>
    <n v="66.209999999999994"/>
    <x v="14"/>
  </r>
  <r>
    <x v="16"/>
    <s v="Food production index (2004-2006 = 100)"/>
    <n v="27.76"/>
    <x v="14"/>
  </r>
  <r>
    <x v="17"/>
    <s v="Food production index (2004-2006 = 100)"/>
    <n v="36.51"/>
    <x v="14"/>
  </r>
  <r>
    <x v="18"/>
    <s v="Food production index (2004-2006 = 100)"/>
    <n v="52.16"/>
    <x v="14"/>
  </r>
  <r>
    <x v="19"/>
    <s v="Food production index (2004-2006 = 100)"/>
    <n v="28.98"/>
    <x v="14"/>
  </r>
  <r>
    <x v="20"/>
    <s v="Food production index (2004-2006 = 100)"/>
    <n v="39.24"/>
    <x v="14"/>
  </r>
  <r>
    <x v="21"/>
    <s v="Food production index (2004-2006 = 100)"/>
    <n v="77.78"/>
    <x v="14"/>
  </r>
  <r>
    <x v="22"/>
    <s v="Food production index (2004-2006 = 100)"/>
    <n v="60.88"/>
    <x v="14"/>
  </r>
  <r>
    <x v="23"/>
    <s v="Food production index (2004-2006 = 100)"/>
    <m/>
    <x v="14"/>
  </r>
  <r>
    <x v="24"/>
    <s v="Food production index (2004-2006 = 100)"/>
    <n v="36.44"/>
    <x v="14"/>
  </r>
  <r>
    <x v="25"/>
    <s v="Food production index (2004-2006 = 100)"/>
    <n v="58.53"/>
    <x v="14"/>
  </r>
  <r>
    <x v="26"/>
    <s v="Food production index (2004-2006 = 100)"/>
    <n v="44.83"/>
    <x v="14"/>
  </r>
  <r>
    <x v="27"/>
    <s v="Food production index (2004-2006 = 100)"/>
    <n v="77.260000000000005"/>
    <x v="14"/>
  </r>
  <r>
    <x v="0"/>
    <s v="Food production index (2004-2006 = 100)"/>
    <n v="81.12"/>
    <x v="15"/>
  </r>
  <r>
    <x v="1"/>
    <s v="Food production index (2004-2006 = 100)"/>
    <n v="44.89"/>
    <x v="15"/>
  </r>
  <r>
    <x v="2"/>
    <s v="Food production index (2004-2006 = 100)"/>
    <n v="36.39"/>
    <x v="15"/>
  </r>
  <r>
    <x v="3"/>
    <s v="Food production index (2004-2006 = 100)"/>
    <n v="55.22"/>
    <x v="15"/>
  </r>
  <r>
    <x v="4"/>
    <s v="Food production index (2004-2006 = 100)"/>
    <n v="23.89"/>
    <x v="15"/>
  </r>
  <r>
    <x v="5"/>
    <s v="Food production index (2004-2006 = 100)"/>
    <m/>
    <x v="15"/>
  </r>
  <r>
    <x v="6"/>
    <s v="Food production index (2004-2006 = 100)"/>
    <n v="44.39"/>
    <x v="15"/>
  </r>
  <r>
    <x v="7"/>
    <s v="Food production index (2004-2006 = 100)"/>
    <n v="89.25"/>
    <x v="15"/>
  </r>
  <r>
    <x v="8"/>
    <s v="Food production index (2004-2006 = 100)"/>
    <n v="35.58"/>
    <x v="15"/>
  </r>
  <r>
    <x v="9"/>
    <s v="Food production index (2004-2006 = 100)"/>
    <m/>
    <x v="15"/>
  </r>
  <r>
    <x v="10"/>
    <s v="Food production index (2004-2006 = 100)"/>
    <n v="73.7"/>
    <x v="15"/>
  </r>
  <r>
    <x v="11"/>
    <s v="Food production index (2004-2006 = 100)"/>
    <n v="67.510000000000005"/>
    <x v="15"/>
  </r>
  <r>
    <x v="12"/>
    <s v="Food production index (2004-2006 = 100)"/>
    <n v="37.51"/>
    <x v="15"/>
  </r>
  <r>
    <x v="13"/>
    <s v="Food production index (2004-2006 = 100)"/>
    <n v="32.47"/>
    <x v="15"/>
  </r>
  <r>
    <x v="14"/>
    <s v="Food production index (2004-2006 = 100)"/>
    <m/>
    <x v="15"/>
  </r>
  <r>
    <x v="15"/>
    <s v="Food production index (2004-2006 = 100)"/>
    <n v="61.14"/>
    <x v="15"/>
  </r>
  <r>
    <x v="16"/>
    <s v="Food production index (2004-2006 = 100)"/>
    <n v="29.13"/>
    <x v="15"/>
  </r>
  <r>
    <x v="17"/>
    <s v="Food production index (2004-2006 = 100)"/>
    <n v="38.200000000000003"/>
    <x v="15"/>
  </r>
  <r>
    <x v="18"/>
    <s v="Food production index (2004-2006 = 100)"/>
    <n v="57.58"/>
    <x v="15"/>
  </r>
  <r>
    <x v="19"/>
    <s v="Food production index (2004-2006 = 100)"/>
    <n v="27.58"/>
    <x v="15"/>
  </r>
  <r>
    <x v="20"/>
    <s v="Food production index (2004-2006 = 100)"/>
    <n v="44.02"/>
    <x v="15"/>
  </r>
  <r>
    <x v="21"/>
    <s v="Food production index (2004-2006 = 100)"/>
    <n v="65.22"/>
    <x v="15"/>
  </r>
  <r>
    <x v="22"/>
    <s v="Food production index (2004-2006 = 100)"/>
    <n v="62.73"/>
    <x v="15"/>
  </r>
  <r>
    <x v="23"/>
    <s v="Food production index (2004-2006 = 100)"/>
    <m/>
    <x v="15"/>
  </r>
  <r>
    <x v="24"/>
    <s v="Food production index (2004-2006 = 100)"/>
    <n v="41.34"/>
    <x v="15"/>
  </r>
  <r>
    <x v="25"/>
    <s v="Food production index (2004-2006 = 100)"/>
    <n v="63.35"/>
    <x v="15"/>
  </r>
  <r>
    <x v="26"/>
    <s v="Food production index (2004-2006 = 100)"/>
    <n v="52.9"/>
    <x v="15"/>
  </r>
  <r>
    <x v="27"/>
    <s v="Food production index (2004-2006 = 100)"/>
    <n v="71.39"/>
    <x v="15"/>
  </r>
  <r>
    <x v="0"/>
    <s v="Food production index (2004-2006 = 100)"/>
    <n v="82.79"/>
    <x v="16"/>
  </r>
  <r>
    <x v="1"/>
    <s v="Food production index (2004-2006 = 100)"/>
    <n v="43.36"/>
    <x v="16"/>
  </r>
  <r>
    <x v="2"/>
    <s v="Food production index (2004-2006 = 100)"/>
    <n v="37.659999999999997"/>
    <x v="16"/>
  </r>
  <r>
    <x v="3"/>
    <s v="Food production index (2004-2006 = 100)"/>
    <n v="55.08"/>
    <x v="16"/>
  </r>
  <r>
    <x v="4"/>
    <s v="Food production index (2004-2006 = 100)"/>
    <n v="26.81"/>
    <x v="16"/>
  </r>
  <r>
    <x v="5"/>
    <s v="Food production index (2004-2006 = 100)"/>
    <m/>
    <x v="16"/>
  </r>
  <r>
    <x v="6"/>
    <s v="Food production index (2004-2006 = 100)"/>
    <n v="46.21"/>
    <x v="16"/>
  </r>
  <r>
    <x v="7"/>
    <s v="Food production index (2004-2006 = 100)"/>
    <n v="91.67"/>
    <x v="16"/>
  </r>
  <r>
    <x v="8"/>
    <s v="Food production index (2004-2006 = 100)"/>
    <n v="38.299999999999997"/>
    <x v="16"/>
  </r>
  <r>
    <x v="9"/>
    <s v="Food production index (2004-2006 = 100)"/>
    <m/>
    <x v="16"/>
  </r>
  <r>
    <x v="10"/>
    <s v="Food production index (2004-2006 = 100)"/>
    <n v="77.5"/>
    <x v="16"/>
  </r>
  <r>
    <x v="11"/>
    <s v="Food production index (2004-2006 = 100)"/>
    <n v="68.81"/>
    <x v="16"/>
  </r>
  <r>
    <x v="12"/>
    <s v="Food production index (2004-2006 = 100)"/>
    <n v="40.21"/>
    <x v="16"/>
  </r>
  <r>
    <x v="13"/>
    <s v="Food production index (2004-2006 = 100)"/>
    <n v="33.520000000000003"/>
    <x v="16"/>
  </r>
  <r>
    <x v="14"/>
    <s v="Food production index (2004-2006 = 100)"/>
    <m/>
    <x v="16"/>
  </r>
  <r>
    <x v="15"/>
    <s v="Food production index (2004-2006 = 100)"/>
    <n v="57.92"/>
    <x v="16"/>
  </r>
  <r>
    <x v="16"/>
    <s v="Food production index (2004-2006 = 100)"/>
    <n v="29.6"/>
    <x v="16"/>
  </r>
  <r>
    <x v="17"/>
    <s v="Food production index (2004-2006 = 100)"/>
    <n v="37.54"/>
    <x v="16"/>
  </r>
  <r>
    <x v="18"/>
    <s v="Food production index (2004-2006 = 100)"/>
    <n v="60.25"/>
    <x v="16"/>
  </r>
  <r>
    <x v="19"/>
    <s v="Food production index (2004-2006 = 100)"/>
    <n v="32.67"/>
    <x v="16"/>
  </r>
  <r>
    <x v="20"/>
    <s v="Food production index (2004-2006 = 100)"/>
    <n v="46.59"/>
    <x v="16"/>
  </r>
  <r>
    <x v="21"/>
    <s v="Food production index (2004-2006 = 100)"/>
    <n v="62.32"/>
    <x v="16"/>
  </r>
  <r>
    <x v="22"/>
    <s v="Food production index (2004-2006 = 100)"/>
    <n v="63.84"/>
    <x v="16"/>
  </r>
  <r>
    <x v="23"/>
    <s v="Food production index (2004-2006 = 100)"/>
    <m/>
    <x v="16"/>
  </r>
  <r>
    <x v="24"/>
    <s v="Food production index (2004-2006 = 100)"/>
    <n v="42.82"/>
    <x v="16"/>
  </r>
  <r>
    <x v="25"/>
    <s v="Food production index (2004-2006 = 100)"/>
    <n v="60.44"/>
    <x v="16"/>
  </r>
  <r>
    <x v="26"/>
    <s v="Food production index (2004-2006 = 100)"/>
    <n v="59.98"/>
    <x v="16"/>
  </r>
  <r>
    <x v="27"/>
    <s v="Food production index (2004-2006 = 100)"/>
    <n v="77.819999999999993"/>
    <x v="16"/>
  </r>
  <r>
    <x v="0"/>
    <s v="Food production index (2004-2006 = 100)"/>
    <n v="84.92"/>
    <x v="17"/>
  </r>
  <r>
    <x v="1"/>
    <s v="Food production index (2004-2006 = 100)"/>
    <n v="44.52"/>
    <x v="17"/>
  </r>
  <r>
    <x v="2"/>
    <s v="Food production index (2004-2006 = 100)"/>
    <n v="38.68"/>
    <x v="17"/>
  </r>
  <r>
    <x v="3"/>
    <s v="Food production index (2004-2006 = 100)"/>
    <n v="58.39"/>
    <x v="17"/>
  </r>
  <r>
    <x v="4"/>
    <s v="Food production index (2004-2006 = 100)"/>
    <n v="26.24"/>
    <x v="17"/>
  </r>
  <r>
    <x v="5"/>
    <s v="Food production index (2004-2006 = 100)"/>
    <m/>
    <x v="17"/>
  </r>
  <r>
    <x v="6"/>
    <s v="Food production index (2004-2006 = 100)"/>
    <n v="46.67"/>
    <x v="17"/>
  </r>
  <r>
    <x v="7"/>
    <s v="Food production index (2004-2006 = 100)"/>
    <n v="89.66"/>
    <x v="17"/>
  </r>
  <r>
    <x v="8"/>
    <s v="Food production index (2004-2006 = 100)"/>
    <n v="41.64"/>
    <x v="17"/>
  </r>
  <r>
    <x v="9"/>
    <s v="Food production index (2004-2006 = 100)"/>
    <m/>
    <x v="17"/>
  </r>
  <r>
    <x v="10"/>
    <s v="Food production index (2004-2006 = 100)"/>
    <n v="80.33"/>
    <x v="17"/>
  </r>
  <r>
    <x v="11"/>
    <s v="Food production index (2004-2006 = 100)"/>
    <n v="63.21"/>
    <x v="17"/>
  </r>
  <r>
    <x v="12"/>
    <s v="Food production index (2004-2006 = 100)"/>
    <n v="43.2"/>
    <x v="17"/>
  </r>
  <r>
    <x v="13"/>
    <s v="Food production index (2004-2006 = 100)"/>
    <n v="33.82"/>
    <x v="17"/>
  </r>
  <r>
    <x v="14"/>
    <s v="Food production index (2004-2006 = 100)"/>
    <m/>
    <x v="17"/>
  </r>
  <r>
    <x v="15"/>
    <s v="Food production index (2004-2006 = 100)"/>
    <n v="57.04"/>
    <x v="17"/>
  </r>
  <r>
    <x v="16"/>
    <s v="Food production index (2004-2006 = 100)"/>
    <n v="30.41"/>
    <x v="17"/>
  </r>
  <r>
    <x v="17"/>
    <s v="Food production index (2004-2006 = 100)"/>
    <n v="37.24"/>
    <x v="17"/>
  </r>
  <r>
    <x v="18"/>
    <s v="Food production index (2004-2006 = 100)"/>
    <n v="63.09"/>
    <x v="17"/>
  </r>
  <r>
    <x v="19"/>
    <s v="Food production index (2004-2006 = 100)"/>
    <n v="38.99"/>
    <x v="17"/>
  </r>
  <r>
    <x v="20"/>
    <s v="Food production index (2004-2006 = 100)"/>
    <n v="48.59"/>
    <x v="17"/>
  </r>
  <r>
    <x v="21"/>
    <s v="Food production index (2004-2006 = 100)"/>
    <n v="61.09"/>
    <x v="17"/>
  </r>
  <r>
    <x v="22"/>
    <s v="Food production index (2004-2006 = 100)"/>
    <n v="65.78"/>
    <x v="17"/>
  </r>
  <r>
    <x v="23"/>
    <s v="Food production index (2004-2006 = 100)"/>
    <m/>
    <x v="17"/>
  </r>
  <r>
    <x v="24"/>
    <s v="Food production index (2004-2006 = 100)"/>
    <n v="45.88"/>
    <x v="17"/>
  </r>
  <r>
    <x v="25"/>
    <s v="Food production index (2004-2006 = 100)"/>
    <n v="60.34"/>
    <x v="17"/>
  </r>
  <r>
    <x v="26"/>
    <s v="Food production index (2004-2006 = 100)"/>
    <n v="57.36"/>
    <x v="17"/>
  </r>
  <r>
    <x v="27"/>
    <s v="Food production index (2004-2006 = 100)"/>
    <n v="79.33"/>
    <x v="17"/>
  </r>
  <r>
    <x v="0"/>
    <s v="Food production index (2004-2006 = 100)"/>
    <n v="78.66"/>
    <x v="18"/>
  </r>
  <r>
    <x v="1"/>
    <s v="Food production index (2004-2006 = 100)"/>
    <n v="43.61"/>
    <x v="18"/>
  </r>
  <r>
    <x v="2"/>
    <s v="Food production index (2004-2006 = 100)"/>
    <n v="40.869999999999997"/>
    <x v="18"/>
  </r>
  <r>
    <x v="3"/>
    <s v="Food production index (2004-2006 = 100)"/>
    <n v="58.82"/>
    <x v="18"/>
  </r>
  <r>
    <x v="4"/>
    <s v="Food production index (2004-2006 = 100)"/>
    <n v="27.69"/>
    <x v="18"/>
  </r>
  <r>
    <x v="5"/>
    <s v="Food production index (2004-2006 = 100)"/>
    <m/>
    <x v="18"/>
  </r>
  <r>
    <x v="6"/>
    <s v="Food production index (2004-2006 = 100)"/>
    <n v="46.89"/>
    <x v="18"/>
  </r>
  <r>
    <x v="7"/>
    <s v="Food production index (2004-2006 = 100)"/>
    <n v="94.08"/>
    <x v="18"/>
  </r>
  <r>
    <x v="8"/>
    <s v="Food production index (2004-2006 = 100)"/>
    <n v="42.21"/>
    <x v="18"/>
  </r>
  <r>
    <x v="9"/>
    <s v="Food production index (2004-2006 = 100)"/>
    <m/>
    <x v="18"/>
  </r>
  <r>
    <x v="10"/>
    <s v="Food production index (2004-2006 = 100)"/>
    <n v="80.88"/>
    <x v="18"/>
  </r>
  <r>
    <x v="11"/>
    <s v="Food production index (2004-2006 = 100)"/>
    <n v="69.73"/>
    <x v="18"/>
  </r>
  <r>
    <x v="12"/>
    <s v="Food production index (2004-2006 = 100)"/>
    <n v="44.18"/>
    <x v="18"/>
  </r>
  <r>
    <x v="13"/>
    <s v="Food production index (2004-2006 = 100)"/>
    <n v="35.380000000000003"/>
    <x v="18"/>
  </r>
  <r>
    <x v="14"/>
    <s v="Food production index (2004-2006 = 100)"/>
    <m/>
    <x v="18"/>
  </r>
  <r>
    <x v="15"/>
    <s v="Food production index (2004-2006 = 100)"/>
    <n v="55.47"/>
    <x v="18"/>
  </r>
  <r>
    <x v="16"/>
    <s v="Food production index (2004-2006 = 100)"/>
    <n v="33.31"/>
    <x v="18"/>
  </r>
  <r>
    <x v="17"/>
    <s v="Food production index (2004-2006 = 100)"/>
    <n v="38.369999999999997"/>
    <x v="18"/>
  </r>
  <r>
    <x v="18"/>
    <s v="Food production index (2004-2006 = 100)"/>
    <n v="67.78"/>
    <x v="18"/>
  </r>
  <r>
    <x v="19"/>
    <s v="Food production index (2004-2006 = 100)"/>
    <n v="40.47"/>
    <x v="18"/>
  </r>
  <r>
    <x v="20"/>
    <s v="Food production index (2004-2006 = 100)"/>
    <n v="49.27"/>
    <x v="18"/>
  </r>
  <r>
    <x v="21"/>
    <s v="Food production index (2004-2006 = 100)"/>
    <n v="63.57"/>
    <x v="18"/>
  </r>
  <r>
    <x v="22"/>
    <s v="Food production index (2004-2006 = 100)"/>
    <n v="69.75"/>
    <x v="18"/>
  </r>
  <r>
    <x v="23"/>
    <s v="Food production index (2004-2006 = 100)"/>
    <m/>
    <x v="18"/>
  </r>
  <r>
    <x v="24"/>
    <s v="Food production index (2004-2006 = 100)"/>
    <n v="46.64"/>
    <x v="18"/>
  </r>
  <r>
    <x v="25"/>
    <s v="Food production index (2004-2006 = 100)"/>
    <n v="61.27"/>
    <x v="18"/>
  </r>
  <r>
    <x v="26"/>
    <s v="Food production index (2004-2006 = 100)"/>
    <n v="53.35"/>
    <x v="18"/>
  </r>
  <r>
    <x v="27"/>
    <s v="Food production index (2004-2006 = 100)"/>
    <n v="78.61"/>
    <x v="18"/>
  </r>
  <r>
    <x v="0"/>
    <s v="Food production index (2004-2006 = 100)"/>
    <n v="79.209999999999994"/>
    <x v="19"/>
  </r>
  <r>
    <x v="1"/>
    <s v="Food production index (2004-2006 = 100)"/>
    <n v="44.77"/>
    <x v="19"/>
  </r>
  <r>
    <x v="2"/>
    <s v="Food production index (2004-2006 = 100)"/>
    <n v="41.2"/>
    <x v="19"/>
  </r>
  <r>
    <x v="3"/>
    <s v="Food production index (2004-2006 = 100)"/>
    <n v="58.73"/>
    <x v="19"/>
  </r>
  <r>
    <x v="4"/>
    <s v="Food production index (2004-2006 = 100)"/>
    <n v="36.36"/>
    <x v="19"/>
  </r>
  <r>
    <x v="5"/>
    <s v="Food production index (2004-2006 = 100)"/>
    <m/>
    <x v="19"/>
  </r>
  <r>
    <x v="6"/>
    <s v="Food production index (2004-2006 = 100)"/>
    <n v="48.26"/>
    <x v="19"/>
  </r>
  <r>
    <x v="7"/>
    <s v="Food production index (2004-2006 = 100)"/>
    <n v="96.44"/>
    <x v="19"/>
  </r>
  <r>
    <x v="8"/>
    <s v="Food production index (2004-2006 = 100)"/>
    <n v="45.19"/>
    <x v="19"/>
  </r>
  <r>
    <x v="9"/>
    <s v="Food production index (2004-2006 = 100)"/>
    <m/>
    <x v="19"/>
  </r>
  <r>
    <x v="10"/>
    <s v="Food production index (2004-2006 = 100)"/>
    <n v="81.8"/>
    <x v="19"/>
  </r>
  <r>
    <x v="11"/>
    <s v="Food production index (2004-2006 = 100)"/>
    <n v="65.78"/>
    <x v="19"/>
  </r>
  <r>
    <x v="12"/>
    <s v="Food production index (2004-2006 = 100)"/>
    <n v="43.33"/>
    <x v="19"/>
  </r>
  <r>
    <x v="13"/>
    <s v="Food production index (2004-2006 = 100)"/>
    <n v="35.97"/>
    <x v="19"/>
  </r>
  <r>
    <x v="14"/>
    <s v="Food production index (2004-2006 = 100)"/>
    <m/>
    <x v="19"/>
  </r>
  <r>
    <x v="15"/>
    <s v="Food production index (2004-2006 = 100)"/>
    <n v="56.2"/>
    <x v="19"/>
  </r>
  <r>
    <x v="16"/>
    <s v="Food production index (2004-2006 = 100)"/>
    <n v="33.76"/>
    <x v="19"/>
  </r>
  <r>
    <x v="17"/>
    <s v="Food production index (2004-2006 = 100)"/>
    <n v="37.06"/>
    <x v="19"/>
  </r>
  <r>
    <x v="18"/>
    <s v="Food production index (2004-2006 = 100)"/>
    <n v="72.650000000000006"/>
    <x v="19"/>
  </r>
  <r>
    <x v="19"/>
    <s v="Food production index (2004-2006 = 100)"/>
    <n v="40.53"/>
    <x v="19"/>
  </r>
  <r>
    <x v="20"/>
    <s v="Food production index (2004-2006 = 100)"/>
    <n v="52.94"/>
    <x v="19"/>
  </r>
  <r>
    <x v="21"/>
    <s v="Food production index (2004-2006 = 100)"/>
    <n v="69.52"/>
    <x v="19"/>
  </r>
  <r>
    <x v="22"/>
    <s v="Food production index (2004-2006 = 100)"/>
    <n v="80.069999999999993"/>
    <x v="19"/>
  </r>
  <r>
    <x v="23"/>
    <s v="Food production index (2004-2006 = 100)"/>
    <m/>
    <x v="19"/>
  </r>
  <r>
    <x v="24"/>
    <s v="Food production index (2004-2006 = 100)"/>
    <n v="49.27"/>
    <x v="19"/>
  </r>
  <r>
    <x v="25"/>
    <s v="Food production index (2004-2006 = 100)"/>
    <n v="45.68"/>
    <x v="19"/>
  </r>
  <r>
    <x v="26"/>
    <s v="Food production index (2004-2006 = 100)"/>
    <n v="46.7"/>
    <x v="19"/>
  </r>
  <r>
    <x v="27"/>
    <s v="Food production index (2004-2006 = 100)"/>
    <n v="66.88"/>
    <x v="19"/>
  </r>
  <r>
    <x v="0"/>
    <s v="Food production index (2004-2006 = 100)"/>
    <n v="77.989999999999995"/>
    <x v="20"/>
  </r>
  <r>
    <x v="1"/>
    <s v="Food production index (2004-2006 = 100)"/>
    <n v="45.55"/>
    <x v="20"/>
  </r>
  <r>
    <x v="2"/>
    <s v="Food production index (2004-2006 = 100)"/>
    <n v="42.65"/>
    <x v="20"/>
  </r>
  <r>
    <x v="3"/>
    <s v="Food production index (2004-2006 = 100)"/>
    <n v="59.99"/>
    <x v="20"/>
  </r>
  <r>
    <x v="4"/>
    <s v="Food production index (2004-2006 = 100)"/>
    <n v="46.51"/>
    <x v="20"/>
  </r>
  <r>
    <x v="5"/>
    <s v="Food production index (2004-2006 = 100)"/>
    <m/>
    <x v="20"/>
  </r>
  <r>
    <x v="6"/>
    <s v="Food production index (2004-2006 = 100)"/>
    <n v="48.74"/>
    <x v="20"/>
  </r>
  <r>
    <x v="7"/>
    <s v="Food production index (2004-2006 = 100)"/>
    <n v="95.99"/>
    <x v="20"/>
  </r>
  <r>
    <x v="8"/>
    <s v="Food production index (2004-2006 = 100)"/>
    <n v="42.88"/>
    <x v="20"/>
  </r>
  <r>
    <x v="9"/>
    <s v="Food production index (2004-2006 = 100)"/>
    <m/>
    <x v="20"/>
  </r>
  <r>
    <x v="10"/>
    <s v="Food production index (2004-2006 = 100)"/>
    <n v="81.95"/>
    <x v="20"/>
  </r>
  <r>
    <x v="11"/>
    <s v="Food production index (2004-2006 = 100)"/>
    <n v="69.27"/>
    <x v="20"/>
  </r>
  <r>
    <x v="12"/>
    <s v="Food production index (2004-2006 = 100)"/>
    <n v="43.09"/>
    <x v="20"/>
  </r>
  <r>
    <x v="13"/>
    <s v="Food production index (2004-2006 = 100)"/>
    <n v="36.81"/>
    <x v="20"/>
  </r>
  <r>
    <x v="14"/>
    <s v="Food production index (2004-2006 = 100)"/>
    <m/>
    <x v="20"/>
  </r>
  <r>
    <x v="15"/>
    <s v="Food production index (2004-2006 = 100)"/>
    <n v="57.67"/>
    <x v="20"/>
  </r>
  <r>
    <x v="16"/>
    <s v="Food production index (2004-2006 = 100)"/>
    <n v="39.49"/>
    <x v="20"/>
  </r>
  <r>
    <x v="17"/>
    <s v="Food production index (2004-2006 = 100)"/>
    <n v="40.61"/>
    <x v="20"/>
  </r>
  <r>
    <x v="18"/>
    <s v="Food production index (2004-2006 = 100)"/>
    <n v="48.99"/>
    <x v="20"/>
  </r>
  <r>
    <x v="19"/>
    <s v="Food production index (2004-2006 = 100)"/>
    <n v="43.69"/>
    <x v="20"/>
  </r>
  <r>
    <x v="20"/>
    <s v="Food production index (2004-2006 = 100)"/>
    <n v="53.41"/>
    <x v="20"/>
  </r>
  <r>
    <x v="21"/>
    <s v="Food production index (2004-2006 = 100)"/>
    <n v="56.9"/>
    <x v="20"/>
  </r>
  <r>
    <x v="22"/>
    <s v="Food production index (2004-2006 = 100)"/>
    <n v="86.72"/>
    <x v="20"/>
  </r>
  <r>
    <x v="23"/>
    <s v="Food production index (2004-2006 = 100)"/>
    <m/>
    <x v="20"/>
  </r>
  <r>
    <x v="24"/>
    <s v="Food production index (2004-2006 = 100)"/>
    <n v="46.42"/>
    <x v="20"/>
  </r>
  <r>
    <x v="25"/>
    <s v="Food production index (2004-2006 = 100)"/>
    <n v="44.37"/>
    <x v="20"/>
  </r>
  <r>
    <x v="26"/>
    <s v="Food production index (2004-2006 = 100)"/>
    <n v="48.86"/>
    <x v="20"/>
  </r>
  <r>
    <x v="27"/>
    <s v="Food production index (2004-2006 = 100)"/>
    <n v="67.040000000000006"/>
    <x v="20"/>
  </r>
  <r>
    <x v="0"/>
    <s v="Food production index (2004-2006 = 100)"/>
    <n v="82.76"/>
    <x v="21"/>
  </r>
  <r>
    <x v="1"/>
    <s v="Food production index (2004-2006 = 100)"/>
    <n v="46.39"/>
    <x v="21"/>
  </r>
  <r>
    <x v="2"/>
    <s v="Food production index (2004-2006 = 100)"/>
    <n v="41.29"/>
    <x v="21"/>
  </r>
  <r>
    <x v="3"/>
    <s v="Food production index (2004-2006 = 100)"/>
    <n v="56.08"/>
    <x v="21"/>
  </r>
  <r>
    <x v="4"/>
    <s v="Food production index (2004-2006 = 100)"/>
    <n v="44.98"/>
    <x v="21"/>
  </r>
  <r>
    <x v="5"/>
    <s v="Food production index (2004-2006 = 100)"/>
    <m/>
    <x v="21"/>
  </r>
  <r>
    <x v="6"/>
    <s v="Food production index (2004-2006 = 100)"/>
    <n v="49.08"/>
    <x v="21"/>
  </r>
  <r>
    <x v="7"/>
    <s v="Food production index (2004-2006 = 100)"/>
    <n v="97.4"/>
    <x v="21"/>
  </r>
  <r>
    <x v="8"/>
    <s v="Food production index (2004-2006 = 100)"/>
    <n v="42.95"/>
    <x v="21"/>
  </r>
  <r>
    <x v="9"/>
    <s v="Food production index (2004-2006 = 100)"/>
    <m/>
    <x v="21"/>
  </r>
  <r>
    <x v="10"/>
    <s v="Food production index (2004-2006 = 100)"/>
    <n v="86.33"/>
    <x v="21"/>
  </r>
  <r>
    <x v="11"/>
    <s v="Food production index (2004-2006 = 100)"/>
    <n v="69.34"/>
    <x v="21"/>
  </r>
  <r>
    <x v="12"/>
    <s v="Food production index (2004-2006 = 100)"/>
    <n v="45.9"/>
    <x v="21"/>
  </r>
  <r>
    <x v="13"/>
    <s v="Food production index (2004-2006 = 100)"/>
    <n v="40.840000000000003"/>
    <x v="21"/>
  </r>
  <r>
    <x v="14"/>
    <s v="Food production index (2004-2006 = 100)"/>
    <m/>
    <x v="21"/>
  </r>
  <r>
    <x v="15"/>
    <s v="Food production index (2004-2006 = 100)"/>
    <n v="58.07"/>
    <x v="21"/>
  </r>
  <r>
    <x v="16"/>
    <s v="Food production index (2004-2006 = 100)"/>
    <n v="42.82"/>
    <x v="21"/>
  </r>
  <r>
    <x v="17"/>
    <s v="Food production index (2004-2006 = 100)"/>
    <n v="42.74"/>
    <x v="21"/>
  </r>
  <r>
    <x v="18"/>
    <s v="Food production index (2004-2006 = 100)"/>
    <n v="47.79"/>
    <x v="21"/>
  </r>
  <r>
    <x v="19"/>
    <s v="Food production index (2004-2006 = 100)"/>
    <n v="43.02"/>
    <x v="21"/>
  </r>
  <r>
    <x v="20"/>
    <s v="Food production index (2004-2006 = 100)"/>
    <n v="58.37"/>
    <x v="21"/>
  </r>
  <r>
    <x v="21"/>
    <s v="Food production index (2004-2006 = 100)"/>
    <n v="60.52"/>
    <x v="21"/>
  </r>
  <r>
    <x v="22"/>
    <s v="Food production index (2004-2006 = 100)"/>
    <n v="83.64"/>
    <x v="21"/>
  </r>
  <r>
    <x v="23"/>
    <s v="Food production index (2004-2006 = 100)"/>
    <m/>
    <x v="21"/>
  </r>
  <r>
    <x v="24"/>
    <s v="Food production index (2004-2006 = 100)"/>
    <n v="48.76"/>
    <x v="21"/>
  </r>
  <r>
    <x v="25"/>
    <s v="Food production index (2004-2006 = 100)"/>
    <n v="49.17"/>
    <x v="21"/>
  </r>
  <r>
    <x v="26"/>
    <s v="Food production index (2004-2006 = 100)"/>
    <n v="49.61"/>
    <x v="21"/>
  </r>
  <r>
    <x v="27"/>
    <s v="Food production index (2004-2006 = 100)"/>
    <n v="82.04"/>
    <x v="21"/>
  </r>
  <r>
    <x v="0"/>
    <s v="Food production index (2004-2006 = 100)"/>
    <n v="81.5"/>
    <x v="22"/>
  </r>
  <r>
    <x v="1"/>
    <s v="Food production index (2004-2006 = 100)"/>
    <n v="48"/>
    <x v="22"/>
  </r>
  <r>
    <x v="2"/>
    <s v="Food production index (2004-2006 = 100)"/>
    <n v="42.12"/>
    <x v="22"/>
  </r>
  <r>
    <x v="3"/>
    <s v="Food production index (2004-2006 = 100)"/>
    <n v="60.58"/>
    <x v="22"/>
  </r>
  <r>
    <x v="4"/>
    <s v="Food production index (2004-2006 = 100)"/>
    <n v="45.29"/>
    <x v="22"/>
  </r>
  <r>
    <x v="5"/>
    <s v="Food production index (2004-2006 = 100)"/>
    <m/>
    <x v="22"/>
  </r>
  <r>
    <x v="6"/>
    <s v="Food production index (2004-2006 = 100)"/>
    <n v="49.63"/>
    <x v="22"/>
  </r>
  <r>
    <x v="7"/>
    <s v="Food production index (2004-2006 = 100)"/>
    <n v="99.52"/>
    <x v="22"/>
  </r>
  <r>
    <x v="8"/>
    <s v="Food production index (2004-2006 = 100)"/>
    <n v="48.5"/>
    <x v="22"/>
  </r>
  <r>
    <x v="9"/>
    <s v="Food production index (2004-2006 = 100)"/>
    <m/>
    <x v="22"/>
  </r>
  <r>
    <x v="10"/>
    <s v="Food production index (2004-2006 = 100)"/>
    <n v="89.09"/>
    <x v="22"/>
  </r>
  <r>
    <x v="11"/>
    <s v="Food production index (2004-2006 = 100)"/>
    <n v="70.13"/>
    <x v="22"/>
  </r>
  <r>
    <x v="12"/>
    <s v="Food production index (2004-2006 = 100)"/>
    <n v="48.27"/>
    <x v="22"/>
  </r>
  <r>
    <x v="13"/>
    <s v="Food production index (2004-2006 = 100)"/>
    <n v="42.33"/>
    <x v="22"/>
  </r>
  <r>
    <x v="14"/>
    <s v="Food production index (2004-2006 = 100)"/>
    <m/>
    <x v="22"/>
  </r>
  <r>
    <x v="15"/>
    <s v="Food production index (2004-2006 = 100)"/>
    <n v="56.36"/>
    <x v="22"/>
  </r>
  <r>
    <x v="16"/>
    <s v="Food production index (2004-2006 = 100)"/>
    <n v="45.12"/>
    <x v="22"/>
  </r>
  <r>
    <x v="17"/>
    <s v="Food production index (2004-2006 = 100)"/>
    <n v="39.71"/>
    <x v="22"/>
  </r>
  <r>
    <x v="18"/>
    <s v="Food production index (2004-2006 = 100)"/>
    <n v="50.34"/>
    <x v="22"/>
  </r>
  <r>
    <x v="19"/>
    <s v="Food production index (2004-2006 = 100)"/>
    <n v="43.04"/>
    <x v="22"/>
  </r>
  <r>
    <x v="20"/>
    <s v="Food production index (2004-2006 = 100)"/>
    <n v="61.28"/>
    <x v="22"/>
  </r>
  <r>
    <x v="21"/>
    <s v="Food production index (2004-2006 = 100)"/>
    <n v="58.16"/>
    <x v="22"/>
  </r>
  <r>
    <x v="22"/>
    <s v="Food production index (2004-2006 = 100)"/>
    <n v="79.41"/>
    <x v="22"/>
  </r>
  <r>
    <x v="23"/>
    <s v="Food production index (2004-2006 = 100)"/>
    <m/>
    <x v="22"/>
  </r>
  <r>
    <x v="24"/>
    <s v="Food production index (2004-2006 = 100)"/>
    <n v="51.27"/>
    <x v="22"/>
  </r>
  <r>
    <x v="25"/>
    <s v="Food production index (2004-2006 = 100)"/>
    <n v="52.3"/>
    <x v="22"/>
  </r>
  <r>
    <x v="26"/>
    <s v="Food production index (2004-2006 = 100)"/>
    <n v="47.8"/>
    <x v="22"/>
  </r>
  <r>
    <x v="27"/>
    <s v="Food production index (2004-2006 = 100)"/>
    <n v="74.33"/>
    <x v="22"/>
  </r>
  <r>
    <x v="0"/>
    <s v="Food production index (2004-2006 = 100)"/>
    <n v="80.11"/>
    <x v="23"/>
  </r>
  <r>
    <x v="1"/>
    <s v="Food production index (2004-2006 = 100)"/>
    <n v="49.34"/>
    <x v="23"/>
  </r>
  <r>
    <x v="2"/>
    <s v="Food production index (2004-2006 = 100)"/>
    <n v="43.51"/>
    <x v="23"/>
  </r>
  <r>
    <x v="3"/>
    <s v="Food production index (2004-2006 = 100)"/>
    <n v="61.86"/>
    <x v="23"/>
  </r>
  <r>
    <x v="4"/>
    <s v="Food production index (2004-2006 = 100)"/>
    <n v="52.88"/>
    <x v="23"/>
  </r>
  <r>
    <x v="5"/>
    <s v="Food production index (2004-2006 = 100)"/>
    <m/>
    <x v="23"/>
  </r>
  <r>
    <x v="6"/>
    <s v="Food production index (2004-2006 = 100)"/>
    <n v="50.06"/>
    <x v="23"/>
  </r>
  <r>
    <x v="7"/>
    <s v="Food production index (2004-2006 = 100)"/>
    <n v="102"/>
    <x v="23"/>
  </r>
  <r>
    <x v="8"/>
    <s v="Food production index (2004-2006 = 100)"/>
    <n v="49.88"/>
    <x v="23"/>
  </r>
  <r>
    <x v="9"/>
    <s v="Food production index (2004-2006 = 100)"/>
    <m/>
    <x v="23"/>
  </r>
  <r>
    <x v="10"/>
    <s v="Food production index (2004-2006 = 100)"/>
    <n v="90.07"/>
    <x v="23"/>
  </r>
  <r>
    <x v="11"/>
    <s v="Food production index (2004-2006 = 100)"/>
    <n v="73.83"/>
    <x v="23"/>
  </r>
  <r>
    <x v="12"/>
    <s v="Food production index (2004-2006 = 100)"/>
    <n v="44.67"/>
    <x v="23"/>
  </r>
  <r>
    <x v="13"/>
    <s v="Food production index (2004-2006 = 100)"/>
    <n v="41.66"/>
    <x v="23"/>
  </r>
  <r>
    <x v="14"/>
    <s v="Food production index (2004-2006 = 100)"/>
    <m/>
    <x v="23"/>
  </r>
  <r>
    <x v="15"/>
    <s v="Food production index (2004-2006 = 100)"/>
    <n v="53.88"/>
    <x v="23"/>
  </r>
  <r>
    <x v="16"/>
    <s v="Food production index (2004-2006 = 100)"/>
    <n v="46"/>
    <x v="23"/>
  </r>
  <r>
    <x v="17"/>
    <s v="Food production index (2004-2006 = 100)"/>
    <n v="48.98"/>
    <x v="23"/>
  </r>
  <r>
    <x v="18"/>
    <s v="Food production index (2004-2006 = 100)"/>
    <n v="49.65"/>
    <x v="23"/>
  </r>
  <r>
    <x v="19"/>
    <s v="Food production index (2004-2006 = 100)"/>
    <n v="42.92"/>
    <x v="23"/>
  </r>
  <r>
    <x v="20"/>
    <s v="Food production index (2004-2006 = 100)"/>
    <n v="60.98"/>
    <x v="23"/>
  </r>
  <r>
    <x v="21"/>
    <s v="Food production index (2004-2006 = 100)"/>
    <n v="58.2"/>
    <x v="23"/>
  </r>
  <r>
    <x v="22"/>
    <s v="Food production index (2004-2006 = 100)"/>
    <n v="90.76"/>
    <x v="23"/>
  </r>
  <r>
    <x v="23"/>
    <s v="Food production index (2004-2006 = 100)"/>
    <m/>
    <x v="23"/>
  </r>
  <r>
    <x v="24"/>
    <s v="Food production index (2004-2006 = 100)"/>
    <n v="54.1"/>
    <x v="23"/>
  </r>
  <r>
    <x v="25"/>
    <s v="Food production index (2004-2006 = 100)"/>
    <n v="55.46"/>
    <x v="23"/>
  </r>
  <r>
    <x v="26"/>
    <s v="Food production index (2004-2006 = 100)"/>
    <n v="50.12"/>
    <x v="23"/>
  </r>
  <r>
    <x v="27"/>
    <s v="Food production index (2004-2006 = 100)"/>
    <n v="61.61"/>
    <x v="23"/>
  </r>
  <r>
    <x v="0"/>
    <s v="Food production index (2004-2006 = 100)"/>
    <n v="79.8"/>
    <x v="24"/>
  </r>
  <r>
    <x v="1"/>
    <s v="Food production index (2004-2006 = 100)"/>
    <n v="48.39"/>
    <x v="24"/>
  </r>
  <r>
    <x v="2"/>
    <s v="Food production index (2004-2006 = 100)"/>
    <n v="36.619999999999997"/>
    <x v="24"/>
  </r>
  <r>
    <x v="3"/>
    <s v="Food production index (2004-2006 = 100)"/>
    <n v="58.7"/>
    <x v="24"/>
  </r>
  <r>
    <x v="4"/>
    <s v="Food production index (2004-2006 = 100)"/>
    <n v="58.06"/>
    <x v="24"/>
  </r>
  <r>
    <x v="5"/>
    <s v="Food production index (2004-2006 = 100)"/>
    <m/>
    <x v="24"/>
  </r>
  <r>
    <x v="6"/>
    <s v="Food production index (2004-2006 = 100)"/>
    <n v="52.32"/>
    <x v="24"/>
  </r>
  <r>
    <x v="7"/>
    <s v="Food production index (2004-2006 = 100)"/>
    <n v="103"/>
    <x v="24"/>
  </r>
  <r>
    <x v="8"/>
    <s v="Food production index (2004-2006 = 100)"/>
    <n v="44.93"/>
    <x v="24"/>
  </r>
  <r>
    <x v="9"/>
    <s v="Food production index (2004-2006 = 100)"/>
    <m/>
    <x v="24"/>
  </r>
  <r>
    <x v="10"/>
    <s v="Food production index (2004-2006 = 100)"/>
    <n v="90.44"/>
    <x v="24"/>
  </r>
  <r>
    <x v="11"/>
    <s v="Food production index (2004-2006 = 100)"/>
    <n v="76.23"/>
    <x v="24"/>
  </r>
  <r>
    <x v="12"/>
    <s v="Food production index (2004-2006 = 100)"/>
    <n v="45.9"/>
    <x v="24"/>
  </r>
  <r>
    <x v="13"/>
    <s v="Food production index (2004-2006 = 100)"/>
    <n v="37.26"/>
    <x v="24"/>
  </r>
  <r>
    <x v="14"/>
    <s v="Food production index (2004-2006 = 100)"/>
    <m/>
    <x v="24"/>
  </r>
  <r>
    <x v="15"/>
    <s v="Food production index (2004-2006 = 100)"/>
    <n v="52.81"/>
    <x v="24"/>
  </r>
  <r>
    <x v="16"/>
    <s v="Food production index (2004-2006 = 100)"/>
    <n v="47.3"/>
    <x v="24"/>
  </r>
  <r>
    <x v="17"/>
    <s v="Food production index (2004-2006 = 100)"/>
    <n v="49.29"/>
    <x v="24"/>
  </r>
  <r>
    <x v="18"/>
    <s v="Food production index (2004-2006 = 100)"/>
    <n v="51.51"/>
    <x v="24"/>
  </r>
  <r>
    <x v="19"/>
    <s v="Food production index (2004-2006 = 100)"/>
    <n v="32.97"/>
    <x v="24"/>
  </r>
  <r>
    <x v="20"/>
    <s v="Food production index (2004-2006 = 100)"/>
    <n v="55.57"/>
    <x v="24"/>
  </r>
  <r>
    <x v="21"/>
    <s v="Food production index (2004-2006 = 100)"/>
    <n v="51.56"/>
    <x v="24"/>
  </r>
  <r>
    <x v="22"/>
    <s v="Food production index (2004-2006 = 100)"/>
    <n v="84.74"/>
    <x v="24"/>
  </r>
  <r>
    <x v="23"/>
    <s v="Food production index (2004-2006 = 100)"/>
    <m/>
    <x v="24"/>
  </r>
  <r>
    <x v="24"/>
    <s v="Food production index (2004-2006 = 100)"/>
    <n v="55.4"/>
    <x v="24"/>
  </r>
  <r>
    <x v="25"/>
    <s v="Food production index (2004-2006 = 100)"/>
    <n v="52.04"/>
    <x v="24"/>
  </r>
  <r>
    <x v="26"/>
    <s v="Food production index (2004-2006 = 100)"/>
    <n v="49.6"/>
    <x v="24"/>
  </r>
  <r>
    <x v="27"/>
    <s v="Food production index (2004-2006 = 100)"/>
    <n v="67.569999999999993"/>
    <x v="24"/>
  </r>
  <r>
    <x v="0"/>
    <s v="Food production index (2004-2006 = 100)"/>
    <n v="90.46"/>
    <x v="25"/>
  </r>
  <r>
    <x v="1"/>
    <s v="Food production index (2004-2006 = 100)"/>
    <n v="52.5"/>
    <x v="25"/>
  </r>
  <r>
    <x v="2"/>
    <s v="Food production index (2004-2006 = 100)"/>
    <n v="43.9"/>
    <x v="25"/>
  </r>
  <r>
    <x v="3"/>
    <s v="Food production index (2004-2006 = 100)"/>
    <n v="61.26"/>
    <x v="25"/>
  </r>
  <r>
    <x v="4"/>
    <s v="Food production index (2004-2006 = 100)"/>
    <n v="68.239999999999995"/>
    <x v="25"/>
  </r>
  <r>
    <x v="5"/>
    <s v="Food production index (2004-2006 = 100)"/>
    <m/>
    <x v="25"/>
  </r>
  <r>
    <x v="6"/>
    <s v="Food production index (2004-2006 = 100)"/>
    <n v="52.65"/>
    <x v="25"/>
  </r>
  <r>
    <x v="7"/>
    <s v="Food production index (2004-2006 = 100)"/>
    <n v="103.79"/>
    <x v="25"/>
  </r>
  <r>
    <x v="8"/>
    <s v="Food production index (2004-2006 = 100)"/>
    <n v="51.24"/>
    <x v="25"/>
  </r>
  <r>
    <x v="9"/>
    <s v="Food production index (2004-2006 = 100)"/>
    <m/>
    <x v="25"/>
  </r>
  <r>
    <x v="10"/>
    <s v="Food production index (2004-2006 = 100)"/>
    <n v="92.69"/>
    <x v="25"/>
  </r>
  <r>
    <x v="11"/>
    <s v="Food production index (2004-2006 = 100)"/>
    <n v="76.47"/>
    <x v="25"/>
  </r>
  <r>
    <x v="12"/>
    <s v="Food production index (2004-2006 = 100)"/>
    <n v="45.44"/>
    <x v="25"/>
  </r>
  <r>
    <x v="13"/>
    <s v="Food production index (2004-2006 = 100)"/>
    <n v="39.53"/>
    <x v="25"/>
  </r>
  <r>
    <x v="14"/>
    <s v="Food production index (2004-2006 = 100)"/>
    <m/>
    <x v="25"/>
  </r>
  <r>
    <x v="15"/>
    <s v="Food production index (2004-2006 = 100)"/>
    <n v="52.97"/>
    <x v="25"/>
  </r>
  <r>
    <x v="16"/>
    <s v="Food production index (2004-2006 = 100)"/>
    <n v="48.47"/>
    <x v="25"/>
  </r>
  <r>
    <x v="17"/>
    <s v="Food production index (2004-2006 = 100)"/>
    <n v="50.69"/>
    <x v="25"/>
  </r>
  <r>
    <x v="18"/>
    <s v="Food production index (2004-2006 = 100)"/>
    <n v="47.67"/>
    <x v="25"/>
  </r>
  <r>
    <x v="19"/>
    <s v="Food production index (2004-2006 = 100)"/>
    <n v="33.78"/>
    <x v="25"/>
  </r>
  <r>
    <x v="20"/>
    <s v="Food production index (2004-2006 = 100)"/>
    <n v="66.260000000000005"/>
    <x v="25"/>
  </r>
  <r>
    <x v="21"/>
    <s v="Food production index (2004-2006 = 100)"/>
    <n v="54.21"/>
    <x v="25"/>
  </r>
  <r>
    <x v="22"/>
    <s v="Food production index (2004-2006 = 100)"/>
    <n v="88.79"/>
    <x v="25"/>
  </r>
  <r>
    <x v="23"/>
    <s v="Food production index (2004-2006 = 100)"/>
    <m/>
    <x v="25"/>
  </r>
  <r>
    <x v="24"/>
    <s v="Food production index (2004-2006 = 100)"/>
    <n v="58.29"/>
    <x v="25"/>
  </r>
  <r>
    <x v="25"/>
    <s v="Food production index (2004-2006 = 100)"/>
    <n v="53.17"/>
    <x v="25"/>
  </r>
  <r>
    <x v="26"/>
    <s v="Food production index (2004-2006 = 100)"/>
    <n v="55.08"/>
    <x v="25"/>
  </r>
  <r>
    <x v="27"/>
    <s v="Food production index (2004-2006 = 100)"/>
    <n v="91.27"/>
    <x v="25"/>
  </r>
  <r>
    <x v="0"/>
    <s v="Food production index (2004-2006 = 100)"/>
    <n v="95.34"/>
    <x v="26"/>
  </r>
  <r>
    <x v="1"/>
    <s v="Food production index (2004-2006 = 100)"/>
    <n v="55.94"/>
    <x v="26"/>
  </r>
  <r>
    <x v="2"/>
    <s v="Food production index (2004-2006 = 100)"/>
    <n v="44.86"/>
    <x v="26"/>
  </r>
  <r>
    <x v="3"/>
    <s v="Food production index (2004-2006 = 100)"/>
    <n v="63.95"/>
    <x v="26"/>
  </r>
  <r>
    <x v="4"/>
    <s v="Food production index (2004-2006 = 100)"/>
    <n v="73.599999999999994"/>
    <x v="26"/>
  </r>
  <r>
    <x v="5"/>
    <s v="Food production index (2004-2006 = 100)"/>
    <m/>
    <x v="26"/>
  </r>
  <r>
    <x v="6"/>
    <s v="Food production index (2004-2006 = 100)"/>
    <n v="52.75"/>
    <x v="26"/>
  </r>
  <r>
    <x v="7"/>
    <s v="Food production index (2004-2006 = 100)"/>
    <n v="102.6"/>
    <x v="26"/>
  </r>
  <r>
    <x v="8"/>
    <s v="Food production index (2004-2006 = 100)"/>
    <n v="56.92"/>
    <x v="26"/>
  </r>
  <r>
    <x v="9"/>
    <s v="Food production index (2004-2006 = 100)"/>
    <m/>
    <x v="26"/>
  </r>
  <r>
    <x v="10"/>
    <s v="Food production index (2004-2006 = 100)"/>
    <n v="92.66"/>
    <x v="26"/>
  </r>
  <r>
    <x v="11"/>
    <s v="Food production index (2004-2006 = 100)"/>
    <n v="78.02"/>
    <x v="26"/>
  </r>
  <r>
    <x v="12"/>
    <s v="Food production index (2004-2006 = 100)"/>
    <n v="48.04"/>
    <x v="26"/>
  </r>
  <r>
    <x v="13"/>
    <s v="Food production index (2004-2006 = 100)"/>
    <n v="42.55"/>
    <x v="26"/>
  </r>
  <r>
    <x v="14"/>
    <s v="Food production index (2004-2006 = 100)"/>
    <m/>
    <x v="26"/>
  </r>
  <r>
    <x v="15"/>
    <s v="Food production index (2004-2006 = 100)"/>
    <n v="54.03"/>
    <x v="26"/>
  </r>
  <r>
    <x v="16"/>
    <s v="Food production index (2004-2006 = 100)"/>
    <n v="48.64"/>
    <x v="26"/>
  </r>
  <r>
    <x v="17"/>
    <s v="Food production index (2004-2006 = 100)"/>
    <n v="48.87"/>
    <x v="26"/>
  </r>
  <r>
    <x v="18"/>
    <s v="Food production index (2004-2006 = 100)"/>
    <n v="46"/>
    <x v="26"/>
  </r>
  <r>
    <x v="19"/>
    <s v="Food production index (2004-2006 = 100)"/>
    <n v="37.56"/>
    <x v="26"/>
  </r>
  <r>
    <x v="20"/>
    <s v="Food production index (2004-2006 = 100)"/>
    <n v="60.69"/>
    <x v="26"/>
  </r>
  <r>
    <x v="21"/>
    <s v="Food production index (2004-2006 = 100)"/>
    <n v="56.96"/>
    <x v="26"/>
  </r>
  <r>
    <x v="22"/>
    <s v="Food production index (2004-2006 = 100)"/>
    <n v="88.36"/>
    <x v="26"/>
  </r>
  <r>
    <x v="23"/>
    <s v="Food production index (2004-2006 = 100)"/>
    <m/>
    <x v="26"/>
  </r>
  <r>
    <x v="24"/>
    <s v="Food production index (2004-2006 = 100)"/>
    <n v="59.56"/>
    <x v="26"/>
  </r>
  <r>
    <x v="25"/>
    <s v="Food production index (2004-2006 = 100)"/>
    <n v="52.57"/>
    <x v="26"/>
  </r>
  <r>
    <x v="26"/>
    <s v="Food production index (2004-2006 = 100)"/>
    <n v="57.43"/>
    <x v="26"/>
  </r>
  <r>
    <x v="27"/>
    <s v="Food production index (2004-2006 = 100)"/>
    <n v="87.47"/>
    <x v="26"/>
  </r>
  <r>
    <x v="0"/>
    <s v="Food production index (2004-2006 = 100)"/>
    <n v="97.86"/>
    <x v="27"/>
  </r>
  <r>
    <x v="1"/>
    <s v="Food production index (2004-2006 = 100)"/>
    <n v="50.79"/>
    <x v="27"/>
  </r>
  <r>
    <x v="2"/>
    <s v="Food production index (2004-2006 = 100)"/>
    <n v="44.92"/>
    <x v="27"/>
  </r>
  <r>
    <x v="3"/>
    <s v="Food production index (2004-2006 = 100)"/>
    <n v="69.12"/>
    <x v="27"/>
  </r>
  <r>
    <x v="4"/>
    <s v="Food production index (2004-2006 = 100)"/>
    <n v="75.739999999999995"/>
    <x v="27"/>
  </r>
  <r>
    <x v="5"/>
    <s v="Food production index (2004-2006 = 100)"/>
    <m/>
    <x v="27"/>
  </r>
  <r>
    <x v="6"/>
    <s v="Food production index (2004-2006 = 100)"/>
    <n v="53.64"/>
    <x v="27"/>
  </r>
  <r>
    <x v="7"/>
    <s v="Food production index (2004-2006 = 100)"/>
    <n v="101.47"/>
    <x v="27"/>
  </r>
  <r>
    <x v="8"/>
    <s v="Food production index (2004-2006 = 100)"/>
    <n v="57.04"/>
    <x v="27"/>
  </r>
  <r>
    <x v="9"/>
    <s v="Food production index (2004-2006 = 100)"/>
    <m/>
    <x v="27"/>
  </r>
  <r>
    <x v="10"/>
    <s v="Food production index (2004-2006 = 100)"/>
    <n v="95.48"/>
    <x v="27"/>
  </r>
  <r>
    <x v="11"/>
    <s v="Food production index (2004-2006 = 100)"/>
    <n v="77.540000000000006"/>
    <x v="27"/>
  </r>
  <r>
    <x v="12"/>
    <s v="Food production index (2004-2006 = 100)"/>
    <n v="47.42"/>
    <x v="27"/>
  </r>
  <r>
    <x v="13"/>
    <s v="Food production index (2004-2006 = 100)"/>
    <n v="41.01"/>
    <x v="27"/>
  </r>
  <r>
    <x v="14"/>
    <s v="Food production index (2004-2006 = 100)"/>
    <m/>
    <x v="27"/>
  </r>
  <r>
    <x v="15"/>
    <s v="Food production index (2004-2006 = 100)"/>
    <n v="52.99"/>
    <x v="27"/>
  </r>
  <r>
    <x v="16"/>
    <s v="Food production index (2004-2006 = 100)"/>
    <n v="47.52"/>
    <x v="27"/>
  </r>
  <r>
    <x v="17"/>
    <s v="Food production index (2004-2006 = 100)"/>
    <n v="54.64"/>
    <x v="27"/>
  </r>
  <r>
    <x v="18"/>
    <s v="Food production index (2004-2006 = 100)"/>
    <n v="42.45"/>
    <x v="27"/>
  </r>
  <r>
    <x v="19"/>
    <s v="Food production index (2004-2006 = 100)"/>
    <n v="34.520000000000003"/>
    <x v="27"/>
  </r>
  <r>
    <x v="20"/>
    <s v="Food production index (2004-2006 = 100)"/>
    <n v="60.54"/>
    <x v="27"/>
  </r>
  <r>
    <x v="21"/>
    <s v="Food production index (2004-2006 = 100)"/>
    <n v="56.12"/>
    <x v="27"/>
  </r>
  <r>
    <x v="22"/>
    <s v="Food production index (2004-2006 = 100)"/>
    <n v="76.430000000000007"/>
    <x v="27"/>
  </r>
  <r>
    <x v="23"/>
    <s v="Food production index (2004-2006 = 100)"/>
    <m/>
    <x v="27"/>
  </r>
  <r>
    <x v="24"/>
    <s v="Food production index (2004-2006 = 100)"/>
    <n v="59.31"/>
    <x v="27"/>
  </r>
  <r>
    <x v="25"/>
    <s v="Food production index (2004-2006 = 100)"/>
    <n v="55.33"/>
    <x v="27"/>
  </r>
  <r>
    <x v="26"/>
    <s v="Food production index (2004-2006 = 100)"/>
    <n v="57.54"/>
    <x v="27"/>
  </r>
  <r>
    <x v="27"/>
    <s v="Food production index (2004-2006 = 100)"/>
    <n v="73.37"/>
    <x v="27"/>
  </r>
  <r>
    <x v="0"/>
    <s v="Food production index (2004-2006 = 100)"/>
    <n v="100.9"/>
    <x v="28"/>
  </r>
  <r>
    <x v="1"/>
    <s v="Food production index (2004-2006 = 100)"/>
    <n v="52.47"/>
    <x v="28"/>
  </r>
  <r>
    <x v="2"/>
    <s v="Food production index (2004-2006 = 100)"/>
    <n v="50.79"/>
    <x v="28"/>
  </r>
  <r>
    <x v="3"/>
    <s v="Food production index (2004-2006 = 100)"/>
    <n v="71.59"/>
    <x v="28"/>
  </r>
  <r>
    <x v="4"/>
    <s v="Food production index (2004-2006 = 100)"/>
    <n v="78.819999999999993"/>
    <x v="28"/>
  </r>
  <r>
    <x v="5"/>
    <s v="Food production index (2004-2006 = 100)"/>
    <m/>
    <x v="28"/>
  </r>
  <r>
    <x v="6"/>
    <s v="Food production index (2004-2006 = 100)"/>
    <n v="54.44"/>
    <x v="28"/>
  </r>
  <r>
    <x v="7"/>
    <s v="Food production index (2004-2006 = 100)"/>
    <n v="98.79"/>
    <x v="28"/>
  </r>
  <r>
    <x v="8"/>
    <s v="Food production index (2004-2006 = 100)"/>
    <n v="61.76"/>
    <x v="28"/>
  </r>
  <r>
    <x v="9"/>
    <s v="Food production index (2004-2006 = 100)"/>
    <m/>
    <x v="28"/>
  </r>
  <r>
    <x v="10"/>
    <s v="Food production index (2004-2006 = 100)"/>
    <n v="97.52"/>
    <x v="28"/>
  </r>
  <r>
    <x v="11"/>
    <s v="Food production index (2004-2006 = 100)"/>
    <n v="78.75"/>
    <x v="28"/>
  </r>
  <r>
    <x v="12"/>
    <s v="Food production index (2004-2006 = 100)"/>
    <n v="49.18"/>
    <x v="28"/>
  </r>
  <r>
    <x v="13"/>
    <s v="Food production index (2004-2006 = 100)"/>
    <n v="47.89"/>
    <x v="28"/>
  </r>
  <r>
    <x v="14"/>
    <s v="Food production index (2004-2006 = 100)"/>
    <m/>
    <x v="28"/>
  </r>
  <r>
    <x v="15"/>
    <s v="Food production index (2004-2006 = 100)"/>
    <n v="53.41"/>
    <x v="28"/>
  </r>
  <r>
    <x v="16"/>
    <s v="Food production index (2004-2006 = 100)"/>
    <n v="46.29"/>
    <x v="28"/>
  </r>
  <r>
    <x v="17"/>
    <s v="Food production index (2004-2006 = 100)"/>
    <n v="59.16"/>
    <x v="28"/>
  </r>
  <r>
    <x v="18"/>
    <s v="Food production index (2004-2006 = 100)"/>
    <n v="42.09"/>
    <x v="28"/>
  </r>
  <r>
    <x v="19"/>
    <s v="Food production index (2004-2006 = 100)"/>
    <n v="44"/>
    <x v="28"/>
  </r>
  <r>
    <x v="20"/>
    <s v="Food production index (2004-2006 = 100)"/>
    <n v="58.5"/>
    <x v="28"/>
  </r>
  <r>
    <x v="21"/>
    <s v="Food production index (2004-2006 = 100)"/>
    <n v="57.71"/>
    <x v="28"/>
  </r>
  <r>
    <x v="22"/>
    <s v="Food production index (2004-2006 = 100)"/>
    <n v="81.31"/>
    <x v="28"/>
  </r>
  <r>
    <x v="23"/>
    <s v="Food production index (2004-2006 = 100)"/>
    <m/>
    <x v="28"/>
  </r>
  <r>
    <x v="24"/>
    <s v="Food production index (2004-2006 = 100)"/>
    <n v="59.16"/>
    <x v="28"/>
  </r>
  <r>
    <x v="25"/>
    <s v="Food production index (2004-2006 = 100)"/>
    <n v="58.65"/>
    <x v="28"/>
  </r>
  <r>
    <x v="26"/>
    <s v="Food production index (2004-2006 = 100)"/>
    <n v="71.180000000000007"/>
    <x v="28"/>
  </r>
  <r>
    <x v="27"/>
    <s v="Food production index (2004-2006 = 100)"/>
    <n v="94.66"/>
    <x v="28"/>
  </r>
  <r>
    <x v="0"/>
    <s v="Food production index (2004-2006 = 100)"/>
    <n v="95.15"/>
    <x v="29"/>
  </r>
  <r>
    <x v="1"/>
    <s v="Food production index (2004-2006 = 100)"/>
    <n v="54.61"/>
    <x v="29"/>
  </r>
  <r>
    <x v="2"/>
    <s v="Food production index (2004-2006 = 100)"/>
    <n v="50.42"/>
    <x v="29"/>
  </r>
  <r>
    <x v="3"/>
    <s v="Food production index (2004-2006 = 100)"/>
    <n v="71.790000000000006"/>
    <x v="29"/>
  </r>
  <r>
    <x v="4"/>
    <s v="Food production index (2004-2006 = 100)"/>
    <n v="94.99"/>
    <x v="29"/>
  </r>
  <r>
    <x v="5"/>
    <s v="Food production index (2004-2006 = 100)"/>
    <m/>
    <x v="29"/>
  </r>
  <r>
    <x v="6"/>
    <s v="Food production index (2004-2006 = 100)"/>
    <n v="57.15"/>
    <x v="29"/>
  </r>
  <r>
    <x v="7"/>
    <s v="Food production index (2004-2006 = 100)"/>
    <n v="98.63"/>
    <x v="29"/>
  </r>
  <r>
    <x v="8"/>
    <s v="Food production index (2004-2006 = 100)"/>
    <n v="65.38"/>
    <x v="29"/>
  </r>
  <r>
    <x v="9"/>
    <s v="Food production index (2004-2006 = 100)"/>
    <m/>
    <x v="29"/>
  </r>
  <r>
    <x v="10"/>
    <s v="Food production index (2004-2006 = 100)"/>
    <n v="96.71"/>
    <x v="29"/>
  </r>
  <r>
    <x v="11"/>
    <s v="Food production index (2004-2006 = 100)"/>
    <n v="80.930000000000007"/>
    <x v="29"/>
  </r>
  <r>
    <x v="12"/>
    <s v="Food production index (2004-2006 = 100)"/>
    <n v="48.05"/>
    <x v="29"/>
  </r>
  <r>
    <x v="13"/>
    <s v="Food production index (2004-2006 = 100)"/>
    <n v="47.31"/>
    <x v="29"/>
  </r>
  <r>
    <x v="14"/>
    <s v="Food production index (2004-2006 = 100)"/>
    <m/>
    <x v="29"/>
  </r>
  <r>
    <x v="15"/>
    <s v="Food production index (2004-2006 = 100)"/>
    <n v="54.88"/>
    <x v="29"/>
  </r>
  <r>
    <x v="16"/>
    <s v="Food production index (2004-2006 = 100)"/>
    <n v="43.93"/>
    <x v="29"/>
  </r>
  <r>
    <x v="17"/>
    <s v="Food production index (2004-2006 = 100)"/>
    <n v="62.02"/>
    <x v="29"/>
  </r>
  <r>
    <x v="18"/>
    <s v="Food production index (2004-2006 = 100)"/>
    <n v="46.61"/>
    <x v="29"/>
  </r>
  <r>
    <x v="19"/>
    <s v="Food production index (2004-2006 = 100)"/>
    <n v="41.74"/>
    <x v="29"/>
  </r>
  <r>
    <x v="20"/>
    <s v="Food production index (2004-2006 = 100)"/>
    <n v="66.34"/>
    <x v="29"/>
  </r>
  <r>
    <x v="21"/>
    <s v="Food production index (2004-2006 = 100)"/>
    <n v="52.8"/>
    <x v="29"/>
  </r>
  <r>
    <x v="22"/>
    <s v="Food production index (2004-2006 = 100)"/>
    <n v="77.41"/>
    <x v="29"/>
  </r>
  <r>
    <x v="23"/>
    <s v="Food production index (2004-2006 = 100)"/>
    <m/>
    <x v="29"/>
  </r>
  <r>
    <x v="24"/>
    <s v="Food production index (2004-2006 = 100)"/>
    <n v="63.05"/>
    <x v="29"/>
  </r>
  <r>
    <x v="25"/>
    <s v="Food production index (2004-2006 = 100)"/>
    <n v="63.04"/>
    <x v="29"/>
  </r>
  <r>
    <x v="26"/>
    <s v="Food production index (2004-2006 = 100)"/>
    <n v="72"/>
    <x v="29"/>
  </r>
  <r>
    <x v="27"/>
    <s v="Food production index (2004-2006 = 100)"/>
    <n v="87.41"/>
    <x v="29"/>
  </r>
  <r>
    <x v="0"/>
    <s v="Food production index (2004-2006 = 100)"/>
    <n v="101.8"/>
    <x v="30"/>
  </r>
  <r>
    <x v="1"/>
    <s v="Food production index (2004-2006 = 100)"/>
    <n v="57.14"/>
    <x v="30"/>
  </r>
  <r>
    <x v="2"/>
    <s v="Food production index (2004-2006 = 100)"/>
    <n v="49.45"/>
    <x v="30"/>
  </r>
  <r>
    <x v="3"/>
    <s v="Food production index (2004-2006 = 100)"/>
    <n v="77.63"/>
    <x v="30"/>
  </r>
  <r>
    <x v="4"/>
    <s v="Food production index (2004-2006 = 100)"/>
    <n v="93.14"/>
    <x v="30"/>
  </r>
  <r>
    <x v="5"/>
    <s v="Food production index (2004-2006 = 100)"/>
    <m/>
    <x v="30"/>
  </r>
  <r>
    <x v="6"/>
    <s v="Food production index (2004-2006 = 100)"/>
    <n v="59.98"/>
    <x v="30"/>
  </r>
  <r>
    <x v="7"/>
    <s v="Food production index (2004-2006 = 100)"/>
    <n v="93.36"/>
    <x v="30"/>
  </r>
  <r>
    <x v="8"/>
    <s v="Food production index (2004-2006 = 100)"/>
    <n v="63.96"/>
    <x v="30"/>
  </r>
  <r>
    <x v="9"/>
    <s v="Food production index (2004-2006 = 100)"/>
    <m/>
    <x v="30"/>
  </r>
  <r>
    <x v="10"/>
    <s v="Food production index (2004-2006 = 100)"/>
    <n v="81.02"/>
    <x v="30"/>
  </r>
  <r>
    <x v="11"/>
    <s v="Food production index (2004-2006 = 100)"/>
    <n v="81.42"/>
    <x v="30"/>
  </r>
  <r>
    <x v="12"/>
    <s v="Food production index (2004-2006 = 100)"/>
    <n v="46.21"/>
    <x v="30"/>
  </r>
  <r>
    <x v="13"/>
    <s v="Food production index (2004-2006 = 100)"/>
    <n v="47.29"/>
    <x v="30"/>
  </r>
  <r>
    <x v="14"/>
    <s v="Food production index (2004-2006 = 100)"/>
    <m/>
    <x v="30"/>
  </r>
  <r>
    <x v="15"/>
    <s v="Food production index (2004-2006 = 100)"/>
    <n v="57.57"/>
    <x v="30"/>
  </r>
  <r>
    <x v="16"/>
    <s v="Food production index (2004-2006 = 100)"/>
    <n v="43.39"/>
    <x v="30"/>
  </r>
  <r>
    <x v="17"/>
    <s v="Food production index (2004-2006 = 100)"/>
    <n v="65.17"/>
    <x v="30"/>
  </r>
  <r>
    <x v="18"/>
    <s v="Food production index (2004-2006 = 100)"/>
    <n v="49.5"/>
    <x v="30"/>
  </r>
  <r>
    <x v="19"/>
    <s v="Food production index (2004-2006 = 100)"/>
    <n v="45.75"/>
    <x v="30"/>
  </r>
  <r>
    <x v="20"/>
    <s v="Food production index (2004-2006 = 100)"/>
    <n v="76.02"/>
    <x v="30"/>
  </r>
  <r>
    <x v="21"/>
    <s v="Food production index (2004-2006 = 100)"/>
    <n v="49.09"/>
    <x v="30"/>
  </r>
  <r>
    <x v="22"/>
    <s v="Food production index (2004-2006 = 100)"/>
    <n v="85.11"/>
    <x v="30"/>
  </r>
  <r>
    <x v="23"/>
    <s v="Food production index (2004-2006 = 100)"/>
    <m/>
    <x v="30"/>
  </r>
  <r>
    <x v="24"/>
    <s v="Food production index (2004-2006 = 100)"/>
    <n v="64.260000000000005"/>
    <x v="30"/>
  </r>
  <r>
    <x v="25"/>
    <s v="Food production index (2004-2006 = 100)"/>
    <n v="66.53"/>
    <x v="30"/>
  </r>
  <r>
    <x v="26"/>
    <s v="Food production index (2004-2006 = 100)"/>
    <n v="67.75"/>
    <x v="30"/>
  </r>
  <r>
    <x v="27"/>
    <s v="Food production index (2004-2006 = 100)"/>
    <n v="88.83"/>
    <x v="30"/>
  </r>
  <r>
    <x v="0"/>
    <s v="Food production index (2004-2006 = 100)"/>
    <n v="105.24"/>
    <x v="31"/>
  </r>
  <r>
    <x v="1"/>
    <s v="Food production index (2004-2006 = 100)"/>
    <n v="58.34"/>
    <x v="31"/>
  </r>
  <r>
    <x v="2"/>
    <s v="Food production index (2004-2006 = 100)"/>
    <n v="67.52"/>
    <x v="31"/>
  </r>
  <r>
    <x v="3"/>
    <s v="Food production index (2004-2006 = 100)"/>
    <n v="83.57"/>
    <x v="31"/>
  </r>
  <r>
    <x v="4"/>
    <s v="Food production index (2004-2006 = 100)"/>
    <n v="69.540000000000006"/>
    <x v="31"/>
  </r>
  <r>
    <x v="5"/>
    <s v="Food production index (2004-2006 = 100)"/>
    <m/>
    <x v="31"/>
  </r>
  <r>
    <x v="6"/>
    <s v="Food production index (2004-2006 = 100)"/>
    <n v="63.86"/>
    <x v="31"/>
  </r>
  <r>
    <x v="7"/>
    <s v="Food production index (2004-2006 = 100)"/>
    <n v="92"/>
    <x v="31"/>
  </r>
  <r>
    <x v="8"/>
    <s v="Food production index (2004-2006 = 100)"/>
    <n v="67.31"/>
    <x v="31"/>
  </r>
  <r>
    <x v="9"/>
    <s v="Food production index (2004-2006 = 100)"/>
    <m/>
    <x v="31"/>
  </r>
  <r>
    <x v="10"/>
    <s v="Food production index (2004-2006 = 100)"/>
    <n v="69.400000000000006"/>
    <x v="31"/>
  </r>
  <r>
    <x v="11"/>
    <s v="Food production index (2004-2006 = 100)"/>
    <n v="82.77"/>
    <x v="31"/>
  </r>
  <r>
    <x v="12"/>
    <s v="Food production index (2004-2006 = 100)"/>
    <n v="50.53"/>
    <x v="31"/>
  </r>
  <r>
    <x v="13"/>
    <s v="Food production index (2004-2006 = 100)"/>
    <n v="69.010000000000005"/>
    <x v="31"/>
  </r>
  <r>
    <x v="14"/>
    <s v="Food production index (2004-2006 = 100)"/>
    <m/>
    <x v="31"/>
  </r>
  <r>
    <x v="15"/>
    <s v="Food production index (2004-2006 = 100)"/>
    <n v="58.57"/>
    <x v="31"/>
  </r>
  <r>
    <x v="16"/>
    <s v="Food production index (2004-2006 = 100)"/>
    <n v="42.07"/>
    <x v="31"/>
  </r>
  <r>
    <x v="17"/>
    <s v="Food production index (2004-2006 = 100)"/>
    <n v="68.55"/>
    <x v="31"/>
  </r>
  <r>
    <x v="18"/>
    <s v="Food production index (2004-2006 = 100)"/>
    <n v="50.49"/>
    <x v="31"/>
  </r>
  <r>
    <x v="19"/>
    <s v="Food production index (2004-2006 = 100)"/>
    <n v="49.4"/>
    <x v="31"/>
  </r>
  <r>
    <x v="20"/>
    <s v="Food production index (2004-2006 = 100)"/>
    <n v="86.39"/>
    <x v="31"/>
  </r>
  <r>
    <x v="21"/>
    <s v="Food production index (2004-2006 = 100)"/>
    <n v="53.08"/>
    <x v="31"/>
  </r>
  <r>
    <x v="22"/>
    <s v="Food production index (2004-2006 = 100)"/>
    <n v="81.84"/>
    <x v="31"/>
  </r>
  <r>
    <x v="23"/>
    <s v="Food production index (2004-2006 = 100)"/>
    <m/>
    <x v="31"/>
  </r>
  <r>
    <x v="24"/>
    <s v="Food production index (2004-2006 = 100)"/>
    <n v="66.040000000000006"/>
    <x v="31"/>
  </r>
  <r>
    <x v="25"/>
    <s v="Food production index (2004-2006 = 100)"/>
    <n v="68.62"/>
    <x v="31"/>
  </r>
  <r>
    <x v="26"/>
    <s v="Food production index (2004-2006 = 100)"/>
    <n v="79.069999999999993"/>
    <x v="31"/>
  </r>
  <r>
    <x v="27"/>
    <s v="Food production index (2004-2006 = 100)"/>
    <n v="83.63"/>
    <x v="31"/>
  </r>
  <r>
    <x v="0"/>
    <s v="Food production index (2004-2006 = 100)"/>
    <n v="107.39"/>
    <x v="32"/>
  </r>
  <r>
    <x v="1"/>
    <s v="Food production index (2004-2006 = 100)"/>
    <n v="59.21"/>
    <x v="32"/>
  </r>
  <r>
    <x v="2"/>
    <s v="Food production index (2004-2006 = 100)"/>
    <n v="68.86"/>
    <x v="32"/>
  </r>
  <r>
    <x v="3"/>
    <s v="Food production index (2004-2006 = 100)"/>
    <n v="85.47"/>
    <x v="32"/>
  </r>
  <r>
    <x v="4"/>
    <s v="Food production index (2004-2006 = 100)"/>
    <n v="73.23"/>
    <x v="32"/>
  </r>
  <r>
    <x v="5"/>
    <s v="Food production index (2004-2006 = 100)"/>
    <m/>
    <x v="32"/>
  </r>
  <r>
    <x v="6"/>
    <s v="Food production index (2004-2006 = 100)"/>
    <n v="67.47"/>
    <x v="32"/>
  </r>
  <r>
    <x v="7"/>
    <s v="Food production index (2004-2006 = 100)"/>
    <n v="89.16"/>
    <x v="32"/>
  </r>
  <r>
    <x v="8"/>
    <s v="Food production index (2004-2006 = 100)"/>
    <n v="70.12"/>
    <x v="32"/>
  </r>
  <r>
    <x v="9"/>
    <s v="Food production index (2004-2006 = 100)"/>
    <m/>
    <x v="32"/>
  </r>
  <r>
    <x v="10"/>
    <s v="Food production index (2004-2006 = 100)"/>
    <n v="72.05"/>
    <x v="32"/>
  </r>
  <r>
    <x v="11"/>
    <s v="Food production index (2004-2006 = 100)"/>
    <n v="84.11"/>
    <x v="32"/>
  </r>
  <r>
    <x v="12"/>
    <s v="Food production index (2004-2006 = 100)"/>
    <n v="39"/>
    <x v="32"/>
  </r>
  <r>
    <x v="13"/>
    <s v="Food production index (2004-2006 = 100)"/>
    <n v="62.78"/>
    <x v="32"/>
  </r>
  <r>
    <x v="14"/>
    <s v="Food production index (2004-2006 = 100)"/>
    <n v="132.29"/>
    <x v="32"/>
  </r>
  <r>
    <x v="15"/>
    <s v="Food production index (2004-2006 = 100)"/>
    <n v="51.03"/>
    <x v="32"/>
  </r>
  <r>
    <x v="16"/>
    <s v="Food production index (2004-2006 = 100)"/>
    <n v="47.59"/>
    <x v="32"/>
  </r>
  <r>
    <x v="17"/>
    <s v="Food production index (2004-2006 = 100)"/>
    <n v="65.37"/>
    <x v="32"/>
  </r>
  <r>
    <x v="18"/>
    <s v="Food production index (2004-2006 = 100)"/>
    <n v="52.43"/>
    <x v="32"/>
  </r>
  <r>
    <x v="19"/>
    <s v="Food production index (2004-2006 = 100)"/>
    <n v="52.76"/>
    <x v="32"/>
  </r>
  <r>
    <x v="20"/>
    <s v="Food production index (2004-2006 = 100)"/>
    <n v="91.7"/>
    <x v="32"/>
  </r>
  <r>
    <x v="21"/>
    <s v="Food production index (2004-2006 = 100)"/>
    <n v="67.010000000000005"/>
    <x v="32"/>
  </r>
  <r>
    <x v="22"/>
    <s v="Food production index (2004-2006 = 100)"/>
    <n v="82.66"/>
    <x v="32"/>
  </r>
  <r>
    <x v="23"/>
    <s v="Food production index (2004-2006 = 100)"/>
    <n v="96.4"/>
    <x v="32"/>
  </r>
  <r>
    <x v="24"/>
    <s v="Food production index (2004-2006 = 100)"/>
    <n v="64.28"/>
    <x v="32"/>
  </r>
  <r>
    <x v="25"/>
    <s v="Food production index (2004-2006 = 100)"/>
    <n v="68.45"/>
    <x v="32"/>
  </r>
  <r>
    <x v="26"/>
    <s v="Food production index (2004-2006 = 100)"/>
    <n v="69"/>
    <x v="32"/>
  </r>
  <r>
    <x v="27"/>
    <s v="Food production index (2004-2006 = 100)"/>
    <n v="56.97"/>
    <x v="32"/>
  </r>
  <r>
    <x v="0"/>
    <s v="Food production index (2004-2006 = 100)"/>
    <n v="105.4"/>
    <x v="33"/>
  </r>
  <r>
    <x v="1"/>
    <s v="Food production index (2004-2006 = 100)"/>
    <n v="62.47"/>
    <x v="33"/>
  </r>
  <r>
    <x v="2"/>
    <s v="Food production index (2004-2006 = 100)"/>
    <n v="61.73"/>
    <x v="33"/>
  </r>
  <r>
    <x v="3"/>
    <s v="Food production index (2004-2006 = 100)"/>
    <n v="88.73"/>
    <x v="33"/>
  </r>
  <r>
    <x v="4"/>
    <s v="Food production index (2004-2006 = 100)"/>
    <n v="68.989999999999995"/>
    <x v="33"/>
  </r>
  <r>
    <x v="5"/>
    <s v="Food production index (2004-2006 = 100)"/>
    <n v="51.82"/>
    <x v="33"/>
  </r>
  <r>
    <x v="6"/>
    <s v="Food production index (2004-2006 = 100)"/>
    <n v="68.58"/>
    <x v="33"/>
  </r>
  <r>
    <x v="7"/>
    <s v="Food production index (2004-2006 = 100)"/>
    <n v="87.49"/>
    <x v="33"/>
  </r>
  <r>
    <x v="8"/>
    <s v="Food production index (2004-2006 = 100)"/>
    <n v="67.260000000000005"/>
    <x v="33"/>
  </r>
  <r>
    <x v="9"/>
    <s v="Food production index (2004-2006 = 100)"/>
    <m/>
    <x v="33"/>
  </r>
  <r>
    <x v="10"/>
    <s v="Food production index (2004-2006 = 100)"/>
    <n v="66.59"/>
    <x v="33"/>
  </r>
  <r>
    <x v="11"/>
    <s v="Food production index (2004-2006 = 100)"/>
    <n v="87.63"/>
    <x v="33"/>
  </r>
  <r>
    <x v="12"/>
    <s v="Food production index (2004-2006 = 100)"/>
    <n v="51.77"/>
    <x v="33"/>
  </r>
  <r>
    <x v="13"/>
    <s v="Food production index (2004-2006 = 100)"/>
    <n v="65.13"/>
    <x v="33"/>
  </r>
  <r>
    <x v="14"/>
    <s v="Food production index (2004-2006 = 100)"/>
    <n v="161.02000000000001"/>
    <x v="33"/>
  </r>
  <r>
    <x v="15"/>
    <s v="Food production index (2004-2006 = 100)"/>
    <n v="57.25"/>
    <x v="33"/>
  </r>
  <r>
    <x v="16"/>
    <s v="Food production index (2004-2006 = 100)"/>
    <n v="51.69"/>
    <x v="33"/>
  </r>
  <r>
    <x v="17"/>
    <s v="Food production index (2004-2006 = 100)"/>
    <n v="72.5"/>
    <x v="33"/>
  </r>
  <r>
    <x v="18"/>
    <s v="Food production index (2004-2006 = 100)"/>
    <n v="55.4"/>
    <x v="33"/>
  </r>
  <r>
    <x v="19"/>
    <s v="Food production index (2004-2006 = 100)"/>
    <n v="50.24"/>
    <x v="33"/>
  </r>
  <r>
    <x v="20"/>
    <s v="Food production index (2004-2006 = 100)"/>
    <n v="64.290000000000006"/>
    <x v="33"/>
  </r>
  <r>
    <x v="21"/>
    <s v="Food production index (2004-2006 = 100)"/>
    <n v="69.62"/>
    <x v="33"/>
  </r>
  <r>
    <x v="22"/>
    <s v="Food production index (2004-2006 = 100)"/>
    <n v="88.05"/>
    <x v="33"/>
  </r>
  <r>
    <x v="23"/>
    <s v="Food production index (2004-2006 = 100)"/>
    <n v="85.95"/>
    <x v="33"/>
  </r>
  <r>
    <x v="24"/>
    <s v="Food production index (2004-2006 = 100)"/>
    <n v="65.709999999999994"/>
    <x v="33"/>
  </r>
  <r>
    <x v="25"/>
    <s v="Food production index (2004-2006 = 100)"/>
    <n v="72.209999999999994"/>
    <x v="33"/>
  </r>
  <r>
    <x v="26"/>
    <s v="Food production index (2004-2006 = 100)"/>
    <n v="88.18"/>
    <x v="33"/>
  </r>
  <r>
    <x v="27"/>
    <s v="Food production index (2004-2006 = 100)"/>
    <n v="77.94"/>
    <x v="33"/>
  </r>
  <r>
    <x v="0"/>
    <s v="Food production index (2004-2006 = 100)"/>
    <n v="90.54"/>
    <x v="34"/>
  </r>
  <r>
    <x v="1"/>
    <s v="Food production index (2004-2006 = 100)"/>
    <n v="64.459999999999994"/>
    <x v="34"/>
  </r>
  <r>
    <x v="2"/>
    <s v="Food production index (2004-2006 = 100)"/>
    <n v="70.16"/>
    <x v="34"/>
  </r>
  <r>
    <x v="3"/>
    <s v="Food production index (2004-2006 = 100)"/>
    <n v="88.9"/>
    <x v="34"/>
  </r>
  <r>
    <x v="4"/>
    <s v="Food production index (2004-2006 = 100)"/>
    <n v="73.69"/>
    <x v="34"/>
  </r>
  <r>
    <x v="5"/>
    <s v="Food production index (2004-2006 = 100)"/>
    <n v="51.79"/>
    <x v="34"/>
  </r>
  <r>
    <x v="6"/>
    <s v="Food production index (2004-2006 = 100)"/>
    <n v="72.73"/>
    <x v="34"/>
  </r>
  <r>
    <x v="7"/>
    <s v="Food production index (2004-2006 = 100)"/>
    <n v="86.49"/>
    <x v="34"/>
  </r>
  <r>
    <x v="8"/>
    <s v="Food production index (2004-2006 = 100)"/>
    <n v="68.709999999999994"/>
    <x v="34"/>
  </r>
  <r>
    <x v="9"/>
    <s v="Food production index (2004-2006 = 100)"/>
    <m/>
    <x v="34"/>
  </r>
  <r>
    <x v="10"/>
    <s v="Food production index (2004-2006 = 100)"/>
    <n v="66.78"/>
    <x v="34"/>
  </r>
  <r>
    <x v="11"/>
    <s v="Food production index (2004-2006 = 100)"/>
    <n v="84.28"/>
    <x v="34"/>
  </r>
  <r>
    <x v="12"/>
    <s v="Food production index (2004-2006 = 100)"/>
    <n v="43.62"/>
    <x v="34"/>
  </r>
  <r>
    <x v="13"/>
    <s v="Food production index (2004-2006 = 100)"/>
    <n v="68.88"/>
    <x v="34"/>
  </r>
  <r>
    <x v="14"/>
    <s v="Food production index (2004-2006 = 100)"/>
    <n v="110.97"/>
    <x v="34"/>
  </r>
  <r>
    <x v="15"/>
    <s v="Food production index (2004-2006 = 100)"/>
    <n v="56.54"/>
    <x v="34"/>
  </r>
  <r>
    <x v="16"/>
    <s v="Food production index (2004-2006 = 100)"/>
    <n v="55.72"/>
    <x v="34"/>
  </r>
  <r>
    <x v="17"/>
    <s v="Food production index (2004-2006 = 100)"/>
    <n v="70.849999999999994"/>
    <x v="34"/>
  </r>
  <r>
    <x v="18"/>
    <s v="Food production index (2004-2006 = 100)"/>
    <n v="56.43"/>
    <x v="34"/>
  </r>
  <r>
    <x v="19"/>
    <s v="Food production index (2004-2006 = 100)"/>
    <n v="51.99"/>
    <x v="34"/>
  </r>
  <r>
    <x v="20"/>
    <s v="Food production index (2004-2006 = 100)"/>
    <n v="45.24"/>
    <x v="34"/>
  </r>
  <r>
    <x v="21"/>
    <s v="Food production index (2004-2006 = 100)"/>
    <n v="73.239999999999995"/>
    <x v="34"/>
  </r>
  <r>
    <x v="22"/>
    <s v="Food production index (2004-2006 = 100)"/>
    <n v="94.41"/>
    <x v="34"/>
  </r>
  <r>
    <x v="23"/>
    <s v="Food production index (2004-2006 = 100)"/>
    <n v="86.72"/>
    <x v="34"/>
  </r>
  <r>
    <x v="24"/>
    <s v="Food production index (2004-2006 = 100)"/>
    <n v="64.430000000000007"/>
    <x v="34"/>
  </r>
  <r>
    <x v="25"/>
    <s v="Food production index (2004-2006 = 100)"/>
    <n v="70.37"/>
    <x v="34"/>
  </r>
  <r>
    <x v="26"/>
    <s v="Food production index (2004-2006 = 100)"/>
    <n v="78.12"/>
    <x v="34"/>
  </r>
  <r>
    <x v="27"/>
    <s v="Food production index (2004-2006 = 100)"/>
    <n v="85.83"/>
    <x v="34"/>
  </r>
  <r>
    <x v="0"/>
    <s v="Food production index (2004-2006 = 100)"/>
    <n v="95.01"/>
    <x v="35"/>
  </r>
  <r>
    <x v="1"/>
    <s v="Food production index (2004-2006 = 100)"/>
    <n v="68.290000000000006"/>
    <x v="35"/>
  </r>
  <r>
    <x v="2"/>
    <s v="Food production index (2004-2006 = 100)"/>
    <n v="71.84"/>
    <x v="35"/>
  </r>
  <r>
    <x v="3"/>
    <s v="Food production index (2004-2006 = 100)"/>
    <n v="89.37"/>
    <x v="35"/>
  </r>
  <r>
    <x v="4"/>
    <s v="Food production index (2004-2006 = 100)"/>
    <n v="75.900000000000006"/>
    <x v="35"/>
  </r>
  <r>
    <x v="5"/>
    <s v="Food production index (2004-2006 = 100)"/>
    <n v="57.54"/>
    <x v="35"/>
  </r>
  <r>
    <x v="6"/>
    <s v="Food production index (2004-2006 = 100)"/>
    <n v="73.22"/>
    <x v="35"/>
  </r>
  <r>
    <x v="7"/>
    <s v="Food production index (2004-2006 = 100)"/>
    <n v="84.46"/>
    <x v="35"/>
  </r>
  <r>
    <x v="8"/>
    <s v="Food production index (2004-2006 = 100)"/>
    <n v="68.78"/>
    <x v="35"/>
  </r>
  <r>
    <x v="9"/>
    <s v="Food production index (2004-2006 = 100)"/>
    <m/>
    <x v="35"/>
  </r>
  <r>
    <x v="10"/>
    <s v="Food production index (2004-2006 = 100)"/>
    <n v="65.75"/>
    <x v="35"/>
  </r>
  <r>
    <x v="11"/>
    <s v="Food production index (2004-2006 = 100)"/>
    <n v="87.35"/>
    <x v="35"/>
  </r>
  <r>
    <x v="12"/>
    <s v="Food production index (2004-2006 = 100)"/>
    <n v="51.55"/>
    <x v="35"/>
  </r>
  <r>
    <x v="13"/>
    <s v="Food production index (2004-2006 = 100)"/>
    <n v="68.55"/>
    <x v="35"/>
  </r>
  <r>
    <x v="14"/>
    <s v="Food production index (2004-2006 = 100)"/>
    <n v="125.04"/>
    <x v="35"/>
  </r>
  <r>
    <x v="15"/>
    <s v="Food production index (2004-2006 = 100)"/>
    <n v="75.010000000000005"/>
    <x v="35"/>
  </r>
  <r>
    <x v="16"/>
    <s v="Food production index (2004-2006 = 100)"/>
    <n v="57.55"/>
    <x v="35"/>
  </r>
  <r>
    <x v="17"/>
    <s v="Food production index (2004-2006 = 100)"/>
    <n v="76.63"/>
    <x v="35"/>
  </r>
  <r>
    <x v="18"/>
    <s v="Food production index (2004-2006 = 100)"/>
    <n v="58.48"/>
    <x v="35"/>
  </r>
  <r>
    <x v="19"/>
    <s v="Food production index (2004-2006 = 100)"/>
    <n v="53.24"/>
    <x v="35"/>
  </r>
  <r>
    <x v="20"/>
    <s v="Food production index (2004-2006 = 100)"/>
    <n v="54.34"/>
    <x v="35"/>
  </r>
  <r>
    <x v="21"/>
    <s v="Food production index (2004-2006 = 100)"/>
    <n v="67.489999999999995"/>
    <x v="35"/>
  </r>
  <r>
    <x v="22"/>
    <s v="Food production index (2004-2006 = 100)"/>
    <n v="96.99"/>
    <x v="35"/>
  </r>
  <r>
    <x v="23"/>
    <s v="Food production index (2004-2006 = 100)"/>
    <n v="81.67"/>
    <x v="35"/>
  </r>
  <r>
    <x v="24"/>
    <s v="Food production index (2004-2006 = 100)"/>
    <n v="69.47"/>
    <x v="35"/>
  </r>
  <r>
    <x v="25"/>
    <s v="Food production index (2004-2006 = 100)"/>
    <n v="73.58"/>
    <x v="35"/>
  </r>
  <r>
    <x v="26"/>
    <s v="Food production index (2004-2006 = 100)"/>
    <n v="72.59"/>
    <x v="35"/>
  </r>
  <r>
    <x v="27"/>
    <s v="Food production index (2004-2006 = 100)"/>
    <n v="66.92"/>
    <x v="35"/>
  </r>
  <r>
    <x v="0"/>
    <s v="Food production index (2004-2006 = 100)"/>
    <n v="96.75"/>
    <x v="36"/>
  </r>
  <r>
    <x v="1"/>
    <s v="Food production index (2004-2006 = 100)"/>
    <n v="71.34"/>
    <x v="36"/>
  </r>
  <r>
    <x v="2"/>
    <s v="Food production index (2004-2006 = 100)"/>
    <n v="73.3"/>
    <x v="36"/>
  </r>
  <r>
    <x v="3"/>
    <s v="Food production index (2004-2006 = 100)"/>
    <n v="91.85"/>
    <x v="36"/>
  </r>
  <r>
    <x v="4"/>
    <s v="Food production index (2004-2006 = 100)"/>
    <n v="71.83"/>
    <x v="36"/>
  </r>
  <r>
    <x v="5"/>
    <s v="Food production index (2004-2006 = 100)"/>
    <n v="67.069999999999993"/>
    <x v="36"/>
  </r>
  <r>
    <x v="6"/>
    <s v="Food production index (2004-2006 = 100)"/>
    <n v="74.75"/>
    <x v="36"/>
  </r>
  <r>
    <x v="7"/>
    <s v="Food production index (2004-2006 = 100)"/>
    <n v="85.96"/>
    <x v="36"/>
  </r>
  <r>
    <x v="8"/>
    <s v="Food production index (2004-2006 = 100)"/>
    <n v="64.19"/>
    <x v="36"/>
  </r>
  <r>
    <x v="9"/>
    <s v="Food production index (2004-2006 = 100)"/>
    <m/>
    <x v="36"/>
  </r>
  <r>
    <x v="10"/>
    <s v="Food production index (2004-2006 = 100)"/>
    <n v="72"/>
    <x v="36"/>
  </r>
  <r>
    <x v="11"/>
    <s v="Food production index (2004-2006 = 100)"/>
    <n v="89.04"/>
    <x v="36"/>
  </r>
  <r>
    <x v="12"/>
    <s v="Food production index (2004-2006 = 100)"/>
    <n v="61.28"/>
    <x v="36"/>
  </r>
  <r>
    <x v="13"/>
    <s v="Food production index (2004-2006 = 100)"/>
    <n v="70.900000000000006"/>
    <x v="36"/>
  </r>
  <r>
    <x v="14"/>
    <s v="Food production index (2004-2006 = 100)"/>
    <n v="108.16"/>
    <x v="36"/>
  </r>
  <r>
    <x v="15"/>
    <s v="Food production index (2004-2006 = 100)"/>
    <n v="83.42"/>
    <x v="36"/>
  </r>
  <r>
    <x v="16"/>
    <s v="Food production index (2004-2006 = 100)"/>
    <n v="58.9"/>
    <x v="36"/>
  </r>
  <r>
    <x v="17"/>
    <s v="Food production index (2004-2006 = 100)"/>
    <n v="76.09"/>
    <x v="36"/>
  </r>
  <r>
    <x v="18"/>
    <s v="Food production index (2004-2006 = 100)"/>
    <n v="60.96"/>
    <x v="36"/>
  </r>
  <r>
    <x v="19"/>
    <s v="Food production index (2004-2006 = 100)"/>
    <n v="61.73"/>
    <x v="36"/>
  </r>
  <r>
    <x v="20"/>
    <s v="Food production index (2004-2006 = 100)"/>
    <n v="60.65"/>
    <x v="36"/>
  </r>
  <r>
    <x v="21"/>
    <s v="Food production index (2004-2006 = 100)"/>
    <n v="76.58"/>
    <x v="36"/>
  </r>
  <r>
    <x v="22"/>
    <s v="Food production index (2004-2006 = 100)"/>
    <n v="85.09"/>
    <x v="36"/>
  </r>
  <r>
    <x v="23"/>
    <s v="Food production index (2004-2006 = 100)"/>
    <n v="67.53"/>
    <x v="36"/>
  </r>
  <r>
    <x v="24"/>
    <s v="Food production index (2004-2006 = 100)"/>
    <n v="69.36"/>
    <x v="36"/>
  </r>
  <r>
    <x v="25"/>
    <s v="Food production index (2004-2006 = 100)"/>
    <n v="69.69"/>
    <x v="36"/>
  </r>
  <r>
    <x v="26"/>
    <s v="Food production index (2004-2006 = 100)"/>
    <n v="83.55"/>
    <x v="36"/>
  </r>
  <r>
    <x v="27"/>
    <s v="Food production index (2004-2006 = 100)"/>
    <n v="84.09"/>
    <x v="36"/>
  </r>
  <r>
    <x v="0"/>
    <s v="Food production index (2004-2006 = 100)"/>
    <n v="97.61"/>
    <x v="37"/>
  </r>
  <r>
    <x v="1"/>
    <s v="Food production index (2004-2006 = 100)"/>
    <n v="69.25"/>
    <x v="37"/>
  </r>
  <r>
    <x v="2"/>
    <s v="Food production index (2004-2006 = 100)"/>
    <n v="81.8"/>
    <x v="37"/>
  </r>
  <r>
    <x v="3"/>
    <s v="Food production index (2004-2006 = 100)"/>
    <n v="90.71"/>
    <x v="37"/>
  </r>
  <r>
    <x v="4"/>
    <s v="Food production index (2004-2006 = 100)"/>
    <n v="75.61"/>
    <x v="37"/>
  </r>
  <r>
    <x v="5"/>
    <s v="Food production index (2004-2006 = 100)"/>
    <n v="67.98"/>
    <x v="37"/>
  </r>
  <r>
    <x v="6"/>
    <s v="Food production index (2004-2006 = 100)"/>
    <n v="76.56"/>
    <x v="37"/>
  </r>
  <r>
    <x v="7"/>
    <s v="Food production index (2004-2006 = 100)"/>
    <n v="91.02"/>
    <x v="37"/>
  </r>
  <r>
    <x v="8"/>
    <s v="Food production index (2004-2006 = 100)"/>
    <n v="67.48"/>
    <x v="37"/>
  </r>
  <r>
    <x v="9"/>
    <s v="Food production index (2004-2006 = 100)"/>
    <m/>
    <x v="37"/>
  </r>
  <r>
    <x v="10"/>
    <s v="Food production index (2004-2006 = 100)"/>
    <n v="85.39"/>
    <x v="37"/>
  </r>
  <r>
    <x v="11"/>
    <s v="Food production index (2004-2006 = 100)"/>
    <n v="90.89"/>
    <x v="37"/>
  </r>
  <r>
    <x v="12"/>
    <s v="Food production index (2004-2006 = 100)"/>
    <n v="58.62"/>
    <x v="37"/>
  </r>
  <r>
    <x v="13"/>
    <s v="Food production index (2004-2006 = 100)"/>
    <n v="71.709999999999994"/>
    <x v="37"/>
  </r>
  <r>
    <x v="14"/>
    <s v="Food production index (2004-2006 = 100)"/>
    <n v="109.12"/>
    <x v="37"/>
  </r>
  <r>
    <x v="15"/>
    <s v="Food production index (2004-2006 = 100)"/>
    <n v="88.25"/>
    <x v="37"/>
  </r>
  <r>
    <x v="16"/>
    <s v="Food production index (2004-2006 = 100)"/>
    <n v="58.41"/>
    <x v="37"/>
  </r>
  <r>
    <x v="17"/>
    <s v="Food production index (2004-2006 = 100)"/>
    <n v="78.72"/>
    <x v="37"/>
  </r>
  <r>
    <x v="18"/>
    <s v="Food production index (2004-2006 = 100)"/>
    <n v="61"/>
    <x v="37"/>
  </r>
  <r>
    <x v="19"/>
    <s v="Food production index (2004-2006 = 100)"/>
    <n v="57.41"/>
    <x v="37"/>
  </r>
  <r>
    <x v="20"/>
    <s v="Food production index (2004-2006 = 100)"/>
    <n v="63.39"/>
    <x v="37"/>
  </r>
  <r>
    <x v="21"/>
    <s v="Food production index (2004-2006 = 100)"/>
    <n v="89.86"/>
    <x v="37"/>
  </r>
  <r>
    <x v="22"/>
    <s v="Food production index (2004-2006 = 100)"/>
    <n v="87.57"/>
    <x v="37"/>
  </r>
  <r>
    <x v="23"/>
    <s v="Food production index (2004-2006 = 100)"/>
    <n v="67.86"/>
    <x v="37"/>
  </r>
  <r>
    <x v="24"/>
    <s v="Food production index (2004-2006 = 100)"/>
    <n v="66.569999999999993"/>
    <x v="37"/>
  </r>
  <r>
    <x v="25"/>
    <s v="Food production index (2004-2006 = 100)"/>
    <n v="71.400000000000006"/>
    <x v="37"/>
  </r>
  <r>
    <x v="26"/>
    <s v="Food production index (2004-2006 = 100)"/>
    <n v="77.430000000000007"/>
    <x v="37"/>
  </r>
  <r>
    <x v="27"/>
    <s v="Food production index (2004-2006 = 100)"/>
    <n v="84.48"/>
    <x v="37"/>
  </r>
  <r>
    <x v="0"/>
    <s v="Food production index (2004-2006 = 100)"/>
    <n v="91.43"/>
    <x v="38"/>
  </r>
  <r>
    <x v="1"/>
    <s v="Food production index (2004-2006 = 100)"/>
    <n v="72.599999999999994"/>
    <x v="38"/>
  </r>
  <r>
    <x v="2"/>
    <s v="Food production index (2004-2006 = 100)"/>
    <n v="91.72"/>
    <x v="38"/>
  </r>
  <r>
    <x v="3"/>
    <s v="Food production index (2004-2006 = 100)"/>
    <n v="94.6"/>
    <x v="38"/>
  </r>
  <r>
    <x v="4"/>
    <s v="Food production index (2004-2006 = 100)"/>
    <n v="76.7"/>
    <x v="38"/>
  </r>
  <r>
    <x v="5"/>
    <s v="Food production index (2004-2006 = 100)"/>
    <n v="62.92"/>
    <x v="38"/>
  </r>
  <r>
    <x v="6"/>
    <s v="Food production index (2004-2006 = 100)"/>
    <n v="78.94"/>
    <x v="38"/>
  </r>
  <r>
    <x v="7"/>
    <s v="Food production index (2004-2006 = 100)"/>
    <n v="89.47"/>
    <x v="38"/>
  </r>
  <r>
    <x v="8"/>
    <s v="Food production index (2004-2006 = 100)"/>
    <n v="71.39"/>
    <x v="38"/>
  </r>
  <r>
    <x v="9"/>
    <s v="Food production index (2004-2006 = 100)"/>
    <m/>
    <x v="38"/>
  </r>
  <r>
    <x v="10"/>
    <s v="Food production index (2004-2006 = 100)"/>
    <n v="92.53"/>
    <x v="38"/>
  </r>
  <r>
    <x v="11"/>
    <s v="Food production index (2004-2006 = 100)"/>
    <n v="89.23"/>
    <x v="38"/>
  </r>
  <r>
    <x v="12"/>
    <s v="Food production index (2004-2006 = 100)"/>
    <n v="70.81"/>
    <x v="38"/>
  </r>
  <r>
    <x v="13"/>
    <s v="Food production index (2004-2006 = 100)"/>
    <n v="76.69"/>
    <x v="38"/>
  </r>
  <r>
    <x v="14"/>
    <s v="Food production index (2004-2006 = 100)"/>
    <n v="84.06"/>
    <x v="38"/>
  </r>
  <r>
    <x v="15"/>
    <s v="Food production index (2004-2006 = 100)"/>
    <n v="92.78"/>
    <x v="38"/>
  </r>
  <r>
    <x v="16"/>
    <s v="Food production index (2004-2006 = 100)"/>
    <n v="59.34"/>
    <x v="38"/>
  </r>
  <r>
    <x v="17"/>
    <s v="Food production index (2004-2006 = 100)"/>
    <n v="79.709999999999994"/>
    <x v="38"/>
  </r>
  <r>
    <x v="18"/>
    <s v="Food production index (2004-2006 = 100)"/>
    <n v="65.31"/>
    <x v="38"/>
  </r>
  <r>
    <x v="19"/>
    <s v="Food production index (2004-2006 = 100)"/>
    <n v="76.63"/>
    <x v="38"/>
  </r>
  <r>
    <x v="20"/>
    <s v="Food production index (2004-2006 = 100)"/>
    <n v="71.44"/>
    <x v="38"/>
  </r>
  <r>
    <x v="21"/>
    <s v="Food production index (2004-2006 = 100)"/>
    <n v="94.33"/>
    <x v="38"/>
  </r>
  <r>
    <x v="22"/>
    <s v="Food production index (2004-2006 = 100)"/>
    <n v="89.4"/>
    <x v="38"/>
  </r>
  <r>
    <x v="23"/>
    <s v="Food production index (2004-2006 = 100)"/>
    <n v="61.54"/>
    <x v="38"/>
  </r>
  <r>
    <x v="24"/>
    <s v="Food production index (2004-2006 = 100)"/>
    <n v="72.64"/>
    <x v="38"/>
  </r>
  <r>
    <x v="25"/>
    <s v="Food production index (2004-2006 = 100)"/>
    <n v="78.41"/>
    <x v="38"/>
  </r>
  <r>
    <x v="26"/>
    <s v="Food production index (2004-2006 = 100)"/>
    <n v="75.09"/>
    <x v="38"/>
  </r>
  <r>
    <x v="27"/>
    <s v="Food production index (2004-2006 = 100)"/>
    <n v="82.36"/>
    <x v="38"/>
  </r>
  <r>
    <x v="0"/>
    <s v="Food production index (2004-2006 = 100)"/>
    <n v="94.51"/>
    <x v="39"/>
  </r>
  <r>
    <x v="1"/>
    <s v="Food production index (2004-2006 = 100)"/>
    <n v="76.27"/>
    <x v="39"/>
  </r>
  <r>
    <x v="2"/>
    <s v="Food production index (2004-2006 = 100)"/>
    <n v="86.81"/>
    <x v="39"/>
  </r>
  <r>
    <x v="3"/>
    <s v="Food production index (2004-2006 = 100)"/>
    <n v="96.18"/>
    <x v="39"/>
  </r>
  <r>
    <x v="4"/>
    <s v="Food production index (2004-2006 = 100)"/>
    <n v="77.510000000000005"/>
    <x v="39"/>
  </r>
  <r>
    <x v="5"/>
    <s v="Food production index (2004-2006 = 100)"/>
    <n v="67.760000000000005"/>
    <x v="39"/>
  </r>
  <r>
    <x v="6"/>
    <s v="Food production index (2004-2006 = 100)"/>
    <n v="81.180000000000007"/>
    <x v="39"/>
  </r>
  <r>
    <x v="7"/>
    <s v="Food production index (2004-2006 = 100)"/>
    <n v="92.56"/>
    <x v="39"/>
  </r>
  <r>
    <x v="8"/>
    <s v="Food production index (2004-2006 = 100)"/>
    <n v="77.92"/>
    <x v="39"/>
  </r>
  <r>
    <x v="9"/>
    <s v="Food production index (2004-2006 = 100)"/>
    <m/>
    <x v="39"/>
  </r>
  <r>
    <x v="10"/>
    <s v="Food production index (2004-2006 = 100)"/>
    <n v="94.13"/>
    <x v="39"/>
  </r>
  <r>
    <x v="11"/>
    <s v="Food production index (2004-2006 = 100)"/>
    <n v="90.88"/>
    <x v="39"/>
  </r>
  <r>
    <x v="12"/>
    <s v="Food production index (2004-2006 = 100)"/>
    <n v="83.49"/>
    <x v="39"/>
  </r>
  <r>
    <x v="13"/>
    <s v="Food production index (2004-2006 = 100)"/>
    <n v="81.86"/>
    <x v="39"/>
  </r>
  <r>
    <x v="14"/>
    <s v="Food production index (2004-2006 = 100)"/>
    <n v="89.22"/>
    <x v="39"/>
  </r>
  <r>
    <x v="15"/>
    <s v="Food production index (2004-2006 = 100)"/>
    <n v="94.16"/>
    <x v="39"/>
  </r>
  <r>
    <x v="16"/>
    <s v="Food production index (2004-2006 = 100)"/>
    <n v="68"/>
    <x v="39"/>
  </r>
  <r>
    <x v="17"/>
    <s v="Food production index (2004-2006 = 100)"/>
    <n v="82.9"/>
    <x v="39"/>
  </r>
  <r>
    <x v="18"/>
    <s v="Food production index (2004-2006 = 100)"/>
    <n v="71.39"/>
    <x v="39"/>
  </r>
  <r>
    <x v="19"/>
    <s v="Food production index (2004-2006 = 100)"/>
    <n v="74.930000000000007"/>
    <x v="39"/>
  </r>
  <r>
    <x v="20"/>
    <s v="Food production index (2004-2006 = 100)"/>
    <n v="77.8"/>
    <x v="39"/>
  </r>
  <r>
    <x v="21"/>
    <s v="Food production index (2004-2006 = 100)"/>
    <n v="96.42"/>
    <x v="39"/>
  </r>
  <r>
    <x v="22"/>
    <s v="Food production index (2004-2006 = 100)"/>
    <n v="93.21"/>
    <x v="39"/>
  </r>
  <r>
    <x v="23"/>
    <s v="Food production index (2004-2006 = 100)"/>
    <n v="64.62"/>
    <x v="39"/>
  </r>
  <r>
    <x v="24"/>
    <s v="Food production index (2004-2006 = 100)"/>
    <n v="75.25"/>
    <x v="39"/>
  </r>
  <r>
    <x v="25"/>
    <s v="Food production index (2004-2006 = 100)"/>
    <n v="82.87"/>
    <x v="39"/>
  </r>
  <r>
    <x v="26"/>
    <s v="Food production index (2004-2006 = 100)"/>
    <n v="84.3"/>
    <x v="39"/>
  </r>
  <r>
    <x v="27"/>
    <s v="Food production index (2004-2006 = 100)"/>
    <n v="90.18"/>
    <x v="39"/>
  </r>
  <r>
    <x v="0"/>
    <s v="Food production index (2004-2006 = 100)"/>
    <n v="90.79"/>
    <x v="40"/>
  </r>
  <r>
    <x v="1"/>
    <s v="Food production index (2004-2006 = 100)"/>
    <n v="77.78"/>
    <x v="40"/>
  </r>
  <r>
    <x v="2"/>
    <s v="Food production index (2004-2006 = 100)"/>
    <n v="84.02"/>
    <x v="40"/>
  </r>
  <r>
    <x v="3"/>
    <s v="Food production index (2004-2006 = 100)"/>
    <n v="96.6"/>
    <x v="40"/>
  </r>
  <r>
    <x v="4"/>
    <s v="Food production index (2004-2006 = 100)"/>
    <n v="84.47"/>
    <x v="40"/>
  </r>
  <r>
    <x v="5"/>
    <s v="Food production index (2004-2006 = 100)"/>
    <n v="69.87"/>
    <x v="40"/>
  </r>
  <r>
    <x v="6"/>
    <s v="Food production index (2004-2006 = 100)"/>
    <n v="85.24"/>
    <x v="40"/>
  </r>
  <r>
    <x v="7"/>
    <s v="Food production index (2004-2006 = 100)"/>
    <n v="95.76"/>
    <x v="40"/>
  </r>
  <r>
    <x v="8"/>
    <s v="Food production index (2004-2006 = 100)"/>
    <n v="72.010000000000005"/>
    <x v="40"/>
  </r>
  <r>
    <x v="9"/>
    <s v="Food production index (2004-2006 = 100)"/>
    <m/>
    <x v="40"/>
  </r>
  <r>
    <x v="10"/>
    <s v="Food production index (2004-2006 = 100)"/>
    <n v="99.42"/>
    <x v="40"/>
  </r>
  <r>
    <x v="11"/>
    <s v="Food production index (2004-2006 = 100)"/>
    <n v="88.86"/>
    <x v="40"/>
  </r>
  <r>
    <x v="12"/>
    <s v="Food production index (2004-2006 = 100)"/>
    <n v="99.74"/>
    <x v="40"/>
  </r>
  <r>
    <x v="13"/>
    <s v="Food production index (2004-2006 = 100)"/>
    <n v="77.66"/>
    <x v="40"/>
  </r>
  <r>
    <x v="14"/>
    <s v="Food production index (2004-2006 = 100)"/>
    <n v="85.68"/>
    <x v="40"/>
  </r>
  <r>
    <x v="15"/>
    <s v="Food production index (2004-2006 = 100)"/>
    <n v="88.24"/>
    <x v="40"/>
  </r>
  <r>
    <x v="16"/>
    <s v="Food production index (2004-2006 = 100)"/>
    <n v="75.010000000000005"/>
    <x v="40"/>
  </r>
  <r>
    <x v="17"/>
    <s v="Food production index (2004-2006 = 100)"/>
    <n v="87.17"/>
    <x v="40"/>
  </r>
  <r>
    <x v="18"/>
    <s v="Food production index (2004-2006 = 100)"/>
    <n v="82.23"/>
    <x v="40"/>
  </r>
  <r>
    <x v="19"/>
    <s v="Food production index (2004-2006 = 100)"/>
    <n v="68.91"/>
    <x v="40"/>
  </r>
  <r>
    <x v="20"/>
    <s v="Food production index (2004-2006 = 100)"/>
    <n v="83.16"/>
    <x v="40"/>
  </r>
  <r>
    <x v="21"/>
    <s v="Food production index (2004-2006 = 100)"/>
    <n v="98.53"/>
    <x v="40"/>
  </r>
  <r>
    <x v="22"/>
    <s v="Food production index (2004-2006 = 100)"/>
    <n v="95.29"/>
    <x v="40"/>
  </r>
  <r>
    <x v="23"/>
    <s v="Food production index (2004-2006 = 100)"/>
    <n v="76.11"/>
    <x v="40"/>
  </r>
  <r>
    <x v="24"/>
    <s v="Food production index (2004-2006 = 100)"/>
    <n v="73.88"/>
    <x v="40"/>
  </r>
  <r>
    <x v="25"/>
    <s v="Food production index (2004-2006 = 100)"/>
    <n v="85.72"/>
    <x v="40"/>
  </r>
  <r>
    <x v="26"/>
    <s v="Food production index (2004-2006 = 100)"/>
    <n v="85.61"/>
    <x v="40"/>
  </r>
  <r>
    <x v="27"/>
    <s v="Food production index (2004-2006 = 100)"/>
    <n v="94.53"/>
    <x v="40"/>
  </r>
  <r>
    <x v="0"/>
    <s v="Food production index (2004-2006 = 100)"/>
    <n v="97.97"/>
    <x v="41"/>
  </r>
  <r>
    <x v="1"/>
    <s v="Food production index (2004-2006 = 100)"/>
    <n v="79.739999999999995"/>
    <x v="41"/>
  </r>
  <r>
    <x v="2"/>
    <s v="Food production index (2004-2006 = 100)"/>
    <n v="96.02"/>
    <x v="41"/>
  </r>
  <r>
    <x v="3"/>
    <s v="Food production index (2004-2006 = 100)"/>
    <n v="99.06"/>
    <x v="41"/>
  </r>
  <r>
    <x v="4"/>
    <s v="Food production index (2004-2006 = 100)"/>
    <n v="86.62"/>
    <x v="41"/>
  </r>
  <r>
    <x v="5"/>
    <s v="Food production index (2004-2006 = 100)"/>
    <n v="75.25"/>
    <x v="41"/>
  </r>
  <r>
    <x v="6"/>
    <s v="Food production index (2004-2006 = 100)"/>
    <n v="85.74"/>
    <x v="41"/>
  </r>
  <r>
    <x v="7"/>
    <s v="Food production index (2004-2006 = 100)"/>
    <n v="92.46"/>
    <x v="41"/>
  </r>
  <r>
    <x v="8"/>
    <s v="Food production index (2004-2006 = 100)"/>
    <n v="80.48"/>
    <x v="41"/>
  </r>
  <r>
    <x v="9"/>
    <s v="Food production index (2004-2006 = 100)"/>
    <m/>
    <x v="41"/>
  </r>
  <r>
    <x v="10"/>
    <s v="Food production index (2004-2006 = 100)"/>
    <n v="96.3"/>
    <x v="41"/>
  </r>
  <r>
    <x v="11"/>
    <s v="Food production index (2004-2006 = 100)"/>
    <n v="87.84"/>
    <x v="41"/>
  </r>
  <r>
    <x v="12"/>
    <s v="Food production index (2004-2006 = 100)"/>
    <n v="110.63"/>
    <x v="41"/>
  </r>
  <r>
    <x v="13"/>
    <s v="Food production index (2004-2006 = 100)"/>
    <n v="83.35"/>
    <x v="41"/>
  </r>
  <r>
    <x v="14"/>
    <s v="Food production index (2004-2006 = 100)"/>
    <n v="84.58"/>
    <x v="41"/>
  </r>
  <r>
    <x v="15"/>
    <s v="Food production index (2004-2006 = 100)"/>
    <n v="92.16"/>
    <x v="41"/>
  </r>
  <r>
    <x v="16"/>
    <s v="Food production index (2004-2006 = 100)"/>
    <n v="79.849999999999994"/>
    <x v="41"/>
  </r>
  <r>
    <x v="17"/>
    <s v="Food production index (2004-2006 = 100)"/>
    <n v="89.33"/>
    <x v="41"/>
  </r>
  <r>
    <x v="18"/>
    <s v="Food production index (2004-2006 = 100)"/>
    <n v="82.38"/>
    <x v="41"/>
  </r>
  <r>
    <x v="19"/>
    <s v="Food production index (2004-2006 = 100)"/>
    <n v="83.43"/>
    <x v="41"/>
  </r>
  <r>
    <x v="20"/>
    <s v="Food production index (2004-2006 = 100)"/>
    <n v="79.16"/>
    <x v="41"/>
  </r>
  <r>
    <x v="21"/>
    <s v="Food production index (2004-2006 = 100)"/>
    <n v="103.13"/>
    <x v="41"/>
  </r>
  <r>
    <x v="22"/>
    <s v="Food production index (2004-2006 = 100)"/>
    <n v="92.35"/>
    <x v="41"/>
  </r>
  <r>
    <x v="23"/>
    <s v="Food production index (2004-2006 = 100)"/>
    <n v="78.13"/>
    <x v="41"/>
  </r>
  <r>
    <x v="24"/>
    <s v="Food production index (2004-2006 = 100)"/>
    <n v="76.89"/>
    <x v="41"/>
  </r>
  <r>
    <x v="25"/>
    <s v="Food production index (2004-2006 = 100)"/>
    <n v="90.37"/>
    <x v="41"/>
  </r>
  <r>
    <x v="26"/>
    <s v="Food production index (2004-2006 = 100)"/>
    <n v="85.66"/>
    <x v="41"/>
  </r>
  <r>
    <x v="27"/>
    <s v="Food production index (2004-2006 = 100)"/>
    <n v="99.91"/>
    <x v="41"/>
  </r>
  <r>
    <x v="0"/>
    <s v="Food production index (2004-2006 = 100)"/>
    <n v="100.55"/>
    <x v="42"/>
  </r>
  <r>
    <x v="1"/>
    <s v="Food production index (2004-2006 = 100)"/>
    <n v="81.94"/>
    <x v="42"/>
  </r>
  <r>
    <x v="2"/>
    <s v="Food production index (2004-2006 = 100)"/>
    <n v="90.55"/>
    <x v="42"/>
  </r>
  <r>
    <x v="3"/>
    <s v="Food production index (2004-2006 = 100)"/>
    <n v="99.19"/>
    <x v="42"/>
  </r>
  <r>
    <x v="4"/>
    <s v="Food production index (2004-2006 = 100)"/>
    <n v="98.87"/>
    <x v="42"/>
  </r>
  <r>
    <x v="5"/>
    <s v="Food production index (2004-2006 = 100)"/>
    <n v="84.84"/>
    <x v="42"/>
  </r>
  <r>
    <x v="6"/>
    <s v="Food production index (2004-2006 = 100)"/>
    <n v="89.55"/>
    <x v="42"/>
  </r>
  <r>
    <x v="7"/>
    <s v="Food production index (2004-2006 = 100)"/>
    <n v="94.28"/>
    <x v="42"/>
  </r>
  <r>
    <x v="8"/>
    <s v="Food production index (2004-2006 = 100)"/>
    <n v="84.49"/>
    <x v="42"/>
  </r>
  <r>
    <x v="9"/>
    <s v="Food production index (2004-2006 = 100)"/>
    <m/>
    <x v="42"/>
  </r>
  <r>
    <x v="10"/>
    <s v="Food production index (2004-2006 = 100)"/>
    <n v="93.3"/>
    <x v="42"/>
  </r>
  <r>
    <x v="11"/>
    <s v="Food production index (2004-2006 = 100)"/>
    <n v="86.06"/>
    <x v="42"/>
  </r>
  <r>
    <x v="12"/>
    <s v="Food production index (2004-2006 = 100)"/>
    <n v="82.69"/>
    <x v="42"/>
  </r>
  <r>
    <x v="13"/>
    <s v="Food production index (2004-2006 = 100)"/>
    <n v="82.3"/>
    <x v="42"/>
  </r>
  <r>
    <x v="14"/>
    <s v="Food production index (2004-2006 = 100)"/>
    <n v="98.1"/>
    <x v="42"/>
  </r>
  <r>
    <x v="15"/>
    <s v="Food production index (2004-2006 = 100)"/>
    <n v="81.39"/>
    <x v="42"/>
  </r>
  <r>
    <x v="16"/>
    <s v="Food production index (2004-2006 = 100)"/>
    <n v="82.5"/>
    <x v="42"/>
  </r>
  <r>
    <x v="17"/>
    <s v="Food production index (2004-2006 = 100)"/>
    <n v="91.38"/>
    <x v="42"/>
  </r>
  <r>
    <x v="18"/>
    <s v="Food production index (2004-2006 = 100)"/>
    <n v="85.71"/>
    <x v="42"/>
  </r>
  <r>
    <x v="19"/>
    <s v="Food production index (2004-2006 = 100)"/>
    <n v="92.02"/>
    <x v="42"/>
  </r>
  <r>
    <x v="20"/>
    <s v="Food production index (2004-2006 = 100)"/>
    <n v="100.18"/>
    <x v="42"/>
  </r>
  <r>
    <x v="21"/>
    <s v="Food production index (2004-2006 = 100)"/>
    <n v="103.56"/>
    <x v="42"/>
  </r>
  <r>
    <x v="22"/>
    <s v="Food production index (2004-2006 = 100)"/>
    <n v="94.16"/>
    <x v="42"/>
  </r>
  <r>
    <x v="23"/>
    <s v="Food production index (2004-2006 = 100)"/>
    <n v="85.56"/>
    <x v="42"/>
  </r>
  <r>
    <x v="24"/>
    <s v="Food production index (2004-2006 = 100)"/>
    <n v="94.02"/>
    <x v="42"/>
  </r>
  <r>
    <x v="25"/>
    <s v="Food production index (2004-2006 = 100)"/>
    <n v="94.79"/>
    <x v="42"/>
  </r>
  <r>
    <x v="26"/>
    <s v="Food production index (2004-2006 = 100)"/>
    <n v="87.21"/>
    <x v="42"/>
  </r>
  <r>
    <x v="27"/>
    <s v="Food production index (2004-2006 = 100)"/>
    <n v="77.81"/>
    <x v="42"/>
  </r>
  <r>
    <x v="0"/>
    <s v="Food production index (2004-2006 = 100)"/>
    <n v="104.19"/>
    <x v="43"/>
  </r>
  <r>
    <x v="1"/>
    <s v="Food production index (2004-2006 = 100)"/>
    <n v="85"/>
    <x v="43"/>
  </r>
  <r>
    <x v="2"/>
    <s v="Food production index (2004-2006 = 100)"/>
    <n v="99.27"/>
    <x v="43"/>
  </r>
  <r>
    <x v="3"/>
    <s v="Food production index (2004-2006 = 100)"/>
    <n v="99.15"/>
    <x v="43"/>
  </r>
  <r>
    <x v="4"/>
    <s v="Food production index (2004-2006 = 100)"/>
    <n v="95.66"/>
    <x v="43"/>
  </r>
  <r>
    <x v="5"/>
    <s v="Food production index (2004-2006 = 100)"/>
    <n v="87.48"/>
    <x v="43"/>
  </r>
  <r>
    <x v="6"/>
    <s v="Food production index (2004-2006 = 100)"/>
    <n v="93.26"/>
    <x v="43"/>
  </r>
  <r>
    <x v="7"/>
    <s v="Food production index (2004-2006 = 100)"/>
    <n v="95.33"/>
    <x v="43"/>
  </r>
  <r>
    <x v="8"/>
    <s v="Food production index (2004-2006 = 100)"/>
    <n v="86.46"/>
    <x v="43"/>
  </r>
  <r>
    <x v="9"/>
    <s v="Food production index (2004-2006 = 100)"/>
    <m/>
    <x v="43"/>
  </r>
  <r>
    <x v="10"/>
    <s v="Food production index (2004-2006 = 100)"/>
    <n v="93.34"/>
    <x v="43"/>
  </r>
  <r>
    <x v="11"/>
    <s v="Food production index (2004-2006 = 100)"/>
    <n v="88.48"/>
    <x v="43"/>
  </r>
  <r>
    <x v="12"/>
    <s v="Food production index (2004-2006 = 100)"/>
    <n v="95.15"/>
    <x v="43"/>
  </r>
  <r>
    <x v="13"/>
    <s v="Food production index (2004-2006 = 100)"/>
    <n v="95.02"/>
    <x v="43"/>
  </r>
  <r>
    <x v="14"/>
    <s v="Food production index (2004-2006 = 100)"/>
    <n v="102.04"/>
    <x v="43"/>
  </r>
  <r>
    <x v="15"/>
    <s v="Food production index (2004-2006 = 100)"/>
    <n v="99.6"/>
    <x v="43"/>
  </r>
  <r>
    <x v="16"/>
    <s v="Food production index (2004-2006 = 100)"/>
    <n v="87.63"/>
    <x v="43"/>
  </r>
  <r>
    <x v="17"/>
    <s v="Food production index (2004-2006 = 100)"/>
    <n v="94.74"/>
    <x v="43"/>
  </r>
  <r>
    <x v="18"/>
    <s v="Food production index (2004-2006 = 100)"/>
    <n v="95.61"/>
    <x v="43"/>
  </r>
  <r>
    <x v="19"/>
    <s v="Food production index (2004-2006 = 100)"/>
    <n v="93.58"/>
    <x v="43"/>
  </r>
  <r>
    <x v="20"/>
    <s v="Food production index (2004-2006 = 100)"/>
    <n v="93.84"/>
    <x v="43"/>
  </r>
  <r>
    <x v="21"/>
    <s v="Food production index (2004-2006 = 100)"/>
    <n v="104.6"/>
    <x v="43"/>
  </r>
  <r>
    <x v="22"/>
    <s v="Food production index (2004-2006 = 100)"/>
    <n v="97.94"/>
    <x v="43"/>
  </r>
  <r>
    <x v="23"/>
    <s v="Food production index (2004-2006 = 100)"/>
    <n v="89.14"/>
    <x v="43"/>
  </r>
  <r>
    <x v="24"/>
    <s v="Food production index (2004-2006 = 100)"/>
    <n v="82.82"/>
    <x v="43"/>
  </r>
  <r>
    <x v="25"/>
    <s v="Food production index (2004-2006 = 100)"/>
    <n v="99.36"/>
    <x v="43"/>
  </r>
  <r>
    <x v="26"/>
    <s v="Food production index (2004-2006 = 100)"/>
    <n v="96.63"/>
    <x v="43"/>
  </r>
  <r>
    <x v="27"/>
    <s v="Food production index (2004-2006 = 100)"/>
    <n v="88.49"/>
    <x v="43"/>
  </r>
  <r>
    <x v="0"/>
    <s v="Food production index (2004-2006 = 100)"/>
    <n v="98.33"/>
    <x v="44"/>
  </r>
  <r>
    <x v="1"/>
    <s v="Food production index (2004-2006 = 100)"/>
    <n v="88.99"/>
    <x v="44"/>
  </r>
  <r>
    <x v="2"/>
    <s v="Food production index (2004-2006 = 100)"/>
    <n v="89.44"/>
    <x v="44"/>
  </r>
  <r>
    <x v="3"/>
    <s v="Food production index (2004-2006 = 100)"/>
    <n v="100.04"/>
    <x v="44"/>
  </r>
  <r>
    <x v="4"/>
    <s v="Food production index (2004-2006 = 100)"/>
    <n v="94.39"/>
    <x v="44"/>
  </r>
  <r>
    <x v="5"/>
    <s v="Food production index (2004-2006 = 100)"/>
    <n v="92.61"/>
    <x v="44"/>
  </r>
  <r>
    <x v="6"/>
    <s v="Food production index (2004-2006 = 100)"/>
    <n v="96.88"/>
    <x v="44"/>
  </r>
  <r>
    <x v="7"/>
    <s v="Food production index (2004-2006 = 100)"/>
    <n v="97.3"/>
    <x v="44"/>
  </r>
  <r>
    <x v="8"/>
    <s v="Food production index (2004-2006 = 100)"/>
    <n v="88.87"/>
    <x v="44"/>
  </r>
  <r>
    <x v="9"/>
    <s v="Food production index (2004-2006 = 100)"/>
    <m/>
    <x v="44"/>
  </r>
  <r>
    <x v="10"/>
    <s v="Food production index (2004-2006 = 100)"/>
    <n v="95.43"/>
    <x v="44"/>
  </r>
  <r>
    <x v="11"/>
    <s v="Food production index (2004-2006 = 100)"/>
    <n v="91.96"/>
    <x v="44"/>
  </r>
  <r>
    <x v="12"/>
    <s v="Food production index (2004-2006 = 100)"/>
    <n v="98.41"/>
    <x v="44"/>
  </r>
  <r>
    <x v="13"/>
    <s v="Food production index (2004-2006 = 100)"/>
    <n v="93.15"/>
    <x v="44"/>
  </r>
  <r>
    <x v="14"/>
    <s v="Food production index (2004-2006 = 100)"/>
    <n v="104.94"/>
    <x v="44"/>
  </r>
  <r>
    <x v="15"/>
    <s v="Food production index (2004-2006 = 100)"/>
    <n v="100.94"/>
    <x v="44"/>
  </r>
  <r>
    <x v="16"/>
    <s v="Food production index (2004-2006 = 100)"/>
    <n v="91.41"/>
    <x v="44"/>
  </r>
  <r>
    <x v="17"/>
    <s v="Food production index (2004-2006 = 100)"/>
    <n v="98.5"/>
    <x v="44"/>
  </r>
  <r>
    <x v="18"/>
    <s v="Food production index (2004-2006 = 100)"/>
    <n v="94.61"/>
    <x v="44"/>
  </r>
  <r>
    <x v="19"/>
    <s v="Food production index (2004-2006 = 100)"/>
    <n v="87.98"/>
    <x v="44"/>
  </r>
  <r>
    <x v="20"/>
    <s v="Food production index (2004-2006 = 100)"/>
    <n v="93.75"/>
    <x v="44"/>
  </r>
  <r>
    <x v="21"/>
    <s v="Food production index (2004-2006 = 100)"/>
    <n v="97.88"/>
    <x v="44"/>
  </r>
  <r>
    <x v="22"/>
    <s v="Food production index (2004-2006 = 100)"/>
    <n v="93.25"/>
    <x v="44"/>
  </r>
  <r>
    <x v="23"/>
    <s v="Food production index (2004-2006 = 100)"/>
    <n v="101.99"/>
    <x v="44"/>
  </r>
  <r>
    <x v="24"/>
    <s v="Food production index (2004-2006 = 100)"/>
    <n v="95.2"/>
    <x v="44"/>
  </r>
  <r>
    <x v="25"/>
    <s v="Food production index (2004-2006 = 100)"/>
    <n v="99.41"/>
    <x v="44"/>
  </r>
  <r>
    <x v="26"/>
    <s v="Food production index (2004-2006 = 100)"/>
    <n v="97.01"/>
    <x v="44"/>
  </r>
  <r>
    <x v="27"/>
    <s v="Food production index (2004-2006 = 100)"/>
    <n v="109.29"/>
    <x v="44"/>
  </r>
  <r>
    <x v="0"/>
    <s v="Food production index (2004-2006 = 100)"/>
    <n v="100.39"/>
    <x v="45"/>
  </r>
  <r>
    <x v="1"/>
    <s v="Food production index (2004-2006 = 100)"/>
    <n v="101.91"/>
    <x v="45"/>
  </r>
  <r>
    <x v="2"/>
    <s v="Food production index (2004-2006 = 100)"/>
    <n v="105.67"/>
    <x v="45"/>
  </r>
  <r>
    <x v="3"/>
    <s v="Food production index (2004-2006 = 100)"/>
    <n v="96.19"/>
    <x v="45"/>
  </r>
  <r>
    <x v="4"/>
    <s v="Food production index (2004-2006 = 100)"/>
    <n v="94.91"/>
    <x v="45"/>
  </r>
  <r>
    <x v="5"/>
    <s v="Food production index (2004-2006 = 100)"/>
    <n v="102.65"/>
    <x v="45"/>
  </r>
  <r>
    <x v="6"/>
    <s v="Food production index (2004-2006 = 100)"/>
    <n v="100.55"/>
    <x v="45"/>
  </r>
  <r>
    <x v="7"/>
    <s v="Food production index (2004-2006 = 100)"/>
    <n v="101.4"/>
    <x v="45"/>
  </r>
  <r>
    <x v="8"/>
    <s v="Food production index (2004-2006 = 100)"/>
    <n v="103.32"/>
    <x v="45"/>
  </r>
  <r>
    <x v="9"/>
    <s v="Food production index (2004-2006 = 100)"/>
    <m/>
    <x v="45"/>
  </r>
  <r>
    <x v="10"/>
    <s v="Food production index (2004-2006 = 100)"/>
    <n v="101.2"/>
    <x v="45"/>
  </r>
  <r>
    <x v="11"/>
    <s v="Food production index (2004-2006 = 100)"/>
    <n v="102.8"/>
    <x v="45"/>
  </r>
  <r>
    <x v="12"/>
    <s v="Food production index (2004-2006 = 100)"/>
    <n v="85.86"/>
    <x v="45"/>
  </r>
  <r>
    <x v="13"/>
    <s v="Food production index (2004-2006 = 100)"/>
    <n v="102.28"/>
    <x v="45"/>
  </r>
  <r>
    <x v="14"/>
    <s v="Food production index (2004-2006 = 100)"/>
    <n v="99.51"/>
    <x v="45"/>
  </r>
  <r>
    <x v="15"/>
    <s v="Food production index (2004-2006 = 100)"/>
    <n v="95.98"/>
    <x v="45"/>
  </r>
  <r>
    <x v="16"/>
    <s v="Food production index (2004-2006 = 100)"/>
    <n v="98.07"/>
    <x v="45"/>
  </r>
  <r>
    <x v="17"/>
    <s v="Food production index (2004-2006 = 100)"/>
    <n v="100.47"/>
    <x v="45"/>
  </r>
  <r>
    <x v="18"/>
    <s v="Food production index (2004-2006 = 100)"/>
    <n v="102.04"/>
    <x v="45"/>
  </r>
  <r>
    <x v="19"/>
    <s v="Food production index (2004-2006 = 100)"/>
    <n v="102.42"/>
    <x v="45"/>
  </r>
  <r>
    <x v="20"/>
    <s v="Food production index (2004-2006 = 100)"/>
    <n v="100.61"/>
    <x v="45"/>
  </r>
  <r>
    <x v="21"/>
    <s v="Food production index (2004-2006 = 100)"/>
    <n v="100.78"/>
    <x v="45"/>
  </r>
  <r>
    <x v="22"/>
    <s v="Food production index (2004-2006 = 100)"/>
    <n v="102.32"/>
    <x v="45"/>
  </r>
  <r>
    <x v="23"/>
    <s v="Food production index (2004-2006 = 100)"/>
    <n v="96.71"/>
    <x v="45"/>
  </r>
  <r>
    <x v="24"/>
    <s v="Food production index (2004-2006 = 100)"/>
    <n v="96.79"/>
    <x v="45"/>
  </r>
  <r>
    <x v="25"/>
    <s v="Food production index (2004-2006 = 100)"/>
    <n v="100.53"/>
    <x v="45"/>
  </r>
  <r>
    <x v="26"/>
    <s v="Food production index (2004-2006 = 100)"/>
    <n v="98.09"/>
    <x v="45"/>
  </r>
  <r>
    <x v="27"/>
    <s v="Food production index (2004-2006 = 100)"/>
    <n v="89.34"/>
    <x v="45"/>
  </r>
  <r>
    <x v="0"/>
    <s v="Food production index (2004-2006 = 100)"/>
    <n v="101.28"/>
    <x v="46"/>
  </r>
  <r>
    <x v="1"/>
    <s v="Food production index (2004-2006 = 100)"/>
    <n v="109.1"/>
    <x v="46"/>
  </r>
  <r>
    <x v="2"/>
    <s v="Food production index (2004-2006 = 100)"/>
    <n v="104.89"/>
    <x v="46"/>
  </r>
  <r>
    <x v="3"/>
    <s v="Food production index (2004-2006 = 100)"/>
    <n v="103.77"/>
    <x v="46"/>
  </r>
  <r>
    <x v="4"/>
    <s v="Food production index (2004-2006 = 100)"/>
    <n v="110.7"/>
    <x v="46"/>
  </r>
  <r>
    <x v="5"/>
    <s v="Food production index (2004-2006 = 100)"/>
    <n v="104.74"/>
    <x v="46"/>
  </r>
  <r>
    <x v="6"/>
    <s v="Food production index (2004-2006 = 100)"/>
    <n v="102.57"/>
    <x v="46"/>
  </r>
  <r>
    <x v="7"/>
    <s v="Food production index (2004-2006 = 100)"/>
    <n v="101.31"/>
    <x v="46"/>
  </r>
  <r>
    <x v="8"/>
    <s v="Food production index (2004-2006 = 100)"/>
    <n v="107.81"/>
    <x v="46"/>
  </r>
  <r>
    <x v="9"/>
    <s v="Food production index (2004-2006 = 100)"/>
    <m/>
    <x v="46"/>
  </r>
  <r>
    <x v="10"/>
    <s v="Food production index (2004-2006 = 100)"/>
    <n v="103.38"/>
    <x v="46"/>
  </r>
  <r>
    <x v="11"/>
    <s v="Food production index (2004-2006 = 100)"/>
    <n v="105.24"/>
    <x v="46"/>
  </r>
  <r>
    <x v="12"/>
    <s v="Food production index (2004-2006 = 100)"/>
    <n v="115.73"/>
    <x v="46"/>
  </r>
  <r>
    <x v="13"/>
    <s v="Food production index (2004-2006 = 100)"/>
    <n v="104.58"/>
    <x v="46"/>
  </r>
  <r>
    <x v="14"/>
    <s v="Food production index (2004-2006 = 100)"/>
    <n v="95.56"/>
    <x v="46"/>
  </r>
  <r>
    <x v="15"/>
    <s v="Food production index (2004-2006 = 100)"/>
    <n v="103.09"/>
    <x v="46"/>
  </r>
  <r>
    <x v="16"/>
    <s v="Food production index (2004-2006 = 100)"/>
    <n v="110.53"/>
    <x v="46"/>
  </r>
  <r>
    <x v="17"/>
    <s v="Food production index (2004-2006 = 100)"/>
    <n v="101.03"/>
    <x v="46"/>
  </r>
  <r>
    <x v="18"/>
    <s v="Food production index (2004-2006 = 100)"/>
    <n v="103.35"/>
    <x v="46"/>
  </r>
  <r>
    <x v="19"/>
    <s v="Food production index (2004-2006 = 100)"/>
    <n v="109.6"/>
    <x v="46"/>
  </r>
  <r>
    <x v="20"/>
    <s v="Food production index (2004-2006 = 100)"/>
    <n v="105.63"/>
    <x v="46"/>
  </r>
  <r>
    <x v="21"/>
    <s v="Food production index (2004-2006 = 100)"/>
    <n v="101.34"/>
    <x v="46"/>
  </r>
  <r>
    <x v="22"/>
    <s v="Food production index (2004-2006 = 100)"/>
    <n v="104.42"/>
    <x v="46"/>
  </r>
  <r>
    <x v="23"/>
    <s v="Food production index (2004-2006 = 100)"/>
    <n v="101.29"/>
    <x v="46"/>
  </r>
  <r>
    <x v="24"/>
    <s v="Food production index (2004-2006 = 100)"/>
    <n v="108.01"/>
    <x v="46"/>
  </r>
  <r>
    <x v="25"/>
    <s v="Food production index (2004-2006 = 100)"/>
    <n v="100.06"/>
    <x v="46"/>
  </r>
  <r>
    <x v="26"/>
    <s v="Food production index (2004-2006 = 100)"/>
    <n v="104.91"/>
    <x v="46"/>
  </r>
  <r>
    <x v="27"/>
    <s v="Food production index (2004-2006 = 100)"/>
    <n v="101.37"/>
    <x v="46"/>
  </r>
  <r>
    <x v="0"/>
    <s v="Food production index (2004-2006 = 100)"/>
    <n v="104.59"/>
    <x v="47"/>
  </r>
  <r>
    <x v="1"/>
    <s v="Food production index (2004-2006 = 100)"/>
    <n v="116.25"/>
    <x v="47"/>
  </r>
  <r>
    <x v="2"/>
    <s v="Food production index (2004-2006 = 100)"/>
    <n v="109.27"/>
    <x v="47"/>
  </r>
  <r>
    <x v="3"/>
    <s v="Food production index (2004-2006 = 100)"/>
    <n v="107.55"/>
    <x v="47"/>
  </r>
  <r>
    <x v="4"/>
    <s v="Food production index (2004-2006 = 100)"/>
    <n v="136.19999999999999"/>
    <x v="47"/>
  </r>
  <r>
    <x v="5"/>
    <s v="Food production index (2004-2006 = 100)"/>
    <n v="107.06"/>
    <x v="47"/>
  </r>
  <r>
    <x v="6"/>
    <s v="Food production index (2004-2006 = 100)"/>
    <n v="106.13"/>
    <x v="47"/>
  </r>
  <r>
    <x v="7"/>
    <s v="Food production index (2004-2006 = 100)"/>
    <n v="110.5"/>
    <x v="47"/>
  </r>
  <r>
    <x v="8"/>
    <s v="Food production index (2004-2006 = 100)"/>
    <n v="108.46"/>
    <x v="47"/>
  </r>
  <r>
    <x v="9"/>
    <s v="Food production index (2004-2006 = 100)"/>
    <m/>
    <x v="47"/>
  </r>
  <r>
    <x v="10"/>
    <s v="Food production index (2004-2006 = 100)"/>
    <n v="113.59"/>
    <x v="47"/>
  </r>
  <r>
    <x v="11"/>
    <s v="Food production index (2004-2006 = 100)"/>
    <n v="107.55"/>
    <x v="47"/>
  </r>
  <r>
    <x v="12"/>
    <s v="Food production index (2004-2006 = 100)"/>
    <n v="135.05000000000001"/>
    <x v="47"/>
  </r>
  <r>
    <x v="13"/>
    <s v="Food production index (2004-2006 = 100)"/>
    <n v="116.85"/>
    <x v="47"/>
  </r>
  <r>
    <x v="14"/>
    <s v="Food production index (2004-2006 = 100)"/>
    <n v="82.06"/>
    <x v="47"/>
  </r>
  <r>
    <x v="15"/>
    <s v="Food production index (2004-2006 = 100)"/>
    <n v="103.48"/>
    <x v="47"/>
  </r>
  <r>
    <x v="16"/>
    <s v="Food production index (2004-2006 = 100)"/>
    <n v="117.01"/>
    <x v="47"/>
  </r>
  <r>
    <x v="17"/>
    <s v="Food production index (2004-2006 = 100)"/>
    <n v="100.39"/>
    <x v="47"/>
  </r>
  <r>
    <x v="18"/>
    <s v="Food production index (2004-2006 = 100)"/>
    <n v="106.22"/>
    <x v="47"/>
  </r>
  <r>
    <x v="19"/>
    <s v="Food production index (2004-2006 = 100)"/>
    <n v="115.76"/>
    <x v="47"/>
  </r>
  <r>
    <x v="20"/>
    <s v="Food production index (2004-2006 = 100)"/>
    <n v="106.87"/>
    <x v="47"/>
  </r>
  <r>
    <x v="21"/>
    <s v="Food production index (2004-2006 = 100)"/>
    <n v="102.65"/>
    <x v="47"/>
  </r>
  <r>
    <x v="22"/>
    <s v="Food production index (2004-2006 = 100)"/>
    <n v="103.33"/>
    <x v="47"/>
  </r>
  <r>
    <x v="23"/>
    <s v="Food production index (2004-2006 = 100)"/>
    <n v="100.91"/>
    <x v="47"/>
  </r>
  <r>
    <x v="24"/>
    <s v="Food production index (2004-2006 = 100)"/>
    <n v="107.78"/>
    <x v="47"/>
  </r>
  <r>
    <x v="25"/>
    <s v="Food production index (2004-2006 = 100)"/>
    <n v="103.37"/>
    <x v="47"/>
  </r>
  <r>
    <x v="26"/>
    <s v="Food production index (2004-2006 = 100)"/>
    <n v="105.39"/>
    <x v="47"/>
  </r>
  <r>
    <x v="27"/>
    <s v="Food production index (2004-2006 = 100)"/>
    <n v="99.22"/>
    <x v="47"/>
  </r>
  <r>
    <x v="0"/>
    <s v="Food production index (2004-2006 = 100)"/>
    <n v="105.72"/>
    <x v="48"/>
  </r>
  <r>
    <x v="1"/>
    <s v="Food production index (2004-2006 = 100)"/>
    <n v="121.63"/>
    <x v="48"/>
  </r>
  <r>
    <x v="2"/>
    <s v="Food production index (2004-2006 = 100)"/>
    <n v="111.07"/>
    <x v="48"/>
  </r>
  <r>
    <x v="3"/>
    <s v="Food production index (2004-2006 = 100)"/>
    <n v="107.82"/>
    <x v="48"/>
  </r>
  <r>
    <x v="4"/>
    <s v="Food production index (2004-2006 = 100)"/>
    <n v="142.25"/>
    <x v="48"/>
  </r>
  <r>
    <x v="5"/>
    <s v="Food production index (2004-2006 = 100)"/>
    <n v="114.99"/>
    <x v="48"/>
  </r>
  <r>
    <x v="6"/>
    <s v="Food production index (2004-2006 = 100)"/>
    <n v="111.77"/>
    <x v="48"/>
  </r>
  <r>
    <x v="7"/>
    <s v="Food production index (2004-2006 = 100)"/>
    <n v="109.46"/>
    <x v="48"/>
  </r>
  <r>
    <x v="8"/>
    <s v="Food production index (2004-2006 = 100)"/>
    <n v="111.68"/>
    <x v="48"/>
  </r>
  <r>
    <x v="9"/>
    <s v="Food production index (2004-2006 = 100)"/>
    <m/>
    <x v="48"/>
  </r>
  <r>
    <x v="10"/>
    <s v="Food production index (2004-2006 = 100)"/>
    <n v="122.48"/>
    <x v="48"/>
  </r>
  <r>
    <x v="11"/>
    <s v="Food production index (2004-2006 = 100)"/>
    <n v="110.87"/>
    <x v="48"/>
  </r>
  <r>
    <x v="12"/>
    <s v="Food production index (2004-2006 = 100)"/>
    <n v="135.69999999999999"/>
    <x v="48"/>
  </r>
  <r>
    <x v="13"/>
    <s v="Food production index (2004-2006 = 100)"/>
    <n v="129.34"/>
    <x v="48"/>
  </r>
  <r>
    <x v="14"/>
    <s v="Food production index (2004-2006 = 100)"/>
    <n v="103.22"/>
    <x v="48"/>
  </r>
  <r>
    <x v="15"/>
    <s v="Food production index (2004-2006 = 100)"/>
    <n v="100.44"/>
    <x v="48"/>
  </r>
  <r>
    <x v="16"/>
    <s v="Food production index (2004-2006 = 100)"/>
    <n v="126.3"/>
    <x v="48"/>
  </r>
  <r>
    <x v="17"/>
    <s v="Food production index (2004-2006 = 100)"/>
    <n v="107.14"/>
    <x v="48"/>
  </r>
  <r>
    <x v="18"/>
    <s v="Food production index (2004-2006 = 100)"/>
    <n v="107.82"/>
    <x v="48"/>
  </r>
  <r>
    <x v="19"/>
    <s v="Food production index (2004-2006 = 100)"/>
    <n v="139.28"/>
    <x v="48"/>
  </r>
  <r>
    <x v="20"/>
    <s v="Food production index (2004-2006 = 100)"/>
    <n v="115.92"/>
    <x v="48"/>
  </r>
  <r>
    <x v="21"/>
    <s v="Food production index (2004-2006 = 100)"/>
    <n v="99.58"/>
    <x v="48"/>
  </r>
  <r>
    <x v="22"/>
    <s v="Food production index (2004-2006 = 100)"/>
    <n v="115.11"/>
    <x v="48"/>
  </r>
  <r>
    <x v="23"/>
    <s v="Food production index (2004-2006 = 100)"/>
    <n v="108.99"/>
    <x v="48"/>
  </r>
  <r>
    <x v="24"/>
    <s v="Food production index (2004-2006 = 100)"/>
    <n v="108.05"/>
    <x v="48"/>
  </r>
  <r>
    <x v="25"/>
    <s v="Food production index (2004-2006 = 100)"/>
    <n v="89.25"/>
    <x v="48"/>
  </r>
  <r>
    <x v="26"/>
    <s v="Food production index (2004-2006 = 100)"/>
    <n v="110.56"/>
    <x v="48"/>
  </r>
  <r>
    <x v="27"/>
    <s v="Food production index (2004-2006 = 100)"/>
    <n v="84.22"/>
    <x v="48"/>
  </r>
  <r>
    <x v="0"/>
    <s v="Food production index (2004-2006 = 100)"/>
    <n v="112.57"/>
    <x v="49"/>
  </r>
  <r>
    <x v="1"/>
    <s v="Food production index (2004-2006 = 100)"/>
    <n v="131.21"/>
    <x v="49"/>
  </r>
  <r>
    <x v="2"/>
    <s v="Food production index (2004-2006 = 100)"/>
    <n v="104.62"/>
    <x v="49"/>
  </r>
  <r>
    <x v="3"/>
    <s v="Food production index (2004-2006 = 100)"/>
    <n v="106.73"/>
    <x v="49"/>
  </r>
  <r>
    <x v="4"/>
    <s v="Food production index (2004-2006 = 100)"/>
    <n v="125.38"/>
    <x v="49"/>
  </r>
  <r>
    <x v="5"/>
    <s v="Food production index (2004-2006 = 100)"/>
    <n v="122"/>
    <x v="49"/>
  </r>
  <r>
    <x v="6"/>
    <s v="Food production index (2004-2006 = 100)"/>
    <n v="112.15"/>
    <x v="49"/>
  </r>
  <r>
    <x v="7"/>
    <s v="Food production index (2004-2006 = 100)"/>
    <n v="122.03"/>
    <x v="49"/>
  </r>
  <r>
    <x v="8"/>
    <s v="Food production index (2004-2006 = 100)"/>
    <n v="117.82"/>
    <x v="49"/>
  </r>
  <r>
    <x v="9"/>
    <s v="Food production index (2004-2006 = 100)"/>
    <m/>
    <x v="49"/>
  </r>
  <r>
    <x v="10"/>
    <s v="Food production index (2004-2006 = 100)"/>
    <n v="123.47"/>
    <x v="49"/>
  </r>
  <r>
    <x v="11"/>
    <s v="Food production index (2004-2006 = 100)"/>
    <n v="116.44"/>
    <x v="49"/>
  </r>
  <r>
    <x v="12"/>
    <s v="Food production index (2004-2006 = 100)"/>
    <n v="154.86000000000001"/>
    <x v="49"/>
  </r>
  <r>
    <x v="13"/>
    <s v="Food production index (2004-2006 = 100)"/>
    <n v="139.6"/>
    <x v="49"/>
  </r>
  <r>
    <x v="14"/>
    <s v="Food production index (2004-2006 = 100)"/>
    <n v="90.1"/>
    <x v="49"/>
  </r>
  <r>
    <x v="15"/>
    <s v="Food production index (2004-2006 = 100)"/>
    <n v="116.31"/>
    <x v="49"/>
  </r>
  <r>
    <x v="16"/>
    <s v="Food production index (2004-2006 = 100)"/>
    <n v="129.81"/>
    <x v="49"/>
  </r>
  <r>
    <x v="17"/>
    <s v="Food production index (2004-2006 = 100)"/>
    <n v="112.21"/>
    <x v="49"/>
  </r>
  <r>
    <x v="18"/>
    <s v="Food production index (2004-2006 = 100)"/>
    <n v="117.62"/>
    <x v="49"/>
  </r>
  <r>
    <x v="19"/>
    <s v="Food production index (2004-2006 = 100)"/>
    <n v="113.47"/>
    <x v="49"/>
  </r>
  <r>
    <x v="20"/>
    <s v="Food production index (2004-2006 = 100)"/>
    <n v="135.38999999999999"/>
    <x v="49"/>
  </r>
  <r>
    <x v="21"/>
    <s v="Food production index (2004-2006 = 100)"/>
    <n v="101.98"/>
    <x v="49"/>
  </r>
  <r>
    <x v="22"/>
    <s v="Food production index (2004-2006 = 100)"/>
    <n v="113.5"/>
    <x v="49"/>
  </r>
  <r>
    <x v="23"/>
    <s v="Food production index (2004-2006 = 100)"/>
    <n v="120.11"/>
    <x v="49"/>
  </r>
  <r>
    <x v="24"/>
    <s v="Food production index (2004-2006 = 100)"/>
    <n v="111.78"/>
    <x v="49"/>
  </r>
  <r>
    <x v="25"/>
    <s v="Food production index (2004-2006 = 100)"/>
    <n v="93.91"/>
    <x v="49"/>
  </r>
  <r>
    <x v="26"/>
    <s v="Food production index (2004-2006 = 100)"/>
    <n v="141.88999999999999"/>
    <x v="49"/>
  </r>
  <r>
    <x v="27"/>
    <s v="Food production index (2004-2006 = 100)"/>
    <n v="84.03"/>
    <x v="49"/>
  </r>
  <r>
    <x v="0"/>
    <s v="Food production index (2004-2006 = 100)"/>
    <n v="113.93"/>
    <x v="50"/>
  </r>
  <r>
    <x v="1"/>
    <s v="Food production index (2004-2006 = 100)"/>
    <n v="142.88"/>
    <x v="50"/>
  </r>
  <r>
    <x v="2"/>
    <s v="Food production index (2004-2006 = 100)"/>
    <n v="155.81"/>
    <x v="50"/>
  </r>
  <r>
    <x v="3"/>
    <s v="Food production index (2004-2006 = 100)"/>
    <n v="106.01"/>
    <x v="50"/>
  </r>
  <r>
    <x v="4"/>
    <s v="Food production index (2004-2006 = 100)"/>
    <n v="115.67"/>
    <x v="50"/>
  </r>
  <r>
    <x v="5"/>
    <s v="Food production index (2004-2006 = 100)"/>
    <n v="137.53"/>
    <x v="50"/>
  </r>
  <r>
    <x v="6"/>
    <s v="Food production index (2004-2006 = 100)"/>
    <n v="119.79"/>
    <x v="50"/>
  </r>
  <r>
    <x v="7"/>
    <s v="Food production index (2004-2006 = 100)"/>
    <n v="133.21"/>
    <x v="50"/>
  </r>
  <r>
    <x v="8"/>
    <s v="Food production index (2004-2006 = 100)"/>
    <n v="123.63"/>
    <x v="50"/>
  </r>
  <r>
    <x v="9"/>
    <s v="Food production index (2004-2006 = 100)"/>
    <m/>
    <x v="50"/>
  </r>
  <r>
    <x v="10"/>
    <s v="Food production index (2004-2006 = 100)"/>
    <n v="126.85"/>
    <x v="50"/>
  </r>
  <r>
    <x v="11"/>
    <s v="Food production index (2004-2006 = 100)"/>
    <n v="118.98"/>
    <x v="50"/>
  </r>
  <r>
    <x v="12"/>
    <s v="Food production index (2004-2006 = 100)"/>
    <n v="156.22"/>
    <x v="50"/>
  </r>
  <r>
    <x v="13"/>
    <s v="Food production index (2004-2006 = 100)"/>
    <n v="132.25"/>
    <x v="50"/>
  </r>
  <r>
    <x v="14"/>
    <s v="Food production index (2004-2006 = 100)"/>
    <n v="92.5"/>
    <x v="50"/>
  </r>
  <r>
    <x v="15"/>
    <s v="Food production index (2004-2006 = 100)"/>
    <n v="149.53"/>
    <x v="50"/>
  </r>
  <r>
    <x v="16"/>
    <s v="Food production index (2004-2006 = 100)"/>
    <n v="131.81"/>
    <x v="50"/>
  </r>
  <r>
    <x v="17"/>
    <s v="Food production index (2004-2006 = 100)"/>
    <n v="113.3"/>
    <x v="50"/>
  </r>
  <r>
    <x v="18"/>
    <s v="Food production index (2004-2006 = 100)"/>
    <n v="119.93"/>
    <x v="50"/>
  </r>
  <r>
    <x v="19"/>
    <s v="Food production index (2004-2006 = 100)"/>
    <n v="145.66"/>
    <x v="50"/>
  </r>
  <r>
    <x v="20"/>
    <s v="Food production index (2004-2006 = 100)"/>
    <n v="140.38"/>
    <x v="50"/>
  </r>
  <r>
    <x v="21"/>
    <s v="Food production index (2004-2006 = 100)"/>
    <n v="104.97"/>
    <x v="50"/>
  </r>
  <r>
    <x v="22"/>
    <s v="Food production index (2004-2006 = 100)"/>
    <n v="124.68"/>
    <x v="50"/>
  </r>
  <r>
    <x v="23"/>
    <s v="Food production index (2004-2006 = 100)"/>
    <n v="120.78"/>
    <x v="50"/>
  </r>
  <r>
    <x v="24"/>
    <s v="Food production index (2004-2006 = 100)"/>
    <n v="129.16999999999999"/>
    <x v="50"/>
  </r>
  <r>
    <x v="25"/>
    <s v="Food production index (2004-2006 = 100)"/>
    <n v="96.89"/>
    <x v="50"/>
  </r>
  <r>
    <x v="26"/>
    <s v="Food production index (2004-2006 = 100)"/>
    <n v="165.17"/>
    <x v="50"/>
  </r>
  <r>
    <x v="27"/>
    <s v="Food production index (2004-2006 = 100)"/>
    <n v="91.92"/>
    <x v="50"/>
  </r>
  <r>
    <x v="0"/>
    <s v="Food production index (2004-2006 = 100)"/>
    <n v="111.92"/>
    <x v="51"/>
  </r>
  <r>
    <x v="1"/>
    <s v="Food production index (2004-2006 = 100)"/>
    <n v="148.37"/>
    <x v="51"/>
  </r>
  <r>
    <x v="2"/>
    <s v="Food production index (2004-2006 = 100)"/>
    <n v="113.97"/>
    <x v="51"/>
  </r>
  <r>
    <x v="3"/>
    <s v="Food production index (2004-2006 = 100)"/>
    <n v="105.66"/>
    <x v="51"/>
  </r>
  <r>
    <x v="4"/>
    <s v="Food production index (2004-2006 = 100)"/>
    <n v="130.97"/>
    <x v="51"/>
  </r>
  <r>
    <x v="5"/>
    <s v="Food production index (2004-2006 = 100)"/>
    <n v="138.58000000000001"/>
    <x v="51"/>
  </r>
  <r>
    <x v="6"/>
    <s v="Food production index (2004-2006 = 100)"/>
    <n v="125.42"/>
    <x v="51"/>
  </r>
  <r>
    <x v="7"/>
    <s v="Food production index (2004-2006 = 100)"/>
    <n v="141.47"/>
    <x v="51"/>
  </r>
  <r>
    <x v="8"/>
    <s v="Food production index (2004-2006 = 100)"/>
    <n v="117.21"/>
    <x v="51"/>
  </r>
  <r>
    <x v="9"/>
    <s v="Food production index (2004-2006 = 100)"/>
    <m/>
    <x v="51"/>
  </r>
  <r>
    <x v="10"/>
    <s v="Food production index (2004-2006 = 100)"/>
    <n v="130.65"/>
    <x v="51"/>
  </r>
  <r>
    <x v="11"/>
    <s v="Food production index (2004-2006 = 100)"/>
    <n v="120.57"/>
    <x v="51"/>
  </r>
  <r>
    <x v="12"/>
    <s v="Food production index (2004-2006 = 100)"/>
    <n v="164.99"/>
    <x v="51"/>
  </r>
  <r>
    <x v="13"/>
    <s v="Food production index (2004-2006 = 100)"/>
    <n v="146.54"/>
    <x v="51"/>
  </r>
  <r>
    <x v="14"/>
    <s v="Food production index (2004-2006 = 100)"/>
    <n v="101.5"/>
    <x v="51"/>
  </r>
  <r>
    <x v="15"/>
    <s v="Food production index (2004-2006 = 100)"/>
    <n v="157.55000000000001"/>
    <x v="51"/>
  </r>
  <r>
    <x v="16"/>
    <s v="Food production index (2004-2006 = 100)"/>
    <n v="129.44999999999999"/>
    <x v="51"/>
  </r>
  <r>
    <x v="17"/>
    <s v="Food production index (2004-2006 = 100)"/>
    <n v="121.52"/>
    <x v="51"/>
  </r>
  <r>
    <x v="18"/>
    <s v="Food production index (2004-2006 = 100)"/>
    <n v="126.07"/>
    <x v="51"/>
  </r>
  <r>
    <x v="19"/>
    <s v="Food production index (2004-2006 = 100)"/>
    <n v="128.03"/>
    <x v="51"/>
  </r>
  <r>
    <x v="20"/>
    <s v="Food production index (2004-2006 = 100)"/>
    <n v="150.5"/>
    <x v="51"/>
  </r>
  <r>
    <x v="21"/>
    <s v="Food production index (2004-2006 = 100)"/>
    <n v="105.83"/>
    <x v="51"/>
  </r>
  <r>
    <x v="22"/>
    <s v="Food production index (2004-2006 = 100)"/>
    <n v="118.99"/>
    <x v="51"/>
  </r>
  <r>
    <x v="23"/>
    <s v="Food production index (2004-2006 = 100)"/>
    <n v="123.82"/>
    <x v="51"/>
  </r>
  <r>
    <x v="24"/>
    <s v="Food production index (2004-2006 = 100)"/>
    <n v="138.25"/>
    <x v="51"/>
  </r>
  <r>
    <x v="25"/>
    <s v="Food production index (2004-2006 = 100)"/>
    <n v="98.08"/>
    <x v="51"/>
  </r>
  <r>
    <x v="26"/>
    <s v="Food production index (2004-2006 = 100)"/>
    <n v="174.44"/>
    <x v="51"/>
  </r>
  <r>
    <x v="27"/>
    <s v="Food production index (2004-2006 = 100)"/>
    <n v="88.43"/>
    <x v="51"/>
  </r>
  <r>
    <x v="0"/>
    <s v="Food production index (2004-2006 = 100)"/>
    <n v="98.47"/>
    <x v="52"/>
  </r>
  <r>
    <x v="1"/>
    <s v="Food production index (2004-2006 = 100)"/>
    <n v="155.87"/>
    <x v="52"/>
  </r>
  <r>
    <x v="2"/>
    <s v="Food production index (2004-2006 = 100)"/>
    <n v="161.94999999999999"/>
    <x v="52"/>
  </r>
  <r>
    <x v="3"/>
    <s v="Food production index (2004-2006 = 100)"/>
    <n v="101.5"/>
    <x v="52"/>
  </r>
  <r>
    <x v="4"/>
    <s v="Food production index (2004-2006 = 100)"/>
    <n v="134.19999999999999"/>
    <x v="52"/>
  </r>
  <r>
    <x v="5"/>
    <s v="Food production index (2004-2006 = 100)"/>
    <n v="147.09"/>
    <x v="52"/>
  </r>
  <r>
    <x v="6"/>
    <s v="Food production index (2004-2006 = 100)"/>
    <n v="128.9"/>
    <x v="52"/>
  </r>
  <r>
    <x v="7"/>
    <s v="Food production index (2004-2006 = 100)"/>
    <n v="143.36000000000001"/>
    <x v="52"/>
  </r>
  <r>
    <x v="8"/>
    <s v="Food production index (2004-2006 = 100)"/>
    <n v="122.7"/>
    <x v="52"/>
  </r>
  <r>
    <x v="9"/>
    <s v="Food production index (2004-2006 = 100)"/>
    <m/>
    <x v="52"/>
  </r>
  <r>
    <x v="10"/>
    <s v="Food production index (2004-2006 = 100)"/>
    <n v="133.66"/>
    <x v="52"/>
  </r>
  <r>
    <x v="11"/>
    <s v="Food production index (2004-2006 = 100)"/>
    <n v="126.8"/>
    <x v="52"/>
  </r>
  <r>
    <x v="12"/>
    <s v="Food production index (2004-2006 = 100)"/>
    <n v="180.33"/>
    <x v="52"/>
  </r>
  <r>
    <x v="13"/>
    <s v="Food production index (2004-2006 = 100)"/>
    <n v="151.22999999999999"/>
    <x v="52"/>
  </r>
  <r>
    <x v="14"/>
    <s v="Food production index (2004-2006 = 100)"/>
    <n v="85.02"/>
    <x v="52"/>
  </r>
  <r>
    <x v="15"/>
    <s v="Food production index (2004-2006 = 100)"/>
    <n v="158.62"/>
    <x v="52"/>
  </r>
  <r>
    <x v="16"/>
    <s v="Food production index (2004-2006 = 100)"/>
    <n v="125.39"/>
    <x v="52"/>
  </r>
  <r>
    <x v="17"/>
    <s v="Food production index (2004-2006 = 100)"/>
    <n v="140.02000000000001"/>
    <x v="52"/>
  </r>
  <r>
    <x v="18"/>
    <s v="Food production index (2004-2006 = 100)"/>
    <n v="128.74"/>
    <x v="52"/>
  </r>
  <r>
    <x v="19"/>
    <s v="Food production index (2004-2006 = 100)"/>
    <n v="140.05000000000001"/>
    <x v="52"/>
  </r>
  <r>
    <x v="20"/>
    <s v="Food production index (2004-2006 = 100)"/>
    <n v="162.16"/>
    <x v="52"/>
  </r>
  <r>
    <x v="21"/>
    <s v="Food production index (2004-2006 = 100)"/>
    <n v="107.93"/>
    <x v="52"/>
  </r>
  <r>
    <x v="22"/>
    <s v="Food production index (2004-2006 = 100)"/>
    <n v="124.86"/>
    <x v="52"/>
  </r>
  <r>
    <x v="23"/>
    <s v="Food production index (2004-2006 = 100)"/>
    <n v="134.06"/>
    <x v="52"/>
  </r>
  <r>
    <x v="24"/>
    <s v="Food production index (2004-2006 = 100)"/>
    <n v="147.41999999999999"/>
    <x v="52"/>
  </r>
  <r>
    <x v="25"/>
    <s v="Food production index (2004-2006 = 100)"/>
    <n v="96.49"/>
    <x v="52"/>
  </r>
  <r>
    <x v="26"/>
    <s v="Food production index (2004-2006 = 100)"/>
    <n v="176.25"/>
    <x v="52"/>
  </r>
  <r>
    <x v="27"/>
    <s v="Food production index (2004-2006 = 100)"/>
    <n v="94.08"/>
    <x v="52"/>
  </r>
  <r>
    <x v="0"/>
    <s v="Food production index (2004-2006 = 100)"/>
    <n v="144.69999999999999"/>
    <x v="53"/>
  </r>
  <r>
    <x v="1"/>
    <s v="Food production index (2004-2006 = 100)"/>
    <n v="159.66"/>
    <x v="53"/>
  </r>
  <r>
    <x v="2"/>
    <s v="Food production index (2004-2006 = 100)"/>
    <n v="146.33000000000001"/>
    <x v="53"/>
  </r>
  <r>
    <x v="3"/>
    <s v="Food production index (2004-2006 = 100)"/>
    <n v="105.78"/>
    <x v="53"/>
  </r>
  <r>
    <x v="4"/>
    <s v="Food production index (2004-2006 = 100)"/>
    <n v="133.27000000000001"/>
    <x v="53"/>
  </r>
  <r>
    <x v="5"/>
    <s v="Food production index (2004-2006 = 100)"/>
    <n v="150.28"/>
    <x v="53"/>
  </r>
  <r>
    <x v="6"/>
    <s v="Food production index (2004-2006 = 100)"/>
    <n v="133.61000000000001"/>
    <x v="53"/>
  </r>
  <r>
    <x v="7"/>
    <s v="Food production index (2004-2006 = 100)"/>
    <n v="152.55000000000001"/>
    <x v="53"/>
  </r>
  <r>
    <x v="8"/>
    <s v="Food production index (2004-2006 = 100)"/>
    <n v="126.12"/>
    <x v="53"/>
  </r>
  <r>
    <x v="9"/>
    <s v="Food production index (2004-2006 = 100)"/>
    <m/>
    <x v="53"/>
  </r>
  <r>
    <x v="10"/>
    <s v="Food production index (2004-2006 = 100)"/>
    <n v="129.38999999999999"/>
    <x v="53"/>
  </r>
  <r>
    <x v="11"/>
    <s v="Food production index (2004-2006 = 100)"/>
    <n v="119.99"/>
    <x v="53"/>
  </r>
  <r>
    <x v="12"/>
    <s v="Food production index (2004-2006 = 100)"/>
    <n v="192.35"/>
    <x v="53"/>
  </r>
  <r>
    <x v="13"/>
    <s v="Food production index (2004-2006 = 100)"/>
    <n v="149.86000000000001"/>
    <x v="53"/>
  </r>
  <r>
    <x v="14"/>
    <s v="Food production index (2004-2006 = 100)"/>
    <n v="99.76"/>
    <x v="53"/>
  </r>
  <r>
    <x v="15"/>
    <s v="Food production index (2004-2006 = 100)"/>
    <n v="124.27"/>
    <x v="53"/>
  </r>
  <r>
    <x v="16"/>
    <s v="Food production index (2004-2006 = 100)"/>
    <n v="129.97999999999999"/>
    <x v="53"/>
  </r>
  <r>
    <x v="17"/>
    <s v="Food production index (2004-2006 = 100)"/>
    <n v="130.62"/>
    <x v="53"/>
  </r>
  <r>
    <x v="18"/>
    <s v="Food production index (2004-2006 = 100)"/>
    <n v="131.38"/>
    <x v="53"/>
  </r>
  <r>
    <x v="19"/>
    <s v="Food production index (2004-2006 = 100)"/>
    <n v="146.18"/>
    <x v="53"/>
  </r>
  <r>
    <x v="20"/>
    <s v="Food production index (2004-2006 = 100)"/>
    <n v="165.22"/>
    <x v="53"/>
  </r>
  <r>
    <x v="21"/>
    <s v="Food production index (2004-2006 = 100)"/>
    <n v="117.54"/>
    <x v="53"/>
  </r>
  <r>
    <x v="22"/>
    <s v="Food production index (2004-2006 = 100)"/>
    <n v="139.80000000000001"/>
    <x v="53"/>
  </r>
  <r>
    <x v="23"/>
    <s v="Food production index (2004-2006 = 100)"/>
    <n v="152.05000000000001"/>
    <x v="53"/>
  </r>
  <r>
    <x v="24"/>
    <s v="Food production index (2004-2006 = 100)"/>
    <n v="172.63"/>
    <x v="53"/>
  </r>
  <r>
    <x v="25"/>
    <s v="Food production index (2004-2006 = 100)"/>
    <n v="98.36"/>
    <x v="53"/>
  </r>
  <r>
    <x v="26"/>
    <s v="Food production index (2004-2006 = 100)"/>
    <n v="179.29"/>
    <x v="53"/>
  </r>
  <r>
    <x v="27"/>
    <s v="Food production index (2004-2006 = 100)"/>
    <n v="92.05"/>
    <x v="53"/>
  </r>
  <r>
    <x v="0"/>
    <s v="Food production index (2004-2006 = 100)"/>
    <n v="121.01"/>
    <x v="54"/>
  </r>
  <r>
    <x v="1"/>
    <s v="Food production index (2004-2006 = 100)"/>
    <n v="160.74"/>
    <x v="54"/>
  </r>
  <r>
    <x v="2"/>
    <s v="Food production index (2004-2006 = 100)"/>
    <n v="146.9"/>
    <x v="54"/>
  </r>
  <r>
    <x v="3"/>
    <s v="Food production index (2004-2006 = 100)"/>
    <n v="105.32"/>
    <x v="54"/>
  </r>
  <r>
    <x v="4"/>
    <s v="Food production index (2004-2006 = 100)"/>
    <n v="132.85"/>
    <x v="54"/>
  </r>
  <r>
    <x v="5"/>
    <s v="Food production index (2004-2006 = 100)"/>
    <n v="157.56"/>
    <x v="54"/>
  </r>
  <r>
    <x v="6"/>
    <s v="Food production index (2004-2006 = 100)"/>
    <n v="129.83000000000001"/>
    <x v="54"/>
  </r>
  <r>
    <x v="7"/>
    <s v="Food production index (2004-2006 = 100)"/>
    <n v="158.18"/>
    <x v="54"/>
  </r>
  <r>
    <x v="8"/>
    <s v="Food production index (2004-2006 = 100)"/>
    <n v="125.11"/>
    <x v="54"/>
  </r>
  <r>
    <x v="9"/>
    <s v="Food production index (2004-2006 = 100)"/>
    <m/>
    <x v="54"/>
  </r>
  <r>
    <x v="10"/>
    <s v="Food production index (2004-2006 = 100)"/>
    <n v="126.69"/>
    <x v="54"/>
  </r>
  <r>
    <x v="11"/>
    <s v="Food production index (2004-2006 = 100)"/>
    <n v="123.75"/>
    <x v="54"/>
  </r>
  <r>
    <x v="12"/>
    <s v="Food production index (2004-2006 = 100)"/>
    <n v="163.59"/>
    <x v="54"/>
  </r>
  <r>
    <x v="13"/>
    <s v="Food production index (2004-2006 = 100)"/>
    <n v="151.59"/>
    <x v="54"/>
  </r>
  <r>
    <x v="14"/>
    <s v="Food production index (2004-2006 = 100)"/>
    <n v="92.94"/>
    <x v="54"/>
  </r>
  <r>
    <x v="15"/>
    <s v="Food production index (2004-2006 = 100)"/>
    <n v="143.47"/>
    <x v="54"/>
  </r>
  <r>
    <x v="16"/>
    <s v="Food production index (2004-2006 = 100)"/>
    <n v="132.82"/>
    <x v="54"/>
  </r>
  <r>
    <x v="17"/>
    <s v="Food production index (2004-2006 = 100)"/>
    <n v="136.19999999999999"/>
    <x v="54"/>
  </r>
  <r>
    <x v="18"/>
    <s v="Food production index (2004-2006 = 100)"/>
    <n v="127.63"/>
    <x v="54"/>
  </r>
  <r>
    <x v="19"/>
    <s v="Food production index (2004-2006 = 100)"/>
    <n v="153.24"/>
    <x v="54"/>
  </r>
  <r>
    <x v="20"/>
    <s v="Food production index (2004-2006 = 100)"/>
    <n v="155.01"/>
    <x v="54"/>
  </r>
  <r>
    <x v="21"/>
    <s v="Food production index (2004-2006 = 100)"/>
    <n v="126.18"/>
    <x v="54"/>
  </r>
  <r>
    <x v="22"/>
    <s v="Food production index (2004-2006 = 100)"/>
    <n v="125.25"/>
    <x v="54"/>
  </r>
  <r>
    <x v="23"/>
    <s v="Food production index (2004-2006 = 100)"/>
    <n v="149.96"/>
    <x v="54"/>
  </r>
  <r>
    <x v="24"/>
    <s v="Food production index (2004-2006 = 100)"/>
    <n v="187.45"/>
    <x v="54"/>
  </r>
  <r>
    <x v="25"/>
    <s v="Food production index (2004-2006 = 100)"/>
    <n v="101.04"/>
    <x v="54"/>
  </r>
  <r>
    <x v="26"/>
    <s v="Food production index (2004-2006 = 100)"/>
    <n v="186.77"/>
    <x v="54"/>
  </r>
  <r>
    <x v="27"/>
    <s v="Food production index (2004-2006 = 100)"/>
    <n v="91.23"/>
    <x v="54"/>
  </r>
  <r>
    <x v="0"/>
    <s v="Food production index (2004-2006 = 100)"/>
    <n v="110.95"/>
    <x v="55"/>
  </r>
  <r>
    <x v="1"/>
    <s v="Food production index (2004-2006 = 100)"/>
    <n v="168.99"/>
    <x v="55"/>
  </r>
  <r>
    <x v="2"/>
    <s v="Food production index (2004-2006 = 100)"/>
    <n v="145.38999999999999"/>
    <x v="55"/>
  </r>
  <r>
    <x v="3"/>
    <s v="Food production index (2004-2006 = 100)"/>
    <n v="107.96"/>
    <x v="55"/>
  </r>
  <r>
    <x v="4"/>
    <s v="Food production index (2004-2006 = 100)"/>
    <n v="132.78"/>
    <x v="55"/>
  </r>
  <r>
    <x v="5"/>
    <s v="Food production index (2004-2006 = 100)"/>
    <n v="168.7"/>
    <x v="55"/>
  </r>
  <r>
    <x v="6"/>
    <s v="Food production index (2004-2006 = 100)"/>
    <n v="132.81"/>
    <x v="55"/>
  </r>
  <r>
    <x v="7"/>
    <s v="Food production index (2004-2006 = 100)"/>
    <n v="162"/>
    <x v="55"/>
  </r>
  <r>
    <x v="8"/>
    <s v="Food production index (2004-2006 = 100)"/>
    <n v="128.22999999999999"/>
    <x v="55"/>
  </r>
  <r>
    <x v="9"/>
    <s v="Food production index (2004-2006 = 100)"/>
    <m/>
    <x v="55"/>
  </r>
  <r>
    <x v="10"/>
    <s v="Food production index (2004-2006 = 100)"/>
    <n v="132.61000000000001"/>
    <x v="55"/>
  </r>
  <r>
    <x v="11"/>
    <s v="Food production index (2004-2006 = 100)"/>
    <n v="120.05"/>
    <x v="55"/>
  </r>
  <r>
    <x v="12"/>
    <s v="Food production index (2004-2006 = 100)"/>
    <n v="150.41"/>
    <x v="55"/>
  </r>
  <r>
    <x v="13"/>
    <s v="Food production index (2004-2006 = 100)"/>
    <n v="159.53"/>
    <x v="55"/>
  </r>
  <r>
    <x v="14"/>
    <s v="Food production index (2004-2006 = 100)"/>
    <n v="78.23"/>
    <x v="55"/>
  </r>
  <r>
    <x v="15"/>
    <s v="Food production index (2004-2006 = 100)"/>
    <n v="141.25"/>
    <x v="55"/>
  </r>
  <r>
    <x v="16"/>
    <s v="Food production index (2004-2006 = 100)"/>
    <n v="135.35"/>
    <x v="55"/>
  </r>
  <r>
    <x v="17"/>
    <s v="Food production index (2004-2006 = 100)"/>
    <n v="135.94"/>
    <x v="55"/>
  </r>
  <r>
    <x v="18"/>
    <s v="Food production index (2004-2006 = 100)"/>
    <n v="122.93"/>
    <x v="55"/>
  </r>
  <r>
    <x v="19"/>
    <s v="Food production index (2004-2006 = 100)"/>
    <n v="163.26"/>
    <x v="55"/>
  </r>
  <r>
    <x v="20"/>
    <s v="Food production index (2004-2006 = 100)"/>
    <n v="150.30000000000001"/>
    <x v="55"/>
  </r>
  <r>
    <x v="21"/>
    <s v="Food production index (2004-2006 = 100)"/>
    <n v="113.16"/>
    <x v="55"/>
  </r>
  <r>
    <x v="22"/>
    <s v="Food production index (2004-2006 = 100)"/>
    <n v="130.6"/>
    <x v="55"/>
  </r>
  <r>
    <x v="23"/>
    <s v="Food production index (2004-2006 = 100)"/>
    <n v="160.46"/>
    <x v="55"/>
  </r>
  <r>
    <x v="24"/>
    <s v="Food production index (2004-2006 = 100)"/>
    <n v="194.28"/>
    <x v="55"/>
  </r>
  <r>
    <x v="25"/>
    <s v="Food production index (2004-2006 = 100)"/>
    <n v="100.73"/>
    <x v="55"/>
  </r>
  <r>
    <x v="26"/>
    <s v="Food production index (2004-2006 = 100)"/>
    <n v="180.4"/>
    <x v="55"/>
  </r>
  <r>
    <x v="27"/>
    <s v="Food production index (2004-2006 = 100)"/>
    <n v="83.42"/>
    <x v="55"/>
  </r>
  <r>
    <x v="0"/>
    <s v="Food production index (2004-2006 = 100)"/>
    <n v="119.85"/>
    <x v="56"/>
  </r>
  <r>
    <x v="1"/>
    <s v="Food production index (2004-2006 = 100)"/>
    <n v="181.65"/>
    <x v="56"/>
  </r>
  <r>
    <x v="2"/>
    <s v="Food production index (2004-2006 = 100)"/>
    <n v="155.19999999999999"/>
    <x v="56"/>
  </r>
  <r>
    <x v="3"/>
    <s v="Food production index (2004-2006 = 100)"/>
    <n v="108.68"/>
    <x v="56"/>
  </r>
  <r>
    <x v="4"/>
    <s v="Food production index (2004-2006 = 100)"/>
    <n v="133.07"/>
    <x v="56"/>
  </r>
  <r>
    <x v="5"/>
    <s v="Food production index (2004-2006 = 100)"/>
    <n v="161.88999999999999"/>
    <x v="56"/>
  </r>
  <r>
    <x v="6"/>
    <s v="Food production index (2004-2006 = 100)"/>
    <n v="135.65"/>
    <x v="56"/>
  </r>
  <r>
    <x v="7"/>
    <s v="Food production index (2004-2006 = 100)"/>
    <n v="157.13"/>
    <x v="56"/>
  </r>
  <r>
    <x v="8"/>
    <s v="Food production index (2004-2006 = 100)"/>
    <n v="125.56"/>
    <x v="56"/>
  </r>
  <r>
    <x v="9"/>
    <s v="Food production index (2004-2006 = 100)"/>
    <m/>
    <x v="56"/>
  </r>
  <r>
    <x v="10"/>
    <s v="Food production index (2004-2006 = 100)"/>
    <n v="135.80000000000001"/>
    <x v="56"/>
  </r>
  <r>
    <x v="11"/>
    <s v="Food production index (2004-2006 = 100)"/>
    <n v="121.29"/>
    <x v="56"/>
  </r>
  <r>
    <x v="12"/>
    <s v="Food production index (2004-2006 = 100)"/>
    <n v="147.18"/>
    <x v="56"/>
  </r>
  <r>
    <x v="13"/>
    <s v="Food production index (2004-2006 = 100)"/>
    <n v="175.83"/>
    <x v="56"/>
  </r>
  <r>
    <x v="14"/>
    <s v="Food production index (2004-2006 = 100)"/>
    <n v="97.43"/>
    <x v="56"/>
  </r>
  <r>
    <x v="15"/>
    <s v="Food production index (2004-2006 = 100)"/>
    <n v="149.72999999999999"/>
    <x v="56"/>
  </r>
  <r>
    <x v="16"/>
    <s v="Food production index (2004-2006 = 100)"/>
    <n v="135.83000000000001"/>
    <x v="56"/>
  </r>
  <r>
    <x v="17"/>
    <s v="Food production index (2004-2006 = 100)"/>
    <n v="137.83000000000001"/>
    <x v="56"/>
  </r>
  <r>
    <x v="18"/>
    <s v="Food production index (2004-2006 = 100)"/>
    <n v="128.52000000000001"/>
    <x v="56"/>
  </r>
  <r>
    <x v="19"/>
    <s v="Food production index (2004-2006 = 100)"/>
    <n v="176.35"/>
    <x v="56"/>
  </r>
  <r>
    <x v="20"/>
    <s v="Food production index (2004-2006 = 100)"/>
    <n v="140.61000000000001"/>
    <x v="56"/>
  </r>
  <r>
    <x v="21"/>
    <s v="Food production index (2004-2006 = 100)"/>
    <n v="111.36"/>
    <x v="56"/>
  </r>
  <r>
    <x v="22"/>
    <s v="Food production index (2004-2006 = 100)"/>
    <n v="131.27000000000001"/>
    <x v="56"/>
  </r>
  <r>
    <x v="23"/>
    <s v="Food production index (2004-2006 = 100)"/>
    <n v="155.46"/>
    <x v="56"/>
  </r>
  <r>
    <x v="24"/>
    <s v="Food production index (2004-2006 = 100)"/>
    <n v="168.95"/>
    <x v="56"/>
  </r>
  <r>
    <x v="25"/>
    <s v="Food production index (2004-2006 = 100)"/>
    <n v="98.31"/>
    <x v="56"/>
  </r>
  <r>
    <x v="26"/>
    <s v="Food production index (2004-2006 = 100)"/>
    <n v="179.77"/>
    <x v="56"/>
  </r>
  <r>
    <x v="27"/>
    <s v="Food production index (2004-2006 = 100)"/>
    <n v="88.75"/>
    <x v="56"/>
  </r>
  <r>
    <x v="0"/>
    <s v="Food production index (2004-2006 = 100)"/>
    <m/>
    <x v="57"/>
  </r>
  <r>
    <x v="1"/>
    <s v="Food production index (2004-2006 = 100)"/>
    <m/>
    <x v="57"/>
  </r>
  <r>
    <x v="2"/>
    <s v="Food production index (2004-2006 = 100)"/>
    <m/>
    <x v="57"/>
  </r>
  <r>
    <x v="3"/>
    <s v="Food production index (2004-2006 = 100)"/>
    <m/>
    <x v="57"/>
  </r>
  <r>
    <x v="4"/>
    <s v="Food production index (2004-2006 = 100)"/>
    <m/>
    <x v="57"/>
  </r>
  <r>
    <x v="5"/>
    <s v="Food production index (2004-2006 = 100)"/>
    <m/>
    <x v="57"/>
  </r>
  <r>
    <x v="6"/>
    <s v="Food production index (2004-2006 = 100)"/>
    <m/>
    <x v="57"/>
  </r>
  <r>
    <x v="7"/>
    <s v="Food production index (2004-2006 = 100)"/>
    <m/>
    <x v="57"/>
  </r>
  <r>
    <x v="8"/>
    <s v="Food production index (2004-2006 = 100)"/>
    <m/>
    <x v="57"/>
  </r>
  <r>
    <x v="9"/>
    <s v="Food production index (2004-2006 = 100)"/>
    <m/>
    <x v="57"/>
  </r>
  <r>
    <x v="10"/>
    <s v="Food production index (2004-2006 = 100)"/>
    <m/>
    <x v="57"/>
  </r>
  <r>
    <x v="11"/>
    <s v="Food production index (2004-2006 = 100)"/>
    <m/>
    <x v="57"/>
  </r>
  <r>
    <x v="12"/>
    <s v="Food production index (2004-2006 = 100)"/>
    <m/>
    <x v="57"/>
  </r>
  <r>
    <x v="13"/>
    <s v="Food production index (2004-2006 = 100)"/>
    <m/>
    <x v="57"/>
  </r>
  <r>
    <x v="14"/>
    <s v="Food production index (2004-2006 = 100)"/>
    <m/>
    <x v="57"/>
  </r>
  <r>
    <x v="15"/>
    <s v="Food production index (2004-2006 = 100)"/>
    <m/>
    <x v="57"/>
  </r>
  <r>
    <x v="16"/>
    <s v="Food production index (2004-2006 = 100)"/>
    <m/>
    <x v="57"/>
  </r>
  <r>
    <x v="17"/>
    <s v="Food production index (2004-2006 = 100)"/>
    <m/>
    <x v="57"/>
  </r>
  <r>
    <x v="18"/>
    <s v="Food production index (2004-2006 = 100)"/>
    <m/>
    <x v="57"/>
  </r>
  <r>
    <x v="19"/>
    <s v="Food production index (2004-2006 = 100)"/>
    <m/>
    <x v="57"/>
  </r>
  <r>
    <x v="20"/>
    <s v="Food production index (2004-2006 = 100)"/>
    <m/>
    <x v="57"/>
  </r>
  <r>
    <x v="21"/>
    <s v="Food production index (2004-2006 = 100)"/>
    <m/>
    <x v="57"/>
  </r>
  <r>
    <x v="22"/>
    <s v="Food production index (2004-2006 = 100)"/>
    <m/>
    <x v="57"/>
  </r>
  <r>
    <x v="23"/>
    <s v="Food production index (2004-2006 = 100)"/>
    <m/>
    <x v="57"/>
  </r>
  <r>
    <x v="24"/>
    <s v="Food production index (2004-2006 = 100)"/>
    <m/>
    <x v="57"/>
  </r>
  <r>
    <x v="25"/>
    <s v="Food production index (2004-2006 = 100)"/>
    <m/>
    <x v="57"/>
  </r>
  <r>
    <x v="26"/>
    <s v="Food production index (2004-2006 = 100)"/>
    <m/>
    <x v="57"/>
  </r>
  <r>
    <x v="27"/>
    <s v="Food production index (2004-2006 = 100)"/>
    <m/>
    <x v="57"/>
  </r>
</pivotCacheRecords>
</file>

<file path=xl/pivotCache/pivotCacheRecords3.xml><?xml version="1.0" encoding="utf-8"?>
<pivotCacheRecords xmlns="http://schemas.openxmlformats.org/spreadsheetml/2006/main" xmlns:r="http://schemas.openxmlformats.org/officeDocument/2006/relationships" count="1624">
  <r>
    <x v="0"/>
    <s v="PM2,5 air pollution, mean annual exposure (micrograms per cubic meter)"/>
    <m/>
    <x v="0"/>
  </r>
  <r>
    <x v="1"/>
    <s v="PM2,5 air pollution, mean annual exposure (micrograms per cubic meter)"/>
    <m/>
    <x v="0"/>
  </r>
  <r>
    <x v="2"/>
    <s v="PM2,5 air pollution, mean annual exposure (micrograms per cubic meter)"/>
    <m/>
    <x v="0"/>
  </r>
  <r>
    <x v="3"/>
    <s v="PM2,5 air pollution, mean annual exposure (micrograms per cubic meter)"/>
    <m/>
    <x v="0"/>
  </r>
  <r>
    <x v="4"/>
    <s v="PM2,5 air pollution, mean annual exposure (micrograms per cubic meter)"/>
    <m/>
    <x v="0"/>
  </r>
  <r>
    <x v="5"/>
    <s v="PM2,5 air pollution, mean annual exposure (micrograms per cubic meter)"/>
    <m/>
    <x v="0"/>
  </r>
  <r>
    <x v="6"/>
    <s v="PM2,5 air pollution, mean annual exposure (micrograms per cubic meter)"/>
    <m/>
    <x v="0"/>
  </r>
  <r>
    <x v="7"/>
    <s v="PM2,5 air pollution, mean annual exposure (micrograms per cubic meter)"/>
    <m/>
    <x v="0"/>
  </r>
  <r>
    <x v="8"/>
    <s v="PM2,5 air pollution, mean annual exposure (micrograms per cubic meter)"/>
    <m/>
    <x v="0"/>
  </r>
  <r>
    <x v="9"/>
    <s v="PM2,5 air pollution, mean annual exposure (micrograms per cubic meter)"/>
    <m/>
    <x v="0"/>
  </r>
  <r>
    <x v="10"/>
    <s v="PM2,5 air pollution, mean annual exposure (micrograms per cubic meter)"/>
    <m/>
    <x v="0"/>
  </r>
  <r>
    <x v="11"/>
    <s v="PM2,5 air pollution, mean annual exposure (micrograms per cubic meter)"/>
    <m/>
    <x v="0"/>
  </r>
  <r>
    <x v="12"/>
    <s v="PM2,5 air pollution, mean annual exposure (micrograms per cubic meter)"/>
    <m/>
    <x v="0"/>
  </r>
  <r>
    <x v="13"/>
    <s v="PM2,5 air pollution, mean annual exposure (micrograms per cubic meter)"/>
    <m/>
    <x v="0"/>
  </r>
  <r>
    <x v="14"/>
    <s v="PM2,5 air pollution, mean annual exposure (micrograms per cubic meter)"/>
    <m/>
    <x v="0"/>
  </r>
  <r>
    <x v="15"/>
    <s v="PM2,5 air pollution, mean annual exposure (micrograms per cubic meter)"/>
    <m/>
    <x v="0"/>
  </r>
  <r>
    <x v="16"/>
    <s v="PM2,5 air pollution, mean annual exposure (micrograms per cubic meter)"/>
    <m/>
    <x v="0"/>
  </r>
  <r>
    <x v="17"/>
    <s v="PM2,5 air pollution, mean annual exposure (micrograms per cubic meter)"/>
    <m/>
    <x v="0"/>
  </r>
  <r>
    <x v="18"/>
    <s v="PM2,5 air pollution, mean annual exposure (micrograms per cubic meter)"/>
    <m/>
    <x v="0"/>
  </r>
  <r>
    <x v="19"/>
    <s v="PM2,5 air pollution, mean annual exposure (micrograms per cubic meter)"/>
    <m/>
    <x v="0"/>
  </r>
  <r>
    <x v="20"/>
    <s v="PM2,5 air pollution, mean annual exposure (micrograms per cubic meter)"/>
    <m/>
    <x v="0"/>
  </r>
  <r>
    <x v="21"/>
    <s v="PM2,5 air pollution, mean annual exposure (micrograms per cubic meter)"/>
    <m/>
    <x v="0"/>
  </r>
  <r>
    <x v="22"/>
    <s v="PM2,5 air pollution, mean annual exposure (micrograms per cubic meter)"/>
    <m/>
    <x v="0"/>
  </r>
  <r>
    <x v="23"/>
    <s v="PM2,5 air pollution, mean annual exposure (micrograms per cubic meter)"/>
    <m/>
    <x v="0"/>
  </r>
  <r>
    <x v="24"/>
    <s v="PM2,5 air pollution, mean annual exposure (micrograms per cubic meter)"/>
    <m/>
    <x v="0"/>
  </r>
  <r>
    <x v="25"/>
    <s v="PM2,5 air pollution, mean annual exposure (micrograms per cubic meter)"/>
    <m/>
    <x v="0"/>
  </r>
  <r>
    <x v="26"/>
    <s v="PM2,5 air pollution, mean annual exposure (micrograms per cubic meter)"/>
    <m/>
    <x v="0"/>
  </r>
  <r>
    <x v="27"/>
    <s v="PM2,5 air pollution, mean annual exposure (micrograms per cubic meter)"/>
    <m/>
    <x v="0"/>
  </r>
  <r>
    <x v="0"/>
    <s v="PM2,5 air pollution, mean annual exposure (micrograms per cubic meter)"/>
    <m/>
    <x v="1"/>
  </r>
  <r>
    <x v="1"/>
    <s v="PM2,5 air pollution, mean annual exposure (micrograms per cubic meter)"/>
    <m/>
    <x v="1"/>
  </r>
  <r>
    <x v="2"/>
    <s v="PM2,5 air pollution, mean annual exposure (micrograms per cubic meter)"/>
    <m/>
    <x v="1"/>
  </r>
  <r>
    <x v="3"/>
    <s v="PM2,5 air pollution, mean annual exposure (micrograms per cubic meter)"/>
    <m/>
    <x v="1"/>
  </r>
  <r>
    <x v="4"/>
    <s v="PM2,5 air pollution, mean annual exposure (micrograms per cubic meter)"/>
    <m/>
    <x v="1"/>
  </r>
  <r>
    <x v="5"/>
    <s v="PM2,5 air pollution, mean annual exposure (micrograms per cubic meter)"/>
    <m/>
    <x v="1"/>
  </r>
  <r>
    <x v="6"/>
    <s v="PM2,5 air pollution, mean annual exposure (micrograms per cubic meter)"/>
    <m/>
    <x v="1"/>
  </r>
  <r>
    <x v="7"/>
    <s v="PM2,5 air pollution, mean annual exposure (micrograms per cubic meter)"/>
    <m/>
    <x v="1"/>
  </r>
  <r>
    <x v="8"/>
    <s v="PM2,5 air pollution, mean annual exposure (micrograms per cubic meter)"/>
    <m/>
    <x v="1"/>
  </r>
  <r>
    <x v="9"/>
    <s v="PM2,5 air pollution, mean annual exposure (micrograms per cubic meter)"/>
    <m/>
    <x v="1"/>
  </r>
  <r>
    <x v="10"/>
    <s v="PM2,5 air pollution, mean annual exposure (micrograms per cubic meter)"/>
    <m/>
    <x v="1"/>
  </r>
  <r>
    <x v="11"/>
    <s v="PM2,5 air pollution, mean annual exposure (micrograms per cubic meter)"/>
    <m/>
    <x v="1"/>
  </r>
  <r>
    <x v="12"/>
    <s v="PM2,5 air pollution, mean annual exposure (micrograms per cubic meter)"/>
    <m/>
    <x v="1"/>
  </r>
  <r>
    <x v="13"/>
    <s v="PM2,5 air pollution, mean annual exposure (micrograms per cubic meter)"/>
    <m/>
    <x v="1"/>
  </r>
  <r>
    <x v="14"/>
    <s v="PM2,5 air pollution, mean annual exposure (micrograms per cubic meter)"/>
    <m/>
    <x v="1"/>
  </r>
  <r>
    <x v="15"/>
    <s v="PM2,5 air pollution, mean annual exposure (micrograms per cubic meter)"/>
    <m/>
    <x v="1"/>
  </r>
  <r>
    <x v="16"/>
    <s v="PM2,5 air pollution, mean annual exposure (micrograms per cubic meter)"/>
    <m/>
    <x v="1"/>
  </r>
  <r>
    <x v="17"/>
    <s v="PM2,5 air pollution, mean annual exposure (micrograms per cubic meter)"/>
    <m/>
    <x v="1"/>
  </r>
  <r>
    <x v="18"/>
    <s v="PM2,5 air pollution, mean annual exposure (micrograms per cubic meter)"/>
    <m/>
    <x v="1"/>
  </r>
  <r>
    <x v="19"/>
    <s v="PM2,5 air pollution, mean annual exposure (micrograms per cubic meter)"/>
    <m/>
    <x v="1"/>
  </r>
  <r>
    <x v="20"/>
    <s v="PM2,5 air pollution, mean annual exposure (micrograms per cubic meter)"/>
    <m/>
    <x v="1"/>
  </r>
  <r>
    <x v="21"/>
    <s v="PM2,5 air pollution, mean annual exposure (micrograms per cubic meter)"/>
    <m/>
    <x v="1"/>
  </r>
  <r>
    <x v="22"/>
    <s v="PM2,5 air pollution, mean annual exposure (micrograms per cubic meter)"/>
    <m/>
    <x v="1"/>
  </r>
  <r>
    <x v="23"/>
    <s v="PM2,5 air pollution, mean annual exposure (micrograms per cubic meter)"/>
    <m/>
    <x v="1"/>
  </r>
  <r>
    <x v="24"/>
    <s v="PM2,5 air pollution, mean annual exposure (micrograms per cubic meter)"/>
    <m/>
    <x v="1"/>
  </r>
  <r>
    <x v="25"/>
    <s v="PM2,5 air pollution, mean annual exposure (micrograms per cubic meter)"/>
    <m/>
    <x v="1"/>
  </r>
  <r>
    <x v="26"/>
    <s v="PM2,5 air pollution, mean annual exposure (micrograms per cubic meter)"/>
    <m/>
    <x v="1"/>
  </r>
  <r>
    <x v="27"/>
    <s v="PM2,5 air pollution, mean annual exposure (micrograms per cubic meter)"/>
    <m/>
    <x v="1"/>
  </r>
  <r>
    <x v="0"/>
    <s v="PM2,5 air pollution, mean annual exposure (micrograms per cubic meter)"/>
    <m/>
    <x v="2"/>
  </r>
  <r>
    <x v="1"/>
    <s v="PM2,5 air pollution, mean annual exposure (micrograms per cubic meter)"/>
    <m/>
    <x v="2"/>
  </r>
  <r>
    <x v="2"/>
    <s v="PM2,5 air pollution, mean annual exposure (micrograms per cubic meter)"/>
    <m/>
    <x v="2"/>
  </r>
  <r>
    <x v="3"/>
    <s v="PM2,5 air pollution, mean annual exposure (micrograms per cubic meter)"/>
    <m/>
    <x v="2"/>
  </r>
  <r>
    <x v="4"/>
    <s v="PM2,5 air pollution, mean annual exposure (micrograms per cubic meter)"/>
    <m/>
    <x v="2"/>
  </r>
  <r>
    <x v="5"/>
    <s v="PM2,5 air pollution, mean annual exposure (micrograms per cubic meter)"/>
    <m/>
    <x v="2"/>
  </r>
  <r>
    <x v="6"/>
    <s v="PM2,5 air pollution, mean annual exposure (micrograms per cubic meter)"/>
    <m/>
    <x v="2"/>
  </r>
  <r>
    <x v="7"/>
    <s v="PM2,5 air pollution, mean annual exposure (micrograms per cubic meter)"/>
    <m/>
    <x v="2"/>
  </r>
  <r>
    <x v="8"/>
    <s v="PM2,5 air pollution, mean annual exposure (micrograms per cubic meter)"/>
    <m/>
    <x v="2"/>
  </r>
  <r>
    <x v="9"/>
    <s v="PM2,5 air pollution, mean annual exposure (micrograms per cubic meter)"/>
    <m/>
    <x v="2"/>
  </r>
  <r>
    <x v="10"/>
    <s v="PM2,5 air pollution, mean annual exposure (micrograms per cubic meter)"/>
    <m/>
    <x v="2"/>
  </r>
  <r>
    <x v="11"/>
    <s v="PM2,5 air pollution, mean annual exposure (micrograms per cubic meter)"/>
    <m/>
    <x v="2"/>
  </r>
  <r>
    <x v="12"/>
    <s v="PM2,5 air pollution, mean annual exposure (micrograms per cubic meter)"/>
    <m/>
    <x v="2"/>
  </r>
  <r>
    <x v="13"/>
    <s v="PM2,5 air pollution, mean annual exposure (micrograms per cubic meter)"/>
    <m/>
    <x v="2"/>
  </r>
  <r>
    <x v="14"/>
    <s v="PM2,5 air pollution, mean annual exposure (micrograms per cubic meter)"/>
    <m/>
    <x v="2"/>
  </r>
  <r>
    <x v="15"/>
    <s v="PM2,5 air pollution, mean annual exposure (micrograms per cubic meter)"/>
    <m/>
    <x v="2"/>
  </r>
  <r>
    <x v="16"/>
    <s v="PM2,5 air pollution, mean annual exposure (micrograms per cubic meter)"/>
    <m/>
    <x v="2"/>
  </r>
  <r>
    <x v="17"/>
    <s v="PM2,5 air pollution, mean annual exposure (micrograms per cubic meter)"/>
    <m/>
    <x v="2"/>
  </r>
  <r>
    <x v="18"/>
    <s v="PM2,5 air pollution, mean annual exposure (micrograms per cubic meter)"/>
    <m/>
    <x v="2"/>
  </r>
  <r>
    <x v="19"/>
    <s v="PM2,5 air pollution, mean annual exposure (micrograms per cubic meter)"/>
    <m/>
    <x v="2"/>
  </r>
  <r>
    <x v="20"/>
    <s v="PM2,5 air pollution, mean annual exposure (micrograms per cubic meter)"/>
    <m/>
    <x v="2"/>
  </r>
  <r>
    <x v="21"/>
    <s v="PM2,5 air pollution, mean annual exposure (micrograms per cubic meter)"/>
    <m/>
    <x v="2"/>
  </r>
  <r>
    <x v="22"/>
    <s v="PM2,5 air pollution, mean annual exposure (micrograms per cubic meter)"/>
    <m/>
    <x v="2"/>
  </r>
  <r>
    <x v="23"/>
    <s v="PM2,5 air pollution, mean annual exposure (micrograms per cubic meter)"/>
    <m/>
    <x v="2"/>
  </r>
  <r>
    <x v="24"/>
    <s v="PM2,5 air pollution, mean annual exposure (micrograms per cubic meter)"/>
    <m/>
    <x v="2"/>
  </r>
  <r>
    <x v="25"/>
    <s v="PM2,5 air pollution, mean annual exposure (micrograms per cubic meter)"/>
    <m/>
    <x v="2"/>
  </r>
  <r>
    <x v="26"/>
    <s v="PM2,5 air pollution, mean annual exposure (micrograms per cubic meter)"/>
    <m/>
    <x v="2"/>
  </r>
  <r>
    <x v="27"/>
    <s v="PM2,5 air pollution, mean annual exposure (micrograms per cubic meter)"/>
    <m/>
    <x v="2"/>
  </r>
  <r>
    <x v="0"/>
    <s v="PM2,5 air pollution, mean annual exposure (micrograms per cubic meter)"/>
    <m/>
    <x v="3"/>
  </r>
  <r>
    <x v="1"/>
    <s v="PM2,5 air pollution, mean annual exposure (micrograms per cubic meter)"/>
    <m/>
    <x v="3"/>
  </r>
  <r>
    <x v="2"/>
    <s v="PM2,5 air pollution, mean annual exposure (micrograms per cubic meter)"/>
    <m/>
    <x v="3"/>
  </r>
  <r>
    <x v="3"/>
    <s v="PM2,5 air pollution, mean annual exposure (micrograms per cubic meter)"/>
    <m/>
    <x v="3"/>
  </r>
  <r>
    <x v="4"/>
    <s v="PM2,5 air pollution, mean annual exposure (micrograms per cubic meter)"/>
    <m/>
    <x v="3"/>
  </r>
  <r>
    <x v="5"/>
    <s v="PM2,5 air pollution, mean annual exposure (micrograms per cubic meter)"/>
    <m/>
    <x v="3"/>
  </r>
  <r>
    <x v="6"/>
    <s v="PM2,5 air pollution, mean annual exposure (micrograms per cubic meter)"/>
    <m/>
    <x v="3"/>
  </r>
  <r>
    <x v="7"/>
    <s v="PM2,5 air pollution, mean annual exposure (micrograms per cubic meter)"/>
    <m/>
    <x v="3"/>
  </r>
  <r>
    <x v="8"/>
    <s v="PM2,5 air pollution, mean annual exposure (micrograms per cubic meter)"/>
    <m/>
    <x v="3"/>
  </r>
  <r>
    <x v="9"/>
    <s v="PM2,5 air pollution, mean annual exposure (micrograms per cubic meter)"/>
    <m/>
    <x v="3"/>
  </r>
  <r>
    <x v="10"/>
    <s v="PM2,5 air pollution, mean annual exposure (micrograms per cubic meter)"/>
    <m/>
    <x v="3"/>
  </r>
  <r>
    <x v="11"/>
    <s v="PM2,5 air pollution, mean annual exposure (micrograms per cubic meter)"/>
    <m/>
    <x v="3"/>
  </r>
  <r>
    <x v="12"/>
    <s v="PM2,5 air pollution, mean annual exposure (micrograms per cubic meter)"/>
    <m/>
    <x v="3"/>
  </r>
  <r>
    <x v="13"/>
    <s v="PM2,5 air pollution, mean annual exposure (micrograms per cubic meter)"/>
    <m/>
    <x v="3"/>
  </r>
  <r>
    <x v="14"/>
    <s v="PM2,5 air pollution, mean annual exposure (micrograms per cubic meter)"/>
    <m/>
    <x v="3"/>
  </r>
  <r>
    <x v="15"/>
    <s v="PM2,5 air pollution, mean annual exposure (micrograms per cubic meter)"/>
    <m/>
    <x v="3"/>
  </r>
  <r>
    <x v="16"/>
    <s v="PM2,5 air pollution, mean annual exposure (micrograms per cubic meter)"/>
    <m/>
    <x v="3"/>
  </r>
  <r>
    <x v="17"/>
    <s v="PM2,5 air pollution, mean annual exposure (micrograms per cubic meter)"/>
    <m/>
    <x v="3"/>
  </r>
  <r>
    <x v="18"/>
    <s v="PM2,5 air pollution, mean annual exposure (micrograms per cubic meter)"/>
    <m/>
    <x v="3"/>
  </r>
  <r>
    <x v="19"/>
    <s v="PM2,5 air pollution, mean annual exposure (micrograms per cubic meter)"/>
    <m/>
    <x v="3"/>
  </r>
  <r>
    <x v="20"/>
    <s v="PM2,5 air pollution, mean annual exposure (micrograms per cubic meter)"/>
    <m/>
    <x v="3"/>
  </r>
  <r>
    <x v="21"/>
    <s v="PM2,5 air pollution, mean annual exposure (micrograms per cubic meter)"/>
    <m/>
    <x v="3"/>
  </r>
  <r>
    <x v="22"/>
    <s v="PM2,5 air pollution, mean annual exposure (micrograms per cubic meter)"/>
    <m/>
    <x v="3"/>
  </r>
  <r>
    <x v="23"/>
    <s v="PM2,5 air pollution, mean annual exposure (micrograms per cubic meter)"/>
    <m/>
    <x v="3"/>
  </r>
  <r>
    <x v="24"/>
    <s v="PM2,5 air pollution, mean annual exposure (micrograms per cubic meter)"/>
    <m/>
    <x v="3"/>
  </r>
  <r>
    <x v="25"/>
    <s v="PM2,5 air pollution, mean annual exposure (micrograms per cubic meter)"/>
    <m/>
    <x v="3"/>
  </r>
  <r>
    <x v="26"/>
    <s v="PM2,5 air pollution, mean annual exposure (micrograms per cubic meter)"/>
    <m/>
    <x v="3"/>
  </r>
  <r>
    <x v="27"/>
    <s v="PM2,5 air pollution, mean annual exposure (micrograms per cubic meter)"/>
    <m/>
    <x v="3"/>
  </r>
  <r>
    <x v="0"/>
    <s v="PM2,5 air pollution, mean annual exposure (micrograms per cubic meter)"/>
    <m/>
    <x v="4"/>
  </r>
  <r>
    <x v="1"/>
    <s v="PM2,5 air pollution, mean annual exposure (micrograms per cubic meter)"/>
    <m/>
    <x v="4"/>
  </r>
  <r>
    <x v="2"/>
    <s v="PM2,5 air pollution, mean annual exposure (micrograms per cubic meter)"/>
    <m/>
    <x v="4"/>
  </r>
  <r>
    <x v="3"/>
    <s v="PM2,5 air pollution, mean annual exposure (micrograms per cubic meter)"/>
    <m/>
    <x v="4"/>
  </r>
  <r>
    <x v="4"/>
    <s v="PM2,5 air pollution, mean annual exposure (micrograms per cubic meter)"/>
    <m/>
    <x v="4"/>
  </r>
  <r>
    <x v="5"/>
    <s v="PM2,5 air pollution, mean annual exposure (micrograms per cubic meter)"/>
    <m/>
    <x v="4"/>
  </r>
  <r>
    <x v="6"/>
    <s v="PM2,5 air pollution, mean annual exposure (micrograms per cubic meter)"/>
    <m/>
    <x v="4"/>
  </r>
  <r>
    <x v="7"/>
    <s v="PM2,5 air pollution, mean annual exposure (micrograms per cubic meter)"/>
    <m/>
    <x v="4"/>
  </r>
  <r>
    <x v="8"/>
    <s v="PM2,5 air pollution, mean annual exposure (micrograms per cubic meter)"/>
    <m/>
    <x v="4"/>
  </r>
  <r>
    <x v="9"/>
    <s v="PM2,5 air pollution, mean annual exposure (micrograms per cubic meter)"/>
    <m/>
    <x v="4"/>
  </r>
  <r>
    <x v="10"/>
    <s v="PM2,5 air pollution, mean annual exposure (micrograms per cubic meter)"/>
    <m/>
    <x v="4"/>
  </r>
  <r>
    <x v="11"/>
    <s v="PM2,5 air pollution, mean annual exposure (micrograms per cubic meter)"/>
    <m/>
    <x v="4"/>
  </r>
  <r>
    <x v="12"/>
    <s v="PM2,5 air pollution, mean annual exposure (micrograms per cubic meter)"/>
    <m/>
    <x v="4"/>
  </r>
  <r>
    <x v="13"/>
    <s v="PM2,5 air pollution, mean annual exposure (micrograms per cubic meter)"/>
    <m/>
    <x v="4"/>
  </r>
  <r>
    <x v="14"/>
    <s v="PM2,5 air pollution, mean annual exposure (micrograms per cubic meter)"/>
    <m/>
    <x v="4"/>
  </r>
  <r>
    <x v="15"/>
    <s v="PM2,5 air pollution, mean annual exposure (micrograms per cubic meter)"/>
    <m/>
    <x v="4"/>
  </r>
  <r>
    <x v="16"/>
    <s v="PM2,5 air pollution, mean annual exposure (micrograms per cubic meter)"/>
    <m/>
    <x v="4"/>
  </r>
  <r>
    <x v="17"/>
    <s v="PM2,5 air pollution, mean annual exposure (micrograms per cubic meter)"/>
    <m/>
    <x v="4"/>
  </r>
  <r>
    <x v="18"/>
    <s v="PM2,5 air pollution, mean annual exposure (micrograms per cubic meter)"/>
    <m/>
    <x v="4"/>
  </r>
  <r>
    <x v="19"/>
    <s v="PM2,5 air pollution, mean annual exposure (micrograms per cubic meter)"/>
    <m/>
    <x v="4"/>
  </r>
  <r>
    <x v="20"/>
    <s v="PM2,5 air pollution, mean annual exposure (micrograms per cubic meter)"/>
    <m/>
    <x v="4"/>
  </r>
  <r>
    <x v="21"/>
    <s v="PM2,5 air pollution, mean annual exposure (micrograms per cubic meter)"/>
    <m/>
    <x v="4"/>
  </r>
  <r>
    <x v="22"/>
    <s v="PM2,5 air pollution, mean annual exposure (micrograms per cubic meter)"/>
    <m/>
    <x v="4"/>
  </r>
  <r>
    <x v="23"/>
    <s v="PM2,5 air pollution, mean annual exposure (micrograms per cubic meter)"/>
    <m/>
    <x v="4"/>
  </r>
  <r>
    <x v="24"/>
    <s v="PM2,5 air pollution, mean annual exposure (micrograms per cubic meter)"/>
    <m/>
    <x v="4"/>
  </r>
  <r>
    <x v="25"/>
    <s v="PM2,5 air pollution, mean annual exposure (micrograms per cubic meter)"/>
    <m/>
    <x v="4"/>
  </r>
  <r>
    <x v="26"/>
    <s v="PM2,5 air pollution, mean annual exposure (micrograms per cubic meter)"/>
    <m/>
    <x v="4"/>
  </r>
  <r>
    <x v="27"/>
    <s v="PM2,5 air pollution, mean annual exposure (micrograms per cubic meter)"/>
    <m/>
    <x v="4"/>
  </r>
  <r>
    <x v="0"/>
    <s v="PM2,5 air pollution, mean annual exposure (micrograms per cubic meter)"/>
    <m/>
    <x v="5"/>
  </r>
  <r>
    <x v="1"/>
    <s v="PM2,5 air pollution, mean annual exposure (micrograms per cubic meter)"/>
    <m/>
    <x v="5"/>
  </r>
  <r>
    <x v="2"/>
    <s v="PM2,5 air pollution, mean annual exposure (micrograms per cubic meter)"/>
    <m/>
    <x v="5"/>
  </r>
  <r>
    <x v="3"/>
    <s v="PM2,5 air pollution, mean annual exposure (micrograms per cubic meter)"/>
    <m/>
    <x v="5"/>
  </r>
  <r>
    <x v="4"/>
    <s v="PM2,5 air pollution, mean annual exposure (micrograms per cubic meter)"/>
    <m/>
    <x v="5"/>
  </r>
  <r>
    <x v="5"/>
    <s v="PM2,5 air pollution, mean annual exposure (micrograms per cubic meter)"/>
    <m/>
    <x v="5"/>
  </r>
  <r>
    <x v="6"/>
    <s v="PM2,5 air pollution, mean annual exposure (micrograms per cubic meter)"/>
    <m/>
    <x v="5"/>
  </r>
  <r>
    <x v="7"/>
    <s v="PM2,5 air pollution, mean annual exposure (micrograms per cubic meter)"/>
    <m/>
    <x v="5"/>
  </r>
  <r>
    <x v="8"/>
    <s v="PM2,5 air pollution, mean annual exposure (micrograms per cubic meter)"/>
    <m/>
    <x v="5"/>
  </r>
  <r>
    <x v="9"/>
    <s v="PM2,5 air pollution, mean annual exposure (micrograms per cubic meter)"/>
    <m/>
    <x v="5"/>
  </r>
  <r>
    <x v="10"/>
    <s v="PM2,5 air pollution, mean annual exposure (micrograms per cubic meter)"/>
    <m/>
    <x v="5"/>
  </r>
  <r>
    <x v="11"/>
    <s v="PM2,5 air pollution, mean annual exposure (micrograms per cubic meter)"/>
    <m/>
    <x v="5"/>
  </r>
  <r>
    <x v="12"/>
    <s v="PM2,5 air pollution, mean annual exposure (micrograms per cubic meter)"/>
    <m/>
    <x v="5"/>
  </r>
  <r>
    <x v="13"/>
    <s v="PM2,5 air pollution, mean annual exposure (micrograms per cubic meter)"/>
    <m/>
    <x v="5"/>
  </r>
  <r>
    <x v="14"/>
    <s v="PM2,5 air pollution, mean annual exposure (micrograms per cubic meter)"/>
    <m/>
    <x v="5"/>
  </r>
  <r>
    <x v="15"/>
    <s v="PM2,5 air pollution, mean annual exposure (micrograms per cubic meter)"/>
    <m/>
    <x v="5"/>
  </r>
  <r>
    <x v="16"/>
    <s v="PM2,5 air pollution, mean annual exposure (micrograms per cubic meter)"/>
    <m/>
    <x v="5"/>
  </r>
  <r>
    <x v="17"/>
    <s v="PM2,5 air pollution, mean annual exposure (micrograms per cubic meter)"/>
    <m/>
    <x v="5"/>
  </r>
  <r>
    <x v="18"/>
    <s v="PM2,5 air pollution, mean annual exposure (micrograms per cubic meter)"/>
    <m/>
    <x v="5"/>
  </r>
  <r>
    <x v="19"/>
    <s v="PM2,5 air pollution, mean annual exposure (micrograms per cubic meter)"/>
    <m/>
    <x v="5"/>
  </r>
  <r>
    <x v="20"/>
    <s v="PM2,5 air pollution, mean annual exposure (micrograms per cubic meter)"/>
    <m/>
    <x v="5"/>
  </r>
  <r>
    <x v="21"/>
    <s v="PM2,5 air pollution, mean annual exposure (micrograms per cubic meter)"/>
    <m/>
    <x v="5"/>
  </r>
  <r>
    <x v="22"/>
    <s v="PM2,5 air pollution, mean annual exposure (micrograms per cubic meter)"/>
    <m/>
    <x v="5"/>
  </r>
  <r>
    <x v="23"/>
    <s v="PM2,5 air pollution, mean annual exposure (micrograms per cubic meter)"/>
    <m/>
    <x v="5"/>
  </r>
  <r>
    <x v="24"/>
    <s v="PM2,5 air pollution, mean annual exposure (micrograms per cubic meter)"/>
    <m/>
    <x v="5"/>
  </r>
  <r>
    <x v="25"/>
    <s v="PM2,5 air pollution, mean annual exposure (micrograms per cubic meter)"/>
    <m/>
    <x v="5"/>
  </r>
  <r>
    <x v="26"/>
    <s v="PM2,5 air pollution, mean annual exposure (micrograms per cubic meter)"/>
    <m/>
    <x v="5"/>
  </r>
  <r>
    <x v="27"/>
    <s v="PM2,5 air pollution, mean annual exposure (micrograms per cubic meter)"/>
    <m/>
    <x v="5"/>
  </r>
  <r>
    <x v="0"/>
    <s v="PM2,5 air pollution, mean annual exposure (micrograms per cubic meter)"/>
    <m/>
    <x v="6"/>
  </r>
  <r>
    <x v="1"/>
    <s v="PM2,5 air pollution, mean annual exposure (micrograms per cubic meter)"/>
    <m/>
    <x v="6"/>
  </r>
  <r>
    <x v="2"/>
    <s v="PM2,5 air pollution, mean annual exposure (micrograms per cubic meter)"/>
    <m/>
    <x v="6"/>
  </r>
  <r>
    <x v="3"/>
    <s v="PM2,5 air pollution, mean annual exposure (micrograms per cubic meter)"/>
    <m/>
    <x v="6"/>
  </r>
  <r>
    <x v="4"/>
    <s v="PM2,5 air pollution, mean annual exposure (micrograms per cubic meter)"/>
    <m/>
    <x v="6"/>
  </r>
  <r>
    <x v="5"/>
    <s v="PM2,5 air pollution, mean annual exposure (micrograms per cubic meter)"/>
    <m/>
    <x v="6"/>
  </r>
  <r>
    <x v="6"/>
    <s v="PM2,5 air pollution, mean annual exposure (micrograms per cubic meter)"/>
    <m/>
    <x v="6"/>
  </r>
  <r>
    <x v="7"/>
    <s v="PM2,5 air pollution, mean annual exposure (micrograms per cubic meter)"/>
    <m/>
    <x v="6"/>
  </r>
  <r>
    <x v="8"/>
    <s v="PM2,5 air pollution, mean annual exposure (micrograms per cubic meter)"/>
    <m/>
    <x v="6"/>
  </r>
  <r>
    <x v="9"/>
    <s v="PM2,5 air pollution, mean annual exposure (micrograms per cubic meter)"/>
    <m/>
    <x v="6"/>
  </r>
  <r>
    <x v="10"/>
    <s v="PM2,5 air pollution, mean annual exposure (micrograms per cubic meter)"/>
    <m/>
    <x v="6"/>
  </r>
  <r>
    <x v="11"/>
    <s v="PM2,5 air pollution, mean annual exposure (micrograms per cubic meter)"/>
    <m/>
    <x v="6"/>
  </r>
  <r>
    <x v="12"/>
    <s v="PM2,5 air pollution, mean annual exposure (micrograms per cubic meter)"/>
    <m/>
    <x v="6"/>
  </r>
  <r>
    <x v="13"/>
    <s v="PM2,5 air pollution, mean annual exposure (micrograms per cubic meter)"/>
    <m/>
    <x v="6"/>
  </r>
  <r>
    <x v="14"/>
    <s v="PM2,5 air pollution, mean annual exposure (micrograms per cubic meter)"/>
    <m/>
    <x v="6"/>
  </r>
  <r>
    <x v="15"/>
    <s v="PM2,5 air pollution, mean annual exposure (micrograms per cubic meter)"/>
    <m/>
    <x v="6"/>
  </r>
  <r>
    <x v="16"/>
    <s v="PM2,5 air pollution, mean annual exposure (micrograms per cubic meter)"/>
    <m/>
    <x v="6"/>
  </r>
  <r>
    <x v="17"/>
    <s v="PM2,5 air pollution, mean annual exposure (micrograms per cubic meter)"/>
    <m/>
    <x v="6"/>
  </r>
  <r>
    <x v="18"/>
    <s v="PM2,5 air pollution, mean annual exposure (micrograms per cubic meter)"/>
    <m/>
    <x v="6"/>
  </r>
  <r>
    <x v="19"/>
    <s v="PM2,5 air pollution, mean annual exposure (micrograms per cubic meter)"/>
    <m/>
    <x v="6"/>
  </r>
  <r>
    <x v="20"/>
    <s v="PM2,5 air pollution, mean annual exposure (micrograms per cubic meter)"/>
    <m/>
    <x v="6"/>
  </r>
  <r>
    <x v="21"/>
    <s v="PM2,5 air pollution, mean annual exposure (micrograms per cubic meter)"/>
    <m/>
    <x v="6"/>
  </r>
  <r>
    <x v="22"/>
    <s v="PM2,5 air pollution, mean annual exposure (micrograms per cubic meter)"/>
    <m/>
    <x v="6"/>
  </r>
  <r>
    <x v="23"/>
    <s v="PM2,5 air pollution, mean annual exposure (micrograms per cubic meter)"/>
    <m/>
    <x v="6"/>
  </r>
  <r>
    <x v="24"/>
    <s v="PM2,5 air pollution, mean annual exposure (micrograms per cubic meter)"/>
    <m/>
    <x v="6"/>
  </r>
  <r>
    <x v="25"/>
    <s v="PM2,5 air pollution, mean annual exposure (micrograms per cubic meter)"/>
    <m/>
    <x v="6"/>
  </r>
  <r>
    <x v="26"/>
    <s v="PM2,5 air pollution, mean annual exposure (micrograms per cubic meter)"/>
    <m/>
    <x v="6"/>
  </r>
  <r>
    <x v="27"/>
    <s v="PM2,5 air pollution, mean annual exposure (micrograms per cubic meter)"/>
    <m/>
    <x v="6"/>
  </r>
  <r>
    <x v="0"/>
    <s v="PM2,5 air pollution, mean annual exposure (micrograms per cubic meter)"/>
    <m/>
    <x v="7"/>
  </r>
  <r>
    <x v="1"/>
    <s v="PM2,5 air pollution, mean annual exposure (micrograms per cubic meter)"/>
    <m/>
    <x v="7"/>
  </r>
  <r>
    <x v="2"/>
    <s v="PM2,5 air pollution, mean annual exposure (micrograms per cubic meter)"/>
    <m/>
    <x v="7"/>
  </r>
  <r>
    <x v="3"/>
    <s v="PM2,5 air pollution, mean annual exposure (micrograms per cubic meter)"/>
    <m/>
    <x v="7"/>
  </r>
  <r>
    <x v="4"/>
    <s v="PM2,5 air pollution, mean annual exposure (micrograms per cubic meter)"/>
    <m/>
    <x v="7"/>
  </r>
  <r>
    <x v="5"/>
    <s v="PM2,5 air pollution, mean annual exposure (micrograms per cubic meter)"/>
    <m/>
    <x v="7"/>
  </r>
  <r>
    <x v="6"/>
    <s v="PM2,5 air pollution, mean annual exposure (micrograms per cubic meter)"/>
    <m/>
    <x v="7"/>
  </r>
  <r>
    <x v="7"/>
    <s v="PM2,5 air pollution, mean annual exposure (micrograms per cubic meter)"/>
    <m/>
    <x v="7"/>
  </r>
  <r>
    <x v="8"/>
    <s v="PM2,5 air pollution, mean annual exposure (micrograms per cubic meter)"/>
    <m/>
    <x v="7"/>
  </r>
  <r>
    <x v="9"/>
    <s v="PM2,5 air pollution, mean annual exposure (micrograms per cubic meter)"/>
    <m/>
    <x v="7"/>
  </r>
  <r>
    <x v="10"/>
    <s v="PM2,5 air pollution, mean annual exposure (micrograms per cubic meter)"/>
    <m/>
    <x v="7"/>
  </r>
  <r>
    <x v="11"/>
    <s v="PM2,5 air pollution, mean annual exposure (micrograms per cubic meter)"/>
    <m/>
    <x v="7"/>
  </r>
  <r>
    <x v="12"/>
    <s v="PM2,5 air pollution, mean annual exposure (micrograms per cubic meter)"/>
    <m/>
    <x v="7"/>
  </r>
  <r>
    <x v="13"/>
    <s v="PM2,5 air pollution, mean annual exposure (micrograms per cubic meter)"/>
    <m/>
    <x v="7"/>
  </r>
  <r>
    <x v="14"/>
    <s v="PM2,5 air pollution, mean annual exposure (micrograms per cubic meter)"/>
    <m/>
    <x v="7"/>
  </r>
  <r>
    <x v="15"/>
    <s v="PM2,5 air pollution, mean annual exposure (micrograms per cubic meter)"/>
    <m/>
    <x v="7"/>
  </r>
  <r>
    <x v="16"/>
    <s v="PM2,5 air pollution, mean annual exposure (micrograms per cubic meter)"/>
    <m/>
    <x v="7"/>
  </r>
  <r>
    <x v="17"/>
    <s v="PM2,5 air pollution, mean annual exposure (micrograms per cubic meter)"/>
    <m/>
    <x v="7"/>
  </r>
  <r>
    <x v="18"/>
    <s v="PM2,5 air pollution, mean annual exposure (micrograms per cubic meter)"/>
    <m/>
    <x v="7"/>
  </r>
  <r>
    <x v="19"/>
    <s v="PM2,5 air pollution, mean annual exposure (micrograms per cubic meter)"/>
    <m/>
    <x v="7"/>
  </r>
  <r>
    <x v="20"/>
    <s v="PM2,5 air pollution, mean annual exposure (micrograms per cubic meter)"/>
    <m/>
    <x v="7"/>
  </r>
  <r>
    <x v="21"/>
    <s v="PM2,5 air pollution, mean annual exposure (micrograms per cubic meter)"/>
    <m/>
    <x v="7"/>
  </r>
  <r>
    <x v="22"/>
    <s v="PM2,5 air pollution, mean annual exposure (micrograms per cubic meter)"/>
    <m/>
    <x v="7"/>
  </r>
  <r>
    <x v="23"/>
    <s v="PM2,5 air pollution, mean annual exposure (micrograms per cubic meter)"/>
    <m/>
    <x v="7"/>
  </r>
  <r>
    <x v="24"/>
    <s v="PM2,5 air pollution, mean annual exposure (micrograms per cubic meter)"/>
    <m/>
    <x v="7"/>
  </r>
  <r>
    <x v="25"/>
    <s v="PM2,5 air pollution, mean annual exposure (micrograms per cubic meter)"/>
    <m/>
    <x v="7"/>
  </r>
  <r>
    <x v="26"/>
    <s v="PM2,5 air pollution, mean annual exposure (micrograms per cubic meter)"/>
    <m/>
    <x v="7"/>
  </r>
  <r>
    <x v="27"/>
    <s v="PM2,5 air pollution, mean annual exposure (micrograms per cubic meter)"/>
    <m/>
    <x v="7"/>
  </r>
  <r>
    <x v="0"/>
    <s v="PM2,5 air pollution, mean annual exposure (micrograms per cubic meter)"/>
    <m/>
    <x v="8"/>
  </r>
  <r>
    <x v="1"/>
    <s v="PM2,5 air pollution, mean annual exposure (micrograms per cubic meter)"/>
    <m/>
    <x v="8"/>
  </r>
  <r>
    <x v="2"/>
    <s v="PM2,5 air pollution, mean annual exposure (micrograms per cubic meter)"/>
    <m/>
    <x v="8"/>
  </r>
  <r>
    <x v="3"/>
    <s v="PM2,5 air pollution, mean annual exposure (micrograms per cubic meter)"/>
    <m/>
    <x v="8"/>
  </r>
  <r>
    <x v="4"/>
    <s v="PM2,5 air pollution, mean annual exposure (micrograms per cubic meter)"/>
    <m/>
    <x v="8"/>
  </r>
  <r>
    <x v="5"/>
    <s v="PM2,5 air pollution, mean annual exposure (micrograms per cubic meter)"/>
    <m/>
    <x v="8"/>
  </r>
  <r>
    <x v="6"/>
    <s v="PM2,5 air pollution, mean annual exposure (micrograms per cubic meter)"/>
    <m/>
    <x v="8"/>
  </r>
  <r>
    <x v="7"/>
    <s v="PM2,5 air pollution, mean annual exposure (micrograms per cubic meter)"/>
    <m/>
    <x v="8"/>
  </r>
  <r>
    <x v="8"/>
    <s v="PM2,5 air pollution, mean annual exposure (micrograms per cubic meter)"/>
    <m/>
    <x v="8"/>
  </r>
  <r>
    <x v="9"/>
    <s v="PM2,5 air pollution, mean annual exposure (micrograms per cubic meter)"/>
    <m/>
    <x v="8"/>
  </r>
  <r>
    <x v="10"/>
    <s v="PM2,5 air pollution, mean annual exposure (micrograms per cubic meter)"/>
    <m/>
    <x v="8"/>
  </r>
  <r>
    <x v="11"/>
    <s v="PM2,5 air pollution, mean annual exposure (micrograms per cubic meter)"/>
    <m/>
    <x v="8"/>
  </r>
  <r>
    <x v="12"/>
    <s v="PM2,5 air pollution, mean annual exposure (micrograms per cubic meter)"/>
    <m/>
    <x v="8"/>
  </r>
  <r>
    <x v="13"/>
    <s v="PM2,5 air pollution, mean annual exposure (micrograms per cubic meter)"/>
    <m/>
    <x v="8"/>
  </r>
  <r>
    <x v="14"/>
    <s v="PM2,5 air pollution, mean annual exposure (micrograms per cubic meter)"/>
    <m/>
    <x v="8"/>
  </r>
  <r>
    <x v="15"/>
    <s v="PM2,5 air pollution, mean annual exposure (micrograms per cubic meter)"/>
    <m/>
    <x v="8"/>
  </r>
  <r>
    <x v="16"/>
    <s v="PM2,5 air pollution, mean annual exposure (micrograms per cubic meter)"/>
    <m/>
    <x v="8"/>
  </r>
  <r>
    <x v="17"/>
    <s v="PM2,5 air pollution, mean annual exposure (micrograms per cubic meter)"/>
    <m/>
    <x v="8"/>
  </r>
  <r>
    <x v="18"/>
    <s v="PM2,5 air pollution, mean annual exposure (micrograms per cubic meter)"/>
    <m/>
    <x v="8"/>
  </r>
  <r>
    <x v="19"/>
    <s v="PM2,5 air pollution, mean annual exposure (micrograms per cubic meter)"/>
    <m/>
    <x v="8"/>
  </r>
  <r>
    <x v="20"/>
    <s v="PM2,5 air pollution, mean annual exposure (micrograms per cubic meter)"/>
    <m/>
    <x v="8"/>
  </r>
  <r>
    <x v="21"/>
    <s v="PM2,5 air pollution, mean annual exposure (micrograms per cubic meter)"/>
    <m/>
    <x v="8"/>
  </r>
  <r>
    <x v="22"/>
    <s v="PM2,5 air pollution, mean annual exposure (micrograms per cubic meter)"/>
    <m/>
    <x v="8"/>
  </r>
  <r>
    <x v="23"/>
    <s v="PM2,5 air pollution, mean annual exposure (micrograms per cubic meter)"/>
    <m/>
    <x v="8"/>
  </r>
  <r>
    <x v="24"/>
    <s v="PM2,5 air pollution, mean annual exposure (micrograms per cubic meter)"/>
    <m/>
    <x v="8"/>
  </r>
  <r>
    <x v="25"/>
    <s v="PM2,5 air pollution, mean annual exposure (micrograms per cubic meter)"/>
    <m/>
    <x v="8"/>
  </r>
  <r>
    <x v="26"/>
    <s v="PM2,5 air pollution, mean annual exposure (micrograms per cubic meter)"/>
    <m/>
    <x v="8"/>
  </r>
  <r>
    <x v="27"/>
    <s v="PM2,5 air pollution, mean annual exposure (micrograms per cubic meter)"/>
    <m/>
    <x v="8"/>
  </r>
  <r>
    <x v="0"/>
    <s v="PM2,5 air pollution, mean annual exposure (micrograms per cubic meter)"/>
    <m/>
    <x v="9"/>
  </r>
  <r>
    <x v="1"/>
    <s v="PM2,5 air pollution, mean annual exposure (micrograms per cubic meter)"/>
    <m/>
    <x v="9"/>
  </r>
  <r>
    <x v="2"/>
    <s v="PM2,5 air pollution, mean annual exposure (micrograms per cubic meter)"/>
    <m/>
    <x v="9"/>
  </r>
  <r>
    <x v="3"/>
    <s v="PM2,5 air pollution, mean annual exposure (micrograms per cubic meter)"/>
    <m/>
    <x v="9"/>
  </r>
  <r>
    <x v="4"/>
    <s v="PM2,5 air pollution, mean annual exposure (micrograms per cubic meter)"/>
    <m/>
    <x v="9"/>
  </r>
  <r>
    <x v="5"/>
    <s v="PM2,5 air pollution, mean annual exposure (micrograms per cubic meter)"/>
    <m/>
    <x v="9"/>
  </r>
  <r>
    <x v="6"/>
    <s v="PM2,5 air pollution, mean annual exposure (micrograms per cubic meter)"/>
    <m/>
    <x v="9"/>
  </r>
  <r>
    <x v="7"/>
    <s v="PM2,5 air pollution, mean annual exposure (micrograms per cubic meter)"/>
    <m/>
    <x v="9"/>
  </r>
  <r>
    <x v="8"/>
    <s v="PM2,5 air pollution, mean annual exposure (micrograms per cubic meter)"/>
    <m/>
    <x v="9"/>
  </r>
  <r>
    <x v="9"/>
    <s v="PM2,5 air pollution, mean annual exposure (micrograms per cubic meter)"/>
    <m/>
    <x v="9"/>
  </r>
  <r>
    <x v="10"/>
    <s v="PM2,5 air pollution, mean annual exposure (micrograms per cubic meter)"/>
    <m/>
    <x v="9"/>
  </r>
  <r>
    <x v="11"/>
    <s v="PM2,5 air pollution, mean annual exposure (micrograms per cubic meter)"/>
    <m/>
    <x v="9"/>
  </r>
  <r>
    <x v="12"/>
    <s v="PM2,5 air pollution, mean annual exposure (micrograms per cubic meter)"/>
    <m/>
    <x v="9"/>
  </r>
  <r>
    <x v="13"/>
    <s v="PM2,5 air pollution, mean annual exposure (micrograms per cubic meter)"/>
    <m/>
    <x v="9"/>
  </r>
  <r>
    <x v="14"/>
    <s v="PM2,5 air pollution, mean annual exposure (micrograms per cubic meter)"/>
    <m/>
    <x v="9"/>
  </r>
  <r>
    <x v="15"/>
    <s v="PM2,5 air pollution, mean annual exposure (micrograms per cubic meter)"/>
    <m/>
    <x v="9"/>
  </r>
  <r>
    <x v="16"/>
    <s v="PM2,5 air pollution, mean annual exposure (micrograms per cubic meter)"/>
    <m/>
    <x v="9"/>
  </r>
  <r>
    <x v="17"/>
    <s v="PM2,5 air pollution, mean annual exposure (micrograms per cubic meter)"/>
    <m/>
    <x v="9"/>
  </r>
  <r>
    <x v="18"/>
    <s v="PM2,5 air pollution, mean annual exposure (micrograms per cubic meter)"/>
    <m/>
    <x v="9"/>
  </r>
  <r>
    <x v="19"/>
    <s v="PM2,5 air pollution, mean annual exposure (micrograms per cubic meter)"/>
    <m/>
    <x v="9"/>
  </r>
  <r>
    <x v="20"/>
    <s v="PM2,5 air pollution, mean annual exposure (micrograms per cubic meter)"/>
    <m/>
    <x v="9"/>
  </r>
  <r>
    <x v="21"/>
    <s v="PM2,5 air pollution, mean annual exposure (micrograms per cubic meter)"/>
    <m/>
    <x v="9"/>
  </r>
  <r>
    <x v="22"/>
    <s v="PM2,5 air pollution, mean annual exposure (micrograms per cubic meter)"/>
    <m/>
    <x v="9"/>
  </r>
  <r>
    <x v="23"/>
    <s v="PM2,5 air pollution, mean annual exposure (micrograms per cubic meter)"/>
    <m/>
    <x v="9"/>
  </r>
  <r>
    <x v="24"/>
    <s v="PM2,5 air pollution, mean annual exposure (micrograms per cubic meter)"/>
    <m/>
    <x v="9"/>
  </r>
  <r>
    <x v="25"/>
    <s v="PM2,5 air pollution, mean annual exposure (micrograms per cubic meter)"/>
    <m/>
    <x v="9"/>
  </r>
  <r>
    <x v="26"/>
    <s v="PM2,5 air pollution, mean annual exposure (micrograms per cubic meter)"/>
    <m/>
    <x v="9"/>
  </r>
  <r>
    <x v="27"/>
    <s v="PM2,5 air pollution, mean annual exposure (micrograms per cubic meter)"/>
    <m/>
    <x v="9"/>
  </r>
  <r>
    <x v="0"/>
    <s v="PM2,5 air pollution, mean annual exposure (micrograms per cubic meter)"/>
    <m/>
    <x v="10"/>
  </r>
  <r>
    <x v="1"/>
    <s v="PM2,5 air pollution, mean annual exposure (micrograms per cubic meter)"/>
    <m/>
    <x v="10"/>
  </r>
  <r>
    <x v="2"/>
    <s v="PM2,5 air pollution, mean annual exposure (micrograms per cubic meter)"/>
    <m/>
    <x v="10"/>
  </r>
  <r>
    <x v="3"/>
    <s v="PM2,5 air pollution, mean annual exposure (micrograms per cubic meter)"/>
    <m/>
    <x v="10"/>
  </r>
  <r>
    <x v="4"/>
    <s v="PM2,5 air pollution, mean annual exposure (micrograms per cubic meter)"/>
    <m/>
    <x v="10"/>
  </r>
  <r>
    <x v="5"/>
    <s v="PM2,5 air pollution, mean annual exposure (micrograms per cubic meter)"/>
    <m/>
    <x v="10"/>
  </r>
  <r>
    <x v="6"/>
    <s v="PM2,5 air pollution, mean annual exposure (micrograms per cubic meter)"/>
    <m/>
    <x v="10"/>
  </r>
  <r>
    <x v="7"/>
    <s v="PM2,5 air pollution, mean annual exposure (micrograms per cubic meter)"/>
    <m/>
    <x v="10"/>
  </r>
  <r>
    <x v="8"/>
    <s v="PM2,5 air pollution, mean annual exposure (micrograms per cubic meter)"/>
    <m/>
    <x v="10"/>
  </r>
  <r>
    <x v="9"/>
    <s v="PM2,5 air pollution, mean annual exposure (micrograms per cubic meter)"/>
    <m/>
    <x v="10"/>
  </r>
  <r>
    <x v="10"/>
    <s v="PM2,5 air pollution, mean annual exposure (micrograms per cubic meter)"/>
    <m/>
    <x v="10"/>
  </r>
  <r>
    <x v="11"/>
    <s v="PM2,5 air pollution, mean annual exposure (micrograms per cubic meter)"/>
    <m/>
    <x v="10"/>
  </r>
  <r>
    <x v="12"/>
    <s v="PM2,5 air pollution, mean annual exposure (micrograms per cubic meter)"/>
    <m/>
    <x v="10"/>
  </r>
  <r>
    <x v="13"/>
    <s v="PM2,5 air pollution, mean annual exposure (micrograms per cubic meter)"/>
    <m/>
    <x v="10"/>
  </r>
  <r>
    <x v="14"/>
    <s v="PM2,5 air pollution, mean annual exposure (micrograms per cubic meter)"/>
    <m/>
    <x v="10"/>
  </r>
  <r>
    <x v="15"/>
    <s v="PM2,5 air pollution, mean annual exposure (micrograms per cubic meter)"/>
    <m/>
    <x v="10"/>
  </r>
  <r>
    <x v="16"/>
    <s v="PM2,5 air pollution, mean annual exposure (micrograms per cubic meter)"/>
    <m/>
    <x v="10"/>
  </r>
  <r>
    <x v="17"/>
    <s v="PM2,5 air pollution, mean annual exposure (micrograms per cubic meter)"/>
    <m/>
    <x v="10"/>
  </r>
  <r>
    <x v="18"/>
    <s v="PM2,5 air pollution, mean annual exposure (micrograms per cubic meter)"/>
    <m/>
    <x v="10"/>
  </r>
  <r>
    <x v="19"/>
    <s v="PM2,5 air pollution, mean annual exposure (micrograms per cubic meter)"/>
    <m/>
    <x v="10"/>
  </r>
  <r>
    <x v="20"/>
    <s v="PM2,5 air pollution, mean annual exposure (micrograms per cubic meter)"/>
    <m/>
    <x v="10"/>
  </r>
  <r>
    <x v="21"/>
    <s v="PM2,5 air pollution, mean annual exposure (micrograms per cubic meter)"/>
    <m/>
    <x v="10"/>
  </r>
  <r>
    <x v="22"/>
    <s v="PM2,5 air pollution, mean annual exposure (micrograms per cubic meter)"/>
    <m/>
    <x v="10"/>
  </r>
  <r>
    <x v="23"/>
    <s v="PM2,5 air pollution, mean annual exposure (micrograms per cubic meter)"/>
    <m/>
    <x v="10"/>
  </r>
  <r>
    <x v="24"/>
    <s v="PM2,5 air pollution, mean annual exposure (micrograms per cubic meter)"/>
    <m/>
    <x v="10"/>
  </r>
  <r>
    <x v="25"/>
    <s v="PM2,5 air pollution, mean annual exposure (micrograms per cubic meter)"/>
    <m/>
    <x v="10"/>
  </r>
  <r>
    <x v="26"/>
    <s v="PM2,5 air pollution, mean annual exposure (micrograms per cubic meter)"/>
    <m/>
    <x v="10"/>
  </r>
  <r>
    <x v="27"/>
    <s v="PM2,5 air pollution, mean annual exposure (micrograms per cubic meter)"/>
    <m/>
    <x v="10"/>
  </r>
  <r>
    <x v="0"/>
    <s v="PM2,5 air pollution, mean annual exposure (micrograms per cubic meter)"/>
    <m/>
    <x v="11"/>
  </r>
  <r>
    <x v="1"/>
    <s v="PM2,5 air pollution, mean annual exposure (micrograms per cubic meter)"/>
    <m/>
    <x v="11"/>
  </r>
  <r>
    <x v="2"/>
    <s v="PM2,5 air pollution, mean annual exposure (micrograms per cubic meter)"/>
    <m/>
    <x v="11"/>
  </r>
  <r>
    <x v="3"/>
    <s v="PM2,5 air pollution, mean annual exposure (micrograms per cubic meter)"/>
    <m/>
    <x v="11"/>
  </r>
  <r>
    <x v="4"/>
    <s v="PM2,5 air pollution, mean annual exposure (micrograms per cubic meter)"/>
    <m/>
    <x v="11"/>
  </r>
  <r>
    <x v="5"/>
    <s v="PM2,5 air pollution, mean annual exposure (micrograms per cubic meter)"/>
    <m/>
    <x v="11"/>
  </r>
  <r>
    <x v="6"/>
    <s v="PM2,5 air pollution, mean annual exposure (micrograms per cubic meter)"/>
    <m/>
    <x v="11"/>
  </r>
  <r>
    <x v="7"/>
    <s v="PM2,5 air pollution, mean annual exposure (micrograms per cubic meter)"/>
    <m/>
    <x v="11"/>
  </r>
  <r>
    <x v="8"/>
    <s v="PM2,5 air pollution, mean annual exposure (micrograms per cubic meter)"/>
    <m/>
    <x v="11"/>
  </r>
  <r>
    <x v="9"/>
    <s v="PM2,5 air pollution, mean annual exposure (micrograms per cubic meter)"/>
    <m/>
    <x v="11"/>
  </r>
  <r>
    <x v="10"/>
    <s v="PM2,5 air pollution, mean annual exposure (micrograms per cubic meter)"/>
    <m/>
    <x v="11"/>
  </r>
  <r>
    <x v="11"/>
    <s v="PM2,5 air pollution, mean annual exposure (micrograms per cubic meter)"/>
    <m/>
    <x v="11"/>
  </r>
  <r>
    <x v="12"/>
    <s v="PM2,5 air pollution, mean annual exposure (micrograms per cubic meter)"/>
    <m/>
    <x v="11"/>
  </r>
  <r>
    <x v="13"/>
    <s v="PM2,5 air pollution, mean annual exposure (micrograms per cubic meter)"/>
    <m/>
    <x v="11"/>
  </r>
  <r>
    <x v="14"/>
    <s v="PM2,5 air pollution, mean annual exposure (micrograms per cubic meter)"/>
    <m/>
    <x v="11"/>
  </r>
  <r>
    <x v="15"/>
    <s v="PM2,5 air pollution, mean annual exposure (micrograms per cubic meter)"/>
    <m/>
    <x v="11"/>
  </r>
  <r>
    <x v="16"/>
    <s v="PM2,5 air pollution, mean annual exposure (micrograms per cubic meter)"/>
    <m/>
    <x v="11"/>
  </r>
  <r>
    <x v="17"/>
    <s v="PM2,5 air pollution, mean annual exposure (micrograms per cubic meter)"/>
    <m/>
    <x v="11"/>
  </r>
  <r>
    <x v="18"/>
    <s v="PM2,5 air pollution, mean annual exposure (micrograms per cubic meter)"/>
    <m/>
    <x v="11"/>
  </r>
  <r>
    <x v="19"/>
    <s v="PM2,5 air pollution, mean annual exposure (micrograms per cubic meter)"/>
    <m/>
    <x v="11"/>
  </r>
  <r>
    <x v="20"/>
    <s v="PM2,5 air pollution, mean annual exposure (micrograms per cubic meter)"/>
    <m/>
    <x v="11"/>
  </r>
  <r>
    <x v="21"/>
    <s v="PM2,5 air pollution, mean annual exposure (micrograms per cubic meter)"/>
    <m/>
    <x v="11"/>
  </r>
  <r>
    <x v="22"/>
    <s v="PM2,5 air pollution, mean annual exposure (micrograms per cubic meter)"/>
    <m/>
    <x v="11"/>
  </r>
  <r>
    <x v="23"/>
    <s v="PM2,5 air pollution, mean annual exposure (micrograms per cubic meter)"/>
    <m/>
    <x v="11"/>
  </r>
  <r>
    <x v="24"/>
    <s v="PM2,5 air pollution, mean annual exposure (micrograms per cubic meter)"/>
    <m/>
    <x v="11"/>
  </r>
  <r>
    <x v="25"/>
    <s v="PM2,5 air pollution, mean annual exposure (micrograms per cubic meter)"/>
    <m/>
    <x v="11"/>
  </r>
  <r>
    <x v="26"/>
    <s v="PM2,5 air pollution, mean annual exposure (micrograms per cubic meter)"/>
    <m/>
    <x v="11"/>
  </r>
  <r>
    <x v="27"/>
    <s v="PM2,5 air pollution, mean annual exposure (micrograms per cubic meter)"/>
    <m/>
    <x v="11"/>
  </r>
  <r>
    <x v="0"/>
    <s v="PM2,5 air pollution, mean annual exposure (micrograms per cubic meter)"/>
    <m/>
    <x v="12"/>
  </r>
  <r>
    <x v="1"/>
    <s v="PM2,5 air pollution, mean annual exposure (micrograms per cubic meter)"/>
    <m/>
    <x v="12"/>
  </r>
  <r>
    <x v="2"/>
    <s v="PM2,5 air pollution, mean annual exposure (micrograms per cubic meter)"/>
    <m/>
    <x v="12"/>
  </r>
  <r>
    <x v="3"/>
    <s v="PM2,5 air pollution, mean annual exposure (micrograms per cubic meter)"/>
    <m/>
    <x v="12"/>
  </r>
  <r>
    <x v="4"/>
    <s v="PM2,5 air pollution, mean annual exposure (micrograms per cubic meter)"/>
    <m/>
    <x v="12"/>
  </r>
  <r>
    <x v="5"/>
    <s v="PM2,5 air pollution, mean annual exposure (micrograms per cubic meter)"/>
    <m/>
    <x v="12"/>
  </r>
  <r>
    <x v="6"/>
    <s v="PM2,5 air pollution, mean annual exposure (micrograms per cubic meter)"/>
    <m/>
    <x v="12"/>
  </r>
  <r>
    <x v="7"/>
    <s v="PM2,5 air pollution, mean annual exposure (micrograms per cubic meter)"/>
    <m/>
    <x v="12"/>
  </r>
  <r>
    <x v="8"/>
    <s v="PM2,5 air pollution, mean annual exposure (micrograms per cubic meter)"/>
    <m/>
    <x v="12"/>
  </r>
  <r>
    <x v="9"/>
    <s v="PM2,5 air pollution, mean annual exposure (micrograms per cubic meter)"/>
    <m/>
    <x v="12"/>
  </r>
  <r>
    <x v="10"/>
    <s v="PM2,5 air pollution, mean annual exposure (micrograms per cubic meter)"/>
    <m/>
    <x v="12"/>
  </r>
  <r>
    <x v="11"/>
    <s v="PM2,5 air pollution, mean annual exposure (micrograms per cubic meter)"/>
    <m/>
    <x v="12"/>
  </r>
  <r>
    <x v="12"/>
    <s v="PM2,5 air pollution, mean annual exposure (micrograms per cubic meter)"/>
    <m/>
    <x v="12"/>
  </r>
  <r>
    <x v="13"/>
    <s v="PM2,5 air pollution, mean annual exposure (micrograms per cubic meter)"/>
    <m/>
    <x v="12"/>
  </r>
  <r>
    <x v="14"/>
    <s v="PM2,5 air pollution, mean annual exposure (micrograms per cubic meter)"/>
    <m/>
    <x v="12"/>
  </r>
  <r>
    <x v="15"/>
    <s v="PM2,5 air pollution, mean annual exposure (micrograms per cubic meter)"/>
    <m/>
    <x v="12"/>
  </r>
  <r>
    <x v="16"/>
    <s v="PM2,5 air pollution, mean annual exposure (micrograms per cubic meter)"/>
    <m/>
    <x v="12"/>
  </r>
  <r>
    <x v="17"/>
    <s v="PM2,5 air pollution, mean annual exposure (micrograms per cubic meter)"/>
    <m/>
    <x v="12"/>
  </r>
  <r>
    <x v="18"/>
    <s v="PM2,5 air pollution, mean annual exposure (micrograms per cubic meter)"/>
    <m/>
    <x v="12"/>
  </r>
  <r>
    <x v="19"/>
    <s v="PM2,5 air pollution, mean annual exposure (micrograms per cubic meter)"/>
    <m/>
    <x v="12"/>
  </r>
  <r>
    <x v="20"/>
    <s v="PM2,5 air pollution, mean annual exposure (micrograms per cubic meter)"/>
    <m/>
    <x v="12"/>
  </r>
  <r>
    <x v="21"/>
    <s v="PM2,5 air pollution, mean annual exposure (micrograms per cubic meter)"/>
    <m/>
    <x v="12"/>
  </r>
  <r>
    <x v="22"/>
    <s v="PM2,5 air pollution, mean annual exposure (micrograms per cubic meter)"/>
    <m/>
    <x v="12"/>
  </r>
  <r>
    <x v="23"/>
    <s v="PM2,5 air pollution, mean annual exposure (micrograms per cubic meter)"/>
    <m/>
    <x v="12"/>
  </r>
  <r>
    <x v="24"/>
    <s v="PM2,5 air pollution, mean annual exposure (micrograms per cubic meter)"/>
    <m/>
    <x v="12"/>
  </r>
  <r>
    <x v="25"/>
    <s v="PM2,5 air pollution, mean annual exposure (micrograms per cubic meter)"/>
    <m/>
    <x v="12"/>
  </r>
  <r>
    <x v="26"/>
    <s v="PM2,5 air pollution, mean annual exposure (micrograms per cubic meter)"/>
    <m/>
    <x v="12"/>
  </r>
  <r>
    <x v="27"/>
    <s v="PM2,5 air pollution, mean annual exposure (micrograms per cubic meter)"/>
    <m/>
    <x v="12"/>
  </r>
  <r>
    <x v="0"/>
    <s v="PM2,5 air pollution, mean annual exposure (micrograms per cubic meter)"/>
    <m/>
    <x v="13"/>
  </r>
  <r>
    <x v="1"/>
    <s v="PM2,5 air pollution, mean annual exposure (micrograms per cubic meter)"/>
    <m/>
    <x v="13"/>
  </r>
  <r>
    <x v="2"/>
    <s v="PM2,5 air pollution, mean annual exposure (micrograms per cubic meter)"/>
    <m/>
    <x v="13"/>
  </r>
  <r>
    <x v="3"/>
    <s v="PM2,5 air pollution, mean annual exposure (micrograms per cubic meter)"/>
    <m/>
    <x v="13"/>
  </r>
  <r>
    <x v="4"/>
    <s v="PM2,5 air pollution, mean annual exposure (micrograms per cubic meter)"/>
    <m/>
    <x v="13"/>
  </r>
  <r>
    <x v="5"/>
    <s v="PM2,5 air pollution, mean annual exposure (micrograms per cubic meter)"/>
    <m/>
    <x v="13"/>
  </r>
  <r>
    <x v="6"/>
    <s v="PM2,5 air pollution, mean annual exposure (micrograms per cubic meter)"/>
    <m/>
    <x v="13"/>
  </r>
  <r>
    <x v="7"/>
    <s v="PM2,5 air pollution, mean annual exposure (micrograms per cubic meter)"/>
    <m/>
    <x v="13"/>
  </r>
  <r>
    <x v="8"/>
    <s v="PM2,5 air pollution, mean annual exposure (micrograms per cubic meter)"/>
    <m/>
    <x v="13"/>
  </r>
  <r>
    <x v="9"/>
    <s v="PM2,5 air pollution, mean annual exposure (micrograms per cubic meter)"/>
    <m/>
    <x v="13"/>
  </r>
  <r>
    <x v="10"/>
    <s v="PM2,5 air pollution, mean annual exposure (micrograms per cubic meter)"/>
    <m/>
    <x v="13"/>
  </r>
  <r>
    <x v="11"/>
    <s v="PM2,5 air pollution, mean annual exposure (micrograms per cubic meter)"/>
    <m/>
    <x v="13"/>
  </r>
  <r>
    <x v="12"/>
    <s v="PM2,5 air pollution, mean annual exposure (micrograms per cubic meter)"/>
    <m/>
    <x v="13"/>
  </r>
  <r>
    <x v="13"/>
    <s v="PM2,5 air pollution, mean annual exposure (micrograms per cubic meter)"/>
    <m/>
    <x v="13"/>
  </r>
  <r>
    <x v="14"/>
    <s v="PM2,5 air pollution, mean annual exposure (micrograms per cubic meter)"/>
    <m/>
    <x v="13"/>
  </r>
  <r>
    <x v="15"/>
    <s v="PM2,5 air pollution, mean annual exposure (micrograms per cubic meter)"/>
    <m/>
    <x v="13"/>
  </r>
  <r>
    <x v="16"/>
    <s v="PM2,5 air pollution, mean annual exposure (micrograms per cubic meter)"/>
    <m/>
    <x v="13"/>
  </r>
  <r>
    <x v="17"/>
    <s v="PM2,5 air pollution, mean annual exposure (micrograms per cubic meter)"/>
    <m/>
    <x v="13"/>
  </r>
  <r>
    <x v="18"/>
    <s v="PM2,5 air pollution, mean annual exposure (micrograms per cubic meter)"/>
    <m/>
    <x v="13"/>
  </r>
  <r>
    <x v="19"/>
    <s v="PM2,5 air pollution, mean annual exposure (micrograms per cubic meter)"/>
    <m/>
    <x v="13"/>
  </r>
  <r>
    <x v="20"/>
    <s v="PM2,5 air pollution, mean annual exposure (micrograms per cubic meter)"/>
    <m/>
    <x v="13"/>
  </r>
  <r>
    <x v="21"/>
    <s v="PM2,5 air pollution, mean annual exposure (micrograms per cubic meter)"/>
    <m/>
    <x v="13"/>
  </r>
  <r>
    <x v="22"/>
    <s v="PM2,5 air pollution, mean annual exposure (micrograms per cubic meter)"/>
    <m/>
    <x v="13"/>
  </r>
  <r>
    <x v="23"/>
    <s v="PM2,5 air pollution, mean annual exposure (micrograms per cubic meter)"/>
    <m/>
    <x v="13"/>
  </r>
  <r>
    <x v="24"/>
    <s v="PM2,5 air pollution, mean annual exposure (micrograms per cubic meter)"/>
    <m/>
    <x v="13"/>
  </r>
  <r>
    <x v="25"/>
    <s v="PM2,5 air pollution, mean annual exposure (micrograms per cubic meter)"/>
    <m/>
    <x v="13"/>
  </r>
  <r>
    <x v="26"/>
    <s v="PM2,5 air pollution, mean annual exposure (micrograms per cubic meter)"/>
    <m/>
    <x v="13"/>
  </r>
  <r>
    <x v="27"/>
    <s v="PM2,5 air pollution, mean annual exposure (micrograms per cubic meter)"/>
    <m/>
    <x v="13"/>
  </r>
  <r>
    <x v="0"/>
    <s v="PM2,5 air pollution, mean annual exposure (micrograms per cubic meter)"/>
    <m/>
    <x v="14"/>
  </r>
  <r>
    <x v="1"/>
    <s v="PM2,5 air pollution, mean annual exposure (micrograms per cubic meter)"/>
    <m/>
    <x v="14"/>
  </r>
  <r>
    <x v="2"/>
    <s v="PM2,5 air pollution, mean annual exposure (micrograms per cubic meter)"/>
    <m/>
    <x v="14"/>
  </r>
  <r>
    <x v="3"/>
    <s v="PM2,5 air pollution, mean annual exposure (micrograms per cubic meter)"/>
    <m/>
    <x v="14"/>
  </r>
  <r>
    <x v="4"/>
    <s v="PM2,5 air pollution, mean annual exposure (micrograms per cubic meter)"/>
    <m/>
    <x v="14"/>
  </r>
  <r>
    <x v="5"/>
    <s v="PM2,5 air pollution, mean annual exposure (micrograms per cubic meter)"/>
    <m/>
    <x v="14"/>
  </r>
  <r>
    <x v="6"/>
    <s v="PM2,5 air pollution, mean annual exposure (micrograms per cubic meter)"/>
    <m/>
    <x v="14"/>
  </r>
  <r>
    <x v="7"/>
    <s v="PM2,5 air pollution, mean annual exposure (micrograms per cubic meter)"/>
    <m/>
    <x v="14"/>
  </r>
  <r>
    <x v="8"/>
    <s v="PM2,5 air pollution, mean annual exposure (micrograms per cubic meter)"/>
    <m/>
    <x v="14"/>
  </r>
  <r>
    <x v="9"/>
    <s v="PM2,5 air pollution, mean annual exposure (micrograms per cubic meter)"/>
    <m/>
    <x v="14"/>
  </r>
  <r>
    <x v="10"/>
    <s v="PM2,5 air pollution, mean annual exposure (micrograms per cubic meter)"/>
    <m/>
    <x v="14"/>
  </r>
  <r>
    <x v="11"/>
    <s v="PM2,5 air pollution, mean annual exposure (micrograms per cubic meter)"/>
    <m/>
    <x v="14"/>
  </r>
  <r>
    <x v="12"/>
    <s v="PM2,5 air pollution, mean annual exposure (micrograms per cubic meter)"/>
    <m/>
    <x v="14"/>
  </r>
  <r>
    <x v="13"/>
    <s v="PM2,5 air pollution, mean annual exposure (micrograms per cubic meter)"/>
    <m/>
    <x v="14"/>
  </r>
  <r>
    <x v="14"/>
    <s v="PM2,5 air pollution, mean annual exposure (micrograms per cubic meter)"/>
    <m/>
    <x v="14"/>
  </r>
  <r>
    <x v="15"/>
    <s v="PM2,5 air pollution, mean annual exposure (micrograms per cubic meter)"/>
    <m/>
    <x v="14"/>
  </r>
  <r>
    <x v="16"/>
    <s v="PM2,5 air pollution, mean annual exposure (micrograms per cubic meter)"/>
    <m/>
    <x v="14"/>
  </r>
  <r>
    <x v="17"/>
    <s v="PM2,5 air pollution, mean annual exposure (micrograms per cubic meter)"/>
    <m/>
    <x v="14"/>
  </r>
  <r>
    <x v="18"/>
    <s v="PM2,5 air pollution, mean annual exposure (micrograms per cubic meter)"/>
    <m/>
    <x v="14"/>
  </r>
  <r>
    <x v="19"/>
    <s v="PM2,5 air pollution, mean annual exposure (micrograms per cubic meter)"/>
    <m/>
    <x v="14"/>
  </r>
  <r>
    <x v="20"/>
    <s v="PM2,5 air pollution, mean annual exposure (micrograms per cubic meter)"/>
    <m/>
    <x v="14"/>
  </r>
  <r>
    <x v="21"/>
    <s v="PM2,5 air pollution, mean annual exposure (micrograms per cubic meter)"/>
    <m/>
    <x v="14"/>
  </r>
  <r>
    <x v="22"/>
    <s v="PM2,5 air pollution, mean annual exposure (micrograms per cubic meter)"/>
    <m/>
    <x v="14"/>
  </r>
  <r>
    <x v="23"/>
    <s v="PM2,5 air pollution, mean annual exposure (micrograms per cubic meter)"/>
    <m/>
    <x v="14"/>
  </r>
  <r>
    <x v="24"/>
    <s v="PM2,5 air pollution, mean annual exposure (micrograms per cubic meter)"/>
    <m/>
    <x v="14"/>
  </r>
  <r>
    <x v="25"/>
    <s v="PM2,5 air pollution, mean annual exposure (micrograms per cubic meter)"/>
    <m/>
    <x v="14"/>
  </r>
  <r>
    <x v="26"/>
    <s v="PM2,5 air pollution, mean annual exposure (micrograms per cubic meter)"/>
    <m/>
    <x v="14"/>
  </r>
  <r>
    <x v="27"/>
    <s v="PM2,5 air pollution, mean annual exposure (micrograms per cubic meter)"/>
    <m/>
    <x v="14"/>
  </r>
  <r>
    <x v="0"/>
    <s v="PM2,5 air pollution, mean annual exposure (micrograms per cubic meter)"/>
    <m/>
    <x v="15"/>
  </r>
  <r>
    <x v="1"/>
    <s v="PM2,5 air pollution, mean annual exposure (micrograms per cubic meter)"/>
    <m/>
    <x v="15"/>
  </r>
  <r>
    <x v="2"/>
    <s v="PM2,5 air pollution, mean annual exposure (micrograms per cubic meter)"/>
    <m/>
    <x v="15"/>
  </r>
  <r>
    <x v="3"/>
    <s v="PM2,5 air pollution, mean annual exposure (micrograms per cubic meter)"/>
    <m/>
    <x v="15"/>
  </r>
  <r>
    <x v="4"/>
    <s v="PM2,5 air pollution, mean annual exposure (micrograms per cubic meter)"/>
    <m/>
    <x v="15"/>
  </r>
  <r>
    <x v="5"/>
    <s v="PM2,5 air pollution, mean annual exposure (micrograms per cubic meter)"/>
    <m/>
    <x v="15"/>
  </r>
  <r>
    <x v="6"/>
    <s v="PM2,5 air pollution, mean annual exposure (micrograms per cubic meter)"/>
    <m/>
    <x v="15"/>
  </r>
  <r>
    <x v="7"/>
    <s v="PM2,5 air pollution, mean annual exposure (micrograms per cubic meter)"/>
    <m/>
    <x v="15"/>
  </r>
  <r>
    <x v="8"/>
    <s v="PM2,5 air pollution, mean annual exposure (micrograms per cubic meter)"/>
    <m/>
    <x v="15"/>
  </r>
  <r>
    <x v="9"/>
    <s v="PM2,5 air pollution, mean annual exposure (micrograms per cubic meter)"/>
    <m/>
    <x v="15"/>
  </r>
  <r>
    <x v="10"/>
    <s v="PM2,5 air pollution, mean annual exposure (micrograms per cubic meter)"/>
    <m/>
    <x v="15"/>
  </r>
  <r>
    <x v="11"/>
    <s v="PM2,5 air pollution, mean annual exposure (micrograms per cubic meter)"/>
    <m/>
    <x v="15"/>
  </r>
  <r>
    <x v="12"/>
    <s v="PM2,5 air pollution, mean annual exposure (micrograms per cubic meter)"/>
    <m/>
    <x v="15"/>
  </r>
  <r>
    <x v="13"/>
    <s v="PM2,5 air pollution, mean annual exposure (micrograms per cubic meter)"/>
    <m/>
    <x v="15"/>
  </r>
  <r>
    <x v="14"/>
    <s v="PM2,5 air pollution, mean annual exposure (micrograms per cubic meter)"/>
    <m/>
    <x v="15"/>
  </r>
  <r>
    <x v="15"/>
    <s v="PM2,5 air pollution, mean annual exposure (micrograms per cubic meter)"/>
    <m/>
    <x v="15"/>
  </r>
  <r>
    <x v="16"/>
    <s v="PM2,5 air pollution, mean annual exposure (micrograms per cubic meter)"/>
    <m/>
    <x v="15"/>
  </r>
  <r>
    <x v="17"/>
    <s v="PM2,5 air pollution, mean annual exposure (micrograms per cubic meter)"/>
    <m/>
    <x v="15"/>
  </r>
  <r>
    <x v="18"/>
    <s v="PM2,5 air pollution, mean annual exposure (micrograms per cubic meter)"/>
    <m/>
    <x v="15"/>
  </r>
  <r>
    <x v="19"/>
    <s v="PM2,5 air pollution, mean annual exposure (micrograms per cubic meter)"/>
    <m/>
    <x v="15"/>
  </r>
  <r>
    <x v="20"/>
    <s v="PM2,5 air pollution, mean annual exposure (micrograms per cubic meter)"/>
    <m/>
    <x v="15"/>
  </r>
  <r>
    <x v="21"/>
    <s v="PM2,5 air pollution, mean annual exposure (micrograms per cubic meter)"/>
    <m/>
    <x v="15"/>
  </r>
  <r>
    <x v="22"/>
    <s v="PM2,5 air pollution, mean annual exposure (micrograms per cubic meter)"/>
    <m/>
    <x v="15"/>
  </r>
  <r>
    <x v="23"/>
    <s v="PM2,5 air pollution, mean annual exposure (micrograms per cubic meter)"/>
    <m/>
    <x v="15"/>
  </r>
  <r>
    <x v="24"/>
    <s v="PM2,5 air pollution, mean annual exposure (micrograms per cubic meter)"/>
    <m/>
    <x v="15"/>
  </r>
  <r>
    <x v="25"/>
    <s v="PM2,5 air pollution, mean annual exposure (micrograms per cubic meter)"/>
    <m/>
    <x v="15"/>
  </r>
  <r>
    <x v="26"/>
    <s v="PM2,5 air pollution, mean annual exposure (micrograms per cubic meter)"/>
    <m/>
    <x v="15"/>
  </r>
  <r>
    <x v="27"/>
    <s v="PM2,5 air pollution, mean annual exposure (micrograms per cubic meter)"/>
    <m/>
    <x v="15"/>
  </r>
  <r>
    <x v="0"/>
    <s v="PM2,5 air pollution, mean annual exposure (micrograms per cubic meter)"/>
    <m/>
    <x v="16"/>
  </r>
  <r>
    <x v="1"/>
    <s v="PM2,5 air pollution, mean annual exposure (micrograms per cubic meter)"/>
    <m/>
    <x v="16"/>
  </r>
  <r>
    <x v="2"/>
    <s v="PM2,5 air pollution, mean annual exposure (micrograms per cubic meter)"/>
    <m/>
    <x v="16"/>
  </r>
  <r>
    <x v="3"/>
    <s v="PM2,5 air pollution, mean annual exposure (micrograms per cubic meter)"/>
    <m/>
    <x v="16"/>
  </r>
  <r>
    <x v="4"/>
    <s v="PM2,5 air pollution, mean annual exposure (micrograms per cubic meter)"/>
    <m/>
    <x v="16"/>
  </r>
  <r>
    <x v="5"/>
    <s v="PM2,5 air pollution, mean annual exposure (micrograms per cubic meter)"/>
    <m/>
    <x v="16"/>
  </r>
  <r>
    <x v="6"/>
    <s v="PM2,5 air pollution, mean annual exposure (micrograms per cubic meter)"/>
    <m/>
    <x v="16"/>
  </r>
  <r>
    <x v="7"/>
    <s v="PM2,5 air pollution, mean annual exposure (micrograms per cubic meter)"/>
    <m/>
    <x v="16"/>
  </r>
  <r>
    <x v="8"/>
    <s v="PM2,5 air pollution, mean annual exposure (micrograms per cubic meter)"/>
    <m/>
    <x v="16"/>
  </r>
  <r>
    <x v="9"/>
    <s v="PM2,5 air pollution, mean annual exposure (micrograms per cubic meter)"/>
    <m/>
    <x v="16"/>
  </r>
  <r>
    <x v="10"/>
    <s v="PM2,5 air pollution, mean annual exposure (micrograms per cubic meter)"/>
    <m/>
    <x v="16"/>
  </r>
  <r>
    <x v="11"/>
    <s v="PM2,5 air pollution, mean annual exposure (micrograms per cubic meter)"/>
    <m/>
    <x v="16"/>
  </r>
  <r>
    <x v="12"/>
    <s v="PM2,5 air pollution, mean annual exposure (micrograms per cubic meter)"/>
    <m/>
    <x v="16"/>
  </r>
  <r>
    <x v="13"/>
    <s v="PM2,5 air pollution, mean annual exposure (micrograms per cubic meter)"/>
    <m/>
    <x v="16"/>
  </r>
  <r>
    <x v="14"/>
    <s v="PM2,5 air pollution, mean annual exposure (micrograms per cubic meter)"/>
    <m/>
    <x v="16"/>
  </r>
  <r>
    <x v="15"/>
    <s v="PM2,5 air pollution, mean annual exposure (micrograms per cubic meter)"/>
    <m/>
    <x v="16"/>
  </r>
  <r>
    <x v="16"/>
    <s v="PM2,5 air pollution, mean annual exposure (micrograms per cubic meter)"/>
    <m/>
    <x v="16"/>
  </r>
  <r>
    <x v="17"/>
    <s v="PM2,5 air pollution, mean annual exposure (micrograms per cubic meter)"/>
    <m/>
    <x v="16"/>
  </r>
  <r>
    <x v="18"/>
    <s v="PM2,5 air pollution, mean annual exposure (micrograms per cubic meter)"/>
    <m/>
    <x v="16"/>
  </r>
  <r>
    <x v="19"/>
    <s v="PM2,5 air pollution, mean annual exposure (micrograms per cubic meter)"/>
    <m/>
    <x v="16"/>
  </r>
  <r>
    <x v="20"/>
    <s v="PM2,5 air pollution, mean annual exposure (micrograms per cubic meter)"/>
    <m/>
    <x v="16"/>
  </r>
  <r>
    <x v="21"/>
    <s v="PM2,5 air pollution, mean annual exposure (micrograms per cubic meter)"/>
    <m/>
    <x v="16"/>
  </r>
  <r>
    <x v="22"/>
    <s v="PM2,5 air pollution, mean annual exposure (micrograms per cubic meter)"/>
    <m/>
    <x v="16"/>
  </r>
  <r>
    <x v="23"/>
    <s v="PM2,5 air pollution, mean annual exposure (micrograms per cubic meter)"/>
    <m/>
    <x v="16"/>
  </r>
  <r>
    <x v="24"/>
    <s v="PM2,5 air pollution, mean annual exposure (micrograms per cubic meter)"/>
    <m/>
    <x v="16"/>
  </r>
  <r>
    <x v="25"/>
    <s v="PM2,5 air pollution, mean annual exposure (micrograms per cubic meter)"/>
    <m/>
    <x v="16"/>
  </r>
  <r>
    <x v="26"/>
    <s v="PM2,5 air pollution, mean annual exposure (micrograms per cubic meter)"/>
    <m/>
    <x v="16"/>
  </r>
  <r>
    <x v="27"/>
    <s v="PM2,5 air pollution, mean annual exposure (micrograms per cubic meter)"/>
    <m/>
    <x v="16"/>
  </r>
  <r>
    <x v="0"/>
    <s v="PM2,5 air pollution, mean annual exposure (micrograms per cubic meter)"/>
    <m/>
    <x v="17"/>
  </r>
  <r>
    <x v="1"/>
    <s v="PM2,5 air pollution, mean annual exposure (micrograms per cubic meter)"/>
    <m/>
    <x v="17"/>
  </r>
  <r>
    <x v="2"/>
    <s v="PM2,5 air pollution, mean annual exposure (micrograms per cubic meter)"/>
    <m/>
    <x v="17"/>
  </r>
  <r>
    <x v="3"/>
    <s v="PM2,5 air pollution, mean annual exposure (micrograms per cubic meter)"/>
    <m/>
    <x v="17"/>
  </r>
  <r>
    <x v="4"/>
    <s v="PM2,5 air pollution, mean annual exposure (micrograms per cubic meter)"/>
    <m/>
    <x v="17"/>
  </r>
  <r>
    <x v="5"/>
    <s v="PM2,5 air pollution, mean annual exposure (micrograms per cubic meter)"/>
    <m/>
    <x v="17"/>
  </r>
  <r>
    <x v="6"/>
    <s v="PM2,5 air pollution, mean annual exposure (micrograms per cubic meter)"/>
    <m/>
    <x v="17"/>
  </r>
  <r>
    <x v="7"/>
    <s v="PM2,5 air pollution, mean annual exposure (micrograms per cubic meter)"/>
    <m/>
    <x v="17"/>
  </r>
  <r>
    <x v="8"/>
    <s v="PM2,5 air pollution, mean annual exposure (micrograms per cubic meter)"/>
    <m/>
    <x v="17"/>
  </r>
  <r>
    <x v="9"/>
    <s v="PM2,5 air pollution, mean annual exposure (micrograms per cubic meter)"/>
    <m/>
    <x v="17"/>
  </r>
  <r>
    <x v="10"/>
    <s v="PM2,5 air pollution, mean annual exposure (micrograms per cubic meter)"/>
    <m/>
    <x v="17"/>
  </r>
  <r>
    <x v="11"/>
    <s v="PM2,5 air pollution, mean annual exposure (micrograms per cubic meter)"/>
    <m/>
    <x v="17"/>
  </r>
  <r>
    <x v="12"/>
    <s v="PM2,5 air pollution, mean annual exposure (micrograms per cubic meter)"/>
    <m/>
    <x v="17"/>
  </r>
  <r>
    <x v="13"/>
    <s v="PM2,5 air pollution, mean annual exposure (micrograms per cubic meter)"/>
    <m/>
    <x v="17"/>
  </r>
  <r>
    <x v="14"/>
    <s v="PM2,5 air pollution, mean annual exposure (micrograms per cubic meter)"/>
    <m/>
    <x v="17"/>
  </r>
  <r>
    <x v="15"/>
    <s v="PM2,5 air pollution, mean annual exposure (micrograms per cubic meter)"/>
    <m/>
    <x v="17"/>
  </r>
  <r>
    <x v="16"/>
    <s v="PM2,5 air pollution, mean annual exposure (micrograms per cubic meter)"/>
    <m/>
    <x v="17"/>
  </r>
  <r>
    <x v="17"/>
    <s v="PM2,5 air pollution, mean annual exposure (micrograms per cubic meter)"/>
    <m/>
    <x v="17"/>
  </r>
  <r>
    <x v="18"/>
    <s v="PM2,5 air pollution, mean annual exposure (micrograms per cubic meter)"/>
    <m/>
    <x v="17"/>
  </r>
  <r>
    <x v="19"/>
    <s v="PM2,5 air pollution, mean annual exposure (micrograms per cubic meter)"/>
    <m/>
    <x v="17"/>
  </r>
  <r>
    <x v="20"/>
    <s v="PM2,5 air pollution, mean annual exposure (micrograms per cubic meter)"/>
    <m/>
    <x v="17"/>
  </r>
  <r>
    <x v="21"/>
    <s v="PM2,5 air pollution, mean annual exposure (micrograms per cubic meter)"/>
    <m/>
    <x v="17"/>
  </r>
  <r>
    <x v="22"/>
    <s v="PM2,5 air pollution, mean annual exposure (micrograms per cubic meter)"/>
    <m/>
    <x v="17"/>
  </r>
  <r>
    <x v="23"/>
    <s v="PM2,5 air pollution, mean annual exposure (micrograms per cubic meter)"/>
    <m/>
    <x v="17"/>
  </r>
  <r>
    <x v="24"/>
    <s v="PM2,5 air pollution, mean annual exposure (micrograms per cubic meter)"/>
    <m/>
    <x v="17"/>
  </r>
  <r>
    <x v="25"/>
    <s v="PM2,5 air pollution, mean annual exposure (micrograms per cubic meter)"/>
    <m/>
    <x v="17"/>
  </r>
  <r>
    <x v="26"/>
    <s v="PM2,5 air pollution, mean annual exposure (micrograms per cubic meter)"/>
    <m/>
    <x v="17"/>
  </r>
  <r>
    <x v="27"/>
    <s v="PM2,5 air pollution, mean annual exposure (micrograms per cubic meter)"/>
    <m/>
    <x v="17"/>
  </r>
  <r>
    <x v="0"/>
    <s v="PM2,5 air pollution, mean annual exposure (micrograms per cubic meter)"/>
    <m/>
    <x v="18"/>
  </r>
  <r>
    <x v="1"/>
    <s v="PM2,5 air pollution, mean annual exposure (micrograms per cubic meter)"/>
    <m/>
    <x v="18"/>
  </r>
  <r>
    <x v="2"/>
    <s v="PM2,5 air pollution, mean annual exposure (micrograms per cubic meter)"/>
    <m/>
    <x v="18"/>
  </r>
  <r>
    <x v="3"/>
    <s v="PM2,5 air pollution, mean annual exposure (micrograms per cubic meter)"/>
    <m/>
    <x v="18"/>
  </r>
  <r>
    <x v="4"/>
    <s v="PM2,5 air pollution, mean annual exposure (micrograms per cubic meter)"/>
    <m/>
    <x v="18"/>
  </r>
  <r>
    <x v="5"/>
    <s v="PM2,5 air pollution, mean annual exposure (micrograms per cubic meter)"/>
    <m/>
    <x v="18"/>
  </r>
  <r>
    <x v="6"/>
    <s v="PM2,5 air pollution, mean annual exposure (micrograms per cubic meter)"/>
    <m/>
    <x v="18"/>
  </r>
  <r>
    <x v="7"/>
    <s v="PM2,5 air pollution, mean annual exposure (micrograms per cubic meter)"/>
    <m/>
    <x v="18"/>
  </r>
  <r>
    <x v="8"/>
    <s v="PM2,5 air pollution, mean annual exposure (micrograms per cubic meter)"/>
    <m/>
    <x v="18"/>
  </r>
  <r>
    <x v="9"/>
    <s v="PM2,5 air pollution, mean annual exposure (micrograms per cubic meter)"/>
    <m/>
    <x v="18"/>
  </r>
  <r>
    <x v="10"/>
    <s v="PM2,5 air pollution, mean annual exposure (micrograms per cubic meter)"/>
    <m/>
    <x v="18"/>
  </r>
  <r>
    <x v="11"/>
    <s v="PM2,5 air pollution, mean annual exposure (micrograms per cubic meter)"/>
    <m/>
    <x v="18"/>
  </r>
  <r>
    <x v="12"/>
    <s v="PM2,5 air pollution, mean annual exposure (micrograms per cubic meter)"/>
    <m/>
    <x v="18"/>
  </r>
  <r>
    <x v="13"/>
    <s v="PM2,5 air pollution, mean annual exposure (micrograms per cubic meter)"/>
    <m/>
    <x v="18"/>
  </r>
  <r>
    <x v="14"/>
    <s v="PM2,5 air pollution, mean annual exposure (micrograms per cubic meter)"/>
    <m/>
    <x v="18"/>
  </r>
  <r>
    <x v="15"/>
    <s v="PM2,5 air pollution, mean annual exposure (micrograms per cubic meter)"/>
    <m/>
    <x v="18"/>
  </r>
  <r>
    <x v="16"/>
    <s v="PM2,5 air pollution, mean annual exposure (micrograms per cubic meter)"/>
    <m/>
    <x v="18"/>
  </r>
  <r>
    <x v="17"/>
    <s v="PM2,5 air pollution, mean annual exposure (micrograms per cubic meter)"/>
    <m/>
    <x v="18"/>
  </r>
  <r>
    <x v="18"/>
    <s v="PM2,5 air pollution, mean annual exposure (micrograms per cubic meter)"/>
    <m/>
    <x v="18"/>
  </r>
  <r>
    <x v="19"/>
    <s v="PM2,5 air pollution, mean annual exposure (micrograms per cubic meter)"/>
    <m/>
    <x v="18"/>
  </r>
  <r>
    <x v="20"/>
    <s v="PM2,5 air pollution, mean annual exposure (micrograms per cubic meter)"/>
    <m/>
    <x v="18"/>
  </r>
  <r>
    <x v="21"/>
    <s v="PM2,5 air pollution, mean annual exposure (micrograms per cubic meter)"/>
    <m/>
    <x v="18"/>
  </r>
  <r>
    <x v="22"/>
    <s v="PM2,5 air pollution, mean annual exposure (micrograms per cubic meter)"/>
    <m/>
    <x v="18"/>
  </r>
  <r>
    <x v="23"/>
    <s v="PM2,5 air pollution, mean annual exposure (micrograms per cubic meter)"/>
    <m/>
    <x v="18"/>
  </r>
  <r>
    <x v="24"/>
    <s v="PM2,5 air pollution, mean annual exposure (micrograms per cubic meter)"/>
    <m/>
    <x v="18"/>
  </r>
  <r>
    <x v="25"/>
    <s v="PM2,5 air pollution, mean annual exposure (micrograms per cubic meter)"/>
    <m/>
    <x v="18"/>
  </r>
  <r>
    <x v="26"/>
    <s v="PM2,5 air pollution, mean annual exposure (micrograms per cubic meter)"/>
    <m/>
    <x v="18"/>
  </r>
  <r>
    <x v="27"/>
    <s v="PM2,5 air pollution, mean annual exposure (micrograms per cubic meter)"/>
    <m/>
    <x v="18"/>
  </r>
  <r>
    <x v="0"/>
    <s v="PM2,5 air pollution, mean annual exposure (micrograms per cubic meter)"/>
    <m/>
    <x v="19"/>
  </r>
  <r>
    <x v="1"/>
    <s v="PM2,5 air pollution, mean annual exposure (micrograms per cubic meter)"/>
    <m/>
    <x v="19"/>
  </r>
  <r>
    <x v="2"/>
    <s v="PM2,5 air pollution, mean annual exposure (micrograms per cubic meter)"/>
    <m/>
    <x v="19"/>
  </r>
  <r>
    <x v="3"/>
    <s v="PM2,5 air pollution, mean annual exposure (micrograms per cubic meter)"/>
    <m/>
    <x v="19"/>
  </r>
  <r>
    <x v="4"/>
    <s v="PM2,5 air pollution, mean annual exposure (micrograms per cubic meter)"/>
    <m/>
    <x v="19"/>
  </r>
  <r>
    <x v="5"/>
    <s v="PM2,5 air pollution, mean annual exposure (micrograms per cubic meter)"/>
    <m/>
    <x v="19"/>
  </r>
  <r>
    <x v="6"/>
    <s v="PM2,5 air pollution, mean annual exposure (micrograms per cubic meter)"/>
    <m/>
    <x v="19"/>
  </r>
  <r>
    <x v="7"/>
    <s v="PM2,5 air pollution, mean annual exposure (micrograms per cubic meter)"/>
    <m/>
    <x v="19"/>
  </r>
  <r>
    <x v="8"/>
    <s v="PM2,5 air pollution, mean annual exposure (micrograms per cubic meter)"/>
    <m/>
    <x v="19"/>
  </r>
  <r>
    <x v="9"/>
    <s v="PM2,5 air pollution, mean annual exposure (micrograms per cubic meter)"/>
    <m/>
    <x v="19"/>
  </r>
  <r>
    <x v="10"/>
    <s v="PM2,5 air pollution, mean annual exposure (micrograms per cubic meter)"/>
    <m/>
    <x v="19"/>
  </r>
  <r>
    <x v="11"/>
    <s v="PM2,5 air pollution, mean annual exposure (micrograms per cubic meter)"/>
    <m/>
    <x v="19"/>
  </r>
  <r>
    <x v="12"/>
    <s v="PM2,5 air pollution, mean annual exposure (micrograms per cubic meter)"/>
    <m/>
    <x v="19"/>
  </r>
  <r>
    <x v="13"/>
    <s v="PM2,5 air pollution, mean annual exposure (micrograms per cubic meter)"/>
    <m/>
    <x v="19"/>
  </r>
  <r>
    <x v="14"/>
    <s v="PM2,5 air pollution, mean annual exposure (micrograms per cubic meter)"/>
    <m/>
    <x v="19"/>
  </r>
  <r>
    <x v="15"/>
    <s v="PM2,5 air pollution, mean annual exposure (micrograms per cubic meter)"/>
    <m/>
    <x v="19"/>
  </r>
  <r>
    <x v="16"/>
    <s v="PM2,5 air pollution, mean annual exposure (micrograms per cubic meter)"/>
    <m/>
    <x v="19"/>
  </r>
  <r>
    <x v="17"/>
    <s v="PM2,5 air pollution, mean annual exposure (micrograms per cubic meter)"/>
    <m/>
    <x v="19"/>
  </r>
  <r>
    <x v="18"/>
    <s v="PM2,5 air pollution, mean annual exposure (micrograms per cubic meter)"/>
    <m/>
    <x v="19"/>
  </r>
  <r>
    <x v="19"/>
    <s v="PM2,5 air pollution, mean annual exposure (micrograms per cubic meter)"/>
    <m/>
    <x v="19"/>
  </r>
  <r>
    <x v="20"/>
    <s v="PM2,5 air pollution, mean annual exposure (micrograms per cubic meter)"/>
    <m/>
    <x v="19"/>
  </r>
  <r>
    <x v="21"/>
    <s v="PM2,5 air pollution, mean annual exposure (micrograms per cubic meter)"/>
    <m/>
    <x v="19"/>
  </r>
  <r>
    <x v="22"/>
    <s v="PM2,5 air pollution, mean annual exposure (micrograms per cubic meter)"/>
    <m/>
    <x v="19"/>
  </r>
  <r>
    <x v="23"/>
    <s v="PM2,5 air pollution, mean annual exposure (micrograms per cubic meter)"/>
    <m/>
    <x v="19"/>
  </r>
  <r>
    <x v="24"/>
    <s v="PM2,5 air pollution, mean annual exposure (micrograms per cubic meter)"/>
    <m/>
    <x v="19"/>
  </r>
  <r>
    <x v="25"/>
    <s v="PM2,5 air pollution, mean annual exposure (micrograms per cubic meter)"/>
    <m/>
    <x v="19"/>
  </r>
  <r>
    <x v="26"/>
    <s v="PM2,5 air pollution, mean annual exposure (micrograms per cubic meter)"/>
    <m/>
    <x v="19"/>
  </r>
  <r>
    <x v="27"/>
    <s v="PM2,5 air pollution, mean annual exposure (micrograms per cubic meter)"/>
    <m/>
    <x v="19"/>
  </r>
  <r>
    <x v="0"/>
    <s v="PM2,5 air pollution, mean annual exposure (micrograms per cubic meter)"/>
    <m/>
    <x v="20"/>
  </r>
  <r>
    <x v="1"/>
    <s v="PM2,5 air pollution, mean annual exposure (micrograms per cubic meter)"/>
    <m/>
    <x v="20"/>
  </r>
  <r>
    <x v="2"/>
    <s v="PM2,5 air pollution, mean annual exposure (micrograms per cubic meter)"/>
    <m/>
    <x v="20"/>
  </r>
  <r>
    <x v="3"/>
    <s v="PM2,5 air pollution, mean annual exposure (micrograms per cubic meter)"/>
    <m/>
    <x v="20"/>
  </r>
  <r>
    <x v="4"/>
    <s v="PM2,5 air pollution, mean annual exposure (micrograms per cubic meter)"/>
    <m/>
    <x v="20"/>
  </r>
  <r>
    <x v="5"/>
    <s v="PM2,5 air pollution, mean annual exposure (micrograms per cubic meter)"/>
    <m/>
    <x v="20"/>
  </r>
  <r>
    <x v="6"/>
    <s v="PM2,5 air pollution, mean annual exposure (micrograms per cubic meter)"/>
    <m/>
    <x v="20"/>
  </r>
  <r>
    <x v="7"/>
    <s v="PM2,5 air pollution, mean annual exposure (micrograms per cubic meter)"/>
    <m/>
    <x v="20"/>
  </r>
  <r>
    <x v="8"/>
    <s v="PM2,5 air pollution, mean annual exposure (micrograms per cubic meter)"/>
    <m/>
    <x v="20"/>
  </r>
  <r>
    <x v="9"/>
    <s v="PM2,5 air pollution, mean annual exposure (micrograms per cubic meter)"/>
    <m/>
    <x v="20"/>
  </r>
  <r>
    <x v="10"/>
    <s v="PM2,5 air pollution, mean annual exposure (micrograms per cubic meter)"/>
    <m/>
    <x v="20"/>
  </r>
  <r>
    <x v="11"/>
    <s v="PM2,5 air pollution, mean annual exposure (micrograms per cubic meter)"/>
    <m/>
    <x v="20"/>
  </r>
  <r>
    <x v="12"/>
    <s v="PM2,5 air pollution, mean annual exposure (micrograms per cubic meter)"/>
    <m/>
    <x v="20"/>
  </r>
  <r>
    <x v="13"/>
    <s v="PM2,5 air pollution, mean annual exposure (micrograms per cubic meter)"/>
    <m/>
    <x v="20"/>
  </r>
  <r>
    <x v="14"/>
    <s v="PM2,5 air pollution, mean annual exposure (micrograms per cubic meter)"/>
    <m/>
    <x v="20"/>
  </r>
  <r>
    <x v="15"/>
    <s v="PM2,5 air pollution, mean annual exposure (micrograms per cubic meter)"/>
    <m/>
    <x v="20"/>
  </r>
  <r>
    <x v="16"/>
    <s v="PM2,5 air pollution, mean annual exposure (micrograms per cubic meter)"/>
    <m/>
    <x v="20"/>
  </r>
  <r>
    <x v="17"/>
    <s v="PM2,5 air pollution, mean annual exposure (micrograms per cubic meter)"/>
    <m/>
    <x v="20"/>
  </r>
  <r>
    <x v="18"/>
    <s v="PM2,5 air pollution, mean annual exposure (micrograms per cubic meter)"/>
    <m/>
    <x v="20"/>
  </r>
  <r>
    <x v="19"/>
    <s v="PM2,5 air pollution, mean annual exposure (micrograms per cubic meter)"/>
    <m/>
    <x v="20"/>
  </r>
  <r>
    <x v="20"/>
    <s v="PM2,5 air pollution, mean annual exposure (micrograms per cubic meter)"/>
    <m/>
    <x v="20"/>
  </r>
  <r>
    <x v="21"/>
    <s v="PM2,5 air pollution, mean annual exposure (micrograms per cubic meter)"/>
    <m/>
    <x v="20"/>
  </r>
  <r>
    <x v="22"/>
    <s v="PM2,5 air pollution, mean annual exposure (micrograms per cubic meter)"/>
    <m/>
    <x v="20"/>
  </r>
  <r>
    <x v="23"/>
    <s v="PM2,5 air pollution, mean annual exposure (micrograms per cubic meter)"/>
    <m/>
    <x v="20"/>
  </r>
  <r>
    <x v="24"/>
    <s v="PM2,5 air pollution, mean annual exposure (micrograms per cubic meter)"/>
    <m/>
    <x v="20"/>
  </r>
  <r>
    <x v="25"/>
    <s v="PM2,5 air pollution, mean annual exposure (micrograms per cubic meter)"/>
    <m/>
    <x v="20"/>
  </r>
  <r>
    <x v="26"/>
    <s v="PM2,5 air pollution, mean annual exposure (micrograms per cubic meter)"/>
    <m/>
    <x v="20"/>
  </r>
  <r>
    <x v="27"/>
    <s v="PM2,5 air pollution, mean annual exposure (micrograms per cubic meter)"/>
    <m/>
    <x v="20"/>
  </r>
  <r>
    <x v="0"/>
    <s v="PM2,5 air pollution, mean annual exposure (micrograms per cubic meter)"/>
    <m/>
    <x v="21"/>
  </r>
  <r>
    <x v="1"/>
    <s v="PM2,5 air pollution, mean annual exposure (micrograms per cubic meter)"/>
    <m/>
    <x v="21"/>
  </r>
  <r>
    <x v="2"/>
    <s v="PM2,5 air pollution, mean annual exposure (micrograms per cubic meter)"/>
    <m/>
    <x v="21"/>
  </r>
  <r>
    <x v="3"/>
    <s v="PM2,5 air pollution, mean annual exposure (micrograms per cubic meter)"/>
    <m/>
    <x v="21"/>
  </r>
  <r>
    <x v="4"/>
    <s v="PM2,5 air pollution, mean annual exposure (micrograms per cubic meter)"/>
    <m/>
    <x v="21"/>
  </r>
  <r>
    <x v="5"/>
    <s v="PM2,5 air pollution, mean annual exposure (micrograms per cubic meter)"/>
    <m/>
    <x v="21"/>
  </r>
  <r>
    <x v="6"/>
    <s v="PM2,5 air pollution, mean annual exposure (micrograms per cubic meter)"/>
    <m/>
    <x v="21"/>
  </r>
  <r>
    <x v="7"/>
    <s v="PM2,5 air pollution, mean annual exposure (micrograms per cubic meter)"/>
    <m/>
    <x v="21"/>
  </r>
  <r>
    <x v="8"/>
    <s v="PM2,5 air pollution, mean annual exposure (micrograms per cubic meter)"/>
    <m/>
    <x v="21"/>
  </r>
  <r>
    <x v="9"/>
    <s v="PM2,5 air pollution, mean annual exposure (micrograms per cubic meter)"/>
    <m/>
    <x v="21"/>
  </r>
  <r>
    <x v="10"/>
    <s v="PM2,5 air pollution, mean annual exposure (micrograms per cubic meter)"/>
    <m/>
    <x v="21"/>
  </r>
  <r>
    <x v="11"/>
    <s v="PM2,5 air pollution, mean annual exposure (micrograms per cubic meter)"/>
    <m/>
    <x v="21"/>
  </r>
  <r>
    <x v="12"/>
    <s v="PM2,5 air pollution, mean annual exposure (micrograms per cubic meter)"/>
    <m/>
    <x v="21"/>
  </r>
  <r>
    <x v="13"/>
    <s v="PM2,5 air pollution, mean annual exposure (micrograms per cubic meter)"/>
    <m/>
    <x v="21"/>
  </r>
  <r>
    <x v="14"/>
    <s v="PM2,5 air pollution, mean annual exposure (micrograms per cubic meter)"/>
    <m/>
    <x v="21"/>
  </r>
  <r>
    <x v="15"/>
    <s v="PM2,5 air pollution, mean annual exposure (micrograms per cubic meter)"/>
    <m/>
    <x v="21"/>
  </r>
  <r>
    <x v="16"/>
    <s v="PM2,5 air pollution, mean annual exposure (micrograms per cubic meter)"/>
    <m/>
    <x v="21"/>
  </r>
  <r>
    <x v="17"/>
    <s v="PM2,5 air pollution, mean annual exposure (micrograms per cubic meter)"/>
    <m/>
    <x v="21"/>
  </r>
  <r>
    <x v="18"/>
    <s v="PM2,5 air pollution, mean annual exposure (micrograms per cubic meter)"/>
    <m/>
    <x v="21"/>
  </r>
  <r>
    <x v="19"/>
    <s v="PM2,5 air pollution, mean annual exposure (micrograms per cubic meter)"/>
    <m/>
    <x v="21"/>
  </r>
  <r>
    <x v="20"/>
    <s v="PM2,5 air pollution, mean annual exposure (micrograms per cubic meter)"/>
    <m/>
    <x v="21"/>
  </r>
  <r>
    <x v="21"/>
    <s v="PM2,5 air pollution, mean annual exposure (micrograms per cubic meter)"/>
    <m/>
    <x v="21"/>
  </r>
  <r>
    <x v="22"/>
    <s v="PM2,5 air pollution, mean annual exposure (micrograms per cubic meter)"/>
    <m/>
    <x v="21"/>
  </r>
  <r>
    <x v="23"/>
    <s v="PM2,5 air pollution, mean annual exposure (micrograms per cubic meter)"/>
    <m/>
    <x v="21"/>
  </r>
  <r>
    <x v="24"/>
    <s v="PM2,5 air pollution, mean annual exposure (micrograms per cubic meter)"/>
    <m/>
    <x v="21"/>
  </r>
  <r>
    <x v="25"/>
    <s v="PM2,5 air pollution, mean annual exposure (micrograms per cubic meter)"/>
    <m/>
    <x v="21"/>
  </r>
  <r>
    <x v="26"/>
    <s v="PM2,5 air pollution, mean annual exposure (micrograms per cubic meter)"/>
    <m/>
    <x v="21"/>
  </r>
  <r>
    <x v="27"/>
    <s v="PM2,5 air pollution, mean annual exposure (micrograms per cubic meter)"/>
    <m/>
    <x v="21"/>
  </r>
  <r>
    <x v="0"/>
    <s v="PM2,5 air pollution, mean annual exposure (micrograms per cubic meter)"/>
    <m/>
    <x v="22"/>
  </r>
  <r>
    <x v="1"/>
    <s v="PM2,5 air pollution, mean annual exposure (micrograms per cubic meter)"/>
    <m/>
    <x v="22"/>
  </r>
  <r>
    <x v="2"/>
    <s v="PM2,5 air pollution, mean annual exposure (micrograms per cubic meter)"/>
    <m/>
    <x v="22"/>
  </r>
  <r>
    <x v="3"/>
    <s v="PM2,5 air pollution, mean annual exposure (micrograms per cubic meter)"/>
    <m/>
    <x v="22"/>
  </r>
  <r>
    <x v="4"/>
    <s v="PM2,5 air pollution, mean annual exposure (micrograms per cubic meter)"/>
    <m/>
    <x v="22"/>
  </r>
  <r>
    <x v="5"/>
    <s v="PM2,5 air pollution, mean annual exposure (micrograms per cubic meter)"/>
    <m/>
    <x v="22"/>
  </r>
  <r>
    <x v="6"/>
    <s v="PM2,5 air pollution, mean annual exposure (micrograms per cubic meter)"/>
    <m/>
    <x v="22"/>
  </r>
  <r>
    <x v="7"/>
    <s v="PM2,5 air pollution, mean annual exposure (micrograms per cubic meter)"/>
    <m/>
    <x v="22"/>
  </r>
  <r>
    <x v="8"/>
    <s v="PM2,5 air pollution, mean annual exposure (micrograms per cubic meter)"/>
    <m/>
    <x v="22"/>
  </r>
  <r>
    <x v="9"/>
    <s v="PM2,5 air pollution, mean annual exposure (micrograms per cubic meter)"/>
    <m/>
    <x v="22"/>
  </r>
  <r>
    <x v="10"/>
    <s v="PM2,5 air pollution, mean annual exposure (micrograms per cubic meter)"/>
    <m/>
    <x v="22"/>
  </r>
  <r>
    <x v="11"/>
    <s v="PM2,5 air pollution, mean annual exposure (micrograms per cubic meter)"/>
    <m/>
    <x v="22"/>
  </r>
  <r>
    <x v="12"/>
    <s v="PM2,5 air pollution, mean annual exposure (micrograms per cubic meter)"/>
    <m/>
    <x v="22"/>
  </r>
  <r>
    <x v="13"/>
    <s v="PM2,5 air pollution, mean annual exposure (micrograms per cubic meter)"/>
    <m/>
    <x v="22"/>
  </r>
  <r>
    <x v="14"/>
    <s v="PM2,5 air pollution, mean annual exposure (micrograms per cubic meter)"/>
    <m/>
    <x v="22"/>
  </r>
  <r>
    <x v="15"/>
    <s v="PM2,5 air pollution, mean annual exposure (micrograms per cubic meter)"/>
    <m/>
    <x v="22"/>
  </r>
  <r>
    <x v="16"/>
    <s v="PM2,5 air pollution, mean annual exposure (micrograms per cubic meter)"/>
    <m/>
    <x v="22"/>
  </r>
  <r>
    <x v="17"/>
    <s v="PM2,5 air pollution, mean annual exposure (micrograms per cubic meter)"/>
    <m/>
    <x v="22"/>
  </r>
  <r>
    <x v="18"/>
    <s v="PM2,5 air pollution, mean annual exposure (micrograms per cubic meter)"/>
    <m/>
    <x v="22"/>
  </r>
  <r>
    <x v="19"/>
    <s v="PM2,5 air pollution, mean annual exposure (micrograms per cubic meter)"/>
    <m/>
    <x v="22"/>
  </r>
  <r>
    <x v="20"/>
    <s v="PM2,5 air pollution, mean annual exposure (micrograms per cubic meter)"/>
    <m/>
    <x v="22"/>
  </r>
  <r>
    <x v="21"/>
    <s v="PM2,5 air pollution, mean annual exposure (micrograms per cubic meter)"/>
    <m/>
    <x v="22"/>
  </r>
  <r>
    <x v="22"/>
    <s v="PM2,5 air pollution, mean annual exposure (micrograms per cubic meter)"/>
    <m/>
    <x v="22"/>
  </r>
  <r>
    <x v="23"/>
    <s v="PM2,5 air pollution, mean annual exposure (micrograms per cubic meter)"/>
    <m/>
    <x v="22"/>
  </r>
  <r>
    <x v="24"/>
    <s v="PM2,5 air pollution, mean annual exposure (micrograms per cubic meter)"/>
    <m/>
    <x v="22"/>
  </r>
  <r>
    <x v="25"/>
    <s v="PM2,5 air pollution, mean annual exposure (micrograms per cubic meter)"/>
    <m/>
    <x v="22"/>
  </r>
  <r>
    <x v="26"/>
    <s v="PM2,5 air pollution, mean annual exposure (micrograms per cubic meter)"/>
    <m/>
    <x v="22"/>
  </r>
  <r>
    <x v="27"/>
    <s v="PM2,5 air pollution, mean annual exposure (micrograms per cubic meter)"/>
    <m/>
    <x v="22"/>
  </r>
  <r>
    <x v="0"/>
    <s v="PM2,5 air pollution, mean annual exposure (micrograms per cubic meter)"/>
    <m/>
    <x v="23"/>
  </r>
  <r>
    <x v="1"/>
    <s v="PM2,5 air pollution, mean annual exposure (micrograms per cubic meter)"/>
    <m/>
    <x v="23"/>
  </r>
  <r>
    <x v="2"/>
    <s v="PM2,5 air pollution, mean annual exposure (micrograms per cubic meter)"/>
    <m/>
    <x v="23"/>
  </r>
  <r>
    <x v="3"/>
    <s v="PM2,5 air pollution, mean annual exposure (micrograms per cubic meter)"/>
    <m/>
    <x v="23"/>
  </r>
  <r>
    <x v="4"/>
    <s v="PM2,5 air pollution, mean annual exposure (micrograms per cubic meter)"/>
    <m/>
    <x v="23"/>
  </r>
  <r>
    <x v="5"/>
    <s v="PM2,5 air pollution, mean annual exposure (micrograms per cubic meter)"/>
    <m/>
    <x v="23"/>
  </r>
  <r>
    <x v="6"/>
    <s v="PM2,5 air pollution, mean annual exposure (micrograms per cubic meter)"/>
    <m/>
    <x v="23"/>
  </r>
  <r>
    <x v="7"/>
    <s v="PM2,5 air pollution, mean annual exposure (micrograms per cubic meter)"/>
    <m/>
    <x v="23"/>
  </r>
  <r>
    <x v="8"/>
    <s v="PM2,5 air pollution, mean annual exposure (micrograms per cubic meter)"/>
    <m/>
    <x v="23"/>
  </r>
  <r>
    <x v="9"/>
    <s v="PM2,5 air pollution, mean annual exposure (micrograms per cubic meter)"/>
    <m/>
    <x v="23"/>
  </r>
  <r>
    <x v="10"/>
    <s v="PM2,5 air pollution, mean annual exposure (micrograms per cubic meter)"/>
    <m/>
    <x v="23"/>
  </r>
  <r>
    <x v="11"/>
    <s v="PM2,5 air pollution, mean annual exposure (micrograms per cubic meter)"/>
    <m/>
    <x v="23"/>
  </r>
  <r>
    <x v="12"/>
    <s v="PM2,5 air pollution, mean annual exposure (micrograms per cubic meter)"/>
    <m/>
    <x v="23"/>
  </r>
  <r>
    <x v="13"/>
    <s v="PM2,5 air pollution, mean annual exposure (micrograms per cubic meter)"/>
    <m/>
    <x v="23"/>
  </r>
  <r>
    <x v="14"/>
    <s v="PM2,5 air pollution, mean annual exposure (micrograms per cubic meter)"/>
    <m/>
    <x v="23"/>
  </r>
  <r>
    <x v="15"/>
    <s v="PM2,5 air pollution, mean annual exposure (micrograms per cubic meter)"/>
    <m/>
    <x v="23"/>
  </r>
  <r>
    <x v="16"/>
    <s v="PM2,5 air pollution, mean annual exposure (micrograms per cubic meter)"/>
    <m/>
    <x v="23"/>
  </r>
  <r>
    <x v="17"/>
    <s v="PM2,5 air pollution, mean annual exposure (micrograms per cubic meter)"/>
    <m/>
    <x v="23"/>
  </r>
  <r>
    <x v="18"/>
    <s v="PM2,5 air pollution, mean annual exposure (micrograms per cubic meter)"/>
    <m/>
    <x v="23"/>
  </r>
  <r>
    <x v="19"/>
    <s v="PM2,5 air pollution, mean annual exposure (micrograms per cubic meter)"/>
    <m/>
    <x v="23"/>
  </r>
  <r>
    <x v="20"/>
    <s v="PM2,5 air pollution, mean annual exposure (micrograms per cubic meter)"/>
    <m/>
    <x v="23"/>
  </r>
  <r>
    <x v="21"/>
    <s v="PM2,5 air pollution, mean annual exposure (micrograms per cubic meter)"/>
    <m/>
    <x v="23"/>
  </r>
  <r>
    <x v="22"/>
    <s v="PM2,5 air pollution, mean annual exposure (micrograms per cubic meter)"/>
    <m/>
    <x v="23"/>
  </r>
  <r>
    <x v="23"/>
    <s v="PM2,5 air pollution, mean annual exposure (micrograms per cubic meter)"/>
    <m/>
    <x v="23"/>
  </r>
  <r>
    <x v="24"/>
    <s v="PM2,5 air pollution, mean annual exposure (micrograms per cubic meter)"/>
    <m/>
    <x v="23"/>
  </r>
  <r>
    <x v="25"/>
    <s v="PM2,5 air pollution, mean annual exposure (micrograms per cubic meter)"/>
    <m/>
    <x v="23"/>
  </r>
  <r>
    <x v="26"/>
    <s v="PM2,5 air pollution, mean annual exposure (micrograms per cubic meter)"/>
    <m/>
    <x v="23"/>
  </r>
  <r>
    <x v="27"/>
    <s v="PM2,5 air pollution, mean annual exposure (micrograms per cubic meter)"/>
    <m/>
    <x v="23"/>
  </r>
  <r>
    <x v="0"/>
    <s v="PM2,5 air pollution, mean annual exposure (micrograms per cubic meter)"/>
    <m/>
    <x v="24"/>
  </r>
  <r>
    <x v="1"/>
    <s v="PM2,5 air pollution, mean annual exposure (micrograms per cubic meter)"/>
    <m/>
    <x v="24"/>
  </r>
  <r>
    <x v="2"/>
    <s v="PM2,5 air pollution, mean annual exposure (micrograms per cubic meter)"/>
    <m/>
    <x v="24"/>
  </r>
  <r>
    <x v="3"/>
    <s v="PM2,5 air pollution, mean annual exposure (micrograms per cubic meter)"/>
    <m/>
    <x v="24"/>
  </r>
  <r>
    <x v="4"/>
    <s v="PM2,5 air pollution, mean annual exposure (micrograms per cubic meter)"/>
    <m/>
    <x v="24"/>
  </r>
  <r>
    <x v="5"/>
    <s v="PM2,5 air pollution, mean annual exposure (micrograms per cubic meter)"/>
    <m/>
    <x v="24"/>
  </r>
  <r>
    <x v="6"/>
    <s v="PM2,5 air pollution, mean annual exposure (micrograms per cubic meter)"/>
    <m/>
    <x v="24"/>
  </r>
  <r>
    <x v="7"/>
    <s v="PM2,5 air pollution, mean annual exposure (micrograms per cubic meter)"/>
    <m/>
    <x v="24"/>
  </r>
  <r>
    <x v="8"/>
    <s v="PM2,5 air pollution, mean annual exposure (micrograms per cubic meter)"/>
    <m/>
    <x v="24"/>
  </r>
  <r>
    <x v="9"/>
    <s v="PM2,5 air pollution, mean annual exposure (micrograms per cubic meter)"/>
    <m/>
    <x v="24"/>
  </r>
  <r>
    <x v="10"/>
    <s v="PM2,5 air pollution, mean annual exposure (micrograms per cubic meter)"/>
    <m/>
    <x v="24"/>
  </r>
  <r>
    <x v="11"/>
    <s v="PM2,5 air pollution, mean annual exposure (micrograms per cubic meter)"/>
    <m/>
    <x v="24"/>
  </r>
  <r>
    <x v="12"/>
    <s v="PM2,5 air pollution, mean annual exposure (micrograms per cubic meter)"/>
    <m/>
    <x v="24"/>
  </r>
  <r>
    <x v="13"/>
    <s v="PM2,5 air pollution, mean annual exposure (micrograms per cubic meter)"/>
    <m/>
    <x v="24"/>
  </r>
  <r>
    <x v="14"/>
    <s v="PM2,5 air pollution, mean annual exposure (micrograms per cubic meter)"/>
    <m/>
    <x v="24"/>
  </r>
  <r>
    <x v="15"/>
    <s v="PM2,5 air pollution, mean annual exposure (micrograms per cubic meter)"/>
    <m/>
    <x v="24"/>
  </r>
  <r>
    <x v="16"/>
    <s v="PM2,5 air pollution, mean annual exposure (micrograms per cubic meter)"/>
    <m/>
    <x v="24"/>
  </r>
  <r>
    <x v="17"/>
    <s v="PM2,5 air pollution, mean annual exposure (micrograms per cubic meter)"/>
    <m/>
    <x v="24"/>
  </r>
  <r>
    <x v="18"/>
    <s v="PM2,5 air pollution, mean annual exposure (micrograms per cubic meter)"/>
    <m/>
    <x v="24"/>
  </r>
  <r>
    <x v="19"/>
    <s v="PM2,5 air pollution, mean annual exposure (micrograms per cubic meter)"/>
    <m/>
    <x v="24"/>
  </r>
  <r>
    <x v="20"/>
    <s v="PM2,5 air pollution, mean annual exposure (micrograms per cubic meter)"/>
    <m/>
    <x v="24"/>
  </r>
  <r>
    <x v="21"/>
    <s v="PM2,5 air pollution, mean annual exposure (micrograms per cubic meter)"/>
    <m/>
    <x v="24"/>
  </r>
  <r>
    <x v="22"/>
    <s v="PM2,5 air pollution, mean annual exposure (micrograms per cubic meter)"/>
    <m/>
    <x v="24"/>
  </r>
  <r>
    <x v="23"/>
    <s v="PM2,5 air pollution, mean annual exposure (micrograms per cubic meter)"/>
    <m/>
    <x v="24"/>
  </r>
  <r>
    <x v="24"/>
    <s v="PM2,5 air pollution, mean annual exposure (micrograms per cubic meter)"/>
    <m/>
    <x v="24"/>
  </r>
  <r>
    <x v="25"/>
    <s v="PM2,5 air pollution, mean annual exposure (micrograms per cubic meter)"/>
    <m/>
    <x v="24"/>
  </r>
  <r>
    <x v="26"/>
    <s v="PM2,5 air pollution, mean annual exposure (micrograms per cubic meter)"/>
    <m/>
    <x v="24"/>
  </r>
  <r>
    <x v="27"/>
    <s v="PM2,5 air pollution, mean annual exposure (micrograms per cubic meter)"/>
    <m/>
    <x v="24"/>
  </r>
  <r>
    <x v="0"/>
    <s v="PM2,5 air pollution, mean annual exposure (micrograms per cubic meter)"/>
    <m/>
    <x v="25"/>
  </r>
  <r>
    <x v="1"/>
    <s v="PM2,5 air pollution, mean annual exposure (micrograms per cubic meter)"/>
    <m/>
    <x v="25"/>
  </r>
  <r>
    <x v="2"/>
    <s v="PM2,5 air pollution, mean annual exposure (micrograms per cubic meter)"/>
    <m/>
    <x v="25"/>
  </r>
  <r>
    <x v="3"/>
    <s v="PM2,5 air pollution, mean annual exposure (micrograms per cubic meter)"/>
    <m/>
    <x v="25"/>
  </r>
  <r>
    <x v="4"/>
    <s v="PM2,5 air pollution, mean annual exposure (micrograms per cubic meter)"/>
    <m/>
    <x v="25"/>
  </r>
  <r>
    <x v="5"/>
    <s v="PM2,5 air pollution, mean annual exposure (micrograms per cubic meter)"/>
    <m/>
    <x v="25"/>
  </r>
  <r>
    <x v="6"/>
    <s v="PM2,5 air pollution, mean annual exposure (micrograms per cubic meter)"/>
    <m/>
    <x v="25"/>
  </r>
  <r>
    <x v="7"/>
    <s v="PM2,5 air pollution, mean annual exposure (micrograms per cubic meter)"/>
    <m/>
    <x v="25"/>
  </r>
  <r>
    <x v="8"/>
    <s v="PM2,5 air pollution, mean annual exposure (micrograms per cubic meter)"/>
    <m/>
    <x v="25"/>
  </r>
  <r>
    <x v="9"/>
    <s v="PM2,5 air pollution, mean annual exposure (micrograms per cubic meter)"/>
    <m/>
    <x v="25"/>
  </r>
  <r>
    <x v="10"/>
    <s v="PM2,5 air pollution, mean annual exposure (micrograms per cubic meter)"/>
    <m/>
    <x v="25"/>
  </r>
  <r>
    <x v="11"/>
    <s v="PM2,5 air pollution, mean annual exposure (micrograms per cubic meter)"/>
    <m/>
    <x v="25"/>
  </r>
  <r>
    <x v="12"/>
    <s v="PM2,5 air pollution, mean annual exposure (micrograms per cubic meter)"/>
    <m/>
    <x v="25"/>
  </r>
  <r>
    <x v="13"/>
    <s v="PM2,5 air pollution, mean annual exposure (micrograms per cubic meter)"/>
    <m/>
    <x v="25"/>
  </r>
  <r>
    <x v="14"/>
    <s v="PM2,5 air pollution, mean annual exposure (micrograms per cubic meter)"/>
    <m/>
    <x v="25"/>
  </r>
  <r>
    <x v="15"/>
    <s v="PM2,5 air pollution, mean annual exposure (micrograms per cubic meter)"/>
    <m/>
    <x v="25"/>
  </r>
  <r>
    <x v="16"/>
    <s v="PM2,5 air pollution, mean annual exposure (micrograms per cubic meter)"/>
    <m/>
    <x v="25"/>
  </r>
  <r>
    <x v="17"/>
    <s v="PM2,5 air pollution, mean annual exposure (micrograms per cubic meter)"/>
    <m/>
    <x v="25"/>
  </r>
  <r>
    <x v="18"/>
    <s v="PM2,5 air pollution, mean annual exposure (micrograms per cubic meter)"/>
    <m/>
    <x v="25"/>
  </r>
  <r>
    <x v="19"/>
    <s v="PM2,5 air pollution, mean annual exposure (micrograms per cubic meter)"/>
    <m/>
    <x v="25"/>
  </r>
  <r>
    <x v="20"/>
    <s v="PM2,5 air pollution, mean annual exposure (micrograms per cubic meter)"/>
    <m/>
    <x v="25"/>
  </r>
  <r>
    <x v="21"/>
    <s v="PM2,5 air pollution, mean annual exposure (micrograms per cubic meter)"/>
    <m/>
    <x v="25"/>
  </r>
  <r>
    <x v="22"/>
    <s v="PM2,5 air pollution, mean annual exposure (micrograms per cubic meter)"/>
    <m/>
    <x v="25"/>
  </r>
  <r>
    <x v="23"/>
    <s v="PM2,5 air pollution, mean annual exposure (micrograms per cubic meter)"/>
    <m/>
    <x v="25"/>
  </r>
  <r>
    <x v="24"/>
    <s v="PM2,5 air pollution, mean annual exposure (micrograms per cubic meter)"/>
    <m/>
    <x v="25"/>
  </r>
  <r>
    <x v="25"/>
    <s v="PM2,5 air pollution, mean annual exposure (micrograms per cubic meter)"/>
    <m/>
    <x v="25"/>
  </r>
  <r>
    <x v="26"/>
    <s v="PM2,5 air pollution, mean annual exposure (micrograms per cubic meter)"/>
    <m/>
    <x v="25"/>
  </r>
  <r>
    <x v="27"/>
    <s v="PM2,5 air pollution, mean annual exposure (micrograms per cubic meter)"/>
    <m/>
    <x v="25"/>
  </r>
  <r>
    <x v="0"/>
    <s v="PM2,5 air pollution, mean annual exposure (micrograms per cubic meter)"/>
    <m/>
    <x v="26"/>
  </r>
  <r>
    <x v="1"/>
    <s v="PM2,5 air pollution, mean annual exposure (micrograms per cubic meter)"/>
    <m/>
    <x v="26"/>
  </r>
  <r>
    <x v="2"/>
    <s v="PM2,5 air pollution, mean annual exposure (micrograms per cubic meter)"/>
    <m/>
    <x v="26"/>
  </r>
  <r>
    <x v="3"/>
    <s v="PM2,5 air pollution, mean annual exposure (micrograms per cubic meter)"/>
    <m/>
    <x v="26"/>
  </r>
  <r>
    <x v="4"/>
    <s v="PM2,5 air pollution, mean annual exposure (micrograms per cubic meter)"/>
    <m/>
    <x v="26"/>
  </r>
  <r>
    <x v="5"/>
    <s v="PM2,5 air pollution, mean annual exposure (micrograms per cubic meter)"/>
    <m/>
    <x v="26"/>
  </r>
  <r>
    <x v="6"/>
    <s v="PM2,5 air pollution, mean annual exposure (micrograms per cubic meter)"/>
    <m/>
    <x v="26"/>
  </r>
  <r>
    <x v="7"/>
    <s v="PM2,5 air pollution, mean annual exposure (micrograms per cubic meter)"/>
    <m/>
    <x v="26"/>
  </r>
  <r>
    <x v="8"/>
    <s v="PM2,5 air pollution, mean annual exposure (micrograms per cubic meter)"/>
    <m/>
    <x v="26"/>
  </r>
  <r>
    <x v="9"/>
    <s v="PM2,5 air pollution, mean annual exposure (micrograms per cubic meter)"/>
    <m/>
    <x v="26"/>
  </r>
  <r>
    <x v="10"/>
    <s v="PM2,5 air pollution, mean annual exposure (micrograms per cubic meter)"/>
    <m/>
    <x v="26"/>
  </r>
  <r>
    <x v="11"/>
    <s v="PM2,5 air pollution, mean annual exposure (micrograms per cubic meter)"/>
    <m/>
    <x v="26"/>
  </r>
  <r>
    <x v="12"/>
    <s v="PM2,5 air pollution, mean annual exposure (micrograms per cubic meter)"/>
    <m/>
    <x v="26"/>
  </r>
  <r>
    <x v="13"/>
    <s v="PM2,5 air pollution, mean annual exposure (micrograms per cubic meter)"/>
    <m/>
    <x v="26"/>
  </r>
  <r>
    <x v="14"/>
    <s v="PM2,5 air pollution, mean annual exposure (micrograms per cubic meter)"/>
    <m/>
    <x v="26"/>
  </r>
  <r>
    <x v="15"/>
    <s v="PM2,5 air pollution, mean annual exposure (micrograms per cubic meter)"/>
    <m/>
    <x v="26"/>
  </r>
  <r>
    <x v="16"/>
    <s v="PM2,5 air pollution, mean annual exposure (micrograms per cubic meter)"/>
    <m/>
    <x v="26"/>
  </r>
  <r>
    <x v="17"/>
    <s v="PM2,5 air pollution, mean annual exposure (micrograms per cubic meter)"/>
    <m/>
    <x v="26"/>
  </r>
  <r>
    <x v="18"/>
    <s v="PM2,5 air pollution, mean annual exposure (micrograms per cubic meter)"/>
    <m/>
    <x v="26"/>
  </r>
  <r>
    <x v="19"/>
    <s v="PM2,5 air pollution, mean annual exposure (micrograms per cubic meter)"/>
    <m/>
    <x v="26"/>
  </r>
  <r>
    <x v="20"/>
    <s v="PM2,5 air pollution, mean annual exposure (micrograms per cubic meter)"/>
    <m/>
    <x v="26"/>
  </r>
  <r>
    <x v="21"/>
    <s v="PM2,5 air pollution, mean annual exposure (micrograms per cubic meter)"/>
    <m/>
    <x v="26"/>
  </r>
  <r>
    <x v="22"/>
    <s v="PM2,5 air pollution, mean annual exposure (micrograms per cubic meter)"/>
    <m/>
    <x v="26"/>
  </r>
  <r>
    <x v="23"/>
    <s v="PM2,5 air pollution, mean annual exposure (micrograms per cubic meter)"/>
    <m/>
    <x v="26"/>
  </r>
  <r>
    <x v="24"/>
    <s v="PM2,5 air pollution, mean annual exposure (micrograms per cubic meter)"/>
    <m/>
    <x v="26"/>
  </r>
  <r>
    <x v="25"/>
    <s v="PM2,5 air pollution, mean annual exposure (micrograms per cubic meter)"/>
    <m/>
    <x v="26"/>
  </r>
  <r>
    <x v="26"/>
    <s v="PM2,5 air pollution, mean annual exposure (micrograms per cubic meter)"/>
    <m/>
    <x v="26"/>
  </r>
  <r>
    <x v="27"/>
    <s v="PM2,5 air pollution, mean annual exposure (micrograms per cubic meter)"/>
    <m/>
    <x v="26"/>
  </r>
  <r>
    <x v="0"/>
    <s v="PM2,5 air pollution, mean annual exposure (micrograms per cubic meter)"/>
    <m/>
    <x v="27"/>
  </r>
  <r>
    <x v="1"/>
    <s v="PM2,5 air pollution, mean annual exposure (micrograms per cubic meter)"/>
    <m/>
    <x v="27"/>
  </r>
  <r>
    <x v="2"/>
    <s v="PM2,5 air pollution, mean annual exposure (micrograms per cubic meter)"/>
    <m/>
    <x v="27"/>
  </r>
  <r>
    <x v="3"/>
    <s v="PM2,5 air pollution, mean annual exposure (micrograms per cubic meter)"/>
    <m/>
    <x v="27"/>
  </r>
  <r>
    <x v="4"/>
    <s v="PM2,5 air pollution, mean annual exposure (micrograms per cubic meter)"/>
    <m/>
    <x v="27"/>
  </r>
  <r>
    <x v="5"/>
    <s v="PM2,5 air pollution, mean annual exposure (micrograms per cubic meter)"/>
    <m/>
    <x v="27"/>
  </r>
  <r>
    <x v="6"/>
    <s v="PM2,5 air pollution, mean annual exposure (micrograms per cubic meter)"/>
    <m/>
    <x v="27"/>
  </r>
  <r>
    <x v="7"/>
    <s v="PM2,5 air pollution, mean annual exposure (micrograms per cubic meter)"/>
    <m/>
    <x v="27"/>
  </r>
  <r>
    <x v="8"/>
    <s v="PM2,5 air pollution, mean annual exposure (micrograms per cubic meter)"/>
    <m/>
    <x v="27"/>
  </r>
  <r>
    <x v="9"/>
    <s v="PM2,5 air pollution, mean annual exposure (micrograms per cubic meter)"/>
    <m/>
    <x v="27"/>
  </r>
  <r>
    <x v="10"/>
    <s v="PM2,5 air pollution, mean annual exposure (micrograms per cubic meter)"/>
    <m/>
    <x v="27"/>
  </r>
  <r>
    <x v="11"/>
    <s v="PM2,5 air pollution, mean annual exposure (micrograms per cubic meter)"/>
    <m/>
    <x v="27"/>
  </r>
  <r>
    <x v="12"/>
    <s v="PM2,5 air pollution, mean annual exposure (micrograms per cubic meter)"/>
    <m/>
    <x v="27"/>
  </r>
  <r>
    <x v="13"/>
    <s v="PM2,5 air pollution, mean annual exposure (micrograms per cubic meter)"/>
    <m/>
    <x v="27"/>
  </r>
  <r>
    <x v="14"/>
    <s v="PM2,5 air pollution, mean annual exposure (micrograms per cubic meter)"/>
    <m/>
    <x v="27"/>
  </r>
  <r>
    <x v="15"/>
    <s v="PM2,5 air pollution, mean annual exposure (micrograms per cubic meter)"/>
    <m/>
    <x v="27"/>
  </r>
  <r>
    <x v="16"/>
    <s v="PM2,5 air pollution, mean annual exposure (micrograms per cubic meter)"/>
    <m/>
    <x v="27"/>
  </r>
  <r>
    <x v="17"/>
    <s v="PM2,5 air pollution, mean annual exposure (micrograms per cubic meter)"/>
    <m/>
    <x v="27"/>
  </r>
  <r>
    <x v="18"/>
    <s v="PM2,5 air pollution, mean annual exposure (micrograms per cubic meter)"/>
    <m/>
    <x v="27"/>
  </r>
  <r>
    <x v="19"/>
    <s v="PM2,5 air pollution, mean annual exposure (micrograms per cubic meter)"/>
    <m/>
    <x v="27"/>
  </r>
  <r>
    <x v="20"/>
    <s v="PM2,5 air pollution, mean annual exposure (micrograms per cubic meter)"/>
    <m/>
    <x v="27"/>
  </r>
  <r>
    <x v="21"/>
    <s v="PM2,5 air pollution, mean annual exposure (micrograms per cubic meter)"/>
    <m/>
    <x v="27"/>
  </r>
  <r>
    <x v="22"/>
    <s v="PM2,5 air pollution, mean annual exposure (micrograms per cubic meter)"/>
    <m/>
    <x v="27"/>
  </r>
  <r>
    <x v="23"/>
    <s v="PM2,5 air pollution, mean annual exposure (micrograms per cubic meter)"/>
    <m/>
    <x v="27"/>
  </r>
  <r>
    <x v="24"/>
    <s v="PM2,5 air pollution, mean annual exposure (micrograms per cubic meter)"/>
    <m/>
    <x v="27"/>
  </r>
  <r>
    <x v="25"/>
    <s v="PM2,5 air pollution, mean annual exposure (micrograms per cubic meter)"/>
    <m/>
    <x v="27"/>
  </r>
  <r>
    <x v="26"/>
    <s v="PM2,5 air pollution, mean annual exposure (micrograms per cubic meter)"/>
    <m/>
    <x v="27"/>
  </r>
  <r>
    <x v="27"/>
    <s v="PM2,5 air pollution, mean annual exposure (micrograms per cubic meter)"/>
    <m/>
    <x v="27"/>
  </r>
  <r>
    <x v="0"/>
    <s v="PM2,5 air pollution, mean annual exposure (micrograms per cubic meter)"/>
    <m/>
    <x v="28"/>
  </r>
  <r>
    <x v="1"/>
    <s v="PM2,5 air pollution, mean annual exposure (micrograms per cubic meter)"/>
    <m/>
    <x v="28"/>
  </r>
  <r>
    <x v="2"/>
    <s v="PM2,5 air pollution, mean annual exposure (micrograms per cubic meter)"/>
    <m/>
    <x v="28"/>
  </r>
  <r>
    <x v="3"/>
    <s v="PM2,5 air pollution, mean annual exposure (micrograms per cubic meter)"/>
    <m/>
    <x v="28"/>
  </r>
  <r>
    <x v="4"/>
    <s v="PM2,5 air pollution, mean annual exposure (micrograms per cubic meter)"/>
    <m/>
    <x v="28"/>
  </r>
  <r>
    <x v="5"/>
    <s v="PM2,5 air pollution, mean annual exposure (micrograms per cubic meter)"/>
    <m/>
    <x v="28"/>
  </r>
  <r>
    <x v="6"/>
    <s v="PM2,5 air pollution, mean annual exposure (micrograms per cubic meter)"/>
    <m/>
    <x v="28"/>
  </r>
  <r>
    <x v="7"/>
    <s v="PM2,5 air pollution, mean annual exposure (micrograms per cubic meter)"/>
    <m/>
    <x v="28"/>
  </r>
  <r>
    <x v="8"/>
    <s v="PM2,5 air pollution, mean annual exposure (micrograms per cubic meter)"/>
    <m/>
    <x v="28"/>
  </r>
  <r>
    <x v="9"/>
    <s v="PM2,5 air pollution, mean annual exposure (micrograms per cubic meter)"/>
    <m/>
    <x v="28"/>
  </r>
  <r>
    <x v="10"/>
    <s v="PM2,5 air pollution, mean annual exposure (micrograms per cubic meter)"/>
    <m/>
    <x v="28"/>
  </r>
  <r>
    <x v="11"/>
    <s v="PM2,5 air pollution, mean annual exposure (micrograms per cubic meter)"/>
    <m/>
    <x v="28"/>
  </r>
  <r>
    <x v="12"/>
    <s v="PM2,5 air pollution, mean annual exposure (micrograms per cubic meter)"/>
    <m/>
    <x v="28"/>
  </r>
  <r>
    <x v="13"/>
    <s v="PM2,5 air pollution, mean annual exposure (micrograms per cubic meter)"/>
    <m/>
    <x v="28"/>
  </r>
  <r>
    <x v="14"/>
    <s v="PM2,5 air pollution, mean annual exposure (micrograms per cubic meter)"/>
    <m/>
    <x v="28"/>
  </r>
  <r>
    <x v="15"/>
    <s v="PM2,5 air pollution, mean annual exposure (micrograms per cubic meter)"/>
    <m/>
    <x v="28"/>
  </r>
  <r>
    <x v="16"/>
    <s v="PM2,5 air pollution, mean annual exposure (micrograms per cubic meter)"/>
    <m/>
    <x v="28"/>
  </r>
  <r>
    <x v="17"/>
    <s v="PM2,5 air pollution, mean annual exposure (micrograms per cubic meter)"/>
    <m/>
    <x v="28"/>
  </r>
  <r>
    <x v="18"/>
    <s v="PM2,5 air pollution, mean annual exposure (micrograms per cubic meter)"/>
    <m/>
    <x v="28"/>
  </r>
  <r>
    <x v="19"/>
    <s v="PM2,5 air pollution, mean annual exposure (micrograms per cubic meter)"/>
    <m/>
    <x v="28"/>
  </r>
  <r>
    <x v="20"/>
    <s v="PM2,5 air pollution, mean annual exposure (micrograms per cubic meter)"/>
    <m/>
    <x v="28"/>
  </r>
  <r>
    <x v="21"/>
    <s v="PM2,5 air pollution, mean annual exposure (micrograms per cubic meter)"/>
    <m/>
    <x v="28"/>
  </r>
  <r>
    <x v="22"/>
    <s v="PM2,5 air pollution, mean annual exposure (micrograms per cubic meter)"/>
    <m/>
    <x v="28"/>
  </r>
  <r>
    <x v="23"/>
    <s v="PM2,5 air pollution, mean annual exposure (micrograms per cubic meter)"/>
    <m/>
    <x v="28"/>
  </r>
  <r>
    <x v="24"/>
    <s v="PM2,5 air pollution, mean annual exposure (micrograms per cubic meter)"/>
    <m/>
    <x v="28"/>
  </r>
  <r>
    <x v="25"/>
    <s v="PM2,5 air pollution, mean annual exposure (micrograms per cubic meter)"/>
    <m/>
    <x v="28"/>
  </r>
  <r>
    <x v="26"/>
    <s v="PM2,5 air pollution, mean annual exposure (micrograms per cubic meter)"/>
    <m/>
    <x v="28"/>
  </r>
  <r>
    <x v="27"/>
    <s v="PM2,5 air pollution, mean annual exposure (micrograms per cubic meter)"/>
    <m/>
    <x v="28"/>
  </r>
  <r>
    <x v="0"/>
    <s v="PM2,5 air pollution, mean annual exposure (micrograms per cubic meter)"/>
    <m/>
    <x v="29"/>
  </r>
  <r>
    <x v="1"/>
    <s v="PM2,5 air pollution, mean annual exposure (micrograms per cubic meter)"/>
    <m/>
    <x v="29"/>
  </r>
  <r>
    <x v="2"/>
    <s v="PM2,5 air pollution, mean annual exposure (micrograms per cubic meter)"/>
    <m/>
    <x v="29"/>
  </r>
  <r>
    <x v="3"/>
    <s v="PM2,5 air pollution, mean annual exposure (micrograms per cubic meter)"/>
    <m/>
    <x v="29"/>
  </r>
  <r>
    <x v="4"/>
    <s v="PM2,5 air pollution, mean annual exposure (micrograms per cubic meter)"/>
    <m/>
    <x v="29"/>
  </r>
  <r>
    <x v="5"/>
    <s v="PM2,5 air pollution, mean annual exposure (micrograms per cubic meter)"/>
    <m/>
    <x v="29"/>
  </r>
  <r>
    <x v="6"/>
    <s v="PM2,5 air pollution, mean annual exposure (micrograms per cubic meter)"/>
    <m/>
    <x v="29"/>
  </r>
  <r>
    <x v="7"/>
    <s v="PM2,5 air pollution, mean annual exposure (micrograms per cubic meter)"/>
    <m/>
    <x v="29"/>
  </r>
  <r>
    <x v="8"/>
    <s v="PM2,5 air pollution, mean annual exposure (micrograms per cubic meter)"/>
    <m/>
    <x v="29"/>
  </r>
  <r>
    <x v="9"/>
    <s v="PM2,5 air pollution, mean annual exposure (micrograms per cubic meter)"/>
    <m/>
    <x v="29"/>
  </r>
  <r>
    <x v="10"/>
    <s v="PM2,5 air pollution, mean annual exposure (micrograms per cubic meter)"/>
    <m/>
    <x v="29"/>
  </r>
  <r>
    <x v="11"/>
    <s v="PM2,5 air pollution, mean annual exposure (micrograms per cubic meter)"/>
    <m/>
    <x v="29"/>
  </r>
  <r>
    <x v="12"/>
    <s v="PM2,5 air pollution, mean annual exposure (micrograms per cubic meter)"/>
    <m/>
    <x v="29"/>
  </r>
  <r>
    <x v="13"/>
    <s v="PM2,5 air pollution, mean annual exposure (micrograms per cubic meter)"/>
    <m/>
    <x v="29"/>
  </r>
  <r>
    <x v="14"/>
    <s v="PM2,5 air pollution, mean annual exposure (micrograms per cubic meter)"/>
    <m/>
    <x v="29"/>
  </r>
  <r>
    <x v="15"/>
    <s v="PM2,5 air pollution, mean annual exposure (micrograms per cubic meter)"/>
    <m/>
    <x v="29"/>
  </r>
  <r>
    <x v="16"/>
    <s v="PM2,5 air pollution, mean annual exposure (micrograms per cubic meter)"/>
    <m/>
    <x v="29"/>
  </r>
  <r>
    <x v="17"/>
    <s v="PM2,5 air pollution, mean annual exposure (micrograms per cubic meter)"/>
    <m/>
    <x v="29"/>
  </r>
  <r>
    <x v="18"/>
    <s v="PM2,5 air pollution, mean annual exposure (micrograms per cubic meter)"/>
    <m/>
    <x v="29"/>
  </r>
  <r>
    <x v="19"/>
    <s v="PM2,5 air pollution, mean annual exposure (micrograms per cubic meter)"/>
    <m/>
    <x v="29"/>
  </r>
  <r>
    <x v="20"/>
    <s v="PM2,5 air pollution, mean annual exposure (micrograms per cubic meter)"/>
    <m/>
    <x v="29"/>
  </r>
  <r>
    <x v="21"/>
    <s v="PM2,5 air pollution, mean annual exposure (micrograms per cubic meter)"/>
    <m/>
    <x v="29"/>
  </r>
  <r>
    <x v="22"/>
    <s v="PM2,5 air pollution, mean annual exposure (micrograms per cubic meter)"/>
    <m/>
    <x v="29"/>
  </r>
  <r>
    <x v="23"/>
    <s v="PM2,5 air pollution, mean annual exposure (micrograms per cubic meter)"/>
    <m/>
    <x v="29"/>
  </r>
  <r>
    <x v="24"/>
    <s v="PM2,5 air pollution, mean annual exposure (micrograms per cubic meter)"/>
    <m/>
    <x v="29"/>
  </r>
  <r>
    <x v="25"/>
    <s v="PM2,5 air pollution, mean annual exposure (micrograms per cubic meter)"/>
    <m/>
    <x v="29"/>
  </r>
  <r>
    <x v="26"/>
    <s v="PM2,5 air pollution, mean annual exposure (micrograms per cubic meter)"/>
    <m/>
    <x v="29"/>
  </r>
  <r>
    <x v="27"/>
    <s v="PM2,5 air pollution, mean annual exposure (micrograms per cubic meter)"/>
    <m/>
    <x v="29"/>
  </r>
  <r>
    <x v="0"/>
    <s v="PM2,5 air pollution, mean annual exposure (micrograms per cubic meter)"/>
    <n v="46.456528792942599"/>
    <x v="30"/>
  </r>
  <r>
    <x v="1"/>
    <s v="PM2,5 air pollution, mean annual exposure (micrograms per cubic meter)"/>
    <n v="105.811992395915"/>
    <x v="30"/>
  </r>
  <r>
    <x v="2"/>
    <s v="PM2,5 air pollution, mean annual exposure (micrograms per cubic meter)"/>
    <n v="64.912882064522904"/>
    <x v="30"/>
  </r>
  <r>
    <x v="3"/>
    <s v="PM2,5 air pollution, mean annual exposure (micrograms per cubic meter)"/>
    <n v="20.856187096623199"/>
    <x v="30"/>
  </r>
  <r>
    <x v="4"/>
    <s v="PM2,5 air pollution, mean annual exposure (micrograms per cubic meter)"/>
    <n v="46.477486076042098"/>
    <x v="30"/>
  </r>
  <r>
    <x v="5"/>
    <s v="PM2,5 air pollution, mean annual exposure (micrograms per cubic meter)"/>
    <n v="36.0180487473855"/>
    <x v="30"/>
  </r>
  <r>
    <x v="6"/>
    <s v="PM2,5 air pollution, mean annual exposure (micrograms per cubic meter)"/>
    <n v="30.6727539559161"/>
    <x v="30"/>
  </r>
  <r>
    <x v="7"/>
    <s v="PM2,5 air pollution, mean annual exposure (micrograms per cubic meter)"/>
    <n v="30.944960963339199"/>
    <x v="30"/>
  </r>
  <r>
    <x v="8"/>
    <s v="PM2,5 air pollution, mean annual exposure (micrograms per cubic meter)"/>
    <n v="16.451322609320702"/>
    <x v="30"/>
  </r>
  <r>
    <x v="9"/>
    <s v="PM2,5 air pollution, mean annual exposure (micrograms per cubic meter)"/>
    <m/>
    <x v="30"/>
  </r>
  <r>
    <x v="10"/>
    <s v="PM2,5 air pollution, mean annual exposure (micrograms per cubic meter)"/>
    <n v="10.5566656199658"/>
    <x v="30"/>
  </r>
  <r>
    <x v="11"/>
    <s v="PM2,5 air pollution, mean annual exposure (micrograms per cubic meter)"/>
    <n v="18.8322542340978"/>
    <x v="30"/>
  </r>
  <r>
    <x v="12"/>
    <s v="PM2,5 air pollution, mean annual exposure (micrograms per cubic meter)"/>
    <n v="29.310142624090801"/>
    <x v="30"/>
  </r>
  <r>
    <x v="13"/>
    <s v="PM2,5 air pollution, mean annual exposure (micrograms per cubic meter)"/>
    <n v="62.550961561504302"/>
    <x v="30"/>
  </r>
  <r>
    <x v="14"/>
    <s v="PM2,5 air pollution, mean annual exposure (micrograms per cubic meter)"/>
    <n v="36.001817162034797"/>
    <x v="30"/>
  </r>
  <r>
    <x v="15"/>
    <s v="PM2,5 air pollution, mean annual exposure (micrograms per cubic meter)"/>
    <n v="22.521247615027399"/>
    <x v="30"/>
  </r>
  <r>
    <x v="16"/>
    <s v="PM2,5 air pollution, mean annual exposure (micrograms per cubic meter)"/>
    <n v="43.701879194620702"/>
    <x v="30"/>
  </r>
  <r>
    <x v="17"/>
    <s v="PM2,5 air pollution, mean annual exposure (micrograms per cubic meter)"/>
    <n v="56.1455385699985"/>
    <x v="30"/>
  </r>
  <r>
    <x v="18"/>
    <s v="PM2,5 air pollution, mean annual exposure (micrograms per cubic meter)"/>
    <n v="33.182169817317302"/>
    <x v="30"/>
  </r>
  <r>
    <x v="19"/>
    <s v="PM2,5 air pollution, mean annual exposure (micrograms per cubic meter)"/>
    <n v="132.261486414979"/>
    <x v="30"/>
  </r>
  <r>
    <x v="20"/>
    <s v="PM2,5 air pollution, mean annual exposure (micrograms per cubic meter)"/>
    <n v="52.948930388718303"/>
    <x v="30"/>
  </r>
  <r>
    <x v="21"/>
    <s v="PM2,5 air pollution, mean annual exposure (micrograms per cubic meter)"/>
    <n v="16.033199913514501"/>
    <x v="30"/>
  </r>
  <r>
    <x v="22"/>
    <s v="PM2,5 air pollution, mean annual exposure (micrograms per cubic meter)"/>
    <n v="29.945704698164899"/>
    <x v="30"/>
  </r>
  <r>
    <x v="23"/>
    <s v="PM2,5 air pollution, mean annual exposure (micrograms per cubic meter)"/>
    <n v="74.023080857090804"/>
    <x v="30"/>
  </r>
  <r>
    <x v="24"/>
    <s v="PM2,5 air pollution, mean annual exposure (micrograms per cubic meter)"/>
    <n v="21.014595443742099"/>
    <x v="30"/>
  </r>
  <r>
    <x v="25"/>
    <s v="PM2,5 air pollution, mean annual exposure (micrograms per cubic meter)"/>
    <n v="60.621680465965603"/>
    <x v="30"/>
  </r>
  <r>
    <x v="26"/>
    <s v="PM2,5 air pollution, mean annual exposure (micrograms per cubic meter)"/>
    <n v="32.444821613546701"/>
    <x v="30"/>
  </r>
  <r>
    <x v="27"/>
    <s v="PM2,5 air pollution, mean annual exposure (micrograms per cubic meter)"/>
    <n v="26.2731157046872"/>
    <x v="30"/>
  </r>
  <r>
    <x v="0"/>
    <s v="PM2,5 air pollution, mean annual exposure (micrograms per cubic meter)"/>
    <m/>
    <x v="31"/>
  </r>
  <r>
    <x v="1"/>
    <s v="PM2,5 air pollution, mean annual exposure (micrograms per cubic meter)"/>
    <m/>
    <x v="31"/>
  </r>
  <r>
    <x v="2"/>
    <s v="PM2,5 air pollution, mean annual exposure (micrograms per cubic meter)"/>
    <m/>
    <x v="31"/>
  </r>
  <r>
    <x v="3"/>
    <s v="PM2,5 air pollution, mean annual exposure (micrograms per cubic meter)"/>
    <m/>
    <x v="31"/>
  </r>
  <r>
    <x v="4"/>
    <s v="PM2,5 air pollution, mean annual exposure (micrograms per cubic meter)"/>
    <m/>
    <x v="31"/>
  </r>
  <r>
    <x v="5"/>
    <s v="PM2,5 air pollution, mean annual exposure (micrograms per cubic meter)"/>
    <m/>
    <x v="31"/>
  </r>
  <r>
    <x v="6"/>
    <s v="PM2,5 air pollution, mean annual exposure (micrograms per cubic meter)"/>
    <m/>
    <x v="31"/>
  </r>
  <r>
    <x v="7"/>
    <s v="PM2,5 air pollution, mean annual exposure (micrograms per cubic meter)"/>
    <m/>
    <x v="31"/>
  </r>
  <r>
    <x v="8"/>
    <s v="PM2,5 air pollution, mean annual exposure (micrograms per cubic meter)"/>
    <m/>
    <x v="31"/>
  </r>
  <r>
    <x v="9"/>
    <s v="PM2,5 air pollution, mean annual exposure (micrograms per cubic meter)"/>
    <m/>
    <x v="31"/>
  </r>
  <r>
    <x v="10"/>
    <s v="PM2,5 air pollution, mean annual exposure (micrograms per cubic meter)"/>
    <m/>
    <x v="31"/>
  </r>
  <r>
    <x v="11"/>
    <s v="PM2,5 air pollution, mean annual exposure (micrograms per cubic meter)"/>
    <m/>
    <x v="31"/>
  </r>
  <r>
    <x v="12"/>
    <s v="PM2,5 air pollution, mean annual exposure (micrograms per cubic meter)"/>
    <m/>
    <x v="31"/>
  </r>
  <r>
    <x v="13"/>
    <s v="PM2,5 air pollution, mean annual exposure (micrograms per cubic meter)"/>
    <m/>
    <x v="31"/>
  </r>
  <r>
    <x v="14"/>
    <s v="PM2,5 air pollution, mean annual exposure (micrograms per cubic meter)"/>
    <m/>
    <x v="31"/>
  </r>
  <r>
    <x v="15"/>
    <s v="PM2,5 air pollution, mean annual exposure (micrograms per cubic meter)"/>
    <m/>
    <x v="31"/>
  </r>
  <r>
    <x v="16"/>
    <s v="PM2,5 air pollution, mean annual exposure (micrograms per cubic meter)"/>
    <m/>
    <x v="31"/>
  </r>
  <r>
    <x v="17"/>
    <s v="PM2,5 air pollution, mean annual exposure (micrograms per cubic meter)"/>
    <m/>
    <x v="31"/>
  </r>
  <r>
    <x v="18"/>
    <s v="PM2,5 air pollution, mean annual exposure (micrograms per cubic meter)"/>
    <m/>
    <x v="31"/>
  </r>
  <r>
    <x v="19"/>
    <s v="PM2,5 air pollution, mean annual exposure (micrograms per cubic meter)"/>
    <m/>
    <x v="31"/>
  </r>
  <r>
    <x v="20"/>
    <s v="PM2,5 air pollution, mean annual exposure (micrograms per cubic meter)"/>
    <m/>
    <x v="31"/>
  </r>
  <r>
    <x v="21"/>
    <s v="PM2,5 air pollution, mean annual exposure (micrograms per cubic meter)"/>
    <m/>
    <x v="31"/>
  </r>
  <r>
    <x v="22"/>
    <s v="PM2,5 air pollution, mean annual exposure (micrograms per cubic meter)"/>
    <m/>
    <x v="31"/>
  </r>
  <r>
    <x v="23"/>
    <s v="PM2,5 air pollution, mean annual exposure (micrograms per cubic meter)"/>
    <m/>
    <x v="31"/>
  </r>
  <r>
    <x v="24"/>
    <s v="PM2,5 air pollution, mean annual exposure (micrograms per cubic meter)"/>
    <m/>
    <x v="31"/>
  </r>
  <r>
    <x v="25"/>
    <s v="PM2,5 air pollution, mean annual exposure (micrograms per cubic meter)"/>
    <m/>
    <x v="31"/>
  </r>
  <r>
    <x v="26"/>
    <s v="PM2,5 air pollution, mean annual exposure (micrograms per cubic meter)"/>
    <m/>
    <x v="31"/>
  </r>
  <r>
    <x v="27"/>
    <s v="PM2,5 air pollution, mean annual exposure (micrograms per cubic meter)"/>
    <m/>
    <x v="31"/>
  </r>
  <r>
    <x v="0"/>
    <s v="PM2,5 air pollution, mean annual exposure (micrograms per cubic meter)"/>
    <m/>
    <x v="32"/>
  </r>
  <r>
    <x v="1"/>
    <s v="PM2,5 air pollution, mean annual exposure (micrograms per cubic meter)"/>
    <m/>
    <x v="32"/>
  </r>
  <r>
    <x v="2"/>
    <s v="PM2,5 air pollution, mean annual exposure (micrograms per cubic meter)"/>
    <m/>
    <x v="32"/>
  </r>
  <r>
    <x v="3"/>
    <s v="PM2,5 air pollution, mean annual exposure (micrograms per cubic meter)"/>
    <m/>
    <x v="32"/>
  </r>
  <r>
    <x v="4"/>
    <s v="PM2,5 air pollution, mean annual exposure (micrograms per cubic meter)"/>
    <m/>
    <x v="32"/>
  </r>
  <r>
    <x v="5"/>
    <s v="PM2,5 air pollution, mean annual exposure (micrograms per cubic meter)"/>
    <m/>
    <x v="32"/>
  </r>
  <r>
    <x v="6"/>
    <s v="PM2,5 air pollution, mean annual exposure (micrograms per cubic meter)"/>
    <m/>
    <x v="32"/>
  </r>
  <r>
    <x v="7"/>
    <s v="PM2,5 air pollution, mean annual exposure (micrograms per cubic meter)"/>
    <m/>
    <x v="32"/>
  </r>
  <r>
    <x v="8"/>
    <s v="PM2,5 air pollution, mean annual exposure (micrograms per cubic meter)"/>
    <m/>
    <x v="32"/>
  </r>
  <r>
    <x v="9"/>
    <s v="PM2,5 air pollution, mean annual exposure (micrograms per cubic meter)"/>
    <m/>
    <x v="32"/>
  </r>
  <r>
    <x v="10"/>
    <s v="PM2,5 air pollution, mean annual exposure (micrograms per cubic meter)"/>
    <m/>
    <x v="32"/>
  </r>
  <r>
    <x v="11"/>
    <s v="PM2,5 air pollution, mean annual exposure (micrograms per cubic meter)"/>
    <m/>
    <x v="32"/>
  </r>
  <r>
    <x v="12"/>
    <s v="PM2,5 air pollution, mean annual exposure (micrograms per cubic meter)"/>
    <m/>
    <x v="32"/>
  </r>
  <r>
    <x v="13"/>
    <s v="PM2,5 air pollution, mean annual exposure (micrograms per cubic meter)"/>
    <m/>
    <x v="32"/>
  </r>
  <r>
    <x v="14"/>
    <s v="PM2,5 air pollution, mean annual exposure (micrograms per cubic meter)"/>
    <m/>
    <x v="32"/>
  </r>
  <r>
    <x v="15"/>
    <s v="PM2,5 air pollution, mean annual exposure (micrograms per cubic meter)"/>
    <m/>
    <x v="32"/>
  </r>
  <r>
    <x v="16"/>
    <s v="PM2,5 air pollution, mean annual exposure (micrograms per cubic meter)"/>
    <m/>
    <x v="32"/>
  </r>
  <r>
    <x v="17"/>
    <s v="PM2,5 air pollution, mean annual exposure (micrograms per cubic meter)"/>
    <m/>
    <x v="32"/>
  </r>
  <r>
    <x v="18"/>
    <s v="PM2,5 air pollution, mean annual exposure (micrograms per cubic meter)"/>
    <m/>
    <x v="32"/>
  </r>
  <r>
    <x v="19"/>
    <s v="PM2,5 air pollution, mean annual exposure (micrograms per cubic meter)"/>
    <m/>
    <x v="32"/>
  </r>
  <r>
    <x v="20"/>
    <s v="PM2,5 air pollution, mean annual exposure (micrograms per cubic meter)"/>
    <m/>
    <x v="32"/>
  </r>
  <r>
    <x v="21"/>
    <s v="PM2,5 air pollution, mean annual exposure (micrograms per cubic meter)"/>
    <m/>
    <x v="32"/>
  </r>
  <r>
    <x v="22"/>
    <s v="PM2,5 air pollution, mean annual exposure (micrograms per cubic meter)"/>
    <m/>
    <x v="32"/>
  </r>
  <r>
    <x v="23"/>
    <s v="PM2,5 air pollution, mean annual exposure (micrograms per cubic meter)"/>
    <m/>
    <x v="32"/>
  </r>
  <r>
    <x v="24"/>
    <s v="PM2,5 air pollution, mean annual exposure (micrograms per cubic meter)"/>
    <m/>
    <x v="32"/>
  </r>
  <r>
    <x v="25"/>
    <s v="PM2,5 air pollution, mean annual exposure (micrograms per cubic meter)"/>
    <m/>
    <x v="32"/>
  </r>
  <r>
    <x v="26"/>
    <s v="PM2,5 air pollution, mean annual exposure (micrograms per cubic meter)"/>
    <m/>
    <x v="32"/>
  </r>
  <r>
    <x v="27"/>
    <s v="PM2,5 air pollution, mean annual exposure (micrograms per cubic meter)"/>
    <m/>
    <x v="32"/>
  </r>
  <r>
    <x v="0"/>
    <s v="PM2,5 air pollution, mean annual exposure (micrograms per cubic meter)"/>
    <m/>
    <x v="33"/>
  </r>
  <r>
    <x v="1"/>
    <s v="PM2,5 air pollution, mean annual exposure (micrograms per cubic meter)"/>
    <m/>
    <x v="33"/>
  </r>
  <r>
    <x v="2"/>
    <s v="PM2,5 air pollution, mean annual exposure (micrograms per cubic meter)"/>
    <m/>
    <x v="33"/>
  </r>
  <r>
    <x v="3"/>
    <s v="PM2,5 air pollution, mean annual exposure (micrograms per cubic meter)"/>
    <m/>
    <x v="33"/>
  </r>
  <r>
    <x v="4"/>
    <s v="PM2,5 air pollution, mean annual exposure (micrograms per cubic meter)"/>
    <m/>
    <x v="33"/>
  </r>
  <r>
    <x v="5"/>
    <s v="PM2,5 air pollution, mean annual exposure (micrograms per cubic meter)"/>
    <m/>
    <x v="33"/>
  </r>
  <r>
    <x v="6"/>
    <s v="PM2,5 air pollution, mean annual exposure (micrograms per cubic meter)"/>
    <m/>
    <x v="33"/>
  </r>
  <r>
    <x v="7"/>
    <s v="PM2,5 air pollution, mean annual exposure (micrograms per cubic meter)"/>
    <m/>
    <x v="33"/>
  </r>
  <r>
    <x v="8"/>
    <s v="PM2,5 air pollution, mean annual exposure (micrograms per cubic meter)"/>
    <m/>
    <x v="33"/>
  </r>
  <r>
    <x v="9"/>
    <s v="PM2,5 air pollution, mean annual exposure (micrograms per cubic meter)"/>
    <m/>
    <x v="33"/>
  </r>
  <r>
    <x v="10"/>
    <s v="PM2,5 air pollution, mean annual exposure (micrograms per cubic meter)"/>
    <m/>
    <x v="33"/>
  </r>
  <r>
    <x v="11"/>
    <s v="PM2,5 air pollution, mean annual exposure (micrograms per cubic meter)"/>
    <m/>
    <x v="33"/>
  </r>
  <r>
    <x v="12"/>
    <s v="PM2,5 air pollution, mean annual exposure (micrograms per cubic meter)"/>
    <m/>
    <x v="33"/>
  </r>
  <r>
    <x v="13"/>
    <s v="PM2,5 air pollution, mean annual exposure (micrograms per cubic meter)"/>
    <m/>
    <x v="33"/>
  </r>
  <r>
    <x v="14"/>
    <s v="PM2,5 air pollution, mean annual exposure (micrograms per cubic meter)"/>
    <m/>
    <x v="33"/>
  </r>
  <r>
    <x v="15"/>
    <s v="PM2,5 air pollution, mean annual exposure (micrograms per cubic meter)"/>
    <m/>
    <x v="33"/>
  </r>
  <r>
    <x v="16"/>
    <s v="PM2,5 air pollution, mean annual exposure (micrograms per cubic meter)"/>
    <m/>
    <x v="33"/>
  </r>
  <r>
    <x v="17"/>
    <s v="PM2,5 air pollution, mean annual exposure (micrograms per cubic meter)"/>
    <m/>
    <x v="33"/>
  </r>
  <r>
    <x v="18"/>
    <s v="PM2,5 air pollution, mean annual exposure (micrograms per cubic meter)"/>
    <m/>
    <x v="33"/>
  </r>
  <r>
    <x v="19"/>
    <s v="PM2,5 air pollution, mean annual exposure (micrograms per cubic meter)"/>
    <m/>
    <x v="33"/>
  </r>
  <r>
    <x v="20"/>
    <s v="PM2,5 air pollution, mean annual exposure (micrograms per cubic meter)"/>
    <m/>
    <x v="33"/>
  </r>
  <r>
    <x v="21"/>
    <s v="PM2,5 air pollution, mean annual exposure (micrograms per cubic meter)"/>
    <m/>
    <x v="33"/>
  </r>
  <r>
    <x v="22"/>
    <s v="PM2,5 air pollution, mean annual exposure (micrograms per cubic meter)"/>
    <m/>
    <x v="33"/>
  </r>
  <r>
    <x v="23"/>
    <s v="PM2,5 air pollution, mean annual exposure (micrograms per cubic meter)"/>
    <m/>
    <x v="33"/>
  </r>
  <r>
    <x v="24"/>
    <s v="PM2,5 air pollution, mean annual exposure (micrograms per cubic meter)"/>
    <m/>
    <x v="33"/>
  </r>
  <r>
    <x v="25"/>
    <s v="PM2,5 air pollution, mean annual exposure (micrograms per cubic meter)"/>
    <m/>
    <x v="33"/>
  </r>
  <r>
    <x v="26"/>
    <s v="PM2,5 air pollution, mean annual exposure (micrograms per cubic meter)"/>
    <m/>
    <x v="33"/>
  </r>
  <r>
    <x v="27"/>
    <s v="PM2,5 air pollution, mean annual exposure (micrograms per cubic meter)"/>
    <m/>
    <x v="33"/>
  </r>
  <r>
    <x v="0"/>
    <s v="PM2,5 air pollution, mean annual exposure (micrograms per cubic meter)"/>
    <m/>
    <x v="34"/>
  </r>
  <r>
    <x v="1"/>
    <s v="PM2,5 air pollution, mean annual exposure (micrograms per cubic meter)"/>
    <m/>
    <x v="34"/>
  </r>
  <r>
    <x v="2"/>
    <s v="PM2,5 air pollution, mean annual exposure (micrograms per cubic meter)"/>
    <m/>
    <x v="34"/>
  </r>
  <r>
    <x v="3"/>
    <s v="PM2,5 air pollution, mean annual exposure (micrograms per cubic meter)"/>
    <m/>
    <x v="34"/>
  </r>
  <r>
    <x v="4"/>
    <s v="PM2,5 air pollution, mean annual exposure (micrograms per cubic meter)"/>
    <m/>
    <x v="34"/>
  </r>
  <r>
    <x v="5"/>
    <s v="PM2,5 air pollution, mean annual exposure (micrograms per cubic meter)"/>
    <m/>
    <x v="34"/>
  </r>
  <r>
    <x v="6"/>
    <s v="PM2,5 air pollution, mean annual exposure (micrograms per cubic meter)"/>
    <m/>
    <x v="34"/>
  </r>
  <r>
    <x v="7"/>
    <s v="PM2,5 air pollution, mean annual exposure (micrograms per cubic meter)"/>
    <m/>
    <x v="34"/>
  </r>
  <r>
    <x v="8"/>
    <s v="PM2,5 air pollution, mean annual exposure (micrograms per cubic meter)"/>
    <m/>
    <x v="34"/>
  </r>
  <r>
    <x v="9"/>
    <s v="PM2,5 air pollution, mean annual exposure (micrograms per cubic meter)"/>
    <m/>
    <x v="34"/>
  </r>
  <r>
    <x v="10"/>
    <s v="PM2,5 air pollution, mean annual exposure (micrograms per cubic meter)"/>
    <m/>
    <x v="34"/>
  </r>
  <r>
    <x v="11"/>
    <s v="PM2,5 air pollution, mean annual exposure (micrograms per cubic meter)"/>
    <m/>
    <x v="34"/>
  </r>
  <r>
    <x v="12"/>
    <s v="PM2,5 air pollution, mean annual exposure (micrograms per cubic meter)"/>
    <m/>
    <x v="34"/>
  </r>
  <r>
    <x v="13"/>
    <s v="PM2,5 air pollution, mean annual exposure (micrograms per cubic meter)"/>
    <m/>
    <x v="34"/>
  </r>
  <r>
    <x v="14"/>
    <s v="PM2,5 air pollution, mean annual exposure (micrograms per cubic meter)"/>
    <m/>
    <x v="34"/>
  </r>
  <r>
    <x v="15"/>
    <s v="PM2,5 air pollution, mean annual exposure (micrograms per cubic meter)"/>
    <m/>
    <x v="34"/>
  </r>
  <r>
    <x v="16"/>
    <s v="PM2,5 air pollution, mean annual exposure (micrograms per cubic meter)"/>
    <m/>
    <x v="34"/>
  </r>
  <r>
    <x v="17"/>
    <s v="PM2,5 air pollution, mean annual exposure (micrograms per cubic meter)"/>
    <m/>
    <x v="34"/>
  </r>
  <r>
    <x v="18"/>
    <s v="PM2,5 air pollution, mean annual exposure (micrograms per cubic meter)"/>
    <m/>
    <x v="34"/>
  </r>
  <r>
    <x v="19"/>
    <s v="PM2,5 air pollution, mean annual exposure (micrograms per cubic meter)"/>
    <m/>
    <x v="34"/>
  </r>
  <r>
    <x v="20"/>
    <s v="PM2,5 air pollution, mean annual exposure (micrograms per cubic meter)"/>
    <m/>
    <x v="34"/>
  </r>
  <r>
    <x v="21"/>
    <s v="PM2,5 air pollution, mean annual exposure (micrograms per cubic meter)"/>
    <m/>
    <x v="34"/>
  </r>
  <r>
    <x v="22"/>
    <s v="PM2,5 air pollution, mean annual exposure (micrograms per cubic meter)"/>
    <m/>
    <x v="34"/>
  </r>
  <r>
    <x v="23"/>
    <s v="PM2,5 air pollution, mean annual exposure (micrograms per cubic meter)"/>
    <m/>
    <x v="34"/>
  </r>
  <r>
    <x v="24"/>
    <s v="PM2,5 air pollution, mean annual exposure (micrograms per cubic meter)"/>
    <m/>
    <x v="34"/>
  </r>
  <r>
    <x v="25"/>
    <s v="PM2,5 air pollution, mean annual exposure (micrograms per cubic meter)"/>
    <m/>
    <x v="34"/>
  </r>
  <r>
    <x v="26"/>
    <s v="PM2,5 air pollution, mean annual exposure (micrograms per cubic meter)"/>
    <m/>
    <x v="34"/>
  </r>
  <r>
    <x v="27"/>
    <s v="PM2,5 air pollution, mean annual exposure (micrograms per cubic meter)"/>
    <m/>
    <x v="34"/>
  </r>
  <r>
    <x v="0"/>
    <s v="PM2,5 air pollution, mean annual exposure (micrograms per cubic meter)"/>
    <n v="46.568340848736703"/>
    <x v="35"/>
  </r>
  <r>
    <x v="1"/>
    <s v="PM2,5 air pollution, mean annual exposure (micrograms per cubic meter)"/>
    <n v="103.21912328086199"/>
    <x v="35"/>
  </r>
  <r>
    <x v="2"/>
    <s v="PM2,5 air pollution, mean annual exposure (micrograms per cubic meter)"/>
    <n v="64.658381457432"/>
    <x v="35"/>
  </r>
  <r>
    <x v="3"/>
    <s v="PM2,5 air pollution, mean annual exposure (micrograms per cubic meter)"/>
    <n v="20.931649135668199"/>
    <x v="35"/>
  </r>
  <r>
    <x v="4"/>
    <s v="PM2,5 air pollution, mean annual exposure (micrograms per cubic meter)"/>
    <n v="46.822087451070601"/>
    <x v="35"/>
  </r>
  <r>
    <x v="5"/>
    <s v="PM2,5 air pollution, mean annual exposure (micrograms per cubic meter)"/>
    <n v="35.924374760290199"/>
    <x v="35"/>
  </r>
  <r>
    <x v="6"/>
    <s v="PM2,5 air pollution, mean annual exposure (micrograms per cubic meter)"/>
    <n v="30.556903082035198"/>
    <x v="35"/>
  </r>
  <r>
    <x v="7"/>
    <s v="PM2,5 air pollution, mean annual exposure (micrograms per cubic meter)"/>
    <n v="30.952014214968699"/>
    <x v="35"/>
  </r>
  <r>
    <x v="8"/>
    <s v="PM2,5 air pollution, mean annual exposure (micrograms per cubic meter)"/>
    <n v="16.463247855336999"/>
    <x v="35"/>
  </r>
  <r>
    <x v="9"/>
    <s v="PM2,5 air pollution, mean annual exposure (micrograms per cubic meter)"/>
    <m/>
    <x v="35"/>
  </r>
  <r>
    <x v="10"/>
    <s v="PM2,5 air pollution, mean annual exposure (micrograms per cubic meter)"/>
    <n v="10.412062933678699"/>
    <x v="35"/>
  </r>
  <r>
    <x v="11"/>
    <s v="PM2,5 air pollution, mean annual exposure (micrograms per cubic meter)"/>
    <n v="19.158625384506699"/>
    <x v="35"/>
  </r>
  <r>
    <x v="12"/>
    <s v="PM2,5 air pollution, mean annual exposure (micrograms per cubic meter)"/>
    <n v="29.018301357717402"/>
    <x v="35"/>
  </r>
  <r>
    <x v="13"/>
    <s v="PM2,5 air pollution, mean annual exposure (micrograms per cubic meter)"/>
    <n v="61.635482276783797"/>
    <x v="35"/>
  </r>
  <r>
    <x v="14"/>
    <s v="PM2,5 air pollution, mean annual exposure (micrograms per cubic meter)"/>
    <n v="26.180152384588901"/>
    <x v="35"/>
  </r>
  <r>
    <x v="15"/>
    <s v="PM2,5 air pollution, mean annual exposure (micrograms per cubic meter)"/>
    <n v="22.4497867316846"/>
    <x v="35"/>
  </r>
  <r>
    <x v="16"/>
    <s v="PM2,5 air pollution, mean annual exposure (micrograms per cubic meter)"/>
    <n v="43.816870362701202"/>
    <x v="35"/>
  </r>
  <r>
    <x v="17"/>
    <s v="PM2,5 air pollution, mean annual exposure (micrograms per cubic meter)"/>
    <n v="56.949223815671097"/>
    <x v="35"/>
  </r>
  <r>
    <x v="18"/>
    <s v="PM2,5 air pollution, mean annual exposure (micrograms per cubic meter)"/>
    <n v="33.283751505549802"/>
    <x v="35"/>
  </r>
  <r>
    <x v="19"/>
    <s v="PM2,5 air pollution, mean annual exposure (micrograms per cubic meter)"/>
    <n v="131.278695581421"/>
    <x v="35"/>
  </r>
  <r>
    <x v="20"/>
    <s v="PM2,5 air pollution, mean annual exposure (micrograms per cubic meter)"/>
    <n v="53.266020050959703"/>
    <x v="35"/>
  </r>
  <r>
    <x v="21"/>
    <s v="PM2,5 air pollution, mean annual exposure (micrograms per cubic meter)"/>
    <n v="15.9826046371162"/>
    <x v="35"/>
  </r>
  <r>
    <x v="22"/>
    <s v="PM2,5 air pollution, mean annual exposure (micrograms per cubic meter)"/>
    <n v="29.909027511447"/>
    <x v="35"/>
  </r>
  <r>
    <x v="23"/>
    <s v="PM2,5 air pollution, mean annual exposure (micrograms per cubic meter)"/>
    <n v="62.060896521867399"/>
    <x v="35"/>
  </r>
  <r>
    <x v="24"/>
    <s v="PM2,5 air pollution, mean annual exposure (micrograms per cubic meter)"/>
    <n v="21.273866053887701"/>
    <x v="35"/>
  </r>
  <r>
    <x v="25"/>
    <s v="PM2,5 air pollution, mean annual exposure (micrograms per cubic meter)"/>
    <n v="61.228678227902599"/>
    <x v="35"/>
  </r>
  <r>
    <x v="26"/>
    <s v="PM2,5 air pollution, mean annual exposure (micrograms per cubic meter)"/>
    <n v="30.6239025786914"/>
    <x v="35"/>
  </r>
  <r>
    <x v="27"/>
    <s v="PM2,5 air pollution, mean annual exposure (micrograms per cubic meter)"/>
    <n v="24.8185001748631"/>
    <x v="35"/>
  </r>
  <r>
    <x v="0"/>
    <s v="PM2,5 air pollution, mean annual exposure (micrograms per cubic meter)"/>
    <m/>
    <x v="36"/>
  </r>
  <r>
    <x v="1"/>
    <s v="PM2,5 air pollution, mean annual exposure (micrograms per cubic meter)"/>
    <m/>
    <x v="36"/>
  </r>
  <r>
    <x v="2"/>
    <s v="PM2,5 air pollution, mean annual exposure (micrograms per cubic meter)"/>
    <m/>
    <x v="36"/>
  </r>
  <r>
    <x v="3"/>
    <s v="PM2,5 air pollution, mean annual exposure (micrograms per cubic meter)"/>
    <m/>
    <x v="36"/>
  </r>
  <r>
    <x v="4"/>
    <s v="PM2,5 air pollution, mean annual exposure (micrograms per cubic meter)"/>
    <m/>
    <x v="36"/>
  </r>
  <r>
    <x v="5"/>
    <s v="PM2,5 air pollution, mean annual exposure (micrograms per cubic meter)"/>
    <m/>
    <x v="36"/>
  </r>
  <r>
    <x v="6"/>
    <s v="PM2,5 air pollution, mean annual exposure (micrograms per cubic meter)"/>
    <m/>
    <x v="36"/>
  </r>
  <r>
    <x v="7"/>
    <s v="PM2,5 air pollution, mean annual exposure (micrograms per cubic meter)"/>
    <m/>
    <x v="36"/>
  </r>
  <r>
    <x v="8"/>
    <s v="PM2,5 air pollution, mean annual exposure (micrograms per cubic meter)"/>
    <m/>
    <x v="36"/>
  </r>
  <r>
    <x v="9"/>
    <s v="PM2,5 air pollution, mean annual exposure (micrograms per cubic meter)"/>
    <m/>
    <x v="36"/>
  </r>
  <r>
    <x v="10"/>
    <s v="PM2,5 air pollution, mean annual exposure (micrograms per cubic meter)"/>
    <m/>
    <x v="36"/>
  </r>
  <r>
    <x v="11"/>
    <s v="PM2,5 air pollution, mean annual exposure (micrograms per cubic meter)"/>
    <m/>
    <x v="36"/>
  </r>
  <r>
    <x v="12"/>
    <s v="PM2,5 air pollution, mean annual exposure (micrograms per cubic meter)"/>
    <m/>
    <x v="36"/>
  </r>
  <r>
    <x v="13"/>
    <s v="PM2,5 air pollution, mean annual exposure (micrograms per cubic meter)"/>
    <m/>
    <x v="36"/>
  </r>
  <r>
    <x v="14"/>
    <s v="PM2,5 air pollution, mean annual exposure (micrograms per cubic meter)"/>
    <m/>
    <x v="36"/>
  </r>
  <r>
    <x v="15"/>
    <s v="PM2,5 air pollution, mean annual exposure (micrograms per cubic meter)"/>
    <m/>
    <x v="36"/>
  </r>
  <r>
    <x v="16"/>
    <s v="PM2,5 air pollution, mean annual exposure (micrograms per cubic meter)"/>
    <m/>
    <x v="36"/>
  </r>
  <r>
    <x v="17"/>
    <s v="PM2,5 air pollution, mean annual exposure (micrograms per cubic meter)"/>
    <m/>
    <x v="36"/>
  </r>
  <r>
    <x v="18"/>
    <s v="PM2,5 air pollution, mean annual exposure (micrograms per cubic meter)"/>
    <m/>
    <x v="36"/>
  </r>
  <r>
    <x v="19"/>
    <s v="PM2,5 air pollution, mean annual exposure (micrograms per cubic meter)"/>
    <m/>
    <x v="36"/>
  </r>
  <r>
    <x v="20"/>
    <s v="PM2,5 air pollution, mean annual exposure (micrograms per cubic meter)"/>
    <m/>
    <x v="36"/>
  </r>
  <r>
    <x v="21"/>
    <s v="PM2,5 air pollution, mean annual exposure (micrograms per cubic meter)"/>
    <m/>
    <x v="36"/>
  </r>
  <r>
    <x v="22"/>
    <s v="PM2,5 air pollution, mean annual exposure (micrograms per cubic meter)"/>
    <m/>
    <x v="36"/>
  </r>
  <r>
    <x v="23"/>
    <s v="PM2,5 air pollution, mean annual exposure (micrograms per cubic meter)"/>
    <m/>
    <x v="36"/>
  </r>
  <r>
    <x v="24"/>
    <s v="PM2,5 air pollution, mean annual exposure (micrograms per cubic meter)"/>
    <m/>
    <x v="36"/>
  </r>
  <r>
    <x v="25"/>
    <s v="PM2,5 air pollution, mean annual exposure (micrograms per cubic meter)"/>
    <m/>
    <x v="36"/>
  </r>
  <r>
    <x v="26"/>
    <s v="PM2,5 air pollution, mean annual exposure (micrograms per cubic meter)"/>
    <m/>
    <x v="36"/>
  </r>
  <r>
    <x v="27"/>
    <s v="PM2,5 air pollution, mean annual exposure (micrograms per cubic meter)"/>
    <m/>
    <x v="36"/>
  </r>
  <r>
    <x v="0"/>
    <s v="PM2,5 air pollution, mean annual exposure (micrograms per cubic meter)"/>
    <m/>
    <x v="37"/>
  </r>
  <r>
    <x v="1"/>
    <s v="PM2,5 air pollution, mean annual exposure (micrograms per cubic meter)"/>
    <m/>
    <x v="37"/>
  </r>
  <r>
    <x v="2"/>
    <s v="PM2,5 air pollution, mean annual exposure (micrograms per cubic meter)"/>
    <m/>
    <x v="37"/>
  </r>
  <r>
    <x v="3"/>
    <s v="PM2,5 air pollution, mean annual exposure (micrograms per cubic meter)"/>
    <m/>
    <x v="37"/>
  </r>
  <r>
    <x v="4"/>
    <s v="PM2,5 air pollution, mean annual exposure (micrograms per cubic meter)"/>
    <m/>
    <x v="37"/>
  </r>
  <r>
    <x v="5"/>
    <s v="PM2,5 air pollution, mean annual exposure (micrograms per cubic meter)"/>
    <m/>
    <x v="37"/>
  </r>
  <r>
    <x v="6"/>
    <s v="PM2,5 air pollution, mean annual exposure (micrograms per cubic meter)"/>
    <m/>
    <x v="37"/>
  </r>
  <r>
    <x v="7"/>
    <s v="PM2,5 air pollution, mean annual exposure (micrograms per cubic meter)"/>
    <m/>
    <x v="37"/>
  </r>
  <r>
    <x v="8"/>
    <s v="PM2,5 air pollution, mean annual exposure (micrograms per cubic meter)"/>
    <m/>
    <x v="37"/>
  </r>
  <r>
    <x v="9"/>
    <s v="PM2,5 air pollution, mean annual exposure (micrograms per cubic meter)"/>
    <m/>
    <x v="37"/>
  </r>
  <r>
    <x v="10"/>
    <s v="PM2,5 air pollution, mean annual exposure (micrograms per cubic meter)"/>
    <m/>
    <x v="37"/>
  </r>
  <r>
    <x v="11"/>
    <s v="PM2,5 air pollution, mean annual exposure (micrograms per cubic meter)"/>
    <m/>
    <x v="37"/>
  </r>
  <r>
    <x v="12"/>
    <s v="PM2,5 air pollution, mean annual exposure (micrograms per cubic meter)"/>
    <m/>
    <x v="37"/>
  </r>
  <r>
    <x v="13"/>
    <s v="PM2,5 air pollution, mean annual exposure (micrograms per cubic meter)"/>
    <m/>
    <x v="37"/>
  </r>
  <r>
    <x v="14"/>
    <s v="PM2,5 air pollution, mean annual exposure (micrograms per cubic meter)"/>
    <m/>
    <x v="37"/>
  </r>
  <r>
    <x v="15"/>
    <s v="PM2,5 air pollution, mean annual exposure (micrograms per cubic meter)"/>
    <m/>
    <x v="37"/>
  </r>
  <r>
    <x v="16"/>
    <s v="PM2,5 air pollution, mean annual exposure (micrograms per cubic meter)"/>
    <m/>
    <x v="37"/>
  </r>
  <r>
    <x v="17"/>
    <s v="PM2,5 air pollution, mean annual exposure (micrograms per cubic meter)"/>
    <m/>
    <x v="37"/>
  </r>
  <r>
    <x v="18"/>
    <s v="PM2,5 air pollution, mean annual exposure (micrograms per cubic meter)"/>
    <m/>
    <x v="37"/>
  </r>
  <r>
    <x v="19"/>
    <s v="PM2,5 air pollution, mean annual exposure (micrograms per cubic meter)"/>
    <m/>
    <x v="37"/>
  </r>
  <r>
    <x v="20"/>
    <s v="PM2,5 air pollution, mean annual exposure (micrograms per cubic meter)"/>
    <m/>
    <x v="37"/>
  </r>
  <r>
    <x v="21"/>
    <s v="PM2,5 air pollution, mean annual exposure (micrograms per cubic meter)"/>
    <m/>
    <x v="37"/>
  </r>
  <r>
    <x v="22"/>
    <s v="PM2,5 air pollution, mean annual exposure (micrograms per cubic meter)"/>
    <m/>
    <x v="37"/>
  </r>
  <r>
    <x v="23"/>
    <s v="PM2,5 air pollution, mean annual exposure (micrograms per cubic meter)"/>
    <m/>
    <x v="37"/>
  </r>
  <r>
    <x v="24"/>
    <s v="PM2,5 air pollution, mean annual exposure (micrograms per cubic meter)"/>
    <m/>
    <x v="37"/>
  </r>
  <r>
    <x v="25"/>
    <s v="PM2,5 air pollution, mean annual exposure (micrograms per cubic meter)"/>
    <m/>
    <x v="37"/>
  </r>
  <r>
    <x v="26"/>
    <s v="PM2,5 air pollution, mean annual exposure (micrograms per cubic meter)"/>
    <m/>
    <x v="37"/>
  </r>
  <r>
    <x v="27"/>
    <s v="PM2,5 air pollution, mean annual exposure (micrograms per cubic meter)"/>
    <m/>
    <x v="37"/>
  </r>
  <r>
    <x v="0"/>
    <s v="PM2,5 air pollution, mean annual exposure (micrograms per cubic meter)"/>
    <m/>
    <x v="38"/>
  </r>
  <r>
    <x v="1"/>
    <s v="PM2,5 air pollution, mean annual exposure (micrograms per cubic meter)"/>
    <m/>
    <x v="38"/>
  </r>
  <r>
    <x v="2"/>
    <s v="PM2,5 air pollution, mean annual exposure (micrograms per cubic meter)"/>
    <m/>
    <x v="38"/>
  </r>
  <r>
    <x v="3"/>
    <s v="PM2,5 air pollution, mean annual exposure (micrograms per cubic meter)"/>
    <m/>
    <x v="38"/>
  </r>
  <r>
    <x v="4"/>
    <s v="PM2,5 air pollution, mean annual exposure (micrograms per cubic meter)"/>
    <m/>
    <x v="38"/>
  </r>
  <r>
    <x v="5"/>
    <s v="PM2,5 air pollution, mean annual exposure (micrograms per cubic meter)"/>
    <m/>
    <x v="38"/>
  </r>
  <r>
    <x v="6"/>
    <s v="PM2,5 air pollution, mean annual exposure (micrograms per cubic meter)"/>
    <m/>
    <x v="38"/>
  </r>
  <r>
    <x v="7"/>
    <s v="PM2,5 air pollution, mean annual exposure (micrograms per cubic meter)"/>
    <m/>
    <x v="38"/>
  </r>
  <r>
    <x v="8"/>
    <s v="PM2,5 air pollution, mean annual exposure (micrograms per cubic meter)"/>
    <m/>
    <x v="38"/>
  </r>
  <r>
    <x v="9"/>
    <s v="PM2,5 air pollution, mean annual exposure (micrograms per cubic meter)"/>
    <m/>
    <x v="38"/>
  </r>
  <r>
    <x v="10"/>
    <s v="PM2,5 air pollution, mean annual exposure (micrograms per cubic meter)"/>
    <m/>
    <x v="38"/>
  </r>
  <r>
    <x v="11"/>
    <s v="PM2,5 air pollution, mean annual exposure (micrograms per cubic meter)"/>
    <m/>
    <x v="38"/>
  </r>
  <r>
    <x v="12"/>
    <s v="PM2,5 air pollution, mean annual exposure (micrograms per cubic meter)"/>
    <m/>
    <x v="38"/>
  </r>
  <r>
    <x v="13"/>
    <s v="PM2,5 air pollution, mean annual exposure (micrograms per cubic meter)"/>
    <m/>
    <x v="38"/>
  </r>
  <r>
    <x v="14"/>
    <s v="PM2,5 air pollution, mean annual exposure (micrograms per cubic meter)"/>
    <m/>
    <x v="38"/>
  </r>
  <r>
    <x v="15"/>
    <s v="PM2,5 air pollution, mean annual exposure (micrograms per cubic meter)"/>
    <m/>
    <x v="38"/>
  </r>
  <r>
    <x v="16"/>
    <s v="PM2,5 air pollution, mean annual exposure (micrograms per cubic meter)"/>
    <m/>
    <x v="38"/>
  </r>
  <r>
    <x v="17"/>
    <s v="PM2,5 air pollution, mean annual exposure (micrograms per cubic meter)"/>
    <m/>
    <x v="38"/>
  </r>
  <r>
    <x v="18"/>
    <s v="PM2,5 air pollution, mean annual exposure (micrograms per cubic meter)"/>
    <m/>
    <x v="38"/>
  </r>
  <r>
    <x v="19"/>
    <s v="PM2,5 air pollution, mean annual exposure (micrograms per cubic meter)"/>
    <m/>
    <x v="38"/>
  </r>
  <r>
    <x v="20"/>
    <s v="PM2,5 air pollution, mean annual exposure (micrograms per cubic meter)"/>
    <m/>
    <x v="38"/>
  </r>
  <r>
    <x v="21"/>
    <s v="PM2,5 air pollution, mean annual exposure (micrograms per cubic meter)"/>
    <m/>
    <x v="38"/>
  </r>
  <r>
    <x v="22"/>
    <s v="PM2,5 air pollution, mean annual exposure (micrograms per cubic meter)"/>
    <m/>
    <x v="38"/>
  </r>
  <r>
    <x v="23"/>
    <s v="PM2,5 air pollution, mean annual exposure (micrograms per cubic meter)"/>
    <m/>
    <x v="38"/>
  </r>
  <r>
    <x v="24"/>
    <s v="PM2,5 air pollution, mean annual exposure (micrograms per cubic meter)"/>
    <m/>
    <x v="38"/>
  </r>
  <r>
    <x v="25"/>
    <s v="PM2,5 air pollution, mean annual exposure (micrograms per cubic meter)"/>
    <m/>
    <x v="38"/>
  </r>
  <r>
    <x v="26"/>
    <s v="PM2,5 air pollution, mean annual exposure (micrograms per cubic meter)"/>
    <m/>
    <x v="38"/>
  </r>
  <r>
    <x v="27"/>
    <s v="PM2,5 air pollution, mean annual exposure (micrograms per cubic meter)"/>
    <m/>
    <x v="38"/>
  </r>
  <r>
    <x v="0"/>
    <s v="PM2,5 air pollution, mean annual exposure (micrograms per cubic meter)"/>
    <m/>
    <x v="39"/>
  </r>
  <r>
    <x v="1"/>
    <s v="PM2,5 air pollution, mean annual exposure (micrograms per cubic meter)"/>
    <m/>
    <x v="39"/>
  </r>
  <r>
    <x v="2"/>
    <s v="PM2,5 air pollution, mean annual exposure (micrograms per cubic meter)"/>
    <m/>
    <x v="39"/>
  </r>
  <r>
    <x v="3"/>
    <s v="PM2,5 air pollution, mean annual exposure (micrograms per cubic meter)"/>
    <m/>
    <x v="39"/>
  </r>
  <r>
    <x v="4"/>
    <s v="PM2,5 air pollution, mean annual exposure (micrograms per cubic meter)"/>
    <m/>
    <x v="39"/>
  </r>
  <r>
    <x v="5"/>
    <s v="PM2,5 air pollution, mean annual exposure (micrograms per cubic meter)"/>
    <m/>
    <x v="39"/>
  </r>
  <r>
    <x v="6"/>
    <s v="PM2,5 air pollution, mean annual exposure (micrograms per cubic meter)"/>
    <m/>
    <x v="39"/>
  </r>
  <r>
    <x v="7"/>
    <s v="PM2,5 air pollution, mean annual exposure (micrograms per cubic meter)"/>
    <m/>
    <x v="39"/>
  </r>
  <r>
    <x v="8"/>
    <s v="PM2,5 air pollution, mean annual exposure (micrograms per cubic meter)"/>
    <m/>
    <x v="39"/>
  </r>
  <r>
    <x v="9"/>
    <s v="PM2,5 air pollution, mean annual exposure (micrograms per cubic meter)"/>
    <m/>
    <x v="39"/>
  </r>
  <r>
    <x v="10"/>
    <s v="PM2,5 air pollution, mean annual exposure (micrograms per cubic meter)"/>
    <m/>
    <x v="39"/>
  </r>
  <r>
    <x v="11"/>
    <s v="PM2,5 air pollution, mean annual exposure (micrograms per cubic meter)"/>
    <m/>
    <x v="39"/>
  </r>
  <r>
    <x v="12"/>
    <s v="PM2,5 air pollution, mean annual exposure (micrograms per cubic meter)"/>
    <m/>
    <x v="39"/>
  </r>
  <r>
    <x v="13"/>
    <s v="PM2,5 air pollution, mean annual exposure (micrograms per cubic meter)"/>
    <m/>
    <x v="39"/>
  </r>
  <r>
    <x v="14"/>
    <s v="PM2,5 air pollution, mean annual exposure (micrograms per cubic meter)"/>
    <m/>
    <x v="39"/>
  </r>
  <r>
    <x v="15"/>
    <s v="PM2,5 air pollution, mean annual exposure (micrograms per cubic meter)"/>
    <m/>
    <x v="39"/>
  </r>
  <r>
    <x v="16"/>
    <s v="PM2,5 air pollution, mean annual exposure (micrograms per cubic meter)"/>
    <m/>
    <x v="39"/>
  </r>
  <r>
    <x v="17"/>
    <s v="PM2,5 air pollution, mean annual exposure (micrograms per cubic meter)"/>
    <m/>
    <x v="39"/>
  </r>
  <r>
    <x v="18"/>
    <s v="PM2,5 air pollution, mean annual exposure (micrograms per cubic meter)"/>
    <m/>
    <x v="39"/>
  </r>
  <r>
    <x v="19"/>
    <s v="PM2,5 air pollution, mean annual exposure (micrograms per cubic meter)"/>
    <m/>
    <x v="39"/>
  </r>
  <r>
    <x v="20"/>
    <s v="PM2,5 air pollution, mean annual exposure (micrograms per cubic meter)"/>
    <m/>
    <x v="39"/>
  </r>
  <r>
    <x v="21"/>
    <s v="PM2,5 air pollution, mean annual exposure (micrograms per cubic meter)"/>
    <m/>
    <x v="39"/>
  </r>
  <r>
    <x v="22"/>
    <s v="PM2,5 air pollution, mean annual exposure (micrograms per cubic meter)"/>
    <m/>
    <x v="39"/>
  </r>
  <r>
    <x v="23"/>
    <s v="PM2,5 air pollution, mean annual exposure (micrograms per cubic meter)"/>
    <m/>
    <x v="39"/>
  </r>
  <r>
    <x v="24"/>
    <s v="PM2,5 air pollution, mean annual exposure (micrograms per cubic meter)"/>
    <m/>
    <x v="39"/>
  </r>
  <r>
    <x v="25"/>
    <s v="PM2,5 air pollution, mean annual exposure (micrograms per cubic meter)"/>
    <m/>
    <x v="39"/>
  </r>
  <r>
    <x v="26"/>
    <s v="PM2,5 air pollution, mean annual exposure (micrograms per cubic meter)"/>
    <m/>
    <x v="39"/>
  </r>
  <r>
    <x v="27"/>
    <s v="PM2,5 air pollution, mean annual exposure (micrograms per cubic meter)"/>
    <m/>
    <x v="39"/>
  </r>
  <r>
    <x v="0"/>
    <s v="PM2,5 air pollution, mean annual exposure (micrograms per cubic meter)"/>
    <n v="47.076484142621702"/>
    <x v="40"/>
  </r>
  <r>
    <x v="1"/>
    <s v="PM2,5 air pollution, mean annual exposure (micrograms per cubic meter)"/>
    <n v="99.645181788517505"/>
    <x v="40"/>
  </r>
  <r>
    <x v="2"/>
    <s v="PM2,5 air pollution, mean annual exposure (micrograms per cubic meter)"/>
    <n v="63.979689644271602"/>
    <x v="40"/>
  </r>
  <r>
    <x v="3"/>
    <s v="PM2,5 air pollution, mean annual exposure (micrograms per cubic meter)"/>
    <n v="21.119799944413799"/>
    <x v="40"/>
  </r>
  <r>
    <x v="4"/>
    <s v="PM2,5 air pollution, mean annual exposure (micrograms per cubic meter)"/>
    <n v="49.839589146915102"/>
    <x v="40"/>
  </r>
  <r>
    <x v="5"/>
    <s v="PM2,5 air pollution, mean annual exposure (micrograms per cubic meter)"/>
    <n v="35.457561015242703"/>
    <x v="40"/>
  </r>
  <r>
    <x v="6"/>
    <s v="PM2,5 air pollution, mean annual exposure (micrograms per cubic meter)"/>
    <n v="30.6068189596926"/>
    <x v="40"/>
  </r>
  <r>
    <x v="7"/>
    <s v="PM2,5 air pollution, mean annual exposure (micrograms per cubic meter)"/>
    <n v="30.781790810841301"/>
    <x v="40"/>
  </r>
  <r>
    <x v="8"/>
    <s v="PM2,5 air pollution, mean annual exposure (micrograms per cubic meter)"/>
    <n v="16.190365034014899"/>
    <x v="40"/>
  </r>
  <r>
    <x v="9"/>
    <s v="PM2,5 air pollution, mean annual exposure (micrograms per cubic meter)"/>
    <m/>
    <x v="40"/>
  </r>
  <r>
    <x v="10"/>
    <s v="PM2,5 air pollution, mean annual exposure (micrograms per cubic meter)"/>
    <n v="10.555447622356599"/>
    <x v="40"/>
  </r>
  <r>
    <x v="11"/>
    <s v="PM2,5 air pollution, mean annual exposure (micrograms per cubic meter)"/>
    <n v="19.357024432303099"/>
    <x v="40"/>
  </r>
  <r>
    <x v="12"/>
    <s v="PM2,5 air pollution, mean annual exposure (micrograms per cubic meter)"/>
    <n v="29.173683004910998"/>
    <x v="40"/>
  </r>
  <r>
    <x v="13"/>
    <s v="PM2,5 air pollution, mean annual exposure (micrograms per cubic meter)"/>
    <n v="60.2093358539855"/>
    <x v="40"/>
  </r>
  <r>
    <x v="14"/>
    <s v="PM2,5 air pollution, mean annual exposure (micrograms per cubic meter)"/>
    <n v="21.8742189684701"/>
    <x v="40"/>
  </r>
  <r>
    <x v="15"/>
    <s v="PM2,5 air pollution, mean annual exposure (micrograms per cubic meter)"/>
    <n v="22.758277433082799"/>
    <x v="40"/>
  </r>
  <r>
    <x v="16"/>
    <s v="PM2,5 air pollution, mean annual exposure (micrograms per cubic meter)"/>
    <n v="44.227207948034"/>
    <x v="40"/>
  </r>
  <r>
    <x v="17"/>
    <s v="PM2,5 air pollution, mean annual exposure (micrograms per cubic meter)"/>
    <n v="56.050758619398401"/>
    <x v="40"/>
  </r>
  <r>
    <x v="18"/>
    <s v="PM2,5 air pollution, mean annual exposure (micrograms per cubic meter)"/>
    <n v="34.339958574100102"/>
    <x v="40"/>
  </r>
  <r>
    <x v="19"/>
    <s v="PM2,5 air pollution, mean annual exposure (micrograms per cubic meter)"/>
    <n v="128.90772520719699"/>
    <x v="40"/>
  </r>
  <r>
    <x v="20"/>
    <s v="PM2,5 air pollution, mean annual exposure (micrograms per cubic meter)"/>
    <n v="53.753770878857097"/>
    <x v="40"/>
  </r>
  <r>
    <x v="21"/>
    <s v="PM2,5 air pollution, mean annual exposure (micrograms per cubic meter)"/>
    <n v="15.867681400442899"/>
    <x v="40"/>
  </r>
  <r>
    <x v="22"/>
    <s v="PM2,5 air pollution, mean annual exposure (micrograms per cubic meter)"/>
    <n v="30.767274322355298"/>
    <x v="40"/>
  </r>
  <r>
    <x v="23"/>
    <s v="PM2,5 air pollution, mean annual exposure (micrograms per cubic meter)"/>
    <n v="62.667892882356497"/>
    <x v="40"/>
  </r>
  <r>
    <x v="24"/>
    <s v="PM2,5 air pollution, mean annual exposure (micrograms per cubic meter)"/>
    <n v="22.354224596563199"/>
    <x v="40"/>
  </r>
  <r>
    <x v="25"/>
    <s v="PM2,5 air pollution, mean annual exposure (micrograms per cubic meter)"/>
    <n v="60.360426287244699"/>
    <x v="40"/>
  </r>
  <r>
    <x v="26"/>
    <s v="PM2,5 air pollution, mean annual exposure (micrograms per cubic meter)"/>
    <n v="30.860930201084699"/>
    <x v="40"/>
  </r>
  <r>
    <x v="27"/>
    <s v="PM2,5 air pollution, mean annual exposure (micrograms per cubic meter)"/>
    <n v="25.0884950757689"/>
    <x v="40"/>
  </r>
  <r>
    <x v="0"/>
    <s v="PM2,5 air pollution, mean annual exposure (micrograms per cubic meter)"/>
    <m/>
    <x v="41"/>
  </r>
  <r>
    <x v="1"/>
    <s v="PM2,5 air pollution, mean annual exposure (micrograms per cubic meter)"/>
    <m/>
    <x v="41"/>
  </r>
  <r>
    <x v="2"/>
    <s v="PM2,5 air pollution, mean annual exposure (micrograms per cubic meter)"/>
    <m/>
    <x v="41"/>
  </r>
  <r>
    <x v="3"/>
    <s v="PM2,5 air pollution, mean annual exposure (micrograms per cubic meter)"/>
    <m/>
    <x v="41"/>
  </r>
  <r>
    <x v="4"/>
    <s v="PM2,5 air pollution, mean annual exposure (micrograms per cubic meter)"/>
    <m/>
    <x v="41"/>
  </r>
  <r>
    <x v="5"/>
    <s v="PM2,5 air pollution, mean annual exposure (micrograms per cubic meter)"/>
    <m/>
    <x v="41"/>
  </r>
  <r>
    <x v="6"/>
    <s v="PM2,5 air pollution, mean annual exposure (micrograms per cubic meter)"/>
    <m/>
    <x v="41"/>
  </r>
  <r>
    <x v="7"/>
    <s v="PM2,5 air pollution, mean annual exposure (micrograms per cubic meter)"/>
    <m/>
    <x v="41"/>
  </r>
  <r>
    <x v="8"/>
    <s v="PM2,5 air pollution, mean annual exposure (micrograms per cubic meter)"/>
    <m/>
    <x v="41"/>
  </r>
  <r>
    <x v="9"/>
    <s v="PM2,5 air pollution, mean annual exposure (micrograms per cubic meter)"/>
    <m/>
    <x v="41"/>
  </r>
  <r>
    <x v="10"/>
    <s v="PM2,5 air pollution, mean annual exposure (micrograms per cubic meter)"/>
    <m/>
    <x v="41"/>
  </r>
  <r>
    <x v="11"/>
    <s v="PM2,5 air pollution, mean annual exposure (micrograms per cubic meter)"/>
    <m/>
    <x v="41"/>
  </r>
  <r>
    <x v="12"/>
    <s v="PM2,5 air pollution, mean annual exposure (micrograms per cubic meter)"/>
    <m/>
    <x v="41"/>
  </r>
  <r>
    <x v="13"/>
    <s v="PM2,5 air pollution, mean annual exposure (micrograms per cubic meter)"/>
    <m/>
    <x v="41"/>
  </r>
  <r>
    <x v="14"/>
    <s v="PM2,5 air pollution, mean annual exposure (micrograms per cubic meter)"/>
    <m/>
    <x v="41"/>
  </r>
  <r>
    <x v="15"/>
    <s v="PM2,5 air pollution, mean annual exposure (micrograms per cubic meter)"/>
    <m/>
    <x v="41"/>
  </r>
  <r>
    <x v="16"/>
    <s v="PM2,5 air pollution, mean annual exposure (micrograms per cubic meter)"/>
    <m/>
    <x v="41"/>
  </r>
  <r>
    <x v="17"/>
    <s v="PM2,5 air pollution, mean annual exposure (micrograms per cubic meter)"/>
    <m/>
    <x v="41"/>
  </r>
  <r>
    <x v="18"/>
    <s v="PM2,5 air pollution, mean annual exposure (micrograms per cubic meter)"/>
    <m/>
    <x v="41"/>
  </r>
  <r>
    <x v="19"/>
    <s v="PM2,5 air pollution, mean annual exposure (micrograms per cubic meter)"/>
    <m/>
    <x v="41"/>
  </r>
  <r>
    <x v="20"/>
    <s v="PM2,5 air pollution, mean annual exposure (micrograms per cubic meter)"/>
    <m/>
    <x v="41"/>
  </r>
  <r>
    <x v="21"/>
    <s v="PM2,5 air pollution, mean annual exposure (micrograms per cubic meter)"/>
    <m/>
    <x v="41"/>
  </r>
  <r>
    <x v="22"/>
    <s v="PM2,5 air pollution, mean annual exposure (micrograms per cubic meter)"/>
    <m/>
    <x v="41"/>
  </r>
  <r>
    <x v="23"/>
    <s v="PM2,5 air pollution, mean annual exposure (micrograms per cubic meter)"/>
    <m/>
    <x v="41"/>
  </r>
  <r>
    <x v="24"/>
    <s v="PM2,5 air pollution, mean annual exposure (micrograms per cubic meter)"/>
    <m/>
    <x v="41"/>
  </r>
  <r>
    <x v="25"/>
    <s v="PM2,5 air pollution, mean annual exposure (micrograms per cubic meter)"/>
    <m/>
    <x v="41"/>
  </r>
  <r>
    <x v="26"/>
    <s v="PM2,5 air pollution, mean annual exposure (micrograms per cubic meter)"/>
    <m/>
    <x v="41"/>
  </r>
  <r>
    <x v="27"/>
    <s v="PM2,5 air pollution, mean annual exposure (micrograms per cubic meter)"/>
    <m/>
    <x v="41"/>
  </r>
  <r>
    <x v="0"/>
    <s v="PM2,5 air pollution, mean annual exposure (micrograms per cubic meter)"/>
    <m/>
    <x v="42"/>
  </r>
  <r>
    <x v="1"/>
    <s v="PM2,5 air pollution, mean annual exposure (micrograms per cubic meter)"/>
    <m/>
    <x v="42"/>
  </r>
  <r>
    <x v="2"/>
    <s v="PM2,5 air pollution, mean annual exposure (micrograms per cubic meter)"/>
    <m/>
    <x v="42"/>
  </r>
  <r>
    <x v="3"/>
    <s v="PM2,5 air pollution, mean annual exposure (micrograms per cubic meter)"/>
    <m/>
    <x v="42"/>
  </r>
  <r>
    <x v="4"/>
    <s v="PM2,5 air pollution, mean annual exposure (micrograms per cubic meter)"/>
    <m/>
    <x v="42"/>
  </r>
  <r>
    <x v="5"/>
    <s v="PM2,5 air pollution, mean annual exposure (micrograms per cubic meter)"/>
    <m/>
    <x v="42"/>
  </r>
  <r>
    <x v="6"/>
    <s v="PM2,5 air pollution, mean annual exposure (micrograms per cubic meter)"/>
    <m/>
    <x v="42"/>
  </r>
  <r>
    <x v="7"/>
    <s v="PM2,5 air pollution, mean annual exposure (micrograms per cubic meter)"/>
    <m/>
    <x v="42"/>
  </r>
  <r>
    <x v="8"/>
    <s v="PM2,5 air pollution, mean annual exposure (micrograms per cubic meter)"/>
    <m/>
    <x v="42"/>
  </r>
  <r>
    <x v="9"/>
    <s v="PM2,5 air pollution, mean annual exposure (micrograms per cubic meter)"/>
    <m/>
    <x v="42"/>
  </r>
  <r>
    <x v="10"/>
    <s v="PM2,5 air pollution, mean annual exposure (micrograms per cubic meter)"/>
    <m/>
    <x v="42"/>
  </r>
  <r>
    <x v="11"/>
    <s v="PM2,5 air pollution, mean annual exposure (micrograms per cubic meter)"/>
    <m/>
    <x v="42"/>
  </r>
  <r>
    <x v="12"/>
    <s v="PM2,5 air pollution, mean annual exposure (micrograms per cubic meter)"/>
    <m/>
    <x v="42"/>
  </r>
  <r>
    <x v="13"/>
    <s v="PM2,5 air pollution, mean annual exposure (micrograms per cubic meter)"/>
    <m/>
    <x v="42"/>
  </r>
  <r>
    <x v="14"/>
    <s v="PM2,5 air pollution, mean annual exposure (micrograms per cubic meter)"/>
    <m/>
    <x v="42"/>
  </r>
  <r>
    <x v="15"/>
    <s v="PM2,5 air pollution, mean annual exposure (micrograms per cubic meter)"/>
    <m/>
    <x v="42"/>
  </r>
  <r>
    <x v="16"/>
    <s v="PM2,5 air pollution, mean annual exposure (micrograms per cubic meter)"/>
    <m/>
    <x v="42"/>
  </r>
  <r>
    <x v="17"/>
    <s v="PM2,5 air pollution, mean annual exposure (micrograms per cubic meter)"/>
    <m/>
    <x v="42"/>
  </r>
  <r>
    <x v="18"/>
    <s v="PM2,5 air pollution, mean annual exposure (micrograms per cubic meter)"/>
    <m/>
    <x v="42"/>
  </r>
  <r>
    <x v="19"/>
    <s v="PM2,5 air pollution, mean annual exposure (micrograms per cubic meter)"/>
    <m/>
    <x v="42"/>
  </r>
  <r>
    <x v="20"/>
    <s v="PM2,5 air pollution, mean annual exposure (micrograms per cubic meter)"/>
    <m/>
    <x v="42"/>
  </r>
  <r>
    <x v="21"/>
    <s v="PM2,5 air pollution, mean annual exposure (micrograms per cubic meter)"/>
    <m/>
    <x v="42"/>
  </r>
  <r>
    <x v="22"/>
    <s v="PM2,5 air pollution, mean annual exposure (micrograms per cubic meter)"/>
    <m/>
    <x v="42"/>
  </r>
  <r>
    <x v="23"/>
    <s v="PM2,5 air pollution, mean annual exposure (micrograms per cubic meter)"/>
    <m/>
    <x v="42"/>
  </r>
  <r>
    <x v="24"/>
    <s v="PM2,5 air pollution, mean annual exposure (micrograms per cubic meter)"/>
    <m/>
    <x v="42"/>
  </r>
  <r>
    <x v="25"/>
    <s v="PM2,5 air pollution, mean annual exposure (micrograms per cubic meter)"/>
    <m/>
    <x v="42"/>
  </r>
  <r>
    <x v="26"/>
    <s v="PM2,5 air pollution, mean annual exposure (micrograms per cubic meter)"/>
    <m/>
    <x v="42"/>
  </r>
  <r>
    <x v="27"/>
    <s v="PM2,5 air pollution, mean annual exposure (micrograms per cubic meter)"/>
    <m/>
    <x v="42"/>
  </r>
  <r>
    <x v="0"/>
    <s v="PM2,5 air pollution, mean annual exposure (micrograms per cubic meter)"/>
    <m/>
    <x v="43"/>
  </r>
  <r>
    <x v="1"/>
    <s v="PM2,5 air pollution, mean annual exposure (micrograms per cubic meter)"/>
    <m/>
    <x v="43"/>
  </r>
  <r>
    <x v="2"/>
    <s v="PM2,5 air pollution, mean annual exposure (micrograms per cubic meter)"/>
    <m/>
    <x v="43"/>
  </r>
  <r>
    <x v="3"/>
    <s v="PM2,5 air pollution, mean annual exposure (micrograms per cubic meter)"/>
    <m/>
    <x v="43"/>
  </r>
  <r>
    <x v="4"/>
    <s v="PM2,5 air pollution, mean annual exposure (micrograms per cubic meter)"/>
    <m/>
    <x v="43"/>
  </r>
  <r>
    <x v="5"/>
    <s v="PM2,5 air pollution, mean annual exposure (micrograms per cubic meter)"/>
    <m/>
    <x v="43"/>
  </r>
  <r>
    <x v="6"/>
    <s v="PM2,5 air pollution, mean annual exposure (micrograms per cubic meter)"/>
    <m/>
    <x v="43"/>
  </r>
  <r>
    <x v="7"/>
    <s v="PM2,5 air pollution, mean annual exposure (micrograms per cubic meter)"/>
    <m/>
    <x v="43"/>
  </r>
  <r>
    <x v="8"/>
    <s v="PM2,5 air pollution, mean annual exposure (micrograms per cubic meter)"/>
    <m/>
    <x v="43"/>
  </r>
  <r>
    <x v="9"/>
    <s v="PM2,5 air pollution, mean annual exposure (micrograms per cubic meter)"/>
    <m/>
    <x v="43"/>
  </r>
  <r>
    <x v="10"/>
    <s v="PM2,5 air pollution, mean annual exposure (micrograms per cubic meter)"/>
    <m/>
    <x v="43"/>
  </r>
  <r>
    <x v="11"/>
    <s v="PM2,5 air pollution, mean annual exposure (micrograms per cubic meter)"/>
    <m/>
    <x v="43"/>
  </r>
  <r>
    <x v="12"/>
    <s v="PM2,5 air pollution, mean annual exposure (micrograms per cubic meter)"/>
    <m/>
    <x v="43"/>
  </r>
  <r>
    <x v="13"/>
    <s v="PM2,5 air pollution, mean annual exposure (micrograms per cubic meter)"/>
    <m/>
    <x v="43"/>
  </r>
  <r>
    <x v="14"/>
    <s v="PM2,5 air pollution, mean annual exposure (micrograms per cubic meter)"/>
    <m/>
    <x v="43"/>
  </r>
  <r>
    <x v="15"/>
    <s v="PM2,5 air pollution, mean annual exposure (micrograms per cubic meter)"/>
    <m/>
    <x v="43"/>
  </r>
  <r>
    <x v="16"/>
    <s v="PM2,5 air pollution, mean annual exposure (micrograms per cubic meter)"/>
    <m/>
    <x v="43"/>
  </r>
  <r>
    <x v="17"/>
    <s v="PM2,5 air pollution, mean annual exposure (micrograms per cubic meter)"/>
    <m/>
    <x v="43"/>
  </r>
  <r>
    <x v="18"/>
    <s v="PM2,5 air pollution, mean annual exposure (micrograms per cubic meter)"/>
    <m/>
    <x v="43"/>
  </r>
  <r>
    <x v="19"/>
    <s v="PM2,5 air pollution, mean annual exposure (micrograms per cubic meter)"/>
    <m/>
    <x v="43"/>
  </r>
  <r>
    <x v="20"/>
    <s v="PM2,5 air pollution, mean annual exposure (micrograms per cubic meter)"/>
    <m/>
    <x v="43"/>
  </r>
  <r>
    <x v="21"/>
    <s v="PM2,5 air pollution, mean annual exposure (micrograms per cubic meter)"/>
    <m/>
    <x v="43"/>
  </r>
  <r>
    <x v="22"/>
    <s v="PM2,5 air pollution, mean annual exposure (micrograms per cubic meter)"/>
    <m/>
    <x v="43"/>
  </r>
  <r>
    <x v="23"/>
    <s v="PM2,5 air pollution, mean annual exposure (micrograms per cubic meter)"/>
    <m/>
    <x v="43"/>
  </r>
  <r>
    <x v="24"/>
    <s v="PM2,5 air pollution, mean annual exposure (micrograms per cubic meter)"/>
    <m/>
    <x v="43"/>
  </r>
  <r>
    <x v="25"/>
    <s v="PM2,5 air pollution, mean annual exposure (micrograms per cubic meter)"/>
    <m/>
    <x v="43"/>
  </r>
  <r>
    <x v="26"/>
    <s v="PM2,5 air pollution, mean annual exposure (micrograms per cubic meter)"/>
    <m/>
    <x v="43"/>
  </r>
  <r>
    <x v="27"/>
    <s v="PM2,5 air pollution, mean annual exposure (micrograms per cubic meter)"/>
    <m/>
    <x v="43"/>
  </r>
  <r>
    <x v="0"/>
    <s v="PM2,5 air pollution, mean annual exposure (micrograms per cubic meter)"/>
    <m/>
    <x v="44"/>
  </r>
  <r>
    <x v="1"/>
    <s v="PM2,5 air pollution, mean annual exposure (micrograms per cubic meter)"/>
    <m/>
    <x v="44"/>
  </r>
  <r>
    <x v="2"/>
    <s v="PM2,5 air pollution, mean annual exposure (micrograms per cubic meter)"/>
    <m/>
    <x v="44"/>
  </r>
  <r>
    <x v="3"/>
    <s v="PM2,5 air pollution, mean annual exposure (micrograms per cubic meter)"/>
    <m/>
    <x v="44"/>
  </r>
  <r>
    <x v="4"/>
    <s v="PM2,5 air pollution, mean annual exposure (micrograms per cubic meter)"/>
    <m/>
    <x v="44"/>
  </r>
  <r>
    <x v="5"/>
    <s v="PM2,5 air pollution, mean annual exposure (micrograms per cubic meter)"/>
    <m/>
    <x v="44"/>
  </r>
  <r>
    <x v="6"/>
    <s v="PM2,5 air pollution, mean annual exposure (micrograms per cubic meter)"/>
    <m/>
    <x v="44"/>
  </r>
  <r>
    <x v="7"/>
    <s v="PM2,5 air pollution, mean annual exposure (micrograms per cubic meter)"/>
    <m/>
    <x v="44"/>
  </r>
  <r>
    <x v="8"/>
    <s v="PM2,5 air pollution, mean annual exposure (micrograms per cubic meter)"/>
    <m/>
    <x v="44"/>
  </r>
  <r>
    <x v="9"/>
    <s v="PM2,5 air pollution, mean annual exposure (micrograms per cubic meter)"/>
    <m/>
    <x v="44"/>
  </r>
  <r>
    <x v="10"/>
    <s v="PM2,5 air pollution, mean annual exposure (micrograms per cubic meter)"/>
    <m/>
    <x v="44"/>
  </r>
  <r>
    <x v="11"/>
    <s v="PM2,5 air pollution, mean annual exposure (micrograms per cubic meter)"/>
    <m/>
    <x v="44"/>
  </r>
  <r>
    <x v="12"/>
    <s v="PM2,5 air pollution, mean annual exposure (micrograms per cubic meter)"/>
    <m/>
    <x v="44"/>
  </r>
  <r>
    <x v="13"/>
    <s v="PM2,5 air pollution, mean annual exposure (micrograms per cubic meter)"/>
    <m/>
    <x v="44"/>
  </r>
  <r>
    <x v="14"/>
    <s v="PM2,5 air pollution, mean annual exposure (micrograms per cubic meter)"/>
    <m/>
    <x v="44"/>
  </r>
  <r>
    <x v="15"/>
    <s v="PM2,5 air pollution, mean annual exposure (micrograms per cubic meter)"/>
    <m/>
    <x v="44"/>
  </r>
  <r>
    <x v="16"/>
    <s v="PM2,5 air pollution, mean annual exposure (micrograms per cubic meter)"/>
    <m/>
    <x v="44"/>
  </r>
  <r>
    <x v="17"/>
    <s v="PM2,5 air pollution, mean annual exposure (micrograms per cubic meter)"/>
    <m/>
    <x v="44"/>
  </r>
  <r>
    <x v="18"/>
    <s v="PM2,5 air pollution, mean annual exposure (micrograms per cubic meter)"/>
    <m/>
    <x v="44"/>
  </r>
  <r>
    <x v="19"/>
    <s v="PM2,5 air pollution, mean annual exposure (micrograms per cubic meter)"/>
    <m/>
    <x v="44"/>
  </r>
  <r>
    <x v="20"/>
    <s v="PM2,5 air pollution, mean annual exposure (micrograms per cubic meter)"/>
    <m/>
    <x v="44"/>
  </r>
  <r>
    <x v="21"/>
    <s v="PM2,5 air pollution, mean annual exposure (micrograms per cubic meter)"/>
    <m/>
    <x v="44"/>
  </r>
  <r>
    <x v="22"/>
    <s v="PM2,5 air pollution, mean annual exposure (micrograms per cubic meter)"/>
    <m/>
    <x v="44"/>
  </r>
  <r>
    <x v="23"/>
    <s v="PM2,5 air pollution, mean annual exposure (micrograms per cubic meter)"/>
    <m/>
    <x v="44"/>
  </r>
  <r>
    <x v="24"/>
    <s v="PM2,5 air pollution, mean annual exposure (micrograms per cubic meter)"/>
    <m/>
    <x v="44"/>
  </r>
  <r>
    <x v="25"/>
    <s v="PM2,5 air pollution, mean annual exposure (micrograms per cubic meter)"/>
    <m/>
    <x v="44"/>
  </r>
  <r>
    <x v="26"/>
    <s v="PM2,5 air pollution, mean annual exposure (micrograms per cubic meter)"/>
    <m/>
    <x v="44"/>
  </r>
  <r>
    <x v="27"/>
    <s v="PM2,5 air pollution, mean annual exposure (micrograms per cubic meter)"/>
    <m/>
    <x v="44"/>
  </r>
  <r>
    <x v="0"/>
    <s v="PM2,5 air pollution, mean annual exposure (micrograms per cubic meter)"/>
    <n v="43.244252956599198"/>
    <x v="45"/>
  </r>
  <r>
    <x v="1"/>
    <s v="PM2,5 air pollution, mean annual exposure (micrograms per cubic meter)"/>
    <n v="81.867217580517007"/>
    <x v="45"/>
  </r>
  <r>
    <x v="2"/>
    <s v="PM2,5 air pollution, mean annual exposure (micrograms per cubic meter)"/>
    <n v="59.015257242197798"/>
    <x v="45"/>
  </r>
  <r>
    <x v="3"/>
    <s v="PM2,5 air pollution, mean annual exposure (micrograms per cubic meter)"/>
    <n v="20.3579409789685"/>
    <x v="45"/>
  </r>
  <r>
    <x v="4"/>
    <s v="PM2,5 air pollution, mean annual exposure (micrograms per cubic meter)"/>
    <n v="43.162939624859398"/>
    <x v="45"/>
  </r>
  <r>
    <x v="5"/>
    <s v="PM2,5 air pollution, mean annual exposure (micrograms per cubic meter)"/>
    <n v="31.1596866736122"/>
    <x v="45"/>
  </r>
  <r>
    <x v="6"/>
    <s v="PM2,5 air pollution, mean annual exposure (micrograms per cubic meter)"/>
    <n v="26.253804724962901"/>
    <x v="45"/>
  </r>
  <r>
    <x v="7"/>
    <s v="PM2,5 air pollution, mean annual exposure (micrograms per cubic meter)"/>
    <n v="30.0940881348169"/>
    <x v="45"/>
  </r>
  <r>
    <x v="8"/>
    <s v="PM2,5 air pollution, mean annual exposure (micrograms per cubic meter)"/>
    <n v="15.134838405710701"/>
    <x v="45"/>
  </r>
  <r>
    <x v="9"/>
    <s v="PM2,5 air pollution, mean annual exposure (micrograms per cubic meter)"/>
    <m/>
    <x v="45"/>
  </r>
  <r>
    <x v="10"/>
    <s v="PM2,5 air pollution, mean annual exposure (micrograms per cubic meter)"/>
    <n v="9.5166108403669796"/>
    <x v="45"/>
  </r>
  <r>
    <x v="11"/>
    <s v="PM2,5 air pollution, mean annual exposure (micrograms per cubic meter)"/>
    <n v="18.275894662321999"/>
    <x v="45"/>
  </r>
  <r>
    <x v="12"/>
    <s v="PM2,5 air pollution, mean annual exposure (micrograms per cubic meter)"/>
    <n v="29.3762820492149"/>
    <x v="45"/>
  </r>
  <r>
    <x v="13"/>
    <s v="PM2,5 air pollution, mean annual exposure (micrograms per cubic meter)"/>
    <n v="53.896665310033299"/>
    <x v="45"/>
  </r>
  <r>
    <x v="14"/>
    <s v="PM2,5 air pollution, mean annual exposure (micrograms per cubic meter)"/>
    <n v="18.554719666729401"/>
    <x v="45"/>
  </r>
  <r>
    <x v="15"/>
    <s v="PM2,5 air pollution, mean annual exposure (micrograms per cubic meter)"/>
    <n v="22.5651947738403"/>
    <x v="45"/>
  </r>
  <r>
    <x v="16"/>
    <s v="PM2,5 air pollution, mean annual exposure (micrograms per cubic meter)"/>
    <n v="48.0010895231636"/>
    <x v="45"/>
  </r>
  <r>
    <x v="17"/>
    <s v="PM2,5 air pollution, mean annual exposure (micrograms per cubic meter)"/>
    <n v="60.254146868980101"/>
    <x v="45"/>
  </r>
  <r>
    <x v="18"/>
    <s v="PM2,5 air pollution, mean annual exposure (micrograms per cubic meter)"/>
    <n v="32.0779034418129"/>
    <x v="45"/>
  </r>
  <r>
    <x v="19"/>
    <s v="PM2,5 air pollution, mean annual exposure (micrograms per cubic meter)"/>
    <n v="112.460808217433"/>
    <x v="45"/>
  </r>
  <r>
    <x v="20"/>
    <s v="PM2,5 air pollution, mean annual exposure (micrograms per cubic meter)"/>
    <n v="48.706883862937303"/>
    <x v="45"/>
  </r>
  <r>
    <x v="21"/>
    <s v="PM2,5 air pollution, mean annual exposure (micrograms per cubic meter)"/>
    <n v="15.528491720489701"/>
    <x v="45"/>
  </r>
  <r>
    <x v="22"/>
    <s v="PM2,5 air pollution, mean annual exposure (micrograms per cubic meter)"/>
    <n v="30.370964662447498"/>
    <x v="45"/>
  </r>
  <r>
    <x v="23"/>
    <s v="PM2,5 air pollution, mean annual exposure (micrograms per cubic meter)"/>
    <n v="44.318697524120097"/>
    <x v="45"/>
  </r>
  <r>
    <x v="24"/>
    <s v="PM2,5 air pollution, mean annual exposure (micrograms per cubic meter)"/>
    <n v="21.217076970141001"/>
    <x v="45"/>
  </r>
  <r>
    <x v="25"/>
    <s v="PM2,5 air pollution, mean annual exposure (micrograms per cubic meter)"/>
    <n v="55.956463546987997"/>
    <x v="45"/>
  </r>
  <r>
    <x v="26"/>
    <s v="PM2,5 air pollution, mean annual exposure (micrograms per cubic meter)"/>
    <n v="28.236991301447301"/>
    <x v="45"/>
  </r>
  <r>
    <x v="27"/>
    <s v="PM2,5 air pollution, mean annual exposure (micrograms per cubic meter)"/>
    <n v="25.423199861177501"/>
    <x v="45"/>
  </r>
  <r>
    <x v="0"/>
    <s v="PM2,5 air pollution, mean annual exposure (micrograms per cubic meter)"/>
    <m/>
    <x v="46"/>
  </r>
  <r>
    <x v="1"/>
    <s v="PM2,5 air pollution, mean annual exposure (micrograms per cubic meter)"/>
    <m/>
    <x v="46"/>
  </r>
  <r>
    <x v="2"/>
    <s v="PM2,5 air pollution, mean annual exposure (micrograms per cubic meter)"/>
    <m/>
    <x v="46"/>
  </r>
  <r>
    <x v="3"/>
    <s v="PM2,5 air pollution, mean annual exposure (micrograms per cubic meter)"/>
    <m/>
    <x v="46"/>
  </r>
  <r>
    <x v="4"/>
    <s v="PM2,5 air pollution, mean annual exposure (micrograms per cubic meter)"/>
    <m/>
    <x v="46"/>
  </r>
  <r>
    <x v="5"/>
    <s v="PM2,5 air pollution, mean annual exposure (micrograms per cubic meter)"/>
    <m/>
    <x v="46"/>
  </r>
  <r>
    <x v="6"/>
    <s v="PM2,5 air pollution, mean annual exposure (micrograms per cubic meter)"/>
    <m/>
    <x v="46"/>
  </r>
  <r>
    <x v="7"/>
    <s v="PM2,5 air pollution, mean annual exposure (micrograms per cubic meter)"/>
    <m/>
    <x v="46"/>
  </r>
  <r>
    <x v="8"/>
    <s v="PM2,5 air pollution, mean annual exposure (micrograms per cubic meter)"/>
    <m/>
    <x v="46"/>
  </r>
  <r>
    <x v="9"/>
    <s v="PM2,5 air pollution, mean annual exposure (micrograms per cubic meter)"/>
    <m/>
    <x v="46"/>
  </r>
  <r>
    <x v="10"/>
    <s v="PM2,5 air pollution, mean annual exposure (micrograms per cubic meter)"/>
    <m/>
    <x v="46"/>
  </r>
  <r>
    <x v="11"/>
    <s v="PM2,5 air pollution, mean annual exposure (micrograms per cubic meter)"/>
    <m/>
    <x v="46"/>
  </r>
  <r>
    <x v="12"/>
    <s v="PM2,5 air pollution, mean annual exposure (micrograms per cubic meter)"/>
    <m/>
    <x v="46"/>
  </r>
  <r>
    <x v="13"/>
    <s v="PM2,5 air pollution, mean annual exposure (micrograms per cubic meter)"/>
    <m/>
    <x v="46"/>
  </r>
  <r>
    <x v="14"/>
    <s v="PM2,5 air pollution, mean annual exposure (micrograms per cubic meter)"/>
    <m/>
    <x v="46"/>
  </r>
  <r>
    <x v="15"/>
    <s v="PM2,5 air pollution, mean annual exposure (micrograms per cubic meter)"/>
    <m/>
    <x v="46"/>
  </r>
  <r>
    <x v="16"/>
    <s v="PM2,5 air pollution, mean annual exposure (micrograms per cubic meter)"/>
    <m/>
    <x v="46"/>
  </r>
  <r>
    <x v="17"/>
    <s v="PM2,5 air pollution, mean annual exposure (micrograms per cubic meter)"/>
    <m/>
    <x v="46"/>
  </r>
  <r>
    <x v="18"/>
    <s v="PM2,5 air pollution, mean annual exposure (micrograms per cubic meter)"/>
    <m/>
    <x v="46"/>
  </r>
  <r>
    <x v="19"/>
    <s v="PM2,5 air pollution, mean annual exposure (micrograms per cubic meter)"/>
    <m/>
    <x v="46"/>
  </r>
  <r>
    <x v="20"/>
    <s v="PM2,5 air pollution, mean annual exposure (micrograms per cubic meter)"/>
    <m/>
    <x v="46"/>
  </r>
  <r>
    <x v="21"/>
    <s v="PM2,5 air pollution, mean annual exposure (micrograms per cubic meter)"/>
    <m/>
    <x v="46"/>
  </r>
  <r>
    <x v="22"/>
    <s v="PM2,5 air pollution, mean annual exposure (micrograms per cubic meter)"/>
    <m/>
    <x v="46"/>
  </r>
  <r>
    <x v="23"/>
    <s v="PM2,5 air pollution, mean annual exposure (micrograms per cubic meter)"/>
    <m/>
    <x v="46"/>
  </r>
  <r>
    <x v="24"/>
    <s v="PM2,5 air pollution, mean annual exposure (micrograms per cubic meter)"/>
    <m/>
    <x v="46"/>
  </r>
  <r>
    <x v="25"/>
    <s v="PM2,5 air pollution, mean annual exposure (micrograms per cubic meter)"/>
    <m/>
    <x v="46"/>
  </r>
  <r>
    <x v="26"/>
    <s v="PM2,5 air pollution, mean annual exposure (micrograms per cubic meter)"/>
    <m/>
    <x v="46"/>
  </r>
  <r>
    <x v="27"/>
    <s v="PM2,5 air pollution, mean annual exposure (micrograms per cubic meter)"/>
    <m/>
    <x v="46"/>
  </r>
  <r>
    <x v="0"/>
    <s v="PM2,5 air pollution, mean annual exposure (micrograms per cubic meter)"/>
    <m/>
    <x v="47"/>
  </r>
  <r>
    <x v="1"/>
    <s v="PM2,5 air pollution, mean annual exposure (micrograms per cubic meter)"/>
    <m/>
    <x v="47"/>
  </r>
  <r>
    <x v="2"/>
    <s v="PM2,5 air pollution, mean annual exposure (micrograms per cubic meter)"/>
    <m/>
    <x v="47"/>
  </r>
  <r>
    <x v="3"/>
    <s v="PM2,5 air pollution, mean annual exposure (micrograms per cubic meter)"/>
    <m/>
    <x v="47"/>
  </r>
  <r>
    <x v="4"/>
    <s v="PM2,5 air pollution, mean annual exposure (micrograms per cubic meter)"/>
    <m/>
    <x v="47"/>
  </r>
  <r>
    <x v="5"/>
    <s v="PM2,5 air pollution, mean annual exposure (micrograms per cubic meter)"/>
    <m/>
    <x v="47"/>
  </r>
  <r>
    <x v="6"/>
    <s v="PM2,5 air pollution, mean annual exposure (micrograms per cubic meter)"/>
    <m/>
    <x v="47"/>
  </r>
  <r>
    <x v="7"/>
    <s v="PM2,5 air pollution, mean annual exposure (micrograms per cubic meter)"/>
    <m/>
    <x v="47"/>
  </r>
  <r>
    <x v="8"/>
    <s v="PM2,5 air pollution, mean annual exposure (micrograms per cubic meter)"/>
    <m/>
    <x v="47"/>
  </r>
  <r>
    <x v="9"/>
    <s v="PM2,5 air pollution, mean annual exposure (micrograms per cubic meter)"/>
    <m/>
    <x v="47"/>
  </r>
  <r>
    <x v="10"/>
    <s v="PM2,5 air pollution, mean annual exposure (micrograms per cubic meter)"/>
    <m/>
    <x v="47"/>
  </r>
  <r>
    <x v="11"/>
    <s v="PM2,5 air pollution, mean annual exposure (micrograms per cubic meter)"/>
    <m/>
    <x v="47"/>
  </r>
  <r>
    <x v="12"/>
    <s v="PM2,5 air pollution, mean annual exposure (micrograms per cubic meter)"/>
    <m/>
    <x v="47"/>
  </r>
  <r>
    <x v="13"/>
    <s v="PM2,5 air pollution, mean annual exposure (micrograms per cubic meter)"/>
    <m/>
    <x v="47"/>
  </r>
  <r>
    <x v="14"/>
    <s v="PM2,5 air pollution, mean annual exposure (micrograms per cubic meter)"/>
    <m/>
    <x v="47"/>
  </r>
  <r>
    <x v="15"/>
    <s v="PM2,5 air pollution, mean annual exposure (micrograms per cubic meter)"/>
    <m/>
    <x v="47"/>
  </r>
  <r>
    <x v="16"/>
    <s v="PM2,5 air pollution, mean annual exposure (micrograms per cubic meter)"/>
    <m/>
    <x v="47"/>
  </r>
  <r>
    <x v="17"/>
    <s v="PM2,5 air pollution, mean annual exposure (micrograms per cubic meter)"/>
    <m/>
    <x v="47"/>
  </r>
  <r>
    <x v="18"/>
    <s v="PM2,5 air pollution, mean annual exposure (micrograms per cubic meter)"/>
    <m/>
    <x v="47"/>
  </r>
  <r>
    <x v="19"/>
    <s v="PM2,5 air pollution, mean annual exposure (micrograms per cubic meter)"/>
    <m/>
    <x v="47"/>
  </r>
  <r>
    <x v="20"/>
    <s v="PM2,5 air pollution, mean annual exposure (micrograms per cubic meter)"/>
    <m/>
    <x v="47"/>
  </r>
  <r>
    <x v="21"/>
    <s v="PM2,5 air pollution, mean annual exposure (micrograms per cubic meter)"/>
    <m/>
    <x v="47"/>
  </r>
  <r>
    <x v="22"/>
    <s v="PM2,5 air pollution, mean annual exposure (micrograms per cubic meter)"/>
    <m/>
    <x v="47"/>
  </r>
  <r>
    <x v="23"/>
    <s v="PM2,5 air pollution, mean annual exposure (micrograms per cubic meter)"/>
    <m/>
    <x v="47"/>
  </r>
  <r>
    <x v="24"/>
    <s v="PM2,5 air pollution, mean annual exposure (micrograms per cubic meter)"/>
    <m/>
    <x v="47"/>
  </r>
  <r>
    <x v="25"/>
    <s v="PM2,5 air pollution, mean annual exposure (micrograms per cubic meter)"/>
    <m/>
    <x v="47"/>
  </r>
  <r>
    <x v="26"/>
    <s v="PM2,5 air pollution, mean annual exposure (micrograms per cubic meter)"/>
    <m/>
    <x v="47"/>
  </r>
  <r>
    <x v="27"/>
    <s v="PM2,5 air pollution, mean annual exposure (micrograms per cubic meter)"/>
    <m/>
    <x v="47"/>
  </r>
  <r>
    <x v="0"/>
    <s v="PM2,5 air pollution, mean annual exposure (micrograms per cubic meter)"/>
    <m/>
    <x v="48"/>
  </r>
  <r>
    <x v="1"/>
    <s v="PM2,5 air pollution, mean annual exposure (micrograms per cubic meter)"/>
    <m/>
    <x v="48"/>
  </r>
  <r>
    <x v="2"/>
    <s v="PM2,5 air pollution, mean annual exposure (micrograms per cubic meter)"/>
    <m/>
    <x v="48"/>
  </r>
  <r>
    <x v="3"/>
    <s v="PM2,5 air pollution, mean annual exposure (micrograms per cubic meter)"/>
    <m/>
    <x v="48"/>
  </r>
  <r>
    <x v="4"/>
    <s v="PM2,5 air pollution, mean annual exposure (micrograms per cubic meter)"/>
    <m/>
    <x v="48"/>
  </r>
  <r>
    <x v="5"/>
    <s v="PM2,5 air pollution, mean annual exposure (micrograms per cubic meter)"/>
    <m/>
    <x v="48"/>
  </r>
  <r>
    <x v="6"/>
    <s v="PM2,5 air pollution, mean annual exposure (micrograms per cubic meter)"/>
    <m/>
    <x v="48"/>
  </r>
  <r>
    <x v="7"/>
    <s v="PM2,5 air pollution, mean annual exposure (micrograms per cubic meter)"/>
    <m/>
    <x v="48"/>
  </r>
  <r>
    <x v="8"/>
    <s v="PM2,5 air pollution, mean annual exposure (micrograms per cubic meter)"/>
    <m/>
    <x v="48"/>
  </r>
  <r>
    <x v="9"/>
    <s v="PM2,5 air pollution, mean annual exposure (micrograms per cubic meter)"/>
    <m/>
    <x v="48"/>
  </r>
  <r>
    <x v="10"/>
    <s v="PM2,5 air pollution, mean annual exposure (micrograms per cubic meter)"/>
    <m/>
    <x v="48"/>
  </r>
  <r>
    <x v="11"/>
    <s v="PM2,5 air pollution, mean annual exposure (micrograms per cubic meter)"/>
    <m/>
    <x v="48"/>
  </r>
  <r>
    <x v="12"/>
    <s v="PM2,5 air pollution, mean annual exposure (micrograms per cubic meter)"/>
    <m/>
    <x v="48"/>
  </r>
  <r>
    <x v="13"/>
    <s v="PM2,5 air pollution, mean annual exposure (micrograms per cubic meter)"/>
    <m/>
    <x v="48"/>
  </r>
  <r>
    <x v="14"/>
    <s v="PM2,5 air pollution, mean annual exposure (micrograms per cubic meter)"/>
    <m/>
    <x v="48"/>
  </r>
  <r>
    <x v="15"/>
    <s v="PM2,5 air pollution, mean annual exposure (micrograms per cubic meter)"/>
    <m/>
    <x v="48"/>
  </r>
  <r>
    <x v="16"/>
    <s v="PM2,5 air pollution, mean annual exposure (micrograms per cubic meter)"/>
    <m/>
    <x v="48"/>
  </r>
  <r>
    <x v="17"/>
    <s v="PM2,5 air pollution, mean annual exposure (micrograms per cubic meter)"/>
    <m/>
    <x v="48"/>
  </r>
  <r>
    <x v="18"/>
    <s v="PM2,5 air pollution, mean annual exposure (micrograms per cubic meter)"/>
    <m/>
    <x v="48"/>
  </r>
  <r>
    <x v="19"/>
    <s v="PM2,5 air pollution, mean annual exposure (micrograms per cubic meter)"/>
    <m/>
    <x v="48"/>
  </r>
  <r>
    <x v="20"/>
    <s v="PM2,5 air pollution, mean annual exposure (micrograms per cubic meter)"/>
    <m/>
    <x v="48"/>
  </r>
  <r>
    <x v="21"/>
    <s v="PM2,5 air pollution, mean annual exposure (micrograms per cubic meter)"/>
    <m/>
    <x v="48"/>
  </r>
  <r>
    <x v="22"/>
    <s v="PM2,5 air pollution, mean annual exposure (micrograms per cubic meter)"/>
    <m/>
    <x v="48"/>
  </r>
  <r>
    <x v="23"/>
    <s v="PM2,5 air pollution, mean annual exposure (micrograms per cubic meter)"/>
    <m/>
    <x v="48"/>
  </r>
  <r>
    <x v="24"/>
    <s v="PM2,5 air pollution, mean annual exposure (micrograms per cubic meter)"/>
    <m/>
    <x v="48"/>
  </r>
  <r>
    <x v="25"/>
    <s v="PM2,5 air pollution, mean annual exposure (micrograms per cubic meter)"/>
    <m/>
    <x v="48"/>
  </r>
  <r>
    <x v="26"/>
    <s v="PM2,5 air pollution, mean annual exposure (micrograms per cubic meter)"/>
    <m/>
    <x v="48"/>
  </r>
  <r>
    <x v="27"/>
    <s v="PM2,5 air pollution, mean annual exposure (micrograms per cubic meter)"/>
    <m/>
    <x v="48"/>
  </r>
  <r>
    <x v="0"/>
    <s v="PM2,5 air pollution, mean annual exposure (micrograms per cubic meter)"/>
    <m/>
    <x v="49"/>
  </r>
  <r>
    <x v="1"/>
    <s v="PM2,5 air pollution, mean annual exposure (micrograms per cubic meter)"/>
    <m/>
    <x v="49"/>
  </r>
  <r>
    <x v="2"/>
    <s v="PM2,5 air pollution, mean annual exposure (micrograms per cubic meter)"/>
    <m/>
    <x v="49"/>
  </r>
  <r>
    <x v="3"/>
    <s v="PM2,5 air pollution, mean annual exposure (micrograms per cubic meter)"/>
    <m/>
    <x v="49"/>
  </r>
  <r>
    <x v="4"/>
    <s v="PM2,5 air pollution, mean annual exposure (micrograms per cubic meter)"/>
    <m/>
    <x v="49"/>
  </r>
  <r>
    <x v="5"/>
    <s v="PM2,5 air pollution, mean annual exposure (micrograms per cubic meter)"/>
    <m/>
    <x v="49"/>
  </r>
  <r>
    <x v="6"/>
    <s v="PM2,5 air pollution, mean annual exposure (micrograms per cubic meter)"/>
    <m/>
    <x v="49"/>
  </r>
  <r>
    <x v="7"/>
    <s v="PM2,5 air pollution, mean annual exposure (micrograms per cubic meter)"/>
    <m/>
    <x v="49"/>
  </r>
  <r>
    <x v="8"/>
    <s v="PM2,5 air pollution, mean annual exposure (micrograms per cubic meter)"/>
    <m/>
    <x v="49"/>
  </r>
  <r>
    <x v="9"/>
    <s v="PM2,5 air pollution, mean annual exposure (micrograms per cubic meter)"/>
    <m/>
    <x v="49"/>
  </r>
  <r>
    <x v="10"/>
    <s v="PM2,5 air pollution, mean annual exposure (micrograms per cubic meter)"/>
    <m/>
    <x v="49"/>
  </r>
  <r>
    <x v="11"/>
    <s v="PM2,5 air pollution, mean annual exposure (micrograms per cubic meter)"/>
    <m/>
    <x v="49"/>
  </r>
  <r>
    <x v="12"/>
    <s v="PM2,5 air pollution, mean annual exposure (micrograms per cubic meter)"/>
    <m/>
    <x v="49"/>
  </r>
  <r>
    <x v="13"/>
    <s v="PM2,5 air pollution, mean annual exposure (micrograms per cubic meter)"/>
    <m/>
    <x v="49"/>
  </r>
  <r>
    <x v="14"/>
    <s v="PM2,5 air pollution, mean annual exposure (micrograms per cubic meter)"/>
    <m/>
    <x v="49"/>
  </r>
  <r>
    <x v="15"/>
    <s v="PM2,5 air pollution, mean annual exposure (micrograms per cubic meter)"/>
    <m/>
    <x v="49"/>
  </r>
  <r>
    <x v="16"/>
    <s v="PM2,5 air pollution, mean annual exposure (micrograms per cubic meter)"/>
    <m/>
    <x v="49"/>
  </r>
  <r>
    <x v="17"/>
    <s v="PM2,5 air pollution, mean annual exposure (micrograms per cubic meter)"/>
    <m/>
    <x v="49"/>
  </r>
  <r>
    <x v="18"/>
    <s v="PM2,5 air pollution, mean annual exposure (micrograms per cubic meter)"/>
    <m/>
    <x v="49"/>
  </r>
  <r>
    <x v="19"/>
    <s v="PM2,5 air pollution, mean annual exposure (micrograms per cubic meter)"/>
    <m/>
    <x v="49"/>
  </r>
  <r>
    <x v="20"/>
    <s v="PM2,5 air pollution, mean annual exposure (micrograms per cubic meter)"/>
    <m/>
    <x v="49"/>
  </r>
  <r>
    <x v="21"/>
    <s v="PM2,5 air pollution, mean annual exposure (micrograms per cubic meter)"/>
    <m/>
    <x v="49"/>
  </r>
  <r>
    <x v="22"/>
    <s v="PM2,5 air pollution, mean annual exposure (micrograms per cubic meter)"/>
    <m/>
    <x v="49"/>
  </r>
  <r>
    <x v="23"/>
    <s v="PM2,5 air pollution, mean annual exposure (micrograms per cubic meter)"/>
    <m/>
    <x v="49"/>
  </r>
  <r>
    <x v="24"/>
    <s v="PM2,5 air pollution, mean annual exposure (micrograms per cubic meter)"/>
    <m/>
    <x v="49"/>
  </r>
  <r>
    <x v="25"/>
    <s v="PM2,5 air pollution, mean annual exposure (micrograms per cubic meter)"/>
    <m/>
    <x v="49"/>
  </r>
  <r>
    <x v="26"/>
    <s v="PM2,5 air pollution, mean annual exposure (micrograms per cubic meter)"/>
    <m/>
    <x v="49"/>
  </r>
  <r>
    <x v="27"/>
    <s v="PM2,5 air pollution, mean annual exposure (micrograms per cubic meter)"/>
    <m/>
    <x v="49"/>
  </r>
  <r>
    <x v="0"/>
    <s v="PM2,5 air pollution, mean annual exposure (micrograms per cubic meter)"/>
    <n v="40.180276772013201"/>
    <x v="50"/>
  </r>
  <r>
    <x v="1"/>
    <s v="PM2,5 air pollution, mean annual exposure (micrograms per cubic meter)"/>
    <n v="72.270556421920602"/>
    <x v="50"/>
  </r>
  <r>
    <x v="2"/>
    <s v="PM2,5 air pollution, mean annual exposure (micrograms per cubic meter)"/>
    <n v="56.349158514717601"/>
    <x v="50"/>
  </r>
  <r>
    <x v="3"/>
    <s v="PM2,5 air pollution, mean annual exposure (micrograms per cubic meter)"/>
    <n v="16.829166150558599"/>
    <x v="50"/>
  </r>
  <r>
    <x v="4"/>
    <s v="PM2,5 air pollution, mean annual exposure (micrograms per cubic meter)"/>
    <n v="45.384857609961003"/>
    <x v="50"/>
  </r>
  <r>
    <x v="5"/>
    <s v="PM2,5 air pollution, mean annual exposure (micrograms per cubic meter)"/>
    <n v="34.070705470853099"/>
    <x v="50"/>
  </r>
  <r>
    <x v="6"/>
    <s v="PM2,5 air pollution, mean annual exposure (micrograms per cubic meter)"/>
    <n v="29.853963692589701"/>
    <x v="50"/>
  </r>
  <r>
    <x v="7"/>
    <s v="PM2,5 air pollution, mean annual exposure (micrograms per cubic meter)"/>
    <n v="22.581336994805199"/>
    <x v="50"/>
  </r>
  <r>
    <x v="8"/>
    <s v="PM2,5 air pollution, mean annual exposure (micrograms per cubic meter)"/>
    <n v="15.0546373354028"/>
    <x v="50"/>
  </r>
  <r>
    <x v="9"/>
    <s v="PM2,5 air pollution, mean annual exposure (micrograms per cubic meter)"/>
    <m/>
    <x v="50"/>
  </r>
  <r>
    <x v="10"/>
    <s v="PM2,5 air pollution, mean annual exposure (micrograms per cubic meter)"/>
    <n v="9.5730184322349707"/>
    <x v="50"/>
  </r>
  <r>
    <x v="11"/>
    <s v="PM2,5 air pollution, mean annual exposure (micrograms per cubic meter)"/>
    <n v="17.303032378489402"/>
    <x v="50"/>
  </r>
  <r>
    <x v="12"/>
    <s v="PM2,5 air pollution, mean annual exposure (micrograms per cubic meter)"/>
    <n v="26.576972269399601"/>
    <x v="50"/>
  </r>
  <r>
    <x v="13"/>
    <s v="PM2,5 air pollution, mean annual exposure (micrograms per cubic meter)"/>
    <n v="60.133990670055802"/>
    <x v="50"/>
  </r>
  <r>
    <x v="14"/>
    <s v="PM2,5 air pollution, mean annual exposure (micrograms per cubic meter)"/>
    <n v="20.636944542572699"/>
    <x v="50"/>
  </r>
  <r>
    <x v="15"/>
    <s v="PM2,5 air pollution, mean annual exposure (micrograms per cubic meter)"/>
    <n v="19.689157612155899"/>
    <x v="50"/>
  </r>
  <r>
    <x v="16"/>
    <s v="PM2,5 air pollution, mean annual exposure (micrograms per cubic meter)"/>
    <n v="45.834166775704198"/>
    <x v="50"/>
  </r>
  <r>
    <x v="17"/>
    <s v="PM2,5 air pollution, mean annual exposure (micrograms per cubic meter)"/>
    <n v="62.6081099621845"/>
    <x v="50"/>
  </r>
  <r>
    <x v="18"/>
    <s v="PM2,5 air pollution, mean annual exposure (micrograms per cubic meter)"/>
    <n v="22.881484458445598"/>
    <x v="50"/>
  </r>
  <r>
    <x v="19"/>
    <s v="PM2,5 air pollution, mean annual exposure (micrograms per cubic meter)"/>
    <n v="116.207913647193"/>
    <x v="50"/>
  </r>
  <r>
    <x v="20"/>
    <s v="PM2,5 air pollution, mean annual exposure (micrograms per cubic meter)"/>
    <n v="44.468277417049897"/>
    <x v="50"/>
  </r>
  <r>
    <x v="21"/>
    <s v="PM2,5 air pollution, mean annual exposure (micrograms per cubic meter)"/>
    <n v="13.0597212897567"/>
    <x v="50"/>
  </r>
  <r>
    <x v="22"/>
    <s v="PM2,5 air pollution, mean annual exposure (micrograms per cubic meter)"/>
    <n v="26.972353959979898"/>
    <x v="50"/>
  </r>
  <r>
    <x v="23"/>
    <s v="PM2,5 air pollution, mean annual exposure (micrograms per cubic meter)"/>
    <n v="48.980652428698498"/>
    <x v="50"/>
  </r>
  <r>
    <x v="24"/>
    <s v="PM2,5 air pollution, mean annual exposure (micrograms per cubic meter)"/>
    <n v="20.9677688582277"/>
    <x v="50"/>
  </r>
  <r>
    <x v="25"/>
    <s v="PM2,5 air pollution, mean annual exposure (micrograms per cubic meter)"/>
    <n v="52.9009733213773"/>
    <x v="50"/>
  </r>
  <r>
    <x v="26"/>
    <s v="PM2,5 air pollution, mean annual exposure (micrograms per cubic meter)"/>
    <n v="26.427642178678202"/>
    <x v="50"/>
  </r>
  <r>
    <x v="27"/>
    <s v="PM2,5 air pollution, mean annual exposure (micrograms per cubic meter)"/>
    <n v="22.480426982858699"/>
    <x v="50"/>
  </r>
  <r>
    <x v="0"/>
    <s v="PM2,5 air pollution, mean annual exposure (micrograms per cubic meter)"/>
    <n v="44.086441995718999"/>
    <x v="51"/>
  </r>
  <r>
    <x v="1"/>
    <s v="PM2,5 air pollution, mean annual exposure (micrograms per cubic meter)"/>
    <n v="75.543877370719898"/>
    <x v="51"/>
  </r>
  <r>
    <x v="2"/>
    <s v="PM2,5 air pollution, mean annual exposure (micrograms per cubic meter)"/>
    <n v="57.068519320767699"/>
    <x v="51"/>
  </r>
  <r>
    <x v="3"/>
    <s v="PM2,5 air pollution, mean annual exposure (micrograms per cubic meter)"/>
    <n v="17.280313779122601"/>
    <x v="51"/>
  </r>
  <r>
    <x v="4"/>
    <s v="PM2,5 air pollution, mean annual exposure (micrograms per cubic meter)"/>
    <n v="48.437648384231103"/>
    <x v="51"/>
  </r>
  <r>
    <x v="5"/>
    <s v="PM2,5 air pollution, mean annual exposure (micrograms per cubic meter)"/>
    <n v="36.184467323930299"/>
    <x v="51"/>
  </r>
  <r>
    <x v="6"/>
    <s v="PM2,5 air pollution, mean annual exposure (micrograms per cubic meter)"/>
    <n v="31.5625467738775"/>
    <x v="51"/>
  </r>
  <r>
    <x v="7"/>
    <s v="PM2,5 air pollution, mean annual exposure (micrograms per cubic meter)"/>
    <n v="23.411783648957002"/>
    <x v="51"/>
  </r>
  <r>
    <x v="8"/>
    <s v="PM2,5 air pollution, mean annual exposure (micrograms per cubic meter)"/>
    <n v="16.110741615559501"/>
    <x v="51"/>
  </r>
  <r>
    <x v="9"/>
    <s v="PM2,5 air pollution, mean annual exposure (micrograms per cubic meter)"/>
    <m/>
    <x v="51"/>
  </r>
  <r>
    <x v="10"/>
    <s v="PM2,5 air pollution, mean annual exposure (micrograms per cubic meter)"/>
    <n v="10.6829405776383"/>
    <x v="51"/>
  </r>
  <r>
    <x v="11"/>
    <s v="PM2,5 air pollution, mean annual exposure (micrograms per cubic meter)"/>
    <n v="17.236826685291199"/>
    <x v="51"/>
  </r>
  <r>
    <x v="12"/>
    <s v="PM2,5 air pollution, mean annual exposure (micrograms per cubic meter)"/>
    <n v="27.8005469240853"/>
    <x v="51"/>
  </r>
  <r>
    <x v="13"/>
    <s v="PM2,5 air pollution, mean annual exposure (micrograms per cubic meter)"/>
    <n v="64.971886864380195"/>
    <x v="51"/>
  </r>
  <r>
    <x v="14"/>
    <s v="PM2,5 air pollution, mean annual exposure (micrograms per cubic meter)"/>
    <n v="21.2036539247711"/>
    <x v="51"/>
  </r>
  <r>
    <x v="15"/>
    <s v="PM2,5 air pollution, mean annual exposure (micrograms per cubic meter)"/>
    <n v="20.02058998583"/>
    <x v="51"/>
  </r>
  <r>
    <x v="16"/>
    <s v="PM2,5 air pollution, mean annual exposure (micrograms per cubic meter)"/>
    <n v="45.922495148855702"/>
    <x v="51"/>
  </r>
  <r>
    <x v="17"/>
    <s v="PM2,5 air pollution, mean annual exposure (micrograms per cubic meter)"/>
    <n v="63.399646146535602"/>
    <x v="51"/>
  </r>
  <r>
    <x v="18"/>
    <s v="PM2,5 air pollution, mean annual exposure (micrograms per cubic meter)"/>
    <n v="25.210086120575301"/>
    <x v="51"/>
  </r>
  <r>
    <x v="19"/>
    <s v="PM2,5 air pollution, mean annual exposure (micrograms per cubic meter)"/>
    <n v="118.30717027243701"/>
    <x v="51"/>
  </r>
  <r>
    <x v="20"/>
    <s v="PM2,5 air pollution, mean annual exposure (micrograms per cubic meter)"/>
    <n v="49.074052815667002"/>
    <x v="51"/>
  </r>
  <r>
    <x v="21"/>
    <s v="PM2,5 air pollution, mean annual exposure (micrograms per cubic meter)"/>
    <n v="12.8343192379785"/>
    <x v="51"/>
  </r>
  <r>
    <x v="22"/>
    <s v="PM2,5 air pollution, mean annual exposure (micrograms per cubic meter)"/>
    <n v="27.1952991198775"/>
    <x v="51"/>
  </r>
  <r>
    <x v="23"/>
    <s v="PM2,5 air pollution, mean annual exposure (micrograms per cubic meter)"/>
    <n v="47.978279388708202"/>
    <x v="51"/>
  </r>
  <r>
    <x v="24"/>
    <s v="PM2,5 air pollution, mean annual exposure (micrograms per cubic meter)"/>
    <n v="22.284692468208"/>
    <x v="51"/>
  </r>
  <r>
    <x v="25"/>
    <s v="PM2,5 air pollution, mean annual exposure (micrograms per cubic meter)"/>
    <n v="58.361327984355498"/>
    <x v="51"/>
  </r>
  <r>
    <x v="26"/>
    <s v="PM2,5 air pollution, mean annual exposure (micrograms per cubic meter)"/>
    <n v="27.229629950130999"/>
    <x v="51"/>
  </r>
  <r>
    <x v="27"/>
    <s v="PM2,5 air pollution, mean annual exposure (micrograms per cubic meter)"/>
    <n v="23.3976660517745"/>
    <x v="51"/>
  </r>
  <r>
    <x v="0"/>
    <s v="PM2,5 air pollution, mean annual exposure (micrograms per cubic meter)"/>
    <n v="47.4315119853919"/>
    <x v="52"/>
  </r>
  <r>
    <x v="1"/>
    <s v="PM2,5 air pollution, mean annual exposure (micrograms per cubic meter)"/>
    <n v="75.040022650454503"/>
    <x v="52"/>
  </r>
  <r>
    <x v="2"/>
    <s v="PM2,5 air pollution, mean annual exposure (micrograms per cubic meter)"/>
    <n v="56.2977302003167"/>
    <x v="52"/>
  </r>
  <r>
    <x v="3"/>
    <s v="PM2,5 air pollution, mean annual exposure (micrograms per cubic meter)"/>
    <n v="17.283169902946501"/>
    <x v="52"/>
  </r>
  <r>
    <x v="4"/>
    <s v="PM2,5 air pollution, mean annual exposure (micrograms per cubic meter)"/>
    <n v="52.319223618512702"/>
    <x v="52"/>
  </r>
  <r>
    <x v="5"/>
    <s v="PM2,5 air pollution, mean annual exposure (micrograms per cubic meter)"/>
    <n v="37.467279799809099"/>
    <x v="52"/>
  </r>
  <r>
    <x v="6"/>
    <s v="PM2,5 air pollution, mean annual exposure (micrograms per cubic meter)"/>
    <n v="29.8055807722487"/>
    <x v="52"/>
  </r>
  <r>
    <x v="7"/>
    <s v="PM2,5 air pollution, mean annual exposure (micrograms per cubic meter)"/>
    <n v="24.0334570995246"/>
    <x v="52"/>
  </r>
  <r>
    <x v="8"/>
    <s v="PM2,5 air pollution, mean annual exposure (micrograms per cubic meter)"/>
    <n v="16.651500955190901"/>
    <x v="52"/>
  </r>
  <r>
    <x v="9"/>
    <s v="PM2,5 air pollution, mean annual exposure (micrograms per cubic meter)"/>
    <m/>
    <x v="52"/>
  </r>
  <r>
    <x v="10"/>
    <s v="PM2,5 air pollution, mean annual exposure (micrograms per cubic meter)"/>
    <n v="11.186371439634399"/>
    <x v="52"/>
  </r>
  <r>
    <x v="11"/>
    <s v="PM2,5 air pollution, mean annual exposure (micrograms per cubic meter)"/>
    <n v="18.171982772617099"/>
    <x v="52"/>
  </r>
  <r>
    <x v="12"/>
    <s v="PM2,5 air pollution, mean annual exposure (micrograms per cubic meter)"/>
    <n v="27.8193107975492"/>
    <x v="52"/>
  </r>
  <r>
    <x v="13"/>
    <s v="PM2,5 air pollution, mean annual exposure (micrograms per cubic meter)"/>
    <n v="57.5090496861066"/>
    <x v="52"/>
  </r>
  <r>
    <x v="14"/>
    <s v="PM2,5 air pollution, mean annual exposure (micrograms per cubic meter)"/>
    <n v="20.9796324466251"/>
    <x v="52"/>
  </r>
  <r>
    <x v="15"/>
    <s v="PM2,5 air pollution, mean annual exposure (micrograms per cubic meter)"/>
    <n v="20.100159024395801"/>
    <x v="52"/>
  </r>
  <r>
    <x v="16"/>
    <s v="PM2,5 air pollution, mean annual exposure (micrograms per cubic meter)"/>
    <n v="48.2268903647252"/>
    <x v="52"/>
  </r>
  <r>
    <x v="17"/>
    <s v="PM2,5 air pollution, mean annual exposure (micrograms per cubic meter)"/>
    <n v="64.687376207007404"/>
    <x v="52"/>
  </r>
  <r>
    <x v="18"/>
    <s v="PM2,5 air pollution, mean annual exposure (micrograms per cubic meter)"/>
    <n v="28.649930002673301"/>
    <x v="52"/>
  </r>
  <r>
    <x v="19"/>
    <s v="PM2,5 air pollution, mean annual exposure (micrograms per cubic meter)"/>
    <n v="102.93374195685099"/>
    <x v="52"/>
  </r>
  <r>
    <x v="20"/>
    <s v="PM2,5 air pollution, mean annual exposure (micrograms per cubic meter)"/>
    <n v="52.775791310940299"/>
    <x v="52"/>
  </r>
  <r>
    <x v="21"/>
    <s v="PM2,5 air pollution, mean annual exposure (micrograms per cubic meter)"/>
    <n v="13.3100636181989"/>
    <x v="52"/>
  </r>
  <r>
    <x v="22"/>
    <s v="PM2,5 air pollution, mean annual exposure (micrograms per cubic meter)"/>
    <n v="27.915666952497599"/>
    <x v="52"/>
  </r>
  <r>
    <x v="23"/>
    <s v="PM2,5 air pollution, mean annual exposure (micrograms per cubic meter)"/>
    <n v="49.425570670560901"/>
    <x v="52"/>
  </r>
  <r>
    <x v="24"/>
    <s v="PM2,5 air pollution, mean annual exposure (micrograms per cubic meter)"/>
    <n v="23.473103114250499"/>
    <x v="52"/>
  </r>
  <r>
    <x v="25"/>
    <s v="PM2,5 air pollution, mean annual exposure (micrograms per cubic meter)"/>
    <n v="62.146828223728399"/>
    <x v="52"/>
  </r>
  <r>
    <x v="26"/>
    <s v="PM2,5 air pollution, mean annual exposure (micrograms per cubic meter)"/>
    <n v="27.80475151041"/>
    <x v="52"/>
  </r>
  <r>
    <x v="27"/>
    <s v="PM2,5 air pollution, mean annual exposure (micrograms per cubic meter)"/>
    <n v="23.359478388554798"/>
    <x v="52"/>
  </r>
  <r>
    <x v="0"/>
    <s v="PM2,5 air pollution, mean annual exposure (micrograms per cubic meter)"/>
    <n v="48.139333019116201"/>
    <x v="53"/>
  </r>
  <r>
    <x v="1"/>
    <s v="PM2,5 air pollution, mean annual exposure (micrograms per cubic meter)"/>
    <n v="73.848956472607597"/>
    <x v="53"/>
  </r>
  <r>
    <x v="2"/>
    <s v="PM2,5 air pollution, mean annual exposure (micrograms per cubic meter)"/>
    <n v="53.194487335892802"/>
    <x v="53"/>
  </r>
  <r>
    <x v="3"/>
    <s v="PM2,5 air pollution, mean annual exposure (micrograms per cubic meter)"/>
    <n v="17.4815775234227"/>
    <x v="53"/>
  </r>
  <r>
    <x v="4"/>
    <s v="PM2,5 air pollution, mean annual exposure (micrograms per cubic meter)"/>
    <n v="51.2265068561098"/>
    <x v="53"/>
  </r>
  <r>
    <x v="5"/>
    <s v="PM2,5 air pollution, mean annual exposure (micrograms per cubic meter)"/>
    <n v="36.608471563365399"/>
    <x v="53"/>
  </r>
  <r>
    <x v="6"/>
    <s v="PM2,5 air pollution, mean annual exposure (micrograms per cubic meter)"/>
    <n v="27.5938937157871"/>
    <x v="53"/>
  </r>
  <r>
    <x v="7"/>
    <s v="PM2,5 air pollution, mean annual exposure (micrograms per cubic meter)"/>
    <n v="25.19707460071"/>
    <x v="53"/>
  </r>
  <r>
    <x v="8"/>
    <s v="PM2,5 air pollution, mean annual exposure (micrograms per cubic meter)"/>
    <n v="16.723359394249801"/>
    <x v="53"/>
  </r>
  <r>
    <x v="9"/>
    <s v="PM2,5 air pollution, mean annual exposure (micrograms per cubic meter)"/>
    <m/>
    <x v="53"/>
  </r>
  <r>
    <x v="10"/>
    <s v="PM2,5 air pollution, mean annual exposure (micrograms per cubic meter)"/>
    <n v="10.0836657403425"/>
    <x v="53"/>
  </r>
  <r>
    <x v="11"/>
    <s v="PM2,5 air pollution, mean annual exposure (micrograms per cubic meter)"/>
    <n v="18.370347495292599"/>
    <x v="53"/>
  </r>
  <r>
    <x v="12"/>
    <s v="PM2,5 air pollution, mean annual exposure (micrograms per cubic meter)"/>
    <n v="27.590872099197199"/>
    <x v="53"/>
  </r>
  <r>
    <x v="13"/>
    <s v="PM2,5 air pollution, mean annual exposure (micrograms per cubic meter)"/>
    <n v="53.487369213120999"/>
    <x v="53"/>
  </r>
  <r>
    <x v="14"/>
    <s v="PM2,5 air pollution, mean annual exposure (micrograms per cubic meter)"/>
    <n v="20.6579585567554"/>
    <x v="53"/>
  </r>
  <r>
    <x v="15"/>
    <s v="PM2,5 air pollution, mean annual exposure (micrograms per cubic meter)"/>
    <n v="19.946890996114"/>
    <x v="53"/>
  </r>
  <r>
    <x v="16"/>
    <s v="PM2,5 air pollution, mean annual exposure (micrograms per cubic meter)"/>
    <n v="51.1129131584606"/>
    <x v="53"/>
  </r>
  <r>
    <x v="17"/>
    <s v="PM2,5 air pollution, mean annual exposure (micrograms per cubic meter)"/>
    <n v="70.227411519253295"/>
    <x v="53"/>
  </r>
  <r>
    <x v="18"/>
    <s v="PM2,5 air pollution, mean annual exposure (micrograms per cubic meter)"/>
    <n v="29.099827955632701"/>
    <x v="53"/>
  </r>
  <r>
    <x v="19"/>
    <s v="PM2,5 air pollution, mean annual exposure (micrograms per cubic meter)"/>
    <n v="83.692217991766"/>
    <x v="53"/>
  </r>
  <r>
    <x v="20"/>
    <s v="PM2,5 air pollution, mean annual exposure (micrograms per cubic meter)"/>
    <n v="53.918288665436698"/>
    <x v="53"/>
  </r>
  <r>
    <x v="21"/>
    <s v="PM2,5 air pollution, mean annual exposure (micrograms per cubic meter)"/>
    <n v="13.140911509996"/>
    <x v="53"/>
  </r>
  <r>
    <x v="22"/>
    <s v="PM2,5 air pollution, mean annual exposure (micrograms per cubic meter)"/>
    <n v="28.0975955873873"/>
    <x v="53"/>
  </r>
  <r>
    <x v="23"/>
    <s v="PM2,5 air pollution, mean annual exposure (micrograms per cubic meter)"/>
    <n v="48.188873341589897"/>
    <x v="53"/>
  </r>
  <r>
    <x v="24"/>
    <s v="PM2,5 air pollution, mean annual exposure (micrograms per cubic meter)"/>
    <n v="23.723987437499201"/>
    <x v="53"/>
  </r>
  <r>
    <x v="25"/>
    <s v="PM2,5 air pollution, mean annual exposure (micrograms per cubic meter)"/>
    <n v="62.338002234295203"/>
    <x v="53"/>
  </r>
  <r>
    <x v="26"/>
    <s v="PM2,5 air pollution, mean annual exposure (micrograms per cubic meter)"/>
    <n v="27.6507332029129"/>
    <x v="53"/>
  </r>
  <r>
    <x v="27"/>
    <s v="PM2,5 air pollution, mean annual exposure (micrograms per cubic meter)"/>
    <n v="23.448375552086301"/>
    <x v="53"/>
  </r>
  <r>
    <x v="0"/>
    <s v="PM2,5 air pollution, mean annual exposure (micrograms per cubic meter)"/>
    <n v="47.085068613141701"/>
    <x v="54"/>
  </r>
  <r>
    <x v="1"/>
    <s v="PM2,5 air pollution, mean annual exposure (micrograms per cubic meter)"/>
    <n v="69.508268832506701"/>
    <x v="54"/>
  </r>
  <r>
    <x v="2"/>
    <s v="PM2,5 air pollution, mean annual exposure (micrograms per cubic meter)"/>
    <n v="49.216018876330097"/>
    <x v="54"/>
  </r>
  <r>
    <x v="3"/>
    <s v="PM2,5 air pollution, mean annual exposure (micrograms per cubic meter)"/>
    <n v="17.1182035777789"/>
    <x v="54"/>
  </r>
  <r>
    <x v="4"/>
    <s v="PM2,5 air pollution, mean annual exposure (micrograms per cubic meter)"/>
    <n v="50.872202717084399"/>
    <x v="54"/>
  </r>
  <r>
    <x v="5"/>
    <s v="PM2,5 air pollution, mean annual exposure (micrograms per cubic meter)"/>
    <n v="36.300683159835501"/>
    <x v="54"/>
  </r>
  <r>
    <x v="6"/>
    <s v="PM2,5 air pollution, mean annual exposure (micrograms per cubic meter)"/>
    <n v="24.975308244832402"/>
    <x v="54"/>
  </r>
  <r>
    <x v="7"/>
    <s v="PM2,5 air pollution, mean annual exposure (micrograms per cubic meter)"/>
    <n v="25.183782664640301"/>
    <x v="54"/>
  </r>
  <r>
    <x v="8"/>
    <s v="PM2,5 air pollution, mean annual exposure (micrograms per cubic meter)"/>
    <n v="16.5219891167878"/>
    <x v="54"/>
  </r>
  <r>
    <x v="9"/>
    <s v="PM2,5 air pollution, mean annual exposure (micrograms per cubic meter)"/>
    <m/>
    <x v="54"/>
  </r>
  <r>
    <x v="10"/>
    <s v="PM2,5 air pollution, mean annual exposure (micrograms per cubic meter)"/>
    <n v="8.9884671953866295"/>
    <x v="54"/>
  </r>
  <r>
    <x v="11"/>
    <s v="PM2,5 air pollution, mean annual exposure (micrograms per cubic meter)"/>
    <n v="19.1399746859692"/>
    <x v="54"/>
  </r>
  <r>
    <x v="12"/>
    <s v="PM2,5 air pollution, mean annual exposure (micrograms per cubic meter)"/>
    <n v="26.521513814298402"/>
    <x v="54"/>
  </r>
  <r>
    <x v="13"/>
    <s v="PM2,5 air pollution, mean annual exposure (micrograms per cubic meter)"/>
    <n v="48.012339263403099"/>
    <x v="54"/>
  </r>
  <r>
    <x v="14"/>
    <s v="PM2,5 air pollution, mean annual exposure (micrograms per cubic meter)"/>
    <n v="20.593640646755599"/>
    <x v="54"/>
  </r>
  <r>
    <x v="15"/>
    <s v="PM2,5 air pollution, mean annual exposure (micrograms per cubic meter)"/>
    <n v="19.7598785029328"/>
    <x v="54"/>
  </r>
  <r>
    <x v="16"/>
    <s v="PM2,5 air pollution, mean annual exposure (micrograms per cubic meter)"/>
    <n v="52.428392853048599"/>
    <x v="54"/>
  </r>
  <r>
    <x v="17"/>
    <s v="PM2,5 air pollution, mean annual exposure (micrograms per cubic meter)"/>
    <n v="71.623436239305704"/>
    <x v="54"/>
  </r>
  <r>
    <x v="18"/>
    <s v="PM2,5 air pollution, mean annual exposure (micrograms per cubic meter)"/>
    <n v="28.238497167915199"/>
    <x v="54"/>
  </r>
  <r>
    <x v="19"/>
    <s v="PM2,5 air pollution, mean annual exposure (micrograms per cubic meter)"/>
    <n v="72.103269704242607"/>
    <x v="54"/>
  </r>
  <r>
    <x v="20"/>
    <s v="PM2,5 air pollution, mean annual exposure (micrograms per cubic meter)"/>
    <n v="51.863109925687503"/>
    <x v="54"/>
  </r>
  <r>
    <x v="21"/>
    <s v="PM2,5 air pollution, mean annual exposure (micrograms per cubic meter)"/>
    <n v="13.8566293114297"/>
    <x v="54"/>
  </r>
  <r>
    <x v="22"/>
    <s v="PM2,5 air pollution, mean annual exposure (micrograms per cubic meter)"/>
    <n v="28.087843327818799"/>
    <x v="54"/>
  </r>
  <r>
    <x v="23"/>
    <s v="PM2,5 air pollution, mean annual exposure (micrograms per cubic meter)"/>
    <n v="50.288441410222198"/>
    <x v="54"/>
  </r>
  <r>
    <x v="24"/>
    <s v="PM2,5 air pollution, mean annual exposure (micrograms per cubic meter)"/>
    <n v="23.489643870927999"/>
    <x v="54"/>
  </r>
  <r>
    <x v="25"/>
    <s v="PM2,5 air pollution, mean annual exposure (micrograms per cubic meter)"/>
    <n v="61.386416666532803"/>
    <x v="54"/>
  </r>
  <r>
    <x v="26"/>
    <s v="PM2,5 air pollution, mean annual exposure (micrograms per cubic meter)"/>
    <n v="27.109114140595601"/>
    <x v="54"/>
  </r>
  <r>
    <x v="27"/>
    <s v="PM2,5 air pollution, mean annual exposure (micrograms per cubic meter)"/>
    <n v="23.072327085418799"/>
    <x v="54"/>
  </r>
  <r>
    <x v="0"/>
    <s v="PM2,5 air pollution, mean annual exposure (micrograms per cubic meter)"/>
    <n v="46.450194640754297"/>
    <x v="55"/>
  </r>
  <r>
    <x v="1"/>
    <s v="PM2,5 air pollution, mean annual exposure (micrograms per cubic meter)"/>
    <n v="134.79374977262199"/>
    <x v="55"/>
  </r>
  <r>
    <x v="2"/>
    <s v="PM2,5 air pollution, mean annual exposure (micrograms per cubic meter)"/>
    <n v="91.674309029587604"/>
    <x v="55"/>
  </r>
  <r>
    <x v="3"/>
    <s v="PM2,5 air pollution, mean annual exposure (micrograms per cubic meter)"/>
    <n v="19.033264278740301"/>
    <x v="55"/>
  </r>
  <r>
    <x v="4"/>
    <s v="PM2,5 air pollution, mean annual exposure (micrograms per cubic meter)"/>
    <n v="71.090614302179503"/>
    <x v="55"/>
  </r>
  <r>
    <x v="5"/>
    <s v="PM2,5 air pollution, mean annual exposure (micrograms per cubic meter)"/>
    <n v="48.877394619464397"/>
    <x v="55"/>
  </r>
  <r>
    <x v="6"/>
    <s v="PM2,5 air pollution, mean annual exposure (micrograms per cubic meter)"/>
    <n v="44.545939684034501"/>
    <x v="55"/>
  </r>
  <r>
    <x v="7"/>
    <s v="PM2,5 air pollution, mean annual exposure (micrograms per cubic meter)"/>
    <n v="23.614719284738499"/>
    <x v="55"/>
  </r>
  <r>
    <x v="8"/>
    <s v="PM2,5 air pollution, mean annual exposure (micrograms per cubic meter)"/>
    <n v="16.274279543100999"/>
    <x v="55"/>
  </r>
  <r>
    <x v="9"/>
    <s v="PM2,5 air pollution, mean annual exposure (micrograms per cubic meter)"/>
    <m/>
    <x v="55"/>
  </r>
  <r>
    <x v="10"/>
    <s v="PM2,5 air pollution, mean annual exposure (micrograms per cubic meter)"/>
    <n v="16.752035897923498"/>
    <x v="55"/>
  </r>
  <r>
    <x v="11"/>
    <s v="PM2,5 air pollution, mean annual exposure (micrograms per cubic meter)"/>
    <n v="21.3773436136368"/>
    <x v="55"/>
  </r>
  <r>
    <x v="12"/>
    <s v="PM2,5 air pollution, mean annual exposure (micrograms per cubic meter)"/>
    <n v="28.1474592853057"/>
    <x v="55"/>
  </r>
  <r>
    <x v="13"/>
    <s v="PM2,5 air pollution, mean annual exposure (micrograms per cubic meter)"/>
    <n v="88.607656059382194"/>
    <x v="55"/>
  </r>
  <r>
    <x v="14"/>
    <s v="PM2,5 air pollution, mean annual exposure (micrograms per cubic meter)"/>
    <n v="20.0195119024932"/>
    <x v="55"/>
  </r>
  <r>
    <x v="15"/>
    <s v="PM2,5 air pollution, mean annual exposure (micrograms per cubic meter)"/>
    <n v="20.925727401907501"/>
    <x v="55"/>
  </r>
  <r>
    <x v="16"/>
    <s v="PM2,5 air pollution, mean annual exposure (micrograms per cubic meter)"/>
    <n v="49.018417395899199"/>
    <x v="55"/>
  </r>
  <r>
    <x v="17"/>
    <s v="PM2,5 air pollution, mean annual exposure (micrograms per cubic meter)"/>
    <n v="77.906645523914506"/>
    <x v="55"/>
  </r>
  <r>
    <x v="18"/>
    <s v="PM2,5 air pollution, mean annual exposure (micrograms per cubic meter)"/>
    <n v="22.998854121201401"/>
    <x v="55"/>
  </r>
  <r>
    <x v="19"/>
    <s v="PM2,5 air pollution, mean annual exposure (micrograms per cubic meter)"/>
    <n v="190.88412581292999"/>
    <x v="55"/>
  </r>
  <r>
    <x v="20"/>
    <s v="PM2,5 air pollution, mean annual exposure (micrograms per cubic meter)"/>
    <n v="52.5098091852864"/>
    <x v="55"/>
  </r>
  <r>
    <x v="21"/>
    <s v="PM2,5 air pollution, mean annual exposure (micrograms per cubic meter)"/>
    <n v="15.384606884228001"/>
    <x v="55"/>
  </r>
  <r>
    <x v="22"/>
    <s v="PM2,5 air pollution, mean annual exposure (micrograms per cubic meter)"/>
    <n v="25.766537504838801"/>
    <x v="55"/>
  </r>
  <r>
    <x v="23"/>
    <s v="PM2,5 air pollution, mean annual exposure (micrograms per cubic meter)"/>
    <n v="60.697448208627002"/>
    <x v="55"/>
  </r>
  <r>
    <x v="24"/>
    <s v="PM2,5 air pollution, mean annual exposure (micrograms per cubic meter)"/>
    <n v="22.386705390008199"/>
    <x v="55"/>
  </r>
  <r>
    <x v="25"/>
    <s v="PM2,5 air pollution, mean annual exposure (micrograms per cubic meter)"/>
    <n v="72.756373489062298"/>
    <x v="55"/>
  </r>
  <r>
    <x v="26"/>
    <s v="PM2,5 air pollution, mean annual exposure (micrograms per cubic meter)"/>
    <n v="30.402645037229501"/>
    <x v="55"/>
  </r>
  <r>
    <x v="27"/>
    <s v="PM2,5 air pollution, mean annual exposure (micrograms per cubic meter)"/>
    <n v="24.371785659132499"/>
    <x v="55"/>
  </r>
  <r>
    <x v="0"/>
    <s v="PM2,5 air pollution, mean annual exposure (micrograms per cubic meter)"/>
    <n v="46.282934616116599"/>
    <x v="56"/>
  </r>
  <r>
    <x v="1"/>
    <s v="PM2,5 air pollution, mean annual exposure (micrograms per cubic meter)"/>
    <n v="139.705790069454"/>
    <x v="56"/>
  </r>
  <r>
    <x v="2"/>
    <s v="PM2,5 air pollution, mean annual exposure (micrograms per cubic meter)"/>
    <n v="95.673609098291493"/>
    <x v="56"/>
  </r>
  <r>
    <x v="3"/>
    <s v="PM2,5 air pollution, mean annual exposure (micrograms per cubic meter)"/>
    <n v="19.1463515776172"/>
    <x v="56"/>
  </r>
  <r>
    <x v="4"/>
    <s v="PM2,5 air pollution, mean annual exposure (micrograms per cubic meter)"/>
    <n v="71.709297659280693"/>
    <x v="56"/>
  </r>
  <r>
    <x v="5"/>
    <s v="PM2,5 air pollution, mean annual exposure (micrograms per cubic meter)"/>
    <n v="49.735305708481498"/>
    <x v="56"/>
  </r>
  <r>
    <x v="6"/>
    <s v="PM2,5 air pollution, mean annual exposure (micrograms per cubic meter)"/>
    <n v="46.140921243423897"/>
    <x v="56"/>
  </r>
  <r>
    <x v="7"/>
    <s v="PM2,5 air pollution, mean annual exposure (micrograms per cubic meter)"/>
    <n v="23.5480471708712"/>
    <x v="56"/>
  </r>
  <r>
    <x v="8"/>
    <s v="PM2,5 air pollution, mean annual exposure (micrograms per cubic meter)"/>
    <n v="16.294930789772302"/>
    <x v="56"/>
  </r>
  <r>
    <x v="9"/>
    <s v="PM2,5 air pollution, mean annual exposure (micrograms per cubic meter)"/>
    <m/>
    <x v="56"/>
  </r>
  <r>
    <x v="10"/>
    <s v="PM2,5 air pollution, mean annual exposure (micrograms per cubic meter)"/>
    <n v="17.332335342519201"/>
    <x v="56"/>
  </r>
  <r>
    <x v="11"/>
    <s v="PM2,5 air pollution, mean annual exposure (micrograms per cubic meter)"/>
    <n v="21.4749647374828"/>
    <x v="56"/>
  </r>
  <r>
    <x v="12"/>
    <s v="PM2,5 air pollution, mean annual exposure (micrograms per cubic meter)"/>
    <n v="28.259823205112099"/>
    <x v="56"/>
  </r>
  <r>
    <x v="13"/>
    <s v="PM2,5 air pollution, mean annual exposure (micrograms per cubic meter)"/>
    <n v="92.210116754322996"/>
    <x v="56"/>
  </r>
  <r>
    <x v="14"/>
    <s v="PM2,5 air pollution, mean annual exposure (micrograms per cubic meter)"/>
    <n v="19.9432133698146"/>
    <x v="56"/>
  </r>
  <r>
    <x v="15"/>
    <s v="PM2,5 air pollution, mean annual exposure (micrograms per cubic meter)"/>
    <n v="20.987226868579398"/>
    <x v="56"/>
  </r>
  <r>
    <x v="16"/>
    <s v="PM2,5 air pollution, mean annual exposure (micrograms per cubic meter)"/>
    <n v="48.811358811618703"/>
    <x v="56"/>
  </r>
  <r>
    <x v="17"/>
    <s v="PM2,5 air pollution, mean annual exposure (micrograms per cubic meter)"/>
    <n v="78.497133493777298"/>
    <x v="56"/>
  </r>
  <r>
    <x v="18"/>
    <s v="PM2,5 air pollution, mean annual exposure (micrograms per cubic meter)"/>
    <n v="22.708848677358102"/>
    <x v="56"/>
  </r>
  <r>
    <x v="19"/>
    <s v="PM2,5 air pollution, mean annual exposure (micrograms per cubic meter)"/>
    <n v="203.74389172404"/>
    <x v="56"/>
  </r>
  <r>
    <x v="20"/>
    <s v="PM2,5 air pollution, mean annual exposure (micrograms per cubic meter)"/>
    <n v="52.790130124716399"/>
    <x v="56"/>
  </r>
  <r>
    <x v="21"/>
    <s v="PM2,5 air pollution, mean annual exposure (micrograms per cubic meter)"/>
    <n v="15.427656593015101"/>
    <x v="56"/>
  </r>
  <r>
    <x v="22"/>
    <s v="PM2,5 air pollution, mean annual exposure (micrograms per cubic meter)"/>
    <n v="25.635207569235799"/>
    <x v="56"/>
  </r>
  <r>
    <x v="23"/>
    <s v="PM2,5 air pollution, mean annual exposure (micrograms per cubic meter)"/>
    <n v="61.354304422826701"/>
    <x v="56"/>
  </r>
  <r>
    <x v="24"/>
    <s v="PM2,5 air pollution, mean annual exposure (micrograms per cubic meter)"/>
    <n v="22.349307273381999"/>
    <x v="56"/>
  </r>
  <r>
    <x v="25"/>
    <s v="PM2,5 air pollution, mean annual exposure (micrograms per cubic meter)"/>
    <n v="73.511722754226099"/>
    <x v="56"/>
  </r>
  <r>
    <x v="26"/>
    <s v="PM2,5 air pollution, mean annual exposure (micrograms per cubic meter)"/>
    <n v="30.5502949634744"/>
    <x v="56"/>
  </r>
  <r>
    <x v="27"/>
    <s v="PM2,5 air pollution, mean annual exposure (micrograms per cubic meter)"/>
    <n v="24.513034972283901"/>
    <x v="56"/>
  </r>
  <r>
    <x v="0"/>
    <s v="PM2,5 air pollution, mean annual exposure (micrograms per cubic meter)"/>
    <m/>
    <x v="57"/>
  </r>
  <r>
    <x v="1"/>
    <s v="PM2,5 air pollution, mean annual exposure (micrograms per cubic meter)"/>
    <m/>
    <x v="57"/>
  </r>
  <r>
    <x v="2"/>
    <s v="PM2,5 air pollution, mean annual exposure (micrograms per cubic meter)"/>
    <m/>
    <x v="57"/>
  </r>
  <r>
    <x v="3"/>
    <s v="PM2,5 air pollution, mean annual exposure (micrograms per cubic meter)"/>
    <m/>
    <x v="57"/>
  </r>
  <r>
    <x v="4"/>
    <s v="PM2,5 air pollution, mean annual exposure (micrograms per cubic meter)"/>
    <m/>
    <x v="57"/>
  </r>
  <r>
    <x v="5"/>
    <s v="PM2,5 air pollution, mean annual exposure (micrograms per cubic meter)"/>
    <m/>
    <x v="57"/>
  </r>
  <r>
    <x v="6"/>
    <s v="PM2,5 air pollution, mean annual exposure (micrograms per cubic meter)"/>
    <m/>
    <x v="57"/>
  </r>
  <r>
    <x v="7"/>
    <s v="PM2,5 air pollution, mean annual exposure (micrograms per cubic meter)"/>
    <m/>
    <x v="57"/>
  </r>
  <r>
    <x v="8"/>
    <s v="PM2,5 air pollution, mean annual exposure (micrograms per cubic meter)"/>
    <m/>
    <x v="57"/>
  </r>
  <r>
    <x v="9"/>
    <s v="PM2,5 air pollution, mean annual exposure (micrograms per cubic meter)"/>
    <m/>
    <x v="57"/>
  </r>
  <r>
    <x v="10"/>
    <s v="PM2,5 air pollution, mean annual exposure (micrograms per cubic meter)"/>
    <m/>
    <x v="57"/>
  </r>
  <r>
    <x v="11"/>
    <s v="PM2,5 air pollution, mean annual exposure (micrograms per cubic meter)"/>
    <m/>
    <x v="57"/>
  </r>
  <r>
    <x v="12"/>
    <s v="PM2,5 air pollution, mean annual exposure (micrograms per cubic meter)"/>
    <m/>
    <x v="57"/>
  </r>
  <r>
    <x v="13"/>
    <s v="PM2,5 air pollution, mean annual exposure (micrograms per cubic meter)"/>
    <m/>
    <x v="57"/>
  </r>
  <r>
    <x v="14"/>
    <s v="PM2,5 air pollution, mean annual exposure (micrograms per cubic meter)"/>
    <m/>
    <x v="57"/>
  </r>
  <r>
    <x v="15"/>
    <s v="PM2,5 air pollution, mean annual exposure (micrograms per cubic meter)"/>
    <m/>
    <x v="57"/>
  </r>
  <r>
    <x v="16"/>
    <s v="PM2,5 air pollution, mean annual exposure (micrograms per cubic meter)"/>
    <m/>
    <x v="57"/>
  </r>
  <r>
    <x v="17"/>
    <s v="PM2,5 air pollution, mean annual exposure (micrograms per cubic meter)"/>
    <m/>
    <x v="57"/>
  </r>
  <r>
    <x v="18"/>
    <s v="PM2,5 air pollution, mean annual exposure (micrograms per cubic meter)"/>
    <m/>
    <x v="57"/>
  </r>
  <r>
    <x v="19"/>
    <s v="PM2,5 air pollution, mean annual exposure (micrograms per cubic meter)"/>
    <m/>
    <x v="57"/>
  </r>
  <r>
    <x v="20"/>
    <s v="PM2,5 air pollution, mean annual exposure (micrograms per cubic meter)"/>
    <m/>
    <x v="57"/>
  </r>
  <r>
    <x v="21"/>
    <s v="PM2,5 air pollution, mean annual exposure (micrograms per cubic meter)"/>
    <m/>
    <x v="57"/>
  </r>
  <r>
    <x v="22"/>
    <s v="PM2,5 air pollution, mean annual exposure (micrograms per cubic meter)"/>
    <m/>
    <x v="57"/>
  </r>
  <r>
    <x v="23"/>
    <s v="PM2,5 air pollution, mean annual exposure (micrograms per cubic meter)"/>
    <m/>
    <x v="57"/>
  </r>
  <r>
    <x v="24"/>
    <s v="PM2,5 air pollution, mean annual exposure (micrograms per cubic meter)"/>
    <m/>
    <x v="57"/>
  </r>
  <r>
    <x v="25"/>
    <s v="PM2,5 air pollution, mean annual exposure (micrograms per cubic meter)"/>
    <m/>
    <x v="57"/>
  </r>
  <r>
    <x v="26"/>
    <s v="PM2,5 air pollution, mean annual exposure (micrograms per cubic meter)"/>
    <m/>
    <x v="57"/>
  </r>
  <r>
    <x v="27"/>
    <s v="PM2,5 air pollution, mean annual exposure (micrograms per cubic meter)"/>
    <m/>
    <x v="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数据透视表6" cacheId="0"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61"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h="1" x="15"/>
        <item x="16"/>
        <item h="1" x="17"/>
        <item h="1" x="18"/>
        <item h="1" x="19"/>
        <item h="1" x="20"/>
        <item h="1" x="21"/>
        <item h="1" x="22"/>
        <item h="1" x="23"/>
        <item h="1" x="24"/>
        <item h="1" x="25"/>
        <item h="1" x="26"/>
        <item h="1" x="27"/>
        <item t="default"/>
      </items>
    </pivotField>
    <pivotField showAll="0"/>
    <pivotField dataField="1"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h="1" x="55"/>
        <item h="1" x="56"/>
        <item h="1" x="57"/>
        <item t="default"/>
      </items>
    </pivotField>
  </pivotFields>
  <rowFields count="1">
    <field x="3"/>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rowItems>
  <colFields count="1">
    <field x="0"/>
  </colFields>
  <colItems count="1">
    <i>
      <x v="16"/>
    </i>
  </colItems>
  <dataFields count="1">
    <dataField name="Somme:Data" fld="2" baseField="0" baseItem="0"/>
  </dataFields>
  <formats count="11">
    <format dxfId="81">
      <pivotArea type="origin" dataOnly="0" labelOnly="1" outline="0" fieldPosition="0"/>
    </format>
    <format dxfId="80">
      <pivotArea field="0" type="button" dataOnly="0" labelOnly="1" outline="0" axis="axisCol" fieldPosition="0"/>
    </format>
    <format dxfId="79">
      <pivotArea type="topRight" dataOnly="0" labelOnly="1" outline="0" fieldPosition="0"/>
    </format>
    <format dxfId="78">
      <pivotArea field="3" type="button" dataOnly="0" labelOnly="1" outline="0" axis="axisRow" fieldPosition="0"/>
    </format>
    <format dxfId="77">
      <pivotArea dataOnly="0" labelOnly="1" fieldPosition="0">
        <references count="1">
          <reference field="0" count="0"/>
        </references>
      </pivotArea>
    </format>
    <format dxfId="76">
      <pivotArea dataOnly="0" labelOnly="1" grandCol="1" outline="0" fieldPosition="0"/>
    </format>
    <format dxfId="75">
      <pivotArea dataOnly="0" labelOnly="1" fieldPosition="0">
        <references count="1">
          <reference field="0" count="0"/>
        </references>
      </pivotArea>
    </format>
    <format dxfId="74">
      <pivotArea dataOnly="0" labelOnly="1" grandCol="1" outline="0" fieldPosition="0"/>
    </format>
    <format dxfId="73">
      <pivotArea type="all" dataOnly="0" outline="0" fieldPosition="0"/>
    </format>
    <format dxfId="72">
      <pivotArea type="all" dataOnly="0" outline="0" fieldPosition="0"/>
    </format>
    <format dxfId="71">
      <pivotArea dataOnly="0" labelOnly="1" fieldPosition="0">
        <references count="1">
          <reference field="3" count="0"/>
        </references>
      </pivotArea>
    </format>
  </formats>
  <chartFormats count="30">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0" format="24" series="1">
      <pivotArea type="data" outline="0" fieldPosition="0">
        <references count="2">
          <reference field="4294967294" count="1" selected="0">
            <x v="0"/>
          </reference>
          <reference field="0" count="1" selected="0">
            <x v="24"/>
          </reference>
        </references>
      </pivotArea>
    </chartFormat>
    <chartFormat chart="0" format="25" series="1">
      <pivotArea type="data" outline="0" fieldPosition="0">
        <references count="2">
          <reference field="4294967294" count="1" selected="0">
            <x v="0"/>
          </reference>
          <reference field="0" count="1" selected="0">
            <x v="25"/>
          </reference>
        </references>
      </pivotArea>
    </chartFormat>
    <chartFormat chart="0" format="26" series="1">
      <pivotArea type="data" outline="0" fieldPosition="0">
        <references count="2">
          <reference field="4294967294" count="1" selected="0">
            <x v="0"/>
          </reference>
          <reference field="0" count="1" selected="0">
            <x v="26"/>
          </reference>
        </references>
      </pivotArea>
    </chartFormat>
    <chartFormat chart="0" format="27" series="1">
      <pivotArea type="data" outline="0" fieldPosition="0">
        <references count="2">
          <reference field="4294967294" count="1" selected="0">
            <x v="0"/>
          </reference>
          <reference field="0" count="1" selected="0">
            <x v="27"/>
          </reference>
        </references>
      </pivotArea>
    </chartFormat>
    <chartFormat chart="0" format="28" series="1">
      <pivotArea type="data" outline="0" fieldPosition="0">
        <references count="1">
          <reference field="4294967294" count="1" selected="0">
            <x v="0"/>
          </reference>
        </references>
      </pivotArea>
    </chartFormat>
    <chartFormat chart="1" format="29" series="1">
      <pivotArea type="data" outline="0" fieldPosition="0">
        <references count="1">
          <reference field="4294967294" count="1" selected="0">
            <x v="0"/>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7" cacheId="1"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62"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h="1" x="15"/>
        <item x="16"/>
        <item h="1" x="17"/>
        <item h="1" x="18"/>
        <item h="1" x="19"/>
        <item h="1" x="20"/>
        <item h="1" x="21"/>
        <item h="1" x="22"/>
        <item h="1" x="23"/>
        <item h="1" x="24"/>
        <item h="1" x="25"/>
        <item h="1" x="26"/>
        <item h="1" x="27"/>
        <item t="default"/>
      </items>
    </pivotField>
    <pivotField showAll="0"/>
    <pivotField dataField="1" showAll="0"/>
    <pivotField axis="axisRow" showAll="0">
      <items count="59">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h="1" x="57"/>
        <item t="default"/>
      </items>
    </pivotField>
  </pivotFields>
  <rowFields count="1">
    <field x="3"/>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1">
    <field x="0"/>
  </colFields>
  <colItems count="1">
    <i>
      <x v="16"/>
    </i>
  </colItems>
  <dataFields count="1">
    <dataField name="Somme:Data" fld="2" baseField="0" baseItem="0"/>
  </dataFields>
  <formats count="23">
    <format dxfId="70">
      <pivotArea type="origin" dataOnly="0" labelOnly="1" outline="0" fieldPosition="0"/>
    </format>
    <format dxfId="69">
      <pivotArea field="0" type="button" dataOnly="0" labelOnly="1" outline="0" axis="axisCol" fieldPosition="0"/>
    </format>
    <format dxfId="68">
      <pivotArea type="topRight" dataOnly="0" labelOnly="1" outline="0" fieldPosition="0"/>
    </format>
    <format dxfId="67">
      <pivotArea field="3" type="button" dataOnly="0" labelOnly="1" outline="0" axis="axisRow" fieldPosition="0"/>
    </format>
    <format dxfId="66">
      <pivotArea dataOnly="0" labelOnly="1" fieldPosition="0">
        <references count="1">
          <reference field="0" count="0"/>
        </references>
      </pivotArea>
    </format>
    <format dxfId="65">
      <pivotArea type="origin" dataOnly="0" labelOnly="1" outline="0" fieldPosition="0"/>
    </format>
    <format dxfId="64">
      <pivotArea field="0" type="button" dataOnly="0" labelOnly="1" outline="0" axis="axisCol" fieldPosition="0"/>
    </format>
    <format dxfId="63">
      <pivotArea type="topRight" dataOnly="0" labelOnly="1" outline="0" fieldPosition="0"/>
    </format>
    <format dxfId="62">
      <pivotArea field="3" type="button" dataOnly="0" labelOnly="1" outline="0" axis="axisRow" fieldPosition="0"/>
    </format>
    <format dxfId="61">
      <pivotArea dataOnly="0" labelOnly="1" fieldPosition="0">
        <references count="1">
          <reference field="0" count="0"/>
        </references>
      </pivotArea>
    </format>
    <format dxfId="60">
      <pivotArea type="origin" dataOnly="0" labelOnly="1" outline="0" fieldPosition="0"/>
    </format>
    <format dxfId="59">
      <pivotArea field="0" type="button" dataOnly="0" labelOnly="1" outline="0" axis="axisCol" fieldPosition="0"/>
    </format>
    <format dxfId="58">
      <pivotArea type="topRight" dataOnly="0" labelOnly="1" outline="0" fieldPosition="0"/>
    </format>
    <format dxfId="57">
      <pivotArea field="3" type="button" dataOnly="0" labelOnly="1" outline="0" axis="axisRow" fieldPosition="0"/>
    </format>
    <format dxfId="56">
      <pivotArea dataOnly="0" labelOnly="1" fieldPosition="0">
        <references count="1">
          <reference field="0" count="0"/>
        </references>
      </pivotArea>
    </format>
    <format dxfId="55">
      <pivotArea dataOnly="0" labelOnly="1" fieldPosition="0">
        <references count="1">
          <reference field="0" count="0"/>
        </references>
      </pivotArea>
    </format>
    <format dxfId="54">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3">
      <pivotArea dataOnly="0" labelOnly="1" fieldPosition="0">
        <references count="1">
          <reference field="3" count="8">
            <x v="50"/>
            <x v="51"/>
            <x v="52"/>
            <x v="53"/>
            <x v="54"/>
            <x v="55"/>
            <x v="56"/>
            <x v="57"/>
          </reference>
        </references>
      </pivotArea>
    </format>
    <format dxfId="52">
      <pivotArea type="all" dataOnly="0" outline="0" fieldPosition="0"/>
    </format>
    <format dxfId="51">
      <pivotArea type="origin" dataOnly="0" labelOnly="1" outline="0" fieldPosition="0"/>
    </format>
    <format dxfId="50">
      <pivotArea field="0" type="button" dataOnly="0" labelOnly="1" outline="0" axis="axisCol" fieldPosition="0"/>
    </format>
    <format dxfId="49">
      <pivotArea field="3" type="button" dataOnly="0" labelOnly="1" outline="0" axis="axisRow" fieldPosition="0"/>
    </format>
    <format dxfId="48">
      <pivotArea dataOnly="0" labelOnly="1" fieldPosition="0">
        <references count="1">
          <reference field="0" count="0"/>
        </references>
      </pivotArea>
    </format>
  </formats>
  <chartFormats count="30">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10"/>
          </reference>
        </references>
      </pivotArea>
    </chartFormat>
    <chartFormat chart="0" format="10" series="1">
      <pivotArea type="data" outline="0" fieldPosition="0">
        <references count="2">
          <reference field="4294967294" count="1" selected="0">
            <x v="0"/>
          </reference>
          <reference field="0" count="1" selected="0">
            <x v="11"/>
          </reference>
        </references>
      </pivotArea>
    </chartFormat>
    <chartFormat chart="0" format="11" series="1">
      <pivotArea type="data" outline="0" fieldPosition="0">
        <references count="2">
          <reference field="4294967294" count="1" selected="0">
            <x v="0"/>
          </reference>
          <reference field="0" count="1" selected="0">
            <x v="12"/>
          </reference>
        </references>
      </pivotArea>
    </chartFormat>
    <chartFormat chart="0" format="12" series="1">
      <pivotArea type="data" outline="0" fieldPosition="0">
        <references count="2">
          <reference field="4294967294" count="1" selected="0">
            <x v="0"/>
          </reference>
          <reference field="0" count="1" selected="0">
            <x v="13"/>
          </reference>
        </references>
      </pivotArea>
    </chartFormat>
    <chartFormat chart="0" format="13" series="1">
      <pivotArea type="data" outline="0" fieldPosition="0">
        <references count="2">
          <reference field="4294967294" count="1" selected="0">
            <x v="0"/>
          </reference>
          <reference field="0" count="1" selected="0">
            <x v="14"/>
          </reference>
        </references>
      </pivotArea>
    </chartFormat>
    <chartFormat chart="0" format="14" series="1">
      <pivotArea type="data" outline="0" fieldPosition="0">
        <references count="2">
          <reference field="4294967294" count="1" selected="0">
            <x v="0"/>
          </reference>
          <reference field="0" count="1" selected="0">
            <x v="15"/>
          </reference>
        </references>
      </pivotArea>
    </chartFormat>
    <chartFormat chart="0" format="15" series="1">
      <pivotArea type="data" outline="0" fieldPosition="0">
        <references count="2">
          <reference field="4294967294" count="1" selected="0">
            <x v="0"/>
          </reference>
          <reference field="0" count="1" selected="0">
            <x v="16"/>
          </reference>
        </references>
      </pivotArea>
    </chartFormat>
    <chartFormat chart="0" format="16" series="1">
      <pivotArea type="data" outline="0" fieldPosition="0">
        <references count="2">
          <reference field="4294967294" count="1" selected="0">
            <x v="0"/>
          </reference>
          <reference field="0" count="1" selected="0">
            <x v="17"/>
          </reference>
        </references>
      </pivotArea>
    </chartFormat>
    <chartFormat chart="0" format="17" series="1">
      <pivotArea type="data" outline="0" fieldPosition="0">
        <references count="2">
          <reference field="4294967294" count="1" selected="0">
            <x v="0"/>
          </reference>
          <reference field="0" count="1" selected="0">
            <x v="18"/>
          </reference>
        </references>
      </pivotArea>
    </chartFormat>
    <chartFormat chart="0" format="18" series="1">
      <pivotArea type="data" outline="0" fieldPosition="0">
        <references count="2">
          <reference field="4294967294" count="1" selected="0">
            <x v="0"/>
          </reference>
          <reference field="0" count="1" selected="0">
            <x v="19"/>
          </reference>
        </references>
      </pivotArea>
    </chartFormat>
    <chartFormat chart="0" format="19" series="1">
      <pivotArea type="data" outline="0" fieldPosition="0">
        <references count="2">
          <reference field="4294967294" count="1" selected="0">
            <x v="0"/>
          </reference>
          <reference field="0" count="1" selected="0">
            <x v="20"/>
          </reference>
        </references>
      </pivotArea>
    </chartFormat>
    <chartFormat chart="0" format="20" series="1">
      <pivotArea type="data" outline="0" fieldPosition="0">
        <references count="2">
          <reference field="4294967294" count="1" selected="0">
            <x v="0"/>
          </reference>
          <reference field="0" count="1" selected="0">
            <x v="21"/>
          </reference>
        </references>
      </pivotArea>
    </chartFormat>
    <chartFormat chart="0" format="21" series="1">
      <pivotArea type="data" outline="0" fieldPosition="0">
        <references count="2">
          <reference field="4294967294" count="1" selected="0">
            <x v="0"/>
          </reference>
          <reference field="0" count="1" selected="0">
            <x v="22"/>
          </reference>
        </references>
      </pivotArea>
    </chartFormat>
    <chartFormat chart="0" format="22" series="1">
      <pivotArea type="data" outline="0" fieldPosition="0">
        <references count="2">
          <reference field="4294967294" count="1" selected="0">
            <x v="0"/>
          </reference>
          <reference field="0" count="1" selected="0">
            <x v="23"/>
          </reference>
        </references>
      </pivotArea>
    </chartFormat>
    <chartFormat chart="0" format="23" series="1">
      <pivotArea type="data" outline="0" fieldPosition="0">
        <references count="2">
          <reference field="4294967294" count="1" selected="0">
            <x v="0"/>
          </reference>
          <reference field="0" count="1" selected="0">
            <x v="24"/>
          </reference>
        </references>
      </pivotArea>
    </chartFormat>
    <chartFormat chart="0" format="24" series="1">
      <pivotArea type="data" outline="0" fieldPosition="0">
        <references count="2">
          <reference field="4294967294" count="1" selected="0">
            <x v="0"/>
          </reference>
          <reference field="0" count="1" selected="0">
            <x v="25"/>
          </reference>
        </references>
      </pivotArea>
    </chartFormat>
    <chartFormat chart="0" format="25" series="1">
      <pivotArea type="data" outline="0" fieldPosition="0">
        <references count="2">
          <reference field="4294967294" count="1" selected="0">
            <x v="0"/>
          </reference>
          <reference field="0" count="1" selected="0">
            <x v="26"/>
          </reference>
        </references>
      </pivotArea>
    </chartFormat>
    <chartFormat chart="0" format="26" series="1">
      <pivotArea type="data" outline="0" fieldPosition="0">
        <references count="2">
          <reference field="4294967294" count="1" selected="0">
            <x v="0"/>
          </reference>
          <reference field="0" count="1" selected="0">
            <x v="27"/>
          </reference>
        </references>
      </pivotArea>
    </chartFormat>
    <chartFormat chart="0" format="27" series="1">
      <pivotArea type="data" outline="0" fieldPosition="0">
        <references count="1">
          <reference field="4294967294" count="1" selected="0">
            <x v="0"/>
          </reference>
        </references>
      </pivotArea>
    </chartFormat>
    <chartFormat chart="0" format="28" series="1">
      <pivotArea type="data" outline="0" fieldPosition="0">
        <references count="2">
          <reference field="4294967294" count="1" selected="0">
            <x v="0"/>
          </reference>
          <reference field="0" count="1" selected="0">
            <x v="9"/>
          </reference>
        </references>
      </pivotArea>
    </chartFormat>
    <chartFormat chart="1" format="29" series="1">
      <pivotArea type="data" outline="0" fieldPosition="0">
        <references count="1">
          <reference field="4294967294" count="1" selected="0">
            <x v="0"/>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数据透视表8" cacheId="2"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17"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h="1" x="15"/>
        <item x="16"/>
        <item h="1" x="17"/>
        <item h="1" x="18"/>
        <item h="1" x="19"/>
        <item h="1" x="20"/>
        <item h="1" x="21"/>
        <item h="1" x="22"/>
        <item h="1" x="23"/>
        <item h="1" x="24"/>
        <item h="1" x="25"/>
        <item h="1" x="26"/>
        <item h="1" x="27"/>
        <item t="default"/>
      </items>
    </pivotField>
    <pivotField showAll="0"/>
    <pivotField dataField="1" showAll="0"/>
    <pivotField axis="axisRow" showAll="0">
      <items count="5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x="30"/>
        <item h="1" x="31"/>
        <item h="1" x="32"/>
        <item h="1" x="33"/>
        <item h="1" x="34"/>
        <item x="35"/>
        <item h="1" x="36"/>
        <item h="1" x="37"/>
        <item h="1" x="38"/>
        <item h="1" x="39"/>
        <item x="40"/>
        <item h="1" x="41"/>
        <item h="1" x="42"/>
        <item h="1" x="43"/>
        <item h="1" x="44"/>
        <item x="45"/>
        <item h="1" x="46"/>
        <item h="1" x="47"/>
        <item h="1" x="48"/>
        <item h="1" x="49"/>
        <item x="50"/>
        <item x="51"/>
        <item x="52"/>
        <item x="53"/>
        <item x="54"/>
        <item x="55"/>
        <item x="56"/>
        <item h="1" x="57"/>
        <item t="default"/>
      </items>
    </pivotField>
  </pivotFields>
  <rowFields count="1">
    <field x="3"/>
  </rowFields>
  <rowItems count="11">
    <i>
      <x v="30"/>
    </i>
    <i>
      <x v="35"/>
    </i>
    <i>
      <x v="40"/>
    </i>
    <i>
      <x v="45"/>
    </i>
    <i>
      <x v="50"/>
    </i>
    <i>
      <x v="51"/>
    </i>
    <i>
      <x v="52"/>
    </i>
    <i>
      <x v="53"/>
    </i>
    <i>
      <x v="54"/>
    </i>
    <i>
      <x v="55"/>
    </i>
    <i>
      <x v="56"/>
    </i>
  </rowItems>
  <colFields count="1">
    <field x="0"/>
  </colFields>
  <colItems count="1">
    <i>
      <x v="16"/>
    </i>
  </colItems>
  <dataFields count="1">
    <dataField name="Somme:Data" fld="2" baseField="0" baseItem="0"/>
  </dataFields>
  <formats count="7">
    <format dxfId="47">
      <pivotArea type="topRight" dataOnly="0" labelOnly="1" outline="0" fieldPosition="0"/>
    </format>
    <format dxfId="46">
      <pivotArea dataOnly="0" labelOnly="1" fieldPosition="0">
        <references count="1">
          <reference field="3" count="0"/>
        </references>
      </pivotArea>
    </format>
    <format dxfId="45">
      <pivotArea type="all" dataOnly="0" outline="0" fieldPosition="0"/>
    </format>
    <format dxfId="44">
      <pivotArea type="origin" dataOnly="0" labelOnly="1" outline="0" fieldPosition="0"/>
    </format>
    <format dxfId="43">
      <pivotArea field="0" type="button" dataOnly="0" labelOnly="1" outline="0" axis="axisCol" fieldPosition="0"/>
    </format>
    <format dxfId="42">
      <pivotArea field="3" type="button" dataOnly="0" labelOnly="1" outline="0" axis="axisRow" fieldPosition="0"/>
    </format>
    <format dxfId="41">
      <pivotArea dataOnly="0" labelOnly="1" fieldPosition="0">
        <references count="1">
          <reference field="0" count="0"/>
        </references>
      </pivotArea>
    </format>
  </formats>
  <chartFormats count="30">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10"/>
          </reference>
        </references>
      </pivotArea>
    </chartFormat>
    <chartFormat chart="0" format="10" series="1">
      <pivotArea type="data" outline="0" fieldPosition="0">
        <references count="2">
          <reference field="4294967294" count="1" selected="0">
            <x v="0"/>
          </reference>
          <reference field="0" count="1" selected="0">
            <x v="11"/>
          </reference>
        </references>
      </pivotArea>
    </chartFormat>
    <chartFormat chart="0" format="11" series="1">
      <pivotArea type="data" outline="0" fieldPosition="0">
        <references count="2">
          <reference field="4294967294" count="1" selected="0">
            <x v="0"/>
          </reference>
          <reference field="0" count="1" selected="0">
            <x v="12"/>
          </reference>
        </references>
      </pivotArea>
    </chartFormat>
    <chartFormat chart="0" format="12" series="1">
      <pivotArea type="data" outline="0" fieldPosition="0">
        <references count="2">
          <reference field="4294967294" count="1" selected="0">
            <x v="0"/>
          </reference>
          <reference field="0" count="1" selected="0">
            <x v="13"/>
          </reference>
        </references>
      </pivotArea>
    </chartFormat>
    <chartFormat chart="0" format="13" series="1">
      <pivotArea type="data" outline="0" fieldPosition="0">
        <references count="2">
          <reference field="4294967294" count="1" selected="0">
            <x v="0"/>
          </reference>
          <reference field="0" count="1" selected="0">
            <x v="14"/>
          </reference>
        </references>
      </pivotArea>
    </chartFormat>
    <chartFormat chart="0" format="14" series="1">
      <pivotArea type="data" outline="0" fieldPosition="0">
        <references count="2">
          <reference field="4294967294" count="1" selected="0">
            <x v="0"/>
          </reference>
          <reference field="0" count="1" selected="0">
            <x v="15"/>
          </reference>
        </references>
      </pivotArea>
    </chartFormat>
    <chartFormat chart="0" format="15" series="1">
      <pivotArea type="data" outline="0" fieldPosition="0">
        <references count="2">
          <reference field="4294967294" count="1" selected="0">
            <x v="0"/>
          </reference>
          <reference field="0" count="1" selected="0">
            <x v="16"/>
          </reference>
        </references>
      </pivotArea>
    </chartFormat>
    <chartFormat chart="0" format="16" series="1">
      <pivotArea type="data" outline="0" fieldPosition="0">
        <references count="2">
          <reference field="4294967294" count="1" selected="0">
            <x v="0"/>
          </reference>
          <reference field="0" count="1" selected="0">
            <x v="17"/>
          </reference>
        </references>
      </pivotArea>
    </chartFormat>
    <chartFormat chart="0" format="17" series="1">
      <pivotArea type="data" outline="0" fieldPosition="0">
        <references count="2">
          <reference field="4294967294" count="1" selected="0">
            <x v="0"/>
          </reference>
          <reference field="0" count="1" selected="0">
            <x v="18"/>
          </reference>
        </references>
      </pivotArea>
    </chartFormat>
    <chartFormat chart="0" format="18" series="1">
      <pivotArea type="data" outline="0" fieldPosition="0">
        <references count="2">
          <reference field="4294967294" count="1" selected="0">
            <x v="0"/>
          </reference>
          <reference field="0" count="1" selected="0">
            <x v="19"/>
          </reference>
        </references>
      </pivotArea>
    </chartFormat>
    <chartFormat chart="0" format="19" series="1">
      <pivotArea type="data" outline="0" fieldPosition="0">
        <references count="2">
          <reference field="4294967294" count="1" selected="0">
            <x v="0"/>
          </reference>
          <reference field="0" count="1" selected="0">
            <x v="20"/>
          </reference>
        </references>
      </pivotArea>
    </chartFormat>
    <chartFormat chart="0" format="20" series="1">
      <pivotArea type="data" outline="0" fieldPosition="0">
        <references count="2">
          <reference field="4294967294" count="1" selected="0">
            <x v="0"/>
          </reference>
          <reference field="0" count="1" selected="0">
            <x v="21"/>
          </reference>
        </references>
      </pivotArea>
    </chartFormat>
    <chartFormat chart="0" format="21" series="1">
      <pivotArea type="data" outline="0" fieldPosition="0">
        <references count="2">
          <reference field="4294967294" count="1" selected="0">
            <x v="0"/>
          </reference>
          <reference field="0" count="1" selected="0">
            <x v="22"/>
          </reference>
        </references>
      </pivotArea>
    </chartFormat>
    <chartFormat chart="0" format="22" series="1">
      <pivotArea type="data" outline="0" fieldPosition="0">
        <references count="2">
          <reference field="4294967294" count="1" selected="0">
            <x v="0"/>
          </reference>
          <reference field="0" count="1" selected="0">
            <x v="23"/>
          </reference>
        </references>
      </pivotArea>
    </chartFormat>
    <chartFormat chart="0" format="23" series="1">
      <pivotArea type="data" outline="0" fieldPosition="0">
        <references count="2">
          <reference field="4294967294" count="1" selected="0">
            <x v="0"/>
          </reference>
          <reference field="0" count="1" selected="0">
            <x v="24"/>
          </reference>
        </references>
      </pivotArea>
    </chartFormat>
    <chartFormat chart="0" format="24" series="1">
      <pivotArea type="data" outline="0" fieldPosition="0">
        <references count="2">
          <reference field="4294967294" count="1" selected="0">
            <x v="0"/>
          </reference>
          <reference field="0" count="1" selected="0">
            <x v="25"/>
          </reference>
        </references>
      </pivotArea>
    </chartFormat>
    <chartFormat chart="0" format="25" series="1">
      <pivotArea type="data" outline="0" fieldPosition="0">
        <references count="2">
          <reference field="4294967294" count="1" selected="0">
            <x v="0"/>
          </reference>
          <reference field="0" count="1" selected="0">
            <x v="26"/>
          </reference>
        </references>
      </pivotArea>
    </chartFormat>
    <chartFormat chart="0" format="26" series="1">
      <pivotArea type="data" outline="0" fieldPosition="0">
        <references count="2">
          <reference field="4294967294" count="1" selected="0">
            <x v="0"/>
          </reference>
          <reference field="0" count="1" selected="0">
            <x v="27"/>
          </reference>
        </references>
      </pivotArea>
    </chartFormat>
    <chartFormat chart="0" format="27" series="1">
      <pivotArea type="data" outline="0" fieldPosition="0">
        <references count="1">
          <reference field="4294967294" count="1" selected="0">
            <x v="0"/>
          </reference>
        </references>
      </pivotArea>
    </chartFormat>
    <chartFormat chart="0" format="28" series="1">
      <pivotArea type="data" outline="0" fieldPosition="0">
        <references count="2">
          <reference field="4294967294" count="1" selected="0">
            <x v="0"/>
          </reference>
          <reference field="0" count="1" selected="0">
            <x v="9"/>
          </reference>
        </references>
      </pivotArea>
    </chartFormat>
    <chartFormat chart="1" format="29" series="1">
      <pivotArea type="data" outline="0" fieldPosition="0">
        <references count="1">
          <reference field="4294967294" count="1" selected="0">
            <x v="0"/>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8" xr10:uid="{00000000-0013-0000-FFFF-FFFF01000000}" sourceName="Country name">
  <pivotTables>
    <pivotTable tabId="3" name="数据透视表6"/>
  </pivotTables>
  <data>
    <tabular pivotCacheId="2019173642">
      <items count="28">
        <i x="0"/>
        <i x="1"/>
        <i x="2"/>
        <i x="3"/>
        <i x="4"/>
        <i x="5"/>
        <i x="6"/>
        <i x="7"/>
        <i x="8"/>
        <i x="10"/>
        <i x="11"/>
        <i x="12"/>
        <i x="13"/>
        <i x="14"/>
        <i x="15"/>
        <i x="16" s="1"/>
        <i x="17"/>
        <i x="18"/>
        <i x="19"/>
        <i x="20"/>
        <i x="21"/>
        <i x="22"/>
        <i x="23"/>
        <i x="24"/>
        <i x="25"/>
        <i x="26"/>
        <i x="27"/>
        <i x="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9" xr10:uid="{00000000-0013-0000-FFFF-FFFF02000000}" sourceName="Country name">
  <pivotTables>
    <pivotTable tabId="5" name="数据透视表7"/>
  </pivotTables>
  <data>
    <tabular pivotCacheId="2019173643">
      <items count="28">
        <i x="0"/>
        <i x="1"/>
        <i x="2"/>
        <i x="3"/>
        <i x="4"/>
        <i x="5"/>
        <i x="6"/>
        <i x="7"/>
        <i x="8"/>
        <i x="10"/>
        <i x="11"/>
        <i x="12"/>
        <i x="13"/>
        <i x="14"/>
        <i x="15"/>
        <i x="16" s="1"/>
        <i x="17"/>
        <i x="18"/>
        <i x="19"/>
        <i x="20"/>
        <i x="21"/>
        <i x="22"/>
        <i x="23"/>
        <i x="24"/>
        <i x="25"/>
        <i x="26"/>
        <i x="27"/>
        <i x="9"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10" xr10:uid="{00000000-0013-0000-FFFF-FFFF03000000}" sourceName="Country name">
  <pivotTables>
    <pivotTable tabId="7" name="数据透视表8"/>
  </pivotTables>
  <data>
    <tabular pivotCacheId="2019173644">
      <items count="28">
        <i x="0"/>
        <i x="1"/>
        <i x="2"/>
        <i x="3"/>
        <i x="4"/>
        <i x="5"/>
        <i x="6"/>
        <i x="7"/>
        <i x="8"/>
        <i x="10"/>
        <i x="11"/>
        <i x="12"/>
        <i x="13"/>
        <i x="14"/>
        <i x="15"/>
        <i x="16" s="1"/>
        <i x="17"/>
        <i x="18"/>
        <i x="19"/>
        <i x="20"/>
        <i x="21"/>
        <i x="22"/>
        <i x="23"/>
        <i x="24"/>
        <i x="25"/>
        <i x="26"/>
        <i x="27"/>
        <i x="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9" xr10:uid="{00000000-0014-0000-FFFF-FFFF01000000}" cache="切片器_Country_name8" caption="Country name" style="SlicerStyleLigh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10" xr10:uid="{00000000-0014-0000-FFFF-FFFF02000000}" cache="切片器_Country_name9" caption="Country name" style="SlicerStyleLight4"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11" xr10:uid="{00000000-0014-0000-FFFF-FFFF03000000}" cache="切片器_Country_name10" caption="Country name" style="SlicerStyleLight4" rowHeight="209550"/>
</slicer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M51"/>
  <sheetViews>
    <sheetView showGridLines="0" tabSelected="1" topLeftCell="A6" workbookViewId="0">
      <selection activeCell="O36" sqref="O36"/>
    </sheetView>
  </sheetViews>
  <sheetFormatPr defaultColWidth="11" defaultRowHeight="20.100000000000001" customHeight="1" x14ac:dyDescent="0.25"/>
  <cols>
    <col min="1" max="1" width="11" style="1"/>
    <col min="2" max="2" width="14.59765625" style="1" customWidth="1"/>
    <col min="3" max="3" width="11" style="1"/>
    <col min="4" max="4" width="6.09765625" style="1" customWidth="1"/>
    <col min="5" max="5" width="11" style="1"/>
    <col min="6" max="7" width="10" style="1" customWidth="1"/>
    <col min="8" max="8" width="11" style="1"/>
    <col min="9" max="9" width="10" style="1" customWidth="1"/>
    <col min="10" max="11" width="11" style="1"/>
    <col min="12" max="12" width="11.5" style="1" customWidth="1"/>
    <col min="13" max="13" width="13.69921875" style="1" customWidth="1"/>
    <col min="14" max="16384" width="11" style="1"/>
  </cols>
  <sheetData>
    <row r="2" spans="2:13" ht="24.9" customHeight="1" x14ac:dyDescent="0.25">
      <c r="E2" s="34" t="s">
        <v>0</v>
      </c>
      <c r="F2" s="34"/>
      <c r="G2" s="34"/>
      <c r="H2" s="34"/>
      <c r="I2" s="34"/>
      <c r="J2" s="34"/>
      <c r="K2" s="34"/>
      <c r="L2" s="34"/>
      <c r="M2" s="34"/>
    </row>
    <row r="4" spans="2:13" ht="20.100000000000001" customHeight="1" x14ac:dyDescent="0.25">
      <c r="B4" s="2" t="s">
        <v>1</v>
      </c>
      <c r="C4" s="3" t="s">
        <v>29</v>
      </c>
    </row>
    <row r="30" spans="5:13" ht="20.100000000000001" customHeight="1" x14ac:dyDescent="0.25">
      <c r="E30" s="4" t="s">
        <v>3</v>
      </c>
      <c r="F30" s="4"/>
      <c r="G30" s="4"/>
      <c r="H30" s="4"/>
      <c r="I30" s="4"/>
      <c r="J30" s="4"/>
      <c r="K30" s="4"/>
      <c r="L30" s="4"/>
      <c r="M30" s="4"/>
    </row>
    <row r="31" spans="5:13" ht="20.100000000000001" customHeight="1" x14ac:dyDescent="0.25">
      <c r="E31" s="35"/>
      <c r="F31" s="36"/>
      <c r="G31" s="36"/>
      <c r="H31" s="36"/>
      <c r="I31" s="36"/>
      <c r="J31" s="36"/>
      <c r="K31" s="36"/>
      <c r="L31" s="36"/>
      <c r="M31" s="37"/>
    </row>
    <row r="32" spans="5:13" ht="20.100000000000001" customHeight="1" x14ac:dyDescent="0.25">
      <c r="E32" s="35"/>
      <c r="F32" s="36"/>
      <c r="G32" s="36"/>
      <c r="H32" s="36"/>
      <c r="I32" s="36"/>
      <c r="J32" s="36"/>
      <c r="K32" s="36"/>
      <c r="L32" s="36"/>
      <c r="M32" s="37"/>
    </row>
    <row r="33" spans="5:13" ht="20.100000000000001" customHeight="1" x14ac:dyDescent="0.25">
      <c r="E33" s="35"/>
      <c r="F33" s="36"/>
      <c r="G33" s="36"/>
      <c r="H33" s="36"/>
      <c r="I33" s="36"/>
      <c r="J33" s="36"/>
      <c r="K33" s="36"/>
      <c r="L33" s="36"/>
      <c r="M33" s="37"/>
    </row>
    <row r="34" spans="5:13" ht="20.100000000000001" customHeight="1" x14ac:dyDescent="0.25">
      <c r="E34" s="35"/>
      <c r="F34" s="36"/>
      <c r="G34" s="36"/>
      <c r="H34" s="36"/>
      <c r="I34" s="36"/>
      <c r="J34" s="36"/>
      <c r="K34" s="36"/>
      <c r="L34" s="36"/>
      <c r="M34" s="37"/>
    </row>
    <row r="35" spans="5:13" ht="20.100000000000001" customHeight="1" x14ac:dyDescent="0.25">
      <c r="E35" s="35"/>
      <c r="F35" s="36"/>
      <c r="G35" s="36"/>
      <c r="H35" s="36"/>
      <c r="I35" s="36"/>
      <c r="J35" s="36"/>
      <c r="K35" s="36"/>
      <c r="L35" s="36"/>
      <c r="M35" s="37"/>
    </row>
    <row r="36" spans="5:13" ht="20.100000000000001" customHeight="1" x14ac:dyDescent="0.25">
      <c r="E36" s="35"/>
      <c r="F36" s="36"/>
      <c r="G36" s="36"/>
      <c r="H36" s="36"/>
      <c r="I36" s="36"/>
      <c r="J36" s="36"/>
      <c r="K36" s="36"/>
      <c r="L36" s="36"/>
      <c r="M36" s="37"/>
    </row>
    <row r="37" spans="5:13" ht="20.100000000000001" customHeight="1" x14ac:dyDescent="0.25">
      <c r="E37" s="35"/>
      <c r="F37" s="36"/>
      <c r="G37" s="36"/>
      <c r="H37" s="36"/>
      <c r="I37" s="36"/>
      <c r="J37" s="36"/>
      <c r="K37" s="36"/>
      <c r="L37" s="36"/>
      <c r="M37" s="37"/>
    </row>
    <row r="38" spans="5:13" ht="20.100000000000001" customHeight="1" x14ac:dyDescent="0.25">
      <c r="E38" s="35"/>
      <c r="F38" s="36"/>
      <c r="G38" s="36"/>
      <c r="H38" s="36"/>
      <c r="I38" s="36"/>
      <c r="J38" s="36"/>
      <c r="K38" s="36"/>
      <c r="L38" s="36"/>
      <c r="M38" s="37"/>
    </row>
    <row r="39" spans="5:13" ht="20.100000000000001" customHeight="1" x14ac:dyDescent="0.25">
      <c r="E39" s="35"/>
      <c r="F39" s="36"/>
      <c r="G39" s="36"/>
      <c r="H39" s="36"/>
      <c r="I39" s="36"/>
      <c r="J39" s="36"/>
      <c r="K39" s="36"/>
      <c r="L39" s="36"/>
      <c r="M39" s="37"/>
    </row>
    <row r="40" spans="5:13" ht="20.100000000000001" customHeight="1" x14ac:dyDescent="0.25">
      <c r="E40" s="35"/>
      <c r="F40" s="36"/>
      <c r="G40" s="36"/>
      <c r="H40" s="36"/>
      <c r="I40" s="36"/>
      <c r="J40" s="36"/>
      <c r="K40" s="36"/>
      <c r="L40" s="36"/>
      <c r="M40" s="37"/>
    </row>
    <row r="41" spans="5:13" ht="20.100000000000001" customHeight="1" x14ac:dyDescent="0.25">
      <c r="E41" s="35"/>
      <c r="F41" s="36"/>
      <c r="G41" s="36"/>
      <c r="H41" s="36"/>
      <c r="I41" s="36"/>
      <c r="J41" s="36"/>
      <c r="K41" s="36"/>
      <c r="L41" s="36"/>
      <c r="M41" s="37"/>
    </row>
    <row r="42" spans="5:13" ht="20.100000000000001" customHeight="1" x14ac:dyDescent="0.25">
      <c r="E42" s="35"/>
      <c r="F42" s="36"/>
      <c r="G42" s="36"/>
      <c r="H42" s="36"/>
      <c r="I42" s="36"/>
      <c r="J42" s="36"/>
      <c r="K42" s="36"/>
      <c r="L42" s="36"/>
      <c r="M42" s="37"/>
    </row>
    <row r="43" spans="5:13" ht="20.100000000000001" customHeight="1" x14ac:dyDescent="0.25">
      <c r="E43" s="35"/>
      <c r="F43" s="36"/>
      <c r="G43" s="36"/>
      <c r="H43" s="36"/>
      <c r="I43" s="36"/>
      <c r="J43" s="36"/>
      <c r="K43" s="36"/>
      <c r="L43" s="36"/>
      <c r="M43" s="37"/>
    </row>
    <row r="44" spans="5:13" ht="20.100000000000001" customHeight="1" x14ac:dyDescent="0.25">
      <c r="E44" s="35"/>
      <c r="F44" s="36"/>
      <c r="G44" s="36"/>
      <c r="H44" s="36"/>
      <c r="I44" s="36"/>
      <c r="J44" s="36"/>
      <c r="K44" s="36"/>
      <c r="L44" s="36"/>
      <c r="M44" s="37"/>
    </row>
    <row r="45" spans="5:13" ht="20.100000000000001" customHeight="1" x14ac:dyDescent="0.25">
      <c r="E45" s="41"/>
      <c r="F45" s="42"/>
      <c r="G45" s="42"/>
      <c r="H45" s="42"/>
      <c r="I45" s="42"/>
      <c r="J45" s="42"/>
      <c r="K45" s="42"/>
      <c r="L45" s="42"/>
      <c r="M45" s="43"/>
    </row>
    <row r="46" spans="5:13" ht="20.100000000000001" customHeight="1" x14ac:dyDescent="0.25">
      <c r="E46" s="41"/>
      <c r="F46" s="42"/>
      <c r="G46" s="42"/>
      <c r="H46" s="42"/>
      <c r="I46" s="42"/>
      <c r="J46" s="42"/>
      <c r="K46" s="42"/>
      <c r="L46" s="42"/>
      <c r="M46" s="43"/>
    </row>
    <row r="47" spans="5:13" ht="20.100000000000001" customHeight="1" x14ac:dyDescent="0.25">
      <c r="E47" s="41"/>
      <c r="F47" s="42"/>
      <c r="G47" s="42"/>
      <c r="H47" s="42"/>
      <c r="I47" s="42"/>
      <c r="J47" s="42"/>
      <c r="K47" s="42"/>
      <c r="L47" s="42"/>
      <c r="M47" s="43"/>
    </row>
    <row r="48" spans="5:13" ht="20.100000000000001" customHeight="1" x14ac:dyDescent="0.25">
      <c r="E48" s="41"/>
      <c r="F48" s="42"/>
      <c r="G48" s="42"/>
      <c r="H48" s="42"/>
      <c r="I48" s="42"/>
      <c r="J48" s="42"/>
      <c r="K48" s="42"/>
      <c r="L48" s="42"/>
      <c r="M48" s="43"/>
    </row>
    <row r="49" spans="5:13" ht="20.100000000000001" customHeight="1" x14ac:dyDescent="0.25">
      <c r="E49" s="41"/>
      <c r="F49" s="42"/>
      <c r="G49" s="42"/>
      <c r="H49" s="42"/>
      <c r="I49" s="42"/>
      <c r="J49" s="42"/>
      <c r="K49" s="42"/>
      <c r="L49" s="42"/>
      <c r="M49" s="43"/>
    </row>
    <row r="50" spans="5:13" ht="20.100000000000001" customHeight="1" x14ac:dyDescent="0.25">
      <c r="E50" s="41"/>
      <c r="F50" s="42"/>
      <c r="G50" s="42"/>
      <c r="H50" s="42"/>
      <c r="I50" s="42"/>
      <c r="J50" s="42"/>
      <c r="K50" s="42"/>
      <c r="L50" s="42"/>
      <c r="M50" s="43"/>
    </row>
    <row r="51" spans="5:13" ht="20.100000000000001" customHeight="1" x14ac:dyDescent="0.25">
      <c r="E51" s="44"/>
      <c r="F51" s="45"/>
      <c r="G51" s="45"/>
      <c r="H51" s="45"/>
      <c r="I51" s="45"/>
      <c r="J51" s="45"/>
      <c r="K51" s="45"/>
      <c r="L51" s="45"/>
      <c r="M51" s="46"/>
    </row>
  </sheetData>
  <mergeCells count="2">
    <mergeCell ref="E2:M2"/>
    <mergeCell ref="E31:M44"/>
  </mergeCells>
  <phoneticPr fontId="1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Indicateur10">
              <controlPr defaultSize="0" print="0" autoFill="0" autoPict="0" macro="[0]!SelectSheet">
                <anchor moveWithCells="1" sizeWithCells="1">
                  <from>
                    <xdr:col>0</xdr:col>
                    <xdr:colOff>807720</xdr:colOff>
                    <xdr:row>5</xdr:row>
                    <xdr:rowOff>30480</xdr:rowOff>
                  </from>
                  <to>
                    <xdr:col>2</xdr:col>
                    <xdr:colOff>45720</xdr:colOff>
                    <xdr:row>6</xdr:row>
                    <xdr:rowOff>144780</xdr:rowOff>
                  </to>
                </anchor>
              </controlPr>
            </control>
          </mc:Choice>
        </mc:AlternateContent>
        <mc:AlternateContent xmlns:mc="http://schemas.openxmlformats.org/markup-compatibility/2006">
          <mc:Choice Requires="x14">
            <control shapeId="1026" r:id="rId5" name="Indicateur11">
              <controlPr defaultSize="0" print="0" autoFill="0" autoPict="0" macro="[0]!SelectSheet">
                <anchor moveWithCells="1" sizeWithCells="1">
                  <from>
                    <xdr:col>0</xdr:col>
                    <xdr:colOff>807720</xdr:colOff>
                    <xdr:row>6</xdr:row>
                    <xdr:rowOff>220980</xdr:rowOff>
                  </from>
                  <to>
                    <xdr:col>2</xdr:col>
                    <xdr:colOff>45720</xdr:colOff>
                    <xdr:row>8</xdr:row>
                    <xdr:rowOff>83820</xdr:rowOff>
                  </to>
                </anchor>
              </controlPr>
            </control>
          </mc:Choice>
        </mc:AlternateContent>
        <mc:AlternateContent xmlns:mc="http://schemas.openxmlformats.org/markup-compatibility/2006">
          <mc:Choice Requires="x14">
            <control shapeId="1027" r:id="rId6" name="Indicateur12">
              <controlPr defaultSize="0" print="0" autoFill="0" autoPict="0" macro="[0]!SelectSheet">
                <anchor moveWithCells="1" sizeWithCells="1">
                  <from>
                    <xdr:col>0</xdr:col>
                    <xdr:colOff>807720</xdr:colOff>
                    <xdr:row>8</xdr:row>
                    <xdr:rowOff>182880</xdr:rowOff>
                  </from>
                  <to>
                    <xdr:col>2</xdr:col>
                    <xdr:colOff>45720</xdr:colOff>
                    <xdr:row>10</xdr:row>
                    <xdr:rowOff>45720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prevision10!$A$2:$A$29</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2:S1628"/>
  <sheetViews>
    <sheetView showGridLines="0" topLeftCell="E1" zoomScale="80" zoomScaleNormal="80" workbookViewId="0">
      <selection activeCell="G2" sqref="G2:K2"/>
    </sheetView>
  </sheetViews>
  <sheetFormatPr defaultColWidth="8" defaultRowHeight="19.95" customHeight="1" x14ac:dyDescent="0.25"/>
  <cols>
    <col min="1" max="1" width="19.8984375" style="1" hidden="1" customWidth="1"/>
    <col min="2" max="2" width="19" style="1" hidden="1" customWidth="1"/>
    <col min="3" max="3" width="16" style="1" hidden="1" customWidth="1"/>
    <col min="4" max="4" width="8.8984375"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9" width="16.3984375" style="1" customWidth="1"/>
    <col min="20" max="20" width="7.19921875" style="1" bestFit="1" customWidth="1"/>
    <col min="21" max="21" width="8.3984375" style="1" bestFit="1" customWidth="1"/>
    <col min="22" max="22" width="11.09765625" style="1" bestFit="1" customWidth="1"/>
    <col min="23" max="24" width="8.3984375" style="1" bestFit="1" customWidth="1"/>
    <col min="25" max="25" width="9.19921875" style="1" bestFit="1" customWidth="1"/>
    <col min="26" max="26" width="12.19921875" style="1" bestFit="1" customWidth="1"/>
    <col min="27" max="27" width="9.19921875" style="1" bestFit="1" customWidth="1"/>
    <col min="28" max="28" width="8.3984375" style="1" bestFit="1" customWidth="1"/>
    <col min="29" max="29" width="9.5" style="1" bestFit="1" customWidth="1"/>
    <col min="30" max="30" width="8.3984375" style="1" bestFit="1" customWidth="1"/>
    <col min="31" max="31" width="7.59765625" style="1" bestFit="1" customWidth="1"/>
    <col min="32" max="32" width="21" style="1" bestFit="1" customWidth="1"/>
    <col min="33" max="33" width="9.19921875" style="1" bestFit="1" customWidth="1"/>
    <col min="34" max="34" width="9" style="1" bestFit="1" customWidth="1"/>
    <col min="35" max="35" width="9.19921875" style="1" bestFit="1" customWidth="1"/>
    <col min="36" max="37" width="8.3984375" style="1" bestFit="1" customWidth="1"/>
    <col min="38" max="38" width="9.8984375" style="1" bestFit="1" customWidth="1"/>
    <col min="39" max="39" width="12.3984375" style="1" bestFit="1" customWidth="1"/>
    <col min="40" max="65" width="21" style="1" bestFit="1" customWidth="1"/>
    <col min="66" max="66" width="14.59765625" style="1" bestFit="1" customWidth="1"/>
    <col min="67" max="67" width="14.5" style="1" bestFit="1" customWidth="1"/>
    <col min="68" max="16384" width="8" style="1"/>
  </cols>
  <sheetData>
    <row r="2" spans="1:11" ht="25.2" customHeight="1" x14ac:dyDescent="0.25">
      <c r="G2" s="34" t="s">
        <v>46</v>
      </c>
      <c r="H2" s="34"/>
      <c r="I2" s="34"/>
      <c r="J2" s="34"/>
      <c r="K2" s="34"/>
    </row>
    <row r="3" spans="1:11" ht="10.199999999999999" customHeight="1" x14ac:dyDescent="0.25"/>
    <row r="4" spans="1:11" ht="22.2" customHeight="1" x14ac:dyDescent="0.25">
      <c r="A4" s="5" t="s">
        <v>4</v>
      </c>
      <c r="B4" s="5" t="s">
        <v>5</v>
      </c>
      <c r="C4" s="5" t="s">
        <v>6</v>
      </c>
      <c r="D4" s="5" t="s">
        <v>7</v>
      </c>
      <c r="H4" s="6" t="s">
        <v>8</v>
      </c>
      <c r="J4" s="38" t="s">
        <v>9</v>
      </c>
      <c r="K4" s="38"/>
    </row>
    <row r="5" spans="1:11" ht="19.95" customHeight="1" x14ac:dyDescent="0.25">
      <c r="A5" s="7" t="s">
        <v>10</v>
      </c>
      <c r="B5" s="8" t="s">
        <v>11</v>
      </c>
      <c r="C5" s="8"/>
      <c r="D5" s="8">
        <v>1960</v>
      </c>
      <c r="H5" s="9"/>
      <c r="J5" s="24" t="s">
        <v>12</v>
      </c>
      <c r="K5" s="24" t="s">
        <v>4</v>
      </c>
    </row>
    <row r="6" spans="1:11" ht="19.95" customHeight="1" x14ac:dyDescent="0.25">
      <c r="A6" s="7" t="s">
        <v>13</v>
      </c>
      <c r="B6" s="8" t="s">
        <v>14</v>
      </c>
      <c r="C6" s="8">
        <v>271.358</v>
      </c>
      <c r="D6" s="8">
        <v>1960</v>
      </c>
      <c r="J6" s="25" t="s">
        <v>7</v>
      </c>
      <c r="K6" s="26" t="s">
        <v>29</v>
      </c>
    </row>
    <row r="7" spans="1:11" ht="19.95" customHeight="1" x14ac:dyDescent="0.25">
      <c r="A7" s="7" t="s">
        <v>15</v>
      </c>
      <c r="B7" s="8" t="s">
        <v>14</v>
      </c>
      <c r="C7" s="8">
        <v>55.005000000000003</v>
      </c>
      <c r="D7" s="8">
        <v>1960</v>
      </c>
      <c r="J7" s="22">
        <v>1960</v>
      </c>
      <c r="K7" s="27">
        <v>2717.2469999999998</v>
      </c>
    </row>
    <row r="8" spans="1:11" ht="19.95" customHeight="1" x14ac:dyDescent="0.25">
      <c r="A8" s="7" t="s">
        <v>16</v>
      </c>
      <c r="B8" s="8" t="s">
        <v>14</v>
      </c>
      <c r="C8" s="8">
        <v>11.000999999999999</v>
      </c>
      <c r="D8" s="8">
        <v>1960</v>
      </c>
      <c r="J8" s="22">
        <v>1961</v>
      </c>
      <c r="K8" s="27">
        <v>2592.569</v>
      </c>
    </row>
    <row r="9" spans="1:11" ht="19.95" customHeight="1" x14ac:dyDescent="0.25">
      <c r="A9" s="7" t="s">
        <v>17</v>
      </c>
      <c r="B9" s="8" t="s">
        <v>14</v>
      </c>
      <c r="C9" s="8">
        <v>40.337000000000003</v>
      </c>
      <c r="D9" s="8">
        <v>1960</v>
      </c>
      <c r="J9" s="22">
        <v>1962</v>
      </c>
      <c r="K9" s="27">
        <v>2882.2620000000002</v>
      </c>
    </row>
    <row r="10" spans="1:11" ht="19.95" customHeight="1" x14ac:dyDescent="0.25">
      <c r="A10" s="7" t="s">
        <v>2</v>
      </c>
      <c r="B10" s="8" t="s">
        <v>14</v>
      </c>
      <c r="C10" s="8">
        <v>352.03199999999998</v>
      </c>
      <c r="D10" s="8">
        <v>1960</v>
      </c>
      <c r="J10" s="22">
        <v>1963</v>
      </c>
      <c r="K10" s="27">
        <v>2636.5729999999999</v>
      </c>
    </row>
    <row r="11" spans="1:11" ht="19.95" customHeight="1" x14ac:dyDescent="0.25">
      <c r="A11" s="7" t="s">
        <v>18</v>
      </c>
      <c r="B11" s="8" t="s">
        <v>14</v>
      </c>
      <c r="C11" s="8">
        <v>410.70400000000001</v>
      </c>
      <c r="D11" s="8">
        <v>1960</v>
      </c>
      <c r="J11" s="22">
        <v>1964</v>
      </c>
      <c r="K11" s="27">
        <v>2860.26</v>
      </c>
    </row>
    <row r="12" spans="1:11" ht="19.95" customHeight="1" x14ac:dyDescent="0.25">
      <c r="A12" s="7" t="s">
        <v>19</v>
      </c>
      <c r="B12" s="8" t="s">
        <v>14</v>
      </c>
      <c r="C12" s="8">
        <v>286.02600000000001</v>
      </c>
      <c r="D12" s="8">
        <v>1960</v>
      </c>
      <c r="J12" s="22">
        <v>1965</v>
      </c>
      <c r="K12" s="27">
        <v>2728.248</v>
      </c>
    </row>
    <row r="13" spans="1:11" ht="19.95" customHeight="1" x14ac:dyDescent="0.25">
      <c r="A13" s="7" t="s">
        <v>20</v>
      </c>
      <c r="B13" s="8" t="s">
        <v>14</v>
      </c>
      <c r="C13" s="8">
        <v>2427.5540000000001</v>
      </c>
      <c r="D13" s="8">
        <v>1960</v>
      </c>
      <c r="J13" s="22">
        <v>1966</v>
      </c>
      <c r="K13" s="27">
        <v>2808.922</v>
      </c>
    </row>
    <row r="14" spans="1:11" ht="19.95" customHeight="1" x14ac:dyDescent="0.25">
      <c r="A14" s="7" t="s">
        <v>21</v>
      </c>
      <c r="B14" s="8" t="s">
        <v>14</v>
      </c>
      <c r="C14" s="8"/>
      <c r="D14" s="8">
        <v>1960</v>
      </c>
      <c r="J14" s="22">
        <v>1967</v>
      </c>
      <c r="K14" s="27">
        <v>3619.3290000000002</v>
      </c>
    </row>
    <row r="15" spans="1:11" ht="19.95" customHeight="1" x14ac:dyDescent="0.25">
      <c r="A15" s="7" t="s">
        <v>22</v>
      </c>
      <c r="B15" s="8" t="s">
        <v>14</v>
      </c>
      <c r="C15" s="8">
        <v>165.01499999999999</v>
      </c>
      <c r="D15" s="8">
        <v>1960</v>
      </c>
      <c r="J15" s="22">
        <v>1968</v>
      </c>
      <c r="K15" s="27">
        <v>2929.933</v>
      </c>
    </row>
    <row r="16" spans="1:11" ht="19.95" customHeight="1" x14ac:dyDescent="0.25">
      <c r="A16" s="7" t="s">
        <v>23</v>
      </c>
      <c r="B16" s="8" t="s">
        <v>14</v>
      </c>
      <c r="C16" s="8">
        <v>399.70299999999997</v>
      </c>
      <c r="D16" s="8">
        <v>1960</v>
      </c>
      <c r="J16" s="22">
        <v>1969</v>
      </c>
      <c r="K16" s="27">
        <v>3215.9589999999998</v>
      </c>
    </row>
    <row r="17" spans="1:11" ht="19.95" customHeight="1" x14ac:dyDescent="0.25">
      <c r="A17" s="7" t="s">
        <v>24</v>
      </c>
      <c r="B17" s="8" t="s">
        <v>14</v>
      </c>
      <c r="C17" s="8"/>
      <c r="D17" s="8">
        <v>1960</v>
      </c>
      <c r="J17" s="22">
        <v>1970</v>
      </c>
      <c r="K17" s="27">
        <v>4616.7529999999997</v>
      </c>
    </row>
    <row r="18" spans="1:11" ht="19.95" customHeight="1" x14ac:dyDescent="0.25">
      <c r="A18" s="7" t="s">
        <v>25</v>
      </c>
      <c r="B18" s="8" t="s">
        <v>14</v>
      </c>
      <c r="C18" s="8">
        <v>121.011</v>
      </c>
      <c r="D18" s="8">
        <v>1960</v>
      </c>
      <c r="J18" s="22">
        <v>1971</v>
      </c>
      <c r="K18" s="27">
        <v>5104.4639999999999</v>
      </c>
    </row>
    <row r="19" spans="1:11" ht="19.95" customHeight="1" x14ac:dyDescent="0.25">
      <c r="A19" s="7" t="s">
        <v>26</v>
      </c>
      <c r="B19" s="8" t="s">
        <v>14</v>
      </c>
      <c r="C19" s="8"/>
      <c r="D19" s="8">
        <v>1960</v>
      </c>
      <c r="J19" s="22">
        <v>1972</v>
      </c>
      <c r="K19" s="27">
        <v>4899.1120000000001</v>
      </c>
    </row>
    <row r="20" spans="1:11" ht="22.2" customHeight="1" x14ac:dyDescent="0.25">
      <c r="A20" s="7" t="s">
        <v>27</v>
      </c>
      <c r="B20" s="8" t="s">
        <v>14</v>
      </c>
      <c r="C20" s="8">
        <v>1884.838</v>
      </c>
      <c r="D20" s="8">
        <v>1960</v>
      </c>
      <c r="H20" s="4" t="s">
        <v>28</v>
      </c>
      <c r="J20" s="22">
        <v>1973</v>
      </c>
      <c r="K20" s="27">
        <v>4110.7070000000003</v>
      </c>
    </row>
    <row r="21" spans="1:11" ht="19.95" customHeight="1" x14ac:dyDescent="0.25">
      <c r="A21" s="7" t="s">
        <v>29</v>
      </c>
      <c r="B21" s="8" t="s">
        <v>14</v>
      </c>
      <c r="C21" s="8">
        <v>2717.2469999999998</v>
      </c>
      <c r="D21" s="8">
        <v>1960</v>
      </c>
      <c r="J21" s="22">
        <v>1974</v>
      </c>
      <c r="K21" s="27">
        <v>4675.4250000000002</v>
      </c>
    </row>
    <row r="22" spans="1:11" ht="19.95" customHeight="1" x14ac:dyDescent="0.25">
      <c r="A22" s="7" t="s">
        <v>30</v>
      </c>
      <c r="B22" s="8" t="s">
        <v>14</v>
      </c>
      <c r="C22" s="8">
        <v>80.674000000000007</v>
      </c>
      <c r="D22" s="8">
        <v>1960</v>
      </c>
      <c r="J22" s="22">
        <v>1975</v>
      </c>
      <c r="K22" s="27">
        <v>4587.4170000000004</v>
      </c>
    </row>
    <row r="23" spans="1:11" ht="19.95" customHeight="1" x14ac:dyDescent="0.25">
      <c r="A23" s="7" t="s">
        <v>31</v>
      </c>
      <c r="B23" s="8" t="s">
        <v>14</v>
      </c>
      <c r="C23" s="8">
        <v>531.71500000000003</v>
      </c>
      <c r="D23" s="8">
        <v>1960</v>
      </c>
      <c r="J23" s="22">
        <v>1976</v>
      </c>
      <c r="K23" s="27">
        <v>4899.1120000000001</v>
      </c>
    </row>
    <row r="24" spans="1:11" ht="19.95" customHeight="1" x14ac:dyDescent="0.25">
      <c r="A24" s="7" t="s">
        <v>32</v>
      </c>
      <c r="B24" s="8" t="s">
        <v>14</v>
      </c>
      <c r="C24" s="8">
        <v>29.335999999999999</v>
      </c>
      <c r="D24" s="8">
        <v>1960</v>
      </c>
      <c r="J24" s="22">
        <v>1977</v>
      </c>
      <c r="K24" s="27">
        <v>5174.1369999999997</v>
      </c>
    </row>
    <row r="25" spans="1:11" ht="19.95" customHeight="1" x14ac:dyDescent="0.25">
      <c r="A25" s="7" t="s">
        <v>33</v>
      </c>
      <c r="B25" s="8" t="s">
        <v>14</v>
      </c>
      <c r="C25" s="8">
        <v>106.343</v>
      </c>
      <c r="D25" s="8">
        <v>1960</v>
      </c>
      <c r="J25" s="22">
        <v>1978</v>
      </c>
      <c r="K25" s="27">
        <v>5155.8019999999997</v>
      </c>
    </row>
    <row r="26" spans="1:11" ht="19.95" customHeight="1" x14ac:dyDescent="0.25">
      <c r="A26" s="7" t="s">
        <v>34</v>
      </c>
      <c r="B26" s="8" t="s">
        <v>14</v>
      </c>
      <c r="C26" s="8">
        <v>11.000999999999999</v>
      </c>
      <c r="D26" s="8">
        <v>1960</v>
      </c>
      <c r="J26" s="22">
        <v>1979</v>
      </c>
      <c r="K26" s="27">
        <v>5100.7969999999996</v>
      </c>
    </row>
    <row r="27" spans="1:11" ht="19.95" customHeight="1" x14ac:dyDescent="0.25">
      <c r="A27" s="7" t="s">
        <v>35</v>
      </c>
      <c r="B27" s="8" t="s">
        <v>14</v>
      </c>
      <c r="C27" s="8">
        <v>2258.8719999999998</v>
      </c>
      <c r="D27" s="8">
        <v>1960</v>
      </c>
      <c r="J27" s="22">
        <v>1980</v>
      </c>
      <c r="K27" s="27">
        <v>5526.1689999999999</v>
      </c>
    </row>
    <row r="28" spans="1:11" ht="19.95" customHeight="1" x14ac:dyDescent="0.25">
      <c r="A28" s="7" t="s">
        <v>36</v>
      </c>
      <c r="B28" s="8" t="s">
        <v>14</v>
      </c>
      <c r="C28" s="8"/>
      <c r="D28" s="8">
        <v>1960</v>
      </c>
      <c r="J28" s="22">
        <v>1981</v>
      </c>
      <c r="K28" s="27">
        <v>5639.8459999999995</v>
      </c>
    </row>
    <row r="29" spans="1:11" ht="19.95" customHeight="1" x14ac:dyDescent="0.25">
      <c r="A29" s="7" t="s">
        <v>37</v>
      </c>
      <c r="B29" s="8" t="s">
        <v>14</v>
      </c>
      <c r="C29" s="8">
        <v>828.74199999999996</v>
      </c>
      <c r="D29" s="8">
        <v>1960</v>
      </c>
      <c r="J29" s="22">
        <v>1982</v>
      </c>
      <c r="K29" s="27">
        <v>5599.509</v>
      </c>
    </row>
    <row r="30" spans="1:11" ht="19.95" customHeight="1" x14ac:dyDescent="0.25">
      <c r="A30" s="7" t="s">
        <v>38</v>
      </c>
      <c r="B30" s="8" t="s">
        <v>14</v>
      </c>
      <c r="C30" s="8">
        <v>421.70499999999998</v>
      </c>
      <c r="D30" s="8">
        <v>1960</v>
      </c>
      <c r="J30" s="22">
        <v>1983</v>
      </c>
      <c r="K30" s="27">
        <v>5775.5249999999996</v>
      </c>
    </row>
    <row r="31" spans="1:11" ht="19.95" customHeight="1" x14ac:dyDescent="0.25">
      <c r="A31" s="7" t="s">
        <v>39</v>
      </c>
      <c r="B31" s="8" t="s">
        <v>14</v>
      </c>
      <c r="C31" s="8"/>
      <c r="D31" s="8">
        <v>1960</v>
      </c>
      <c r="J31" s="22">
        <v>1984</v>
      </c>
      <c r="K31" s="27">
        <v>6571.2640000000001</v>
      </c>
    </row>
    <row r="32" spans="1:11" ht="19.95" customHeight="1" x14ac:dyDescent="0.25">
      <c r="A32" s="7" t="s">
        <v>40</v>
      </c>
      <c r="B32" s="8" t="s">
        <v>14</v>
      </c>
      <c r="C32" s="8"/>
      <c r="D32" s="8">
        <v>1960</v>
      </c>
      <c r="J32" s="22">
        <v>1985</v>
      </c>
      <c r="K32" s="27">
        <v>6710.61</v>
      </c>
    </row>
    <row r="33" spans="1:11" ht="19.95" customHeight="1" x14ac:dyDescent="0.25">
      <c r="A33" s="10" t="s">
        <v>10</v>
      </c>
      <c r="B33" s="11" t="s">
        <v>14</v>
      </c>
      <c r="C33" s="11"/>
      <c r="D33" s="11">
        <v>1961</v>
      </c>
      <c r="J33" s="22">
        <v>1986</v>
      </c>
      <c r="K33" s="27">
        <v>6791.2839999999997</v>
      </c>
    </row>
    <row r="34" spans="1:11" ht="19.95" customHeight="1" x14ac:dyDescent="0.25">
      <c r="A34" s="10" t="s">
        <v>13</v>
      </c>
      <c r="B34" s="11" t="s">
        <v>14</v>
      </c>
      <c r="C34" s="11">
        <v>282.35899999999998</v>
      </c>
      <c r="D34" s="11">
        <v>1961</v>
      </c>
      <c r="J34" s="22">
        <v>1987</v>
      </c>
      <c r="K34" s="27">
        <v>4976.1189999999997</v>
      </c>
    </row>
    <row r="35" spans="1:11" ht="19.95" customHeight="1" x14ac:dyDescent="0.25">
      <c r="A35" s="10" t="s">
        <v>15</v>
      </c>
      <c r="B35" s="11" t="s">
        <v>14</v>
      </c>
      <c r="C35" s="11">
        <v>51.338000000000001</v>
      </c>
      <c r="D35" s="11">
        <v>1961</v>
      </c>
      <c r="J35" s="22">
        <v>1988</v>
      </c>
      <c r="K35" s="27">
        <v>4118.0410000000002</v>
      </c>
    </row>
    <row r="36" spans="1:11" ht="22.2" customHeight="1" x14ac:dyDescent="0.25">
      <c r="A36" s="10" t="s">
        <v>16</v>
      </c>
      <c r="B36" s="11" t="s">
        <v>14</v>
      </c>
      <c r="C36" s="11">
        <v>11.000999999999999</v>
      </c>
      <c r="D36" s="11">
        <v>1961</v>
      </c>
      <c r="J36" s="22">
        <v>1989</v>
      </c>
      <c r="K36" s="27">
        <v>4462.7389999999996</v>
      </c>
    </row>
    <row r="37" spans="1:11" ht="19.95" customHeight="1" x14ac:dyDescent="0.25">
      <c r="A37" s="10" t="s">
        <v>17</v>
      </c>
      <c r="B37" s="11" t="s">
        <v>14</v>
      </c>
      <c r="C37" s="11">
        <v>44.003999999999998</v>
      </c>
      <c r="D37" s="11">
        <v>1961</v>
      </c>
      <c r="J37" s="22">
        <v>1990</v>
      </c>
      <c r="K37" s="27">
        <v>4275.7219999999998</v>
      </c>
    </row>
    <row r="38" spans="1:11" ht="19.95" customHeight="1" x14ac:dyDescent="0.25">
      <c r="A38" s="10" t="s">
        <v>2</v>
      </c>
      <c r="B38" s="11" t="s">
        <v>14</v>
      </c>
      <c r="C38" s="11">
        <v>341.03100000000001</v>
      </c>
      <c r="D38" s="11">
        <v>1961</v>
      </c>
      <c r="J38" s="22">
        <v>1991</v>
      </c>
      <c r="K38" s="27">
        <v>4180.38</v>
      </c>
    </row>
    <row r="39" spans="1:11" ht="19.95" customHeight="1" x14ac:dyDescent="0.25">
      <c r="A39" s="10" t="s">
        <v>18</v>
      </c>
      <c r="B39" s="11" t="s">
        <v>14</v>
      </c>
      <c r="C39" s="11">
        <v>616.05600000000004</v>
      </c>
      <c r="D39" s="11">
        <v>1961</v>
      </c>
      <c r="J39" s="22">
        <v>1992</v>
      </c>
      <c r="K39" s="27">
        <v>4888.1109999999999</v>
      </c>
    </row>
    <row r="40" spans="1:11" ht="19.95" customHeight="1" x14ac:dyDescent="0.25">
      <c r="A40" s="10" t="s">
        <v>19</v>
      </c>
      <c r="B40" s="11" t="s">
        <v>14</v>
      </c>
      <c r="C40" s="11">
        <v>297.02699999999999</v>
      </c>
      <c r="D40" s="11">
        <v>1961</v>
      </c>
      <c r="J40" s="22">
        <v>1993</v>
      </c>
      <c r="K40" s="27">
        <v>5342.8190000000004</v>
      </c>
    </row>
    <row r="41" spans="1:11" ht="19.95" customHeight="1" x14ac:dyDescent="0.25">
      <c r="A41" s="10" t="s">
        <v>20</v>
      </c>
      <c r="B41" s="11" t="s">
        <v>14</v>
      </c>
      <c r="C41" s="11">
        <v>2401.8850000000002</v>
      </c>
      <c r="D41" s="11">
        <v>1961</v>
      </c>
      <c r="J41" s="22">
        <v>1994</v>
      </c>
      <c r="K41" s="27">
        <v>6244.9009999999998</v>
      </c>
    </row>
    <row r="42" spans="1:11" ht="19.95" customHeight="1" x14ac:dyDescent="0.25">
      <c r="A42" s="10" t="s">
        <v>21</v>
      </c>
      <c r="B42" s="11" t="s">
        <v>14</v>
      </c>
      <c r="C42" s="11"/>
      <c r="D42" s="11">
        <v>1961</v>
      </c>
      <c r="J42" s="22">
        <v>1995</v>
      </c>
      <c r="K42" s="27">
        <v>6959.9660000000003</v>
      </c>
    </row>
    <row r="43" spans="1:11" ht="19.95" customHeight="1" x14ac:dyDescent="0.25">
      <c r="A43" s="10" t="s">
        <v>22</v>
      </c>
      <c r="B43" s="11" t="s">
        <v>14</v>
      </c>
      <c r="C43" s="11">
        <v>161.34800000000001</v>
      </c>
      <c r="D43" s="11">
        <v>1961</v>
      </c>
      <c r="J43" s="22">
        <v>1996</v>
      </c>
      <c r="K43" s="27">
        <v>7256.9930000000004</v>
      </c>
    </row>
    <row r="44" spans="1:11" ht="19.95" customHeight="1" x14ac:dyDescent="0.25">
      <c r="A44" s="10" t="s">
        <v>23</v>
      </c>
      <c r="B44" s="11" t="s">
        <v>14</v>
      </c>
      <c r="C44" s="11">
        <v>355.69900000000001</v>
      </c>
      <c r="D44" s="11">
        <v>1961</v>
      </c>
      <c r="J44" s="22">
        <v>1997</v>
      </c>
      <c r="K44" s="27">
        <v>7499.0150000000003</v>
      </c>
    </row>
    <row r="45" spans="1:11" ht="19.95" customHeight="1" x14ac:dyDescent="0.25">
      <c r="A45" s="10" t="s">
        <v>24</v>
      </c>
      <c r="B45" s="11" t="s">
        <v>14</v>
      </c>
      <c r="C45" s="11"/>
      <c r="D45" s="11">
        <v>1961</v>
      </c>
      <c r="J45" s="22">
        <v>1998</v>
      </c>
      <c r="K45" s="27">
        <v>8078.4009999999998</v>
      </c>
    </row>
    <row r="46" spans="1:11" ht="19.95" customHeight="1" x14ac:dyDescent="0.25">
      <c r="A46" s="10" t="s">
        <v>25</v>
      </c>
      <c r="B46" s="11" t="s">
        <v>14</v>
      </c>
      <c r="C46" s="11">
        <v>117.34399999999999</v>
      </c>
      <c r="D46" s="11">
        <v>1961</v>
      </c>
      <c r="J46" s="22">
        <v>1999</v>
      </c>
      <c r="K46" s="27">
        <v>8969.482</v>
      </c>
    </row>
    <row r="47" spans="1:11" ht="19.95" customHeight="1" x14ac:dyDescent="0.25">
      <c r="A47" s="10" t="s">
        <v>26</v>
      </c>
      <c r="B47" s="11" t="s">
        <v>14</v>
      </c>
      <c r="C47" s="11"/>
      <c r="D47" s="11">
        <v>1961</v>
      </c>
      <c r="J47" s="22">
        <v>2000</v>
      </c>
      <c r="K47" s="27">
        <v>10087.916999999999</v>
      </c>
    </row>
    <row r="48" spans="1:11" ht="19.95" customHeight="1" x14ac:dyDescent="0.25">
      <c r="A48" s="10" t="s">
        <v>27</v>
      </c>
      <c r="B48" s="11" t="s">
        <v>14</v>
      </c>
      <c r="C48" s="11">
        <v>2632.9059999999999</v>
      </c>
      <c r="D48" s="11">
        <v>1961</v>
      </c>
      <c r="J48" s="22">
        <v>2001</v>
      </c>
      <c r="K48" s="27">
        <v>8723.7929999999997</v>
      </c>
    </row>
    <row r="49" spans="1:11" ht="19.95" customHeight="1" x14ac:dyDescent="0.25">
      <c r="A49" s="10" t="s">
        <v>29</v>
      </c>
      <c r="B49" s="11" t="s">
        <v>14</v>
      </c>
      <c r="C49" s="11">
        <v>2592.569</v>
      </c>
      <c r="D49" s="11">
        <v>1961</v>
      </c>
      <c r="J49" s="22">
        <v>2002</v>
      </c>
      <c r="K49" s="27">
        <v>9207.8369999999995</v>
      </c>
    </row>
    <row r="50" spans="1:11" ht="19.95" customHeight="1" x14ac:dyDescent="0.25">
      <c r="A50" s="10" t="s">
        <v>30</v>
      </c>
      <c r="B50" s="11" t="s">
        <v>14</v>
      </c>
      <c r="C50" s="11">
        <v>80.674000000000007</v>
      </c>
      <c r="D50" s="11">
        <v>1961</v>
      </c>
      <c r="J50" s="22">
        <v>2003</v>
      </c>
      <c r="K50" s="27">
        <v>9845.8950000000004</v>
      </c>
    </row>
    <row r="51" spans="1:11" ht="19.95" customHeight="1" x14ac:dyDescent="0.25">
      <c r="A51" s="10" t="s">
        <v>31</v>
      </c>
      <c r="B51" s="11" t="s">
        <v>14</v>
      </c>
      <c r="C51" s="11">
        <v>561.05100000000004</v>
      </c>
      <c r="D51" s="11">
        <v>1961</v>
      </c>
      <c r="J51" s="22">
        <v>2004</v>
      </c>
      <c r="K51" s="27">
        <v>12434.797</v>
      </c>
    </row>
    <row r="52" spans="1:11" ht="19.95" customHeight="1" x14ac:dyDescent="0.25">
      <c r="A52" s="10" t="s">
        <v>32</v>
      </c>
      <c r="B52" s="11" t="s">
        <v>14</v>
      </c>
      <c r="C52" s="11">
        <v>55.005000000000003</v>
      </c>
      <c r="D52" s="11">
        <v>1961</v>
      </c>
      <c r="J52" s="22">
        <v>2005</v>
      </c>
      <c r="K52" s="27">
        <v>11598.721</v>
      </c>
    </row>
    <row r="53" spans="1:11" ht="19.95" customHeight="1" x14ac:dyDescent="0.25">
      <c r="A53" s="10" t="s">
        <v>33</v>
      </c>
      <c r="B53" s="11" t="s">
        <v>14</v>
      </c>
      <c r="C53" s="11">
        <v>139.346</v>
      </c>
      <c r="D53" s="11">
        <v>1961</v>
      </c>
      <c r="J53" s="22">
        <v>2006</v>
      </c>
      <c r="K53" s="27">
        <v>12849.168</v>
      </c>
    </row>
    <row r="54" spans="1:11" ht="19.95" customHeight="1" x14ac:dyDescent="0.25">
      <c r="A54" s="10" t="s">
        <v>34</v>
      </c>
      <c r="B54" s="11" t="s">
        <v>14</v>
      </c>
      <c r="C54" s="11">
        <v>11.000999999999999</v>
      </c>
      <c r="D54" s="11">
        <v>1961</v>
      </c>
      <c r="J54" s="22">
        <v>2007</v>
      </c>
      <c r="K54" s="27">
        <v>12874.837</v>
      </c>
    </row>
    <row r="55" spans="1:11" ht="19.95" customHeight="1" x14ac:dyDescent="0.25">
      <c r="A55" s="10" t="s">
        <v>35</v>
      </c>
      <c r="B55" s="11" t="s">
        <v>14</v>
      </c>
      <c r="C55" s="11">
        <v>2335.8789999999999</v>
      </c>
      <c r="D55" s="11">
        <v>1961</v>
      </c>
      <c r="J55" s="22">
        <v>2008</v>
      </c>
      <c r="K55" s="27">
        <v>9801.8909999999996</v>
      </c>
    </row>
    <row r="56" spans="1:11" ht="19.95" customHeight="1" x14ac:dyDescent="0.25">
      <c r="A56" s="10" t="s">
        <v>36</v>
      </c>
      <c r="B56" s="11" t="s">
        <v>14</v>
      </c>
      <c r="C56" s="11"/>
      <c r="D56" s="11">
        <v>1961</v>
      </c>
      <c r="J56" s="22">
        <v>2009</v>
      </c>
      <c r="K56" s="27">
        <v>10230.93</v>
      </c>
    </row>
    <row r="57" spans="1:11" ht="19.95" customHeight="1" x14ac:dyDescent="0.25">
      <c r="A57" s="10" t="s">
        <v>37</v>
      </c>
      <c r="B57" s="11" t="s">
        <v>14</v>
      </c>
      <c r="C57" s="11">
        <v>704.06399999999996</v>
      </c>
      <c r="D57" s="11">
        <v>1961</v>
      </c>
      <c r="J57" s="22">
        <v>2010</v>
      </c>
      <c r="K57" s="27">
        <v>12515.471</v>
      </c>
    </row>
    <row r="58" spans="1:11" ht="19.95" customHeight="1" x14ac:dyDescent="0.25">
      <c r="A58" s="10" t="s">
        <v>38</v>
      </c>
      <c r="B58" s="11" t="s">
        <v>14</v>
      </c>
      <c r="C58" s="11">
        <v>407.03699999999998</v>
      </c>
      <c r="D58" s="11">
        <v>1961</v>
      </c>
      <c r="J58" s="22">
        <v>2011</v>
      </c>
      <c r="K58" s="27">
        <v>14297.633</v>
      </c>
    </row>
    <row r="59" spans="1:11" ht="19.95" customHeight="1" x14ac:dyDescent="0.25">
      <c r="A59" s="10" t="s">
        <v>39</v>
      </c>
      <c r="B59" s="11" t="s">
        <v>14</v>
      </c>
      <c r="C59" s="11"/>
      <c r="D59" s="11">
        <v>1961</v>
      </c>
      <c r="J59" s="22">
        <v>2012</v>
      </c>
      <c r="K59" s="27">
        <v>11070.673000000001</v>
      </c>
    </row>
    <row r="60" spans="1:11" ht="19.95" customHeight="1" x14ac:dyDescent="0.25">
      <c r="A60" s="10" t="s">
        <v>40</v>
      </c>
      <c r="B60" s="11" t="s">
        <v>14</v>
      </c>
      <c r="C60" s="11"/>
      <c r="D60" s="11">
        <v>1961</v>
      </c>
      <c r="J60" s="22">
        <v>2013</v>
      </c>
      <c r="K60" s="27">
        <v>12860.169</v>
      </c>
    </row>
    <row r="61" spans="1:11" ht="19.95" customHeight="1" x14ac:dyDescent="0.25">
      <c r="A61" s="10" t="s">
        <v>10</v>
      </c>
      <c r="B61" s="11" t="s">
        <v>14</v>
      </c>
      <c r="C61" s="11">
        <v>44.003999999999998</v>
      </c>
      <c r="D61" s="11">
        <v>1962</v>
      </c>
      <c r="J61" s="23">
        <v>2014</v>
      </c>
      <c r="K61" s="28">
        <v>21631.633000000002</v>
      </c>
    </row>
    <row r="62" spans="1:11" ht="19.95" customHeight="1" x14ac:dyDescent="0.25">
      <c r="A62" s="10" t="s">
        <v>13</v>
      </c>
      <c r="B62" s="11" t="s">
        <v>14</v>
      </c>
      <c r="C62" s="11">
        <v>289.69299999999998</v>
      </c>
      <c r="D62" s="11">
        <v>1962</v>
      </c>
    </row>
    <row r="63" spans="1:11" ht="19.95" customHeight="1" x14ac:dyDescent="0.25">
      <c r="A63" s="10" t="s">
        <v>15</v>
      </c>
      <c r="B63" s="11" t="s">
        <v>14</v>
      </c>
      <c r="C63" s="11">
        <v>84.340999999999994</v>
      </c>
      <c r="D63" s="11">
        <v>1962</v>
      </c>
    </row>
    <row r="64" spans="1:11" ht="19.95" customHeight="1" x14ac:dyDescent="0.25">
      <c r="A64" s="10" t="s">
        <v>16</v>
      </c>
      <c r="B64" s="11" t="s">
        <v>14</v>
      </c>
      <c r="C64" s="11">
        <v>11.000999999999999</v>
      </c>
      <c r="D64" s="11">
        <v>1962</v>
      </c>
    </row>
    <row r="65" spans="1:4" ht="19.95" customHeight="1" x14ac:dyDescent="0.25">
      <c r="A65" s="10" t="s">
        <v>17</v>
      </c>
      <c r="B65" s="11" t="s">
        <v>14</v>
      </c>
      <c r="C65" s="11">
        <v>47.670999999999999</v>
      </c>
      <c r="D65" s="11">
        <v>1962</v>
      </c>
    </row>
    <row r="66" spans="1:4" ht="19.95" customHeight="1" x14ac:dyDescent="0.25">
      <c r="A66" s="10" t="s">
        <v>2</v>
      </c>
      <c r="B66" s="11" t="s">
        <v>14</v>
      </c>
      <c r="C66" s="11">
        <v>396.036</v>
      </c>
      <c r="D66" s="11">
        <v>1962</v>
      </c>
    </row>
    <row r="67" spans="1:4" ht="19.95" customHeight="1" x14ac:dyDescent="0.25">
      <c r="A67" s="10" t="s">
        <v>18</v>
      </c>
      <c r="B67" s="11" t="s">
        <v>14</v>
      </c>
      <c r="C67" s="11">
        <v>660.06</v>
      </c>
      <c r="D67" s="11">
        <v>1962</v>
      </c>
    </row>
    <row r="68" spans="1:4" ht="19.95" customHeight="1" x14ac:dyDescent="0.25">
      <c r="A68" s="10" t="s">
        <v>19</v>
      </c>
      <c r="B68" s="11" t="s">
        <v>11</v>
      </c>
      <c r="C68" s="11">
        <v>304.36099999999999</v>
      </c>
      <c r="D68" s="11">
        <v>1962</v>
      </c>
    </row>
    <row r="69" spans="1:4" ht="19.95" customHeight="1" x14ac:dyDescent="0.25">
      <c r="A69" s="10" t="s">
        <v>20</v>
      </c>
      <c r="B69" s="11" t="s">
        <v>14</v>
      </c>
      <c r="C69" s="11">
        <v>2625.5720000000001</v>
      </c>
      <c r="D69" s="11">
        <v>1962</v>
      </c>
    </row>
    <row r="70" spans="1:4" ht="19.95" customHeight="1" x14ac:dyDescent="0.25">
      <c r="A70" s="10" t="s">
        <v>21</v>
      </c>
      <c r="B70" s="11" t="s">
        <v>14</v>
      </c>
      <c r="C70" s="11"/>
      <c r="D70" s="11">
        <v>1962</v>
      </c>
    </row>
    <row r="71" spans="1:4" ht="19.95" customHeight="1" x14ac:dyDescent="0.25">
      <c r="A71" s="10" t="s">
        <v>22</v>
      </c>
      <c r="B71" s="11" t="s">
        <v>14</v>
      </c>
      <c r="C71" s="11">
        <v>253.023</v>
      </c>
      <c r="D71" s="11">
        <v>1962</v>
      </c>
    </row>
    <row r="72" spans="1:4" ht="19.95" customHeight="1" x14ac:dyDescent="0.25">
      <c r="A72" s="10" t="s">
        <v>23</v>
      </c>
      <c r="B72" s="11" t="s">
        <v>14</v>
      </c>
      <c r="C72" s="11">
        <v>396.036</v>
      </c>
      <c r="D72" s="11">
        <v>1962</v>
      </c>
    </row>
    <row r="73" spans="1:4" ht="19.95" customHeight="1" x14ac:dyDescent="0.25">
      <c r="A73" s="10" t="s">
        <v>24</v>
      </c>
      <c r="B73" s="11" t="s">
        <v>14</v>
      </c>
      <c r="C73" s="11"/>
      <c r="D73" s="11">
        <v>1962</v>
      </c>
    </row>
    <row r="74" spans="1:4" ht="19.95" customHeight="1" x14ac:dyDescent="0.25">
      <c r="A74" s="10" t="s">
        <v>25</v>
      </c>
      <c r="B74" s="11" t="s">
        <v>14</v>
      </c>
      <c r="C74" s="11">
        <v>139.346</v>
      </c>
      <c r="D74" s="11">
        <v>1962</v>
      </c>
    </row>
    <row r="75" spans="1:4" ht="19.95" customHeight="1" x14ac:dyDescent="0.25">
      <c r="A75" s="10" t="s">
        <v>26</v>
      </c>
      <c r="B75" s="11" t="s">
        <v>14</v>
      </c>
      <c r="C75" s="11"/>
      <c r="D75" s="11">
        <v>1962</v>
      </c>
    </row>
    <row r="76" spans="1:4" ht="19.95" customHeight="1" x14ac:dyDescent="0.25">
      <c r="A76" s="10" t="s">
        <v>27</v>
      </c>
      <c r="B76" s="11" t="s">
        <v>14</v>
      </c>
      <c r="C76" s="11">
        <v>1987.5139999999999</v>
      </c>
      <c r="D76" s="11">
        <v>1962</v>
      </c>
    </row>
    <row r="77" spans="1:4" ht="19.95" customHeight="1" x14ac:dyDescent="0.25">
      <c r="A77" s="10" t="s">
        <v>29</v>
      </c>
      <c r="B77" s="11" t="s">
        <v>14</v>
      </c>
      <c r="C77" s="11">
        <v>2882.2620000000002</v>
      </c>
      <c r="D77" s="11">
        <v>1962</v>
      </c>
    </row>
    <row r="78" spans="1:4" ht="19.95" customHeight="1" x14ac:dyDescent="0.25">
      <c r="A78" s="10" t="s">
        <v>30</v>
      </c>
      <c r="B78" s="11" t="s">
        <v>14</v>
      </c>
      <c r="C78" s="11">
        <v>88.007999999999996</v>
      </c>
      <c r="D78" s="11">
        <v>1962</v>
      </c>
    </row>
    <row r="79" spans="1:4" ht="19.95" customHeight="1" x14ac:dyDescent="0.25">
      <c r="A79" s="10" t="s">
        <v>31</v>
      </c>
      <c r="B79" s="11" t="s">
        <v>14</v>
      </c>
      <c r="C79" s="11">
        <v>660.06</v>
      </c>
      <c r="D79" s="11">
        <v>1962</v>
      </c>
    </row>
    <row r="80" spans="1:4" ht="19.95" customHeight="1" x14ac:dyDescent="0.25">
      <c r="A80" s="10" t="s">
        <v>32</v>
      </c>
      <c r="B80" s="11" t="s">
        <v>14</v>
      </c>
      <c r="C80" s="11">
        <v>66.006</v>
      </c>
      <c r="D80" s="11">
        <v>1962</v>
      </c>
    </row>
    <row r="81" spans="1:4" ht="19.95" customHeight="1" x14ac:dyDescent="0.25">
      <c r="A81" s="10" t="s">
        <v>33</v>
      </c>
      <c r="B81" s="11" t="s">
        <v>14</v>
      </c>
      <c r="C81" s="11">
        <v>84.340999999999994</v>
      </c>
      <c r="D81" s="11">
        <v>1962</v>
      </c>
    </row>
    <row r="82" spans="1:4" ht="19.95" customHeight="1" x14ac:dyDescent="0.25">
      <c r="A82" s="10" t="s">
        <v>34</v>
      </c>
      <c r="B82" s="11" t="s">
        <v>14</v>
      </c>
      <c r="C82" s="11">
        <v>11.000999999999999</v>
      </c>
      <c r="D82" s="11">
        <v>1962</v>
      </c>
    </row>
    <row r="83" spans="1:4" ht="19.95" customHeight="1" x14ac:dyDescent="0.25">
      <c r="A83" s="10" t="s">
        <v>35</v>
      </c>
      <c r="B83" s="11" t="s">
        <v>14</v>
      </c>
      <c r="C83" s="11">
        <v>2563.2330000000002</v>
      </c>
      <c r="D83" s="11">
        <v>1962</v>
      </c>
    </row>
    <row r="84" spans="1:4" ht="19.95" customHeight="1" x14ac:dyDescent="0.25">
      <c r="A84" s="10" t="s">
        <v>36</v>
      </c>
      <c r="B84" s="11" t="s">
        <v>14</v>
      </c>
      <c r="C84" s="11"/>
      <c r="D84" s="11">
        <v>1962</v>
      </c>
    </row>
    <row r="85" spans="1:4" ht="19.95" customHeight="1" x14ac:dyDescent="0.25">
      <c r="A85" s="10" t="s">
        <v>37</v>
      </c>
      <c r="B85" s="11" t="s">
        <v>14</v>
      </c>
      <c r="C85" s="11">
        <v>766.40300000000002</v>
      </c>
      <c r="D85" s="11">
        <v>1962</v>
      </c>
    </row>
    <row r="86" spans="1:4" ht="19.95" customHeight="1" x14ac:dyDescent="0.25">
      <c r="A86" s="10" t="s">
        <v>38</v>
      </c>
      <c r="B86" s="11" t="s">
        <v>14</v>
      </c>
      <c r="C86" s="11">
        <v>429.03899999999999</v>
      </c>
      <c r="D86" s="11">
        <v>1962</v>
      </c>
    </row>
    <row r="87" spans="1:4" ht="19.95" customHeight="1" x14ac:dyDescent="0.25">
      <c r="A87" s="10" t="s">
        <v>39</v>
      </c>
      <c r="B87" s="11" t="s">
        <v>14</v>
      </c>
      <c r="C87" s="11"/>
      <c r="D87" s="11">
        <v>1962</v>
      </c>
    </row>
    <row r="88" spans="1:4" ht="19.95" customHeight="1" x14ac:dyDescent="0.25">
      <c r="A88" s="10" t="s">
        <v>40</v>
      </c>
      <c r="B88" s="11" t="s">
        <v>14</v>
      </c>
      <c r="C88" s="11"/>
      <c r="D88" s="11">
        <v>1962</v>
      </c>
    </row>
    <row r="89" spans="1:4" ht="19.95" customHeight="1" x14ac:dyDescent="0.25">
      <c r="A89" s="10" t="s">
        <v>10</v>
      </c>
      <c r="B89" s="11" t="s">
        <v>14</v>
      </c>
      <c r="C89" s="11">
        <v>47.670999999999999</v>
      </c>
      <c r="D89" s="11">
        <v>1963</v>
      </c>
    </row>
    <row r="90" spans="1:4" ht="19.95" customHeight="1" x14ac:dyDescent="0.25">
      <c r="A90" s="10" t="s">
        <v>13</v>
      </c>
      <c r="B90" s="11" t="s">
        <v>14</v>
      </c>
      <c r="C90" s="11">
        <v>300.69400000000002</v>
      </c>
      <c r="D90" s="11">
        <v>1963</v>
      </c>
    </row>
    <row r="91" spans="1:4" ht="19.95" customHeight="1" x14ac:dyDescent="0.25">
      <c r="A91" s="10" t="s">
        <v>15</v>
      </c>
      <c r="B91" s="11" t="s">
        <v>14</v>
      </c>
      <c r="C91" s="11">
        <v>91.674999999999997</v>
      </c>
      <c r="D91" s="11">
        <v>1963</v>
      </c>
    </row>
    <row r="92" spans="1:4" ht="19.95" customHeight="1" x14ac:dyDescent="0.25">
      <c r="A92" s="10" t="s">
        <v>16</v>
      </c>
      <c r="B92" s="11" t="s">
        <v>14</v>
      </c>
      <c r="C92" s="11">
        <v>11.000999999999999</v>
      </c>
      <c r="D92" s="11">
        <v>1963</v>
      </c>
    </row>
    <row r="93" spans="1:4" ht="19.95" customHeight="1" x14ac:dyDescent="0.25">
      <c r="A93" s="10" t="s">
        <v>17</v>
      </c>
      <c r="B93" s="11" t="s">
        <v>14</v>
      </c>
      <c r="C93" s="11">
        <v>66.006</v>
      </c>
      <c r="D93" s="11">
        <v>1963</v>
      </c>
    </row>
    <row r="94" spans="1:4" ht="19.95" customHeight="1" x14ac:dyDescent="0.25">
      <c r="A94" s="10" t="s">
        <v>2</v>
      </c>
      <c r="B94" s="11" t="s">
        <v>14</v>
      </c>
      <c r="C94" s="11">
        <v>421.70499999999998</v>
      </c>
      <c r="D94" s="11">
        <v>1963</v>
      </c>
    </row>
    <row r="95" spans="1:4" ht="19.95" customHeight="1" x14ac:dyDescent="0.25">
      <c r="A95" s="10" t="s">
        <v>18</v>
      </c>
      <c r="B95" s="11" t="s">
        <v>14</v>
      </c>
      <c r="C95" s="11">
        <v>696.73</v>
      </c>
      <c r="D95" s="11">
        <v>1963</v>
      </c>
    </row>
    <row r="96" spans="1:4" ht="19.95" customHeight="1" x14ac:dyDescent="0.25">
      <c r="A96" s="10" t="s">
        <v>19</v>
      </c>
      <c r="B96" s="11" t="s">
        <v>14</v>
      </c>
      <c r="C96" s="11">
        <v>249.35599999999999</v>
      </c>
      <c r="D96" s="11">
        <v>1963</v>
      </c>
    </row>
    <row r="97" spans="1:19" ht="19.95" customHeight="1" x14ac:dyDescent="0.25">
      <c r="A97" s="10" t="s">
        <v>20</v>
      </c>
      <c r="B97" s="11" t="s">
        <v>14</v>
      </c>
      <c r="C97" s="11">
        <v>2856.5929999999998</v>
      </c>
      <c r="D97" s="11">
        <v>1963</v>
      </c>
    </row>
    <row r="98" spans="1:19" ht="19.95" customHeight="1" x14ac:dyDescent="0.25">
      <c r="A98" s="10" t="s">
        <v>21</v>
      </c>
      <c r="B98" s="11" t="s">
        <v>14</v>
      </c>
      <c r="C98" s="11"/>
      <c r="D98" s="11">
        <v>1963</v>
      </c>
      <c r="J98" s="38" t="s">
        <v>3</v>
      </c>
      <c r="K98" s="38"/>
      <c r="L98" s="38"/>
      <c r="M98" s="38"/>
      <c r="N98" s="38"/>
      <c r="O98" s="38"/>
      <c r="P98" s="38"/>
      <c r="Q98" s="38"/>
      <c r="R98" s="38"/>
      <c r="S98" s="38"/>
    </row>
    <row r="99" spans="1:19" ht="19.95" customHeight="1" x14ac:dyDescent="0.25">
      <c r="A99" s="10" t="s">
        <v>22</v>
      </c>
      <c r="B99" s="11" t="s">
        <v>14</v>
      </c>
      <c r="C99" s="11">
        <v>355.69900000000001</v>
      </c>
      <c r="D99" s="11">
        <v>1963</v>
      </c>
      <c r="J99" s="39"/>
      <c r="K99" s="39"/>
      <c r="L99" s="39"/>
      <c r="M99" s="39"/>
      <c r="N99" s="39"/>
      <c r="O99" s="39"/>
      <c r="P99" s="39"/>
      <c r="Q99" s="39"/>
      <c r="R99" s="39"/>
      <c r="S99" s="39"/>
    </row>
    <row r="100" spans="1:19" ht="19.95" customHeight="1" x14ac:dyDescent="0.25">
      <c r="A100" s="10" t="s">
        <v>23</v>
      </c>
      <c r="B100" s="11" t="s">
        <v>14</v>
      </c>
      <c r="C100" s="11">
        <v>462.04199999999997</v>
      </c>
      <c r="D100" s="11">
        <v>1963</v>
      </c>
      <c r="J100" s="39"/>
      <c r="K100" s="39"/>
      <c r="L100" s="39"/>
      <c r="M100" s="39"/>
      <c r="N100" s="39"/>
      <c r="O100" s="39"/>
      <c r="P100" s="39"/>
      <c r="Q100" s="39"/>
      <c r="R100" s="39"/>
      <c r="S100" s="39"/>
    </row>
    <row r="101" spans="1:19" ht="19.95" customHeight="1" x14ac:dyDescent="0.25">
      <c r="A101" s="10" t="s">
        <v>24</v>
      </c>
      <c r="B101" s="11" t="s">
        <v>14</v>
      </c>
      <c r="C101" s="11"/>
      <c r="D101" s="11">
        <v>1963</v>
      </c>
      <c r="J101" s="39"/>
      <c r="K101" s="39"/>
      <c r="L101" s="39"/>
      <c r="M101" s="39"/>
      <c r="N101" s="39"/>
      <c r="O101" s="39"/>
      <c r="P101" s="39"/>
      <c r="Q101" s="39"/>
      <c r="R101" s="39"/>
      <c r="S101" s="39"/>
    </row>
    <row r="102" spans="1:19" ht="19.95" customHeight="1" x14ac:dyDescent="0.25">
      <c r="A102" s="10" t="s">
        <v>25</v>
      </c>
      <c r="B102" s="11" t="s">
        <v>14</v>
      </c>
      <c r="C102" s="11">
        <v>176.01599999999999</v>
      </c>
      <c r="D102" s="11">
        <v>1963</v>
      </c>
      <c r="J102" s="39"/>
      <c r="K102" s="39"/>
      <c r="L102" s="39"/>
      <c r="M102" s="39"/>
      <c r="N102" s="39"/>
      <c r="O102" s="39"/>
      <c r="P102" s="39"/>
      <c r="Q102" s="39"/>
      <c r="R102" s="39"/>
      <c r="S102" s="39"/>
    </row>
    <row r="103" spans="1:19" ht="19.95" customHeight="1" x14ac:dyDescent="0.25">
      <c r="A103" s="10" t="s">
        <v>26</v>
      </c>
      <c r="B103" s="11" t="s">
        <v>14</v>
      </c>
      <c r="C103" s="11"/>
      <c r="D103" s="11">
        <v>1963</v>
      </c>
    </row>
    <row r="104" spans="1:19" ht="19.95" customHeight="1" x14ac:dyDescent="0.25">
      <c r="A104" s="10" t="s">
        <v>27</v>
      </c>
      <c r="B104" s="11" t="s">
        <v>14</v>
      </c>
      <c r="C104" s="11">
        <v>1661.1510000000001</v>
      </c>
      <c r="D104" s="11">
        <v>1963</v>
      </c>
    </row>
    <row r="105" spans="1:19" ht="19.95" customHeight="1" x14ac:dyDescent="0.25">
      <c r="A105" s="10" t="s">
        <v>29</v>
      </c>
      <c r="B105" s="11" t="s">
        <v>14</v>
      </c>
      <c r="C105" s="11">
        <v>2636.5729999999999</v>
      </c>
      <c r="D105" s="11">
        <v>1963</v>
      </c>
    </row>
    <row r="106" spans="1:19" ht="19.95" customHeight="1" x14ac:dyDescent="0.25">
      <c r="A106" s="10" t="s">
        <v>30</v>
      </c>
      <c r="B106" s="11" t="s">
        <v>14</v>
      </c>
      <c r="C106" s="11">
        <v>99.009</v>
      </c>
      <c r="D106" s="11">
        <v>1963</v>
      </c>
    </row>
    <row r="107" spans="1:19" ht="19.95" customHeight="1" x14ac:dyDescent="0.25">
      <c r="A107" s="10" t="s">
        <v>31</v>
      </c>
      <c r="B107" s="11" t="s">
        <v>14</v>
      </c>
      <c r="C107" s="11">
        <v>843.41</v>
      </c>
      <c r="D107" s="11">
        <v>1963</v>
      </c>
    </row>
    <row r="108" spans="1:19" ht="19.95" customHeight="1" x14ac:dyDescent="0.25">
      <c r="A108" s="10" t="s">
        <v>32</v>
      </c>
      <c r="B108" s="11" t="s">
        <v>14</v>
      </c>
      <c r="C108" s="11">
        <v>88.007999999999996</v>
      </c>
      <c r="D108" s="11">
        <v>1963</v>
      </c>
    </row>
    <row r="109" spans="1:19" ht="19.95" customHeight="1" x14ac:dyDescent="0.25">
      <c r="A109" s="10" t="s">
        <v>33</v>
      </c>
      <c r="B109" s="11" t="s">
        <v>14</v>
      </c>
      <c r="C109" s="11">
        <v>84.340999999999994</v>
      </c>
      <c r="D109" s="11">
        <v>1963</v>
      </c>
    </row>
    <row r="110" spans="1:19" ht="19.95" customHeight="1" x14ac:dyDescent="0.25">
      <c r="A110" s="10" t="s">
        <v>34</v>
      </c>
      <c r="B110" s="11" t="s">
        <v>14</v>
      </c>
      <c r="C110" s="11">
        <v>7.3339999999999996</v>
      </c>
      <c r="D110" s="11">
        <v>1963</v>
      </c>
    </row>
    <row r="111" spans="1:19" ht="19.95" customHeight="1" x14ac:dyDescent="0.25">
      <c r="A111" s="10" t="s">
        <v>35</v>
      </c>
      <c r="B111" s="11" t="s">
        <v>14</v>
      </c>
      <c r="C111" s="11">
        <v>2533.8969999999999</v>
      </c>
      <c r="D111" s="11">
        <v>1963</v>
      </c>
    </row>
    <row r="112" spans="1:19" ht="19.95" customHeight="1" x14ac:dyDescent="0.25">
      <c r="A112" s="10" t="s">
        <v>36</v>
      </c>
      <c r="B112" s="11" t="s">
        <v>14</v>
      </c>
      <c r="C112" s="11"/>
      <c r="D112" s="11">
        <v>1963</v>
      </c>
    </row>
    <row r="113" spans="1:4" ht="19.95" customHeight="1" x14ac:dyDescent="0.25">
      <c r="A113" s="10" t="s">
        <v>37</v>
      </c>
      <c r="B113" s="11" t="s">
        <v>14</v>
      </c>
      <c r="C113" s="11">
        <v>803.07299999999998</v>
      </c>
      <c r="D113" s="11">
        <v>1963</v>
      </c>
    </row>
    <row r="114" spans="1:4" ht="19.95" customHeight="1" x14ac:dyDescent="0.25">
      <c r="A114" s="10" t="s">
        <v>38</v>
      </c>
      <c r="B114" s="11" t="s">
        <v>14</v>
      </c>
      <c r="C114" s="11">
        <v>432.70600000000002</v>
      </c>
      <c r="D114" s="11">
        <v>1963</v>
      </c>
    </row>
    <row r="115" spans="1:4" ht="19.95" customHeight="1" x14ac:dyDescent="0.25">
      <c r="A115" s="10" t="s">
        <v>39</v>
      </c>
      <c r="B115" s="11" t="s">
        <v>14</v>
      </c>
      <c r="C115" s="11"/>
      <c r="D115" s="11">
        <v>1963</v>
      </c>
    </row>
    <row r="116" spans="1:4" ht="19.95" customHeight="1" x14ac:dyDescent="0.25">
      <c r="A116" s="10" t="s">
        <v>40</v>
      </c>
      <c r="B116" s="11" t="s">
        <v>14</v>
      </c>
      <c r="C116" s="11"/>
      <c r="D116" s="11">
        <v>1963</v>
      </c>
    </row>
    <row r="117" spans="1:4" ht="19.95" customHeight="1" x14ac:dyDescent="0.25">
      <c r="A117" s="10" t="s">
        <v>10</v>
      </c>
      <c r="B117" s="11" t="s">
        <v>14</v>
      </c>
      <c r="C117" s="11">
        <v>47.670999999999999</v>
      </c>
      <c r="D117" s="11">
        <v>1964</v>
      </c>
    </row>
    <row r="118" spans="1:4" ht="19.95" customHeight="1" x14ac:dyDescent="0.25">
      <c r="A118" s="10" t="s">
        <v>13</v>
      </c>
      <c r="B118" s="11" t="s">
        <v>14</v>
      </c>
      <c r="C118" s="11">
        <v>337.36399999999998</v>
      </c>
      <c r="D118" s="11">
        <v>1964</v>
      </c>
    </row>
    <row r="119" spans="1:4" ht="19.95" customHeight="1" x14ac:dyDescent="0.25">
      <c r="A119" s="10" t="s">
        <v>15</v>
      </c>
      <c r="B119" s="11" t="s">
        <v>14</v>
      </c>
      <c r="C119" s="11">
        <v>99.009</v>
      </c>
      <c r="D119" s="11">
        <v>1964</v>
      </c>
    </row>
    <row r="120" spans="1:4" ht="19.95" customHeight="1" x14ac:dyDescent="0.25">
      <c r="A120" s="10" t="s">
        <v>16</v>
      </c>
      <c r="B120" s="11" t="s">
        <v>14</v>
      </c>
      <c r="C120" s="11">
        <v>11.000999999999999</v>
      </c>
      <c r="D120" s="11">
        <v>1964</v>
      </c>
    </row>
    <row r="121" spans="1:4" ht="19.95" customHeight="1" x14ac:dyDescent="0.25">
      <c r="A121" s="10" t="s">
        <v>17</v>
      </c>
      <c r="B121" s="11" t="s">
        <v>14</v>
      </c>
      <c r="C121" s="11">
        <v>84.340999999999994</v>
      </c>
      <c r="D121" s="11">
        <v>1964</v>
      </c>
    </row>
    <row r="122" spans="1:4" ht="19.95" customHeight="1" x14ac:dyDescent="0.25">
      <c r="A122" s="10" t="s">
        <v>2</v>
      </c>
      <c r="B122" s="11" t="s">
        <v>14</v>
      </c>
      <c r="C122" s="11">
        <v>407.03699999999998</v>
      </c>
      <c r="D122" s="11">
        <v>1964</v>
      </c>
    </row>
    <row r="123" spans="1:4" ht="19.95" customHeight="1" x14ac:dyDescent="0.25">
      <c r="A123" s="10" t="s">
        <v>18</v>
      </c>
      <c r="B123" s="11" t="s">
        <v>14</v>
      </c>
      <c r="C123" s="11">
        <v>700.39700000000005</v>
      </c>
      <c r="D123" s="11">
        <v>1964</v>
      </c>
    </row>
    <row r="124" spans="1:4" ht="19.95" customHeight="1" x14ac:dyDescent="0.25">
      <c r="A124" s="10" t="s">
        <v>19</v>
      </c>
      <c r="B124" s="11" t="s">
        <v>14</v>
      </c>
      <c r="C124" s="11">
        <v>300.69400000000002</v>
      </c>
      <c r="D124" s="11">
        <v>1964</v>
      </c>
    </row>
    <row r="125" spans="1:4" ht="19.95" customHeight="1" x14ac:dyDescent="0.25">
      <c r="A125" s="10" t="s">
        <v>20</v>
      </c>
      <c r="B125" s="11" t="s">
        <v>14</v>
      </c>
      <c r="C125" s="11">
        <v>2827.2570000000001</v>
      </c>
      <c r="D125" s="11">
        <v>1964</v>
      </c>
    </row>
    <row r="126" spans="1:4" ht="19.95" customHeight="1" x14ac:dyDescent="0.25">
      <c r="A126" s="10" t="s">
        <v>21</v>
      </c>
      <c r="B126" s="11" t="s">
        <v>14</v>
      </c>
      <c r="C126" s="11"/>
      <c r="D126" s="11">
        <v>1964</v>
      </c>
    </row>
    <row r="127" spans="1:4" ht="19.95" customHeight="1" x14ac:dyDescent="0.25">
      <c r="A127" s="10" t="s">
        <v>22</v>
      </c>
      <c r="B127" s="11" t="s">
        <v>14</v>
      </c>
      <c r="C127" s="11">
        <v>484.04399999999998</v>
      </c>
      <c r="D127" s="11">
        <v>1964</v>
      </c>
    </row>
    <row r="128" spans="1:4" ht="19.95" customHeight="1" x14ac:dyDescent="0.25">
      <c r="A128" s="10" t="s">
        <v>23</v>
      </c>
      <c r="B128" s="11" t="s">
        <v>14</v>
      </c>
      <c r="C128" s="11">
        <v>484.04399999999998</v>
      </c>
      <c r="D128" s="11">
        <v>1964</v>
      </c>
    </row>
    <row r="129" spans="1:4" ht="19.95" customHeight="1" x14ac:dyDescent="0.25">
      <c r="A129" s="10" t="s">
        <v>24</v>
      </c>
      <c r="B129" s="11" t="s">
        <v>14</v>
      </c>
      <c r="C129" s="11">
        <v>330.03</v>
      </c>
      <c r="D129" s="11">
        <v>1964</v>
      </c>
    </row>
    <row r="130" spans="1:4" ht="19.95" customHeight="1" x14ac:dyDescent="0.25">
      <c r="A130" s="10" t="s">
        <v>25</v>
      </c>
      <c r="B130" s="11" t="s">
        <v>14</v>
      </c>
      <c r="C130" s="11">
        <v>176.01599999999999</v>
      </c>
      <c r="D130" s="11">
        <v>1964</v>
      </c>
    </row>
    <row r="131" spans="1:4" ht="19.95" customHeight="1" x14ac:dyDescent="0.25">
      <c r="A131" s="10" t="s">
        <v>26</v>
      </c>
      <c r="B131" s="11" t="s">
        <v>14</v>
      </c>
      <c r="C131" s="11"/>
      <c r="D131" s="11">
        <v>1964</v>
      </c>
    </row>
    <row r="132" spans="1:4" ht="19.95" customHeight="1" x14ac:dyDescent="0.25">
      <c r="A132" s="10" t="s">
        <v>27</v>
      </c>
      <c r="B132" s="11" t="s">
        <v>14</v>
      </c>
      <c r="C132" s="11">
        <v>2141.5279999999998</v>
      </c>
      <c r="D132" s="11">
        <v>1964</v>
      </c>
    </row>
    <row r="133" spans="1:4" ht="19.95" customHeight="1" x14ac:dyDescent="0.25">
      <c r="A133" s="10" t="s">
        <v>29</v>
      </c>
      <c r="B133" s="11" t="s">
        <v>14</v>
      </c>
      <c r="C133" s="11">
        <v>2860.26</v>
      </c>
      <c r="D133" s="11">
        <v>1964</v>
      </c>
    </row>
    <row r="134" spans="1:4" ht="19.95" customHeight="1" x14ac:dyDescent="0.25">
      <c r="A134" s="10" t="s">
        <v>30</v>
      </c>
      <c r="B134" s="11" t="s">
        <v>14</v>
      </c>
      <c r="C134" s="11">
        <v>150.34700000000001</v>
      </c>
      <c r="D134" s="11">
        <v>1964</v>
      </c>
    </row>
    <row r="135" spans="1:4" ht="19.95" customHeight="1" x14ac:dyDescent="0.25">
      <c r="A135" s="10" t="s">
        <v>31</v>
      </c>
      <c r="B135" s="11" t="s">
        <v>14</v>
      </c>
      <c r="C135" s="11">
        <v>949.75300000000004</v>
      </c>
      <c r="D135" s="11">
        <v>1964</v>
      </c>
    </row>
    <row r="136" spans="1:4" ht="19.95" customHeight="1" x14ac:dyDescent="0.25">
      <c r="A136" s="10" t="s">
        <v>32</v>
      </c>
      <c r="B136" s="11" t="s">
        <v>14</v>
      </c>
      <c r="C136" s="11">
        <v>95.341999999999999</v>
      </c>
      <c r="D136" s="11">
        <v>1964</v>
      </c>
    </row>
    <row r="137" spans="1:4" ht="19.95" customHeight="1" x14ac:dyDescent="0.25">
      <c r="A137" s="10" t="s">
        <v>33</v>
      </c>
      <c r="B137" s="11" t="s">
        <v>14</v>
      </c>
      <c r="C137" s="11">
        <v>36.67</v>
      </c>
      <c r="D137" s="11">
        <v>1964</v>
      </c>
    </row>
    <row r="138" spans="1:4" ht="19.95" customHeight="1" x14ac:dyDescent="0.25">
      <c r="A138" s="10" t="s">
        <v>34</v>
      </c>
      <c r="B138" s="11" t="s">
        <v>14</v>
      </c>
      <c r="C138" s="11">
        <v>11.000999999999999</v>
      </c>
      <c r="D138" s="11">
        <v>1964</v>
      </c>
    </row>
    <row r="139" spans="1:4" ht="19.95" customHeight="1" x14ac:dyDescent="0.25">
      <c r="A139" s="10" t="s">
        <v>35</v>
      </c>
      <c r="B139" s="11" t="s">
        <v>14</v>
      </c>
      <c r="C139" s="11">
        <v>2273.54</v>
      </c>
      <c r="D139" s="11">
        <v>1964</v>
      </c>
    </row>
    <row r="140" spans="1:4" ht="19.95" customHeight="1" x14ac:dyDescent="0.25">
      <c r="A140" s="10" t="s">
        <v>36</v>
      </c>
      <c r="B140" s="11" t="s">
        <v>14</v>
      </c>
      <c r="C140" s="11"/>
      <c r="D140" s="11">
        <v>1964</v>
      </c>
    </row>
    <row r="141" spans="1:4" ht="19.95" customHeight="1" x14ac:dyDescent="0.25">
      <c r="A141" s="10" t="s">
        <v>37</v>
      </c>
      <c r="B141" s="11" t="s">
        <v>14</v>
      </c>
      <c r="C141" s="11">
        <v>1034.0940000000001</v>
      </c>
      <c r="D141" s="11">
        <v>1964</v>
      </c>
    </row>
    <row r="142" spans="1:4" ht="19.95" customHeight="1" x14ac:dyDescent="0.25">
      <c r="A142" s="10" t="s">
        <v>38</v>
      </c>
      <c r="B142" s="11" t="s">
        <v>14</v>
      </c>
      <c r="C142" s="11">
        <v>491.37799999999999</v>
      </c>
      <c r="D142" s="11">
        <v>1964</v>
      </c>
    </row>
    <row r="143" spans="1:4" ht="19.95" customHeight="1" x14ac:dyDescent="0.25">
      <c r="A143" s="10" t="s">
        <v>39</v>
      </c>
      <c r="B143" s="11" t="s">
        <v>14</v>
      </c>
      <c r="C143" s="11">
        <v>3278.2979999999998</v>
      </c>
      <c r="D143" s="11">
        <v>1964</v>
      </c>
    </row>
    <row r="144" spans="1:4" ht="19.95" customHeight="1" x14ac:dyDescent="0.25">
      <c r="A144" s="10" t="s">
        <v>40</v>
      </c>
      <c r="B144" s="11" t="s">
        <v>14</v>
      </c>
      <c r="C144" s="11">
        <v>4473.74</v>
      </c>
      <c r="D144" s="11">
        <v>1964</v>
      </c>
    </row>
    <row r="145" spans="1:4" ht="19.95" customHeight="1" x14ac:dyDescent="0.25">
      <c r="A145" s="10" t="s">
        <v>10</v>
      </c>
      <c r="B145" s="11" t="s">
        <v>14</v>
      </c>
      <c r="C145" s="11">
        <v>36.67</v>
      </c>
      <c r="D145" s="11">
        <v>1965</v>
      </c>
    </row>
    <row r="146" spans="1:4" ht="19.95" customHeight="1" x14ac:dyDescent="0.25">
      <c r="A146" s="10" t="s">
        <v>13</v>
      </c>
      <c r="B146" s="11" t="s">
        <v>14</v>
      </c>
      <c r="C146" s="11">
        <v>311.69499999999999</v>
      </c>
      <c r="D146" s="11">
        <v>1965</v>
      </c>
    </row>
    <row r="147" spans="1:4" ht="19.95" customHeight="1" x14ac:dyDescent="0.25">
      <c r="A147" s="10" t="s">
        <v>15</v>
      </c>
      <c r="B147" s="11" t="s">
        <v>14</v>
      </c>
      <c r="C147" s="11">
        <v>106.343</v>
      </c>
      <c r="D147" s="11">
        <v>1965</v>
      </c>
    </row>
    <row r="148" spans="1:4" ht="19.95" customHeight="1" x14ac:dyDescent="0.25">
      <c r="A148" s="10" t="s">
        <v>16</v>
      </c>
      <c r="B148" s="11" t="s">
        <v>14</v>
      </c>
      <c r="C148" s="11">
        <v>14.667999999999999</v>
      </c>
      <c r="D148" s="11">
        <v>1965</v>
      </c>
    </row>
    <row r="149" spans="1:4" ht="19.95" customHeight="1" x14ac:dyDescent="0.25">
      <c r="A149" s="10" t="s">
        <v>17</v>
      </c>
      <c r="B149" s="11" t="s">
        <v>14</v>
      </c>
      <c r="C149" s="11">
        <v>121.011</v>
      </c>
      <c r="D149" s="11">
        <v>1965</v>
      </c>
    </row>
    <row r="150" spans="1:4" ht="19.95" customHeight="1" x14ac:dyDescent="0.25">
      <c r="A150" s="10" t="s">
        <v>2</v>
      </c>
      <c r="B150" s="11" t="s">
        <v>14</v>
      </c>
      <c r="C150" s="11">
        <v>645.39200000000005</v>
      </c>
      <c r="D150" s="11">
        <v>1965</v>
      </c>
    </row>
    <row r="151" spans="1:4" ht="19.95" customHeight="1" x14ac:dyDescent="0.25">
      <c r="A151" s="10" t="s">
        <v>18</v>
      </c>
      <c r="B151" s="11" t="s">
        <v>14</v>
      </c>
      <c r="C151" s="11">
        <v>696.73</v>
      </c>
      <c r="D151" s="11">
        <v>1965</v>
      </c>
    </row>
    <row r="152" spans="1:4" ht="19.95" customHeight="1" x14ac:dyDescent="0.25">
      <c r="A152" s="10" t="s">
        <v>19</v>
      </c>
      <c r="B152" s="11" t="s">
        <v>14</v>
      </c>
      <c r="C152" s="11">
        <v>304.36099999999999</v>
      </c>
      <c r="D152" s="11">
        <v>1965</v>
      </c>
    </row>
    <row r="153" spans="1:4" ht="19.95" customHeight="1" x14ac:dyDescent="0.25">
      <c r="A153" s="10" t="s">
        <v>20</v>
      </c>
      <c r="B153" s="11" t="s">
        <v>14</v>
      </c>
      <c r="C153" s="11">
        <v>2467.8910000000001</v>
      </c>
      <c r="D153" s="11">
        <v>1965</v>
      </c>
    </row>
    <row r="154" spans="1:4" ht="19.95" customHeight="1" x14ac:dyDescent="0.25">
      <c r="A154" s="10" t="s">
        <v>21</v>
      </c>
      <c r="B154" s="11" t="s">
        <v>14</v>
      </c>
      <c r="C154" s="11"/>
      <c r="D154" s="11">
        <v>1965</v>
      </c>
    </row>
    <row r="155" spans="1:4" ht="19.95" customHeight="1" x14ac:dyDescent="0.25">
      <c r="A155" s="10" t="s">
        <v>22</v>
      </c>
      <c r="B155" s="11" t="s">
        <v>14</v>
      </c>
      <c r="C155" s="11">
        <v>557.38400000000001</v>
      </c>
      <c r="D155" s="11">
        <v>1965</v>
      </c>
    </row>
    <row r="156" spans="1:4" ht="19.95" customHeight="1" x14ac:dyDescent="0.25">
      <c r="A156" s="10" t="s">
        <v>23</v>
      </c>
      <c r="B156" s="11" t="s">
        <v>14</v>
      </c>
      <c r="C156" s="11">
        <v>557.38400000000001</v>
      </c>
      <c r="D156" s="11">
        <v>1965</v>
      </c>
    </row>
    <row r="157" spans="1:4" ht="19.95" customHeight="1" x14ac:dyDescent="0.25">
      <c r="A157" s="10" t="s">
        <v>24</v>
      </c>
      <c r="B157" s="11" t="s">
        <v>14</v>
      </c>
      <c r="C157" s="11">
        <v>348.36500000000001</v>
      </c>
      <c r="D157" s="11">
        <v>1965</v>
      </c>
    </row>
    <row r="158" spans="1:4" ht="19.95" customHeight="1" x14ac:dyDescent="0.25">
      <c r="A158" s="10" t="s">
        <v>25</v>
      </c>
      <c r="B158" s="11" t="s">
        <v>14</v>
      </c>
      <c r="C158" s="11">
        <v>198.018</v>
      </c>
      <c r="D158" s="11">
        <v>1965</v>
      </c>
    </row>
    <row r="159" spans="1:4" ht="19.95" customHeight="1" x14ac:dyDescent="0.25">
      <c r="A159" s="10" t="s">
        <v>26</v>
      </c>
      <c r="B159" s="11" t="s">
        <v>14</v>
      </c>
      <c r="C159" s="11"/>
      <c r="D159" s="11">
        <v>1965</v>
      </c>
    </row>
    <row r="160" spans="1:4" ht="19.95" customHeight="1" x14ac:dyDescent="0.25">
      <c r="A160" s="10" t="s">
        <v>27</v>
      </c>
      <c r="B160" s="11" t="s">
        <v>14</v>
      </c>
      <c r="C160" s="11">
        <v>2005.8489999999999</v>
      </c>
      <c r="D160" s="11">
        <v>1965</v>
      </c>
    </row>
    <row r="161" spans="1:4" ht="19.95" customHeight="1" x14ac:dyDescent="0.25">
      <c r="A161" s="10" t="s">
        <v>29</v>
      </c>
      <c r="B161" s="11" t="s">
        <v>14</v>
      </c>
      <c r="C161" s="11">
        <v>2728.248</v>
      </c>
      <c r="D161" s="11">
        <v>1965</v>
      </c>
    </row>
    <row r="162" spans="1:4" ht="19.95" customHeight="1" x14ac:dyDescent="0.25">
      <c r="A162" s="10" t="s">
        <v>30</v>
      </c>
      <c r="B162" s="11" t="s">
        <v>14</v>
      </c>
      <c r="C162" s="11">
        <v>179.68299999999999</v>
      </c>
      <c r="D162" s="11">
        <v>1965</v>
      </c>
    </row>
    <row r="163" spans="1:4" ht="19.95" customHeight="1" x14ac:dyDescent="0.25">
      <c r="A163" s="10" t="s">
        <v>31</v>
      </c>
      <c r="B163" s="11" t="s">
        <v>14</v>
      </c>
      <c r="C163" s="11">
        <v>781.07100000000003</v>
      </c>
      <c r="D163" s="11">
        <v>1965</v>
      </c>
    </row>
    <row r="164" spans="1:4" ht="19.95" customHeight="1" x14ac:dyDescent="0.25">
      <c r="A164" s="10" t="s">
        <v>32</v>
      </c>
      <c r="B164" s="11" t="s">
        <v>14</v>
      </c>
      <c r="C164" s="11">
        <v>91.674999999999997</v>
      </c>
      <c r="D164" s="11">
        <v>1965</v>
      </c>
    </row>
    <row r="165" spans="1:4" ht="19.95" customHeight="1" x14ac:dyDescent="0.25">
      <c r="A165" s="10" t="s">
        <v>33</v>
      </c>
      <c r="B165" s="11" t="s">
        <v>14</v>
      </c>
      <c r="C165" s="11">
        <v>47.670999999999999</v>
      </c>
      <c r="D165" s="11">
        <v>1965</v>
      </c>
    </row>
    <row r="166" spans="1:4" ht="19.95" customHeight="1" x14ac:dyDescent="0.25">
      <c r="A166" s="10" t="s">
        <v>34</v>
      </c>
      <c r="B166" s="11" t="s">
        <v>14</v>
      </c>
      <c r="C166" s="11">
        <v>11.000999999999999</v>
      </c>
      <c r="D166" s="11">
        <v>1965</v>
      </c>
    </row>
    <row r="167" spans="1:4" ht="19.95" customHeight="1" x14ac:dyDescent="0.25">
      <c r="A167" s="10" t="s">
        <v>35</v>
      </c>
      <c r="B167" s="11" t="s">
        <v>14</v>
      </c>
      <c r="C167" s="11">
        <v>2658.5749999999998</v>
      </c>
      <c r="D167" s="11">
        <v>1965</v>
      </c>
    </row>
    <row r="168" spans="1:4" ht="19.95" customHeight="1" x14ac:dyDescent="0.25">
      <c r="A168" s="10" t="s">
        <v>36</v>
      </c>
      <c r="B168" s="11" t="s">
        <v>14</v>
      </c>
      <c r="C168" s="11"/>
      <c r="D168" s="11">
        <v>1965</v>
      </c>
    </row>
    <row r="169" spans="1:4" ht="19.95" customHeight="1" x14ac:dyDescent="0.25">
      <c r="A169" s="10" t="s">
        <v>37</v>
      </c>
      <c r="B169" s="11" t="s">
        <v>14</v>
      </c>
      <c r="C169" s="11">
        <v>1162.4390000000001</v>
      </c>
      <c r="D169" s="11">
        <v>1965</v>
      </c>
    </row>
    <row r="170" spans="1:4" ht="19.95" customHeight="1" x14ac:dyDescent="0.25">
      <c r="A170" s="10" t="s">
        <v>38</v>
      </c>
      <c r="B170" s="11" t="s">
        <v>14</v>
      </c>
      <c r="C170" s="11">
        <v>627.05700000000002</v>
      </c>
      <c r="D170" s="11">
        <v>1965</v>
      </c>
    </row>
    <row r="171" spans="1:4" ht="19.95" customHeight="1" x14ac:dyDescent="0.25">
      <c r="A171" s="10" t="s">
        <v>39</v>
      </c>
      <c r="B171" s="11" t="s">
        <v>14</v>
      </c>
      <c r="C171" s="11">
        <v>3916.3560000000002</v>
      </c>
      <c r="D171" s="11">
        <v>1965</v>
      </c>
    </row>
    <row r="172" spans="1:4" ht="19.95" customHeight="1" x14ac:dyDescent="0.25">
      <c r="A172" s="10" t="s">
        <v>40</v>
      </c>
      <c r="B172" s="11" t="s">
        <v>14</v>
      </c>
      <c r="C172" s="11">
        <v>5214.4740000000002</v>
      </c>
      <c r="D172" s="11">
        <v>1965</v>
      </c>
    </row>
    <row r="173" spans="1:4" ht="19.95" customHeight="1" x14ac:dyDescent="0.25">
      <c r="A173" s="10" t="s">
        <v>10</v>
      </c>
      <c r="B173" s="11" t="s">
        <v>14</v>
      </c>
      <c r="C173" s="11">
        <v>47.670999999999999</v>
      </c>
      <c r="D173" s="11">
        <v>1966</v>
      </c>
    </row>
    <row r="174" spans="1:4" ht="19.95" customHeight="1" x14ac:dyDescent="0.25">
      <c r="A174" s="10" t="s">
        <v>13</v>
      </c>
      <c r="B174" s="11" t="s">
        <v>14</v>
      </c>
      <c r="C174" s="11">
        <v>344.69799999999998</v>
      </c>
      <c r="D174" s="11">
        <v>1966</v>
      </c>
    </row>
    <row r="175" spans="1:4" ht="19.95" customHeight="1" x14ac:dyDescent="0.25">
      <c r="A175" s="10" t="s">
        <v>15</v>
      </c>
      <c r="B175" s="11" t="s">
        <v>14</v>
      </c>
      <c r="C175" s="11">
        <v>84.340999999999994</v>
      </c>
      <c r="D175" s="11">
        <v>1966</v>
      </c>
    </row>
    <row r="176" spans="1:4" ht="19.95" customHeight="1" x14ac:dyDescent="0.25">
      <c r="A176" s="10" t="s">
        <v>16</v>
      </c>
      <c r="B176" s="11" t="s">
        <v>14</v>
      </c>
      <c r="C176" s="11">
        <v>18.335000000000001</v>
      </c>
      <c r="D176" s="11">
        <v>1966</v>
      </c>
    </row>
    <row r="177" spans="1:4" ht="19.95" customHeight="1" x14ac:dyDescent="0.25">
      <c r="A177" s="10" t="s">
        <v>17</v>
      </c>
      <c r="B177" s="11" t="s">
        <v>14</v>
      </c>
      <c r="C177" s="11">
        <v>139.346</v>
      </c>
      <c r="D177" s="11">
        <v>1966</v>
      </c>
    </row>
    <row r="178" spans="1:4" ht="19.95" customHeight="1" x14ac:dyDescent="0.25">
      <c r="A178" s="10" t="s">
        <v>2</v>
      </c>
      <c r="B178" s="11" t="s">
        <v>14</v>
      </c>
      <c r="C178" s="11">
        <v>825.07500000000005</v>
      </c>
      <c r="D178" s="11">
        <v>1966</v>
      </c>
    </row>
    <row r="179" spans="1:4" ht="19.95" customHeight="1" x14ac:dyDescent="0.25">
      <c r="A179" s="10" t="s">
        <v>18</v>
      </c>
      <c r="B179" s="11" t="s">
        <v>14</v>
      </c>
      <c r="C179" s="11">
        <v>718.73199999999997</v>
      </c>
      <c r="D179" s="11">
        <v>1966</v>
      </c>
    </row>
    <row r="180" spans="1:4" ht="19.95" customHeight="1" x14ac:dyDescent="0.25">
      <c r="A180" s="10" t="s">
        <v>19</v>
      </c>
      <c r="B180" s="11" t="s">
        <v>14</v>
      </c>
      <c r="C180" s="11">
        <v>304.36099999999999</v>
      </c>
      <c r="D180" s="11">
        <v>1966</v>
      </c>
    </row>
    <row r="181" spans="1:4" ht="19.95" customHeight="1" x14ac:dyDescent="0.25">
      <c r="A181" s="10" t="s">
        <v>20</v>
      </c>
      <c r="B181" s="11" t="s">
        <v>14</v>
      </c>
      <c r="C181" s="11">
        <v>2684.2440000000001</v>
      </c>
      <c r="D181" s="11">
        <v>1966</v>
      </c>
    </row>
    <row r="182" spans="1:4" ht="19.95" customHeight="1" x14ac:dyDescent="0.25">
      <c r="A182" s="10" t="s">
        <v>21</v>
      </c>
      <c r="B182" s="11" t="s">
        <v>14</v>
      </c>
      <c r="C182" s="11"/>
      <c r="D182" s="11">
        <v>1966</v>
      </c>
    </row>
    <row r="183" spans="1:4" ht="19.95" customHeight="1" x14ac:dyDescent="0.25">
      <c r="A183" s="10" t="s">
        <v>22</v>
      </c>
      <c r="B183" s="11" t="s">
        <v>14</v>
      </c>
      <c r="C183" s="11">
        <v>612.38900000000001</v>
      </c>
      <c r="D183" s="11">
        <v>1966</v>
      </c>
    </row>
    <row r="184" spans="1:4" ht="19.95" customHeight="1" x14ac:dyDescent="0.25">
      <c r="A184" s="10" t="s">
        <v>23</v>
      </c>
      <c r="B184" s="11" t="s">
        <v>14</v>
      </c>
      <c r="C184" s="11">
        <v>579.38599999999997</v>
      </c>
      <c r="D184" s="11">
        <v>1966</v>
      </c>
    </row>
    <row r="185" spans="1:4" ht="19.95" customHeight="1" x14ac:dyDescent="0.25">
      <c r="A185" s="10" t="s">
        <v>24</v>
      </c>
      <c r="B185" s="11" t="s">
        <v>14</v>
      </c>
      <c r="C185" s="11">
        <v>429.03899999999999</v>
      </c>
      <c r="D185" s="11">
        <v>1966</v>
      </c>
    </row>
    <row r="186" spans="1:4" ht="19.95" customHeight="1" x14ac:dyDescent="0.25">
      <c r="A186" s="10" t="s">
        <v>25</v>
      </c>
      <c r="B186" s="11" t="s">
        <v>14</v>
      </c>
      <c r="C186" s="11">
        <v>190.684</v>
      </c>
      <c r="D186" s="11">
        <v>1966</v>
      </c>
    </row>
    <row r="187" spans="1:4" ht="19.95" customHeight="1" x14ac:dyDescent="0.25">
      <c r="A187" s="10" t="s">
        <v>26</v>
      </c>
      <c r="B187" s="11" t="s">
        <v>14</v>
      </c>
      <c r="C187" s="11"/>
      <c r="D187" s="11">
        <v>1966</v>
      </c>
    </row>
    <row r="188" spans="1:4" ht="19.95" customHeight="1" x14ac:dyDescent="0.25">
      <c r="A188" s="10" t="s">
        <v>27</v>
      </c>
      <c r="B188" s="11" t="s">
        <v>14</v>
      </c>
      <c r="C188" s="11">
        <v>2126.86</v>
      </c>
      <c r="D188" s="11">
        <v>1966</v>
      </c>
    </row>
    <row r="189" spans="1:4" ht="19.95" customHeight="1" x14ac:dyDescent="0.25">
      <c r="A189" s="10" t="s">
        <v>29</v>
      </c>
      <c r="B189" s="11" t="s">
        <v>14</v>
      </c>
      <c r="C189" s="11">
        <v>2808.922</v>
      </c>
      <c r="D189" s="11">
        <v>1966</v>
      </c>
    </row>
    <row r="190" spans="1:4" ht="19.95" customHeight="1" x14ac:dyDescent="0.25">
      <c r="A190" s="10" t="s">
        <v>30</v>
      </c>
      <c r="B190" s="11" t="s">
        <v>14</v>
      </c>
      <c r="C190" s="11">
        <v>190.684</v>
      </c>
      <c r="D190" s="11">
        <v>1966</v>
      </c>
    </row>
    <row r="191" spans="1:4" ht="19.95" customHeight="1" x14ac:dyDescent="0.25">
      <c r="A191" s="10" t="s">
        <v>31</v>
      </c>
      <c r="B191" s="11" t="s">
        <v>14</v>
      </c>
      <c r="C191" s="11">
        <v>960.75400000000002</v>
      </c>
      <c r="D191" s="11">
        <v>1966</v>
      </c>
    </row>
    <row r="192" spans="1:4" ht="19.95" customHeight="1" x14ac:dyDescent="0.25">
      <c r="A192" s="10" t="s">
        <v>32</v>
      </c>
      <c r="B192" s="11" t="s">
        <v>14</v>
      </c>
      <c r="C192" s="11">
        <v>135.679</v>
      </c>
      <c r="D192" s="11">
        <v>1966</v>
      </c>
    </row>
    <row r="193" spans="1:4" ht="19.95" customHeight="1" x14ac:dyDescent="0.25">
      <c r="A193" s="10" t="s">
        <v>33</v>
      </c>
      <c r="B193" s="11" t="s">
        <v>14</v>
      </c>
      <c r="C193" s="11">
        <v>44.003999999999998</v>
      </c>
      <c r="D193" s="11">
        <v>1966</v>
      </c>
    </row>
    <row r="194" spans="1:4" ht="19.95" customHeight="1" x14ac:dyDescent="0.25">
      <c r="A194" s="10" t="s">
        <v>34</v>
      </c>
      <c r="B194" s="11" t="s">
        <v>14</v>
      </c>
      <c r="C194" s="11">
        <v>11.000999999999999</v>
      </c>
      <c r="D194" s="11">
        <v>1966</v>
      </c>
    </row>
    <row r="195" spans="1:4" ht="19.95" customHeight="1" x14ac:dyDescent="0.25">
      <c r="A195" s="10" t="s">
        <v>35</v>
      </c>
      <c r="B195" s="11" t="s">
        <v>14</v>
      </c>
      <c r="C195" s="11">
        <v>2662.2420000000002</v>
      </c>
      <c r="D195" s="11">
        <v>1966</v>
      </c>
    </row>
    <row r="196" spans="1:4" ht="19.95" customHeight="1" x14ac:dyDescent="0.25">
      <c r="A196" s="10" t="s">
        <v>36</v>
      </c>
      <c r="B196" s="11" t="s">
        <v>14</v>
      </c>
      <c r="C196" s="11"/>
      <c r="D196" s="11">
        <v>1966</v>
      </c>
    </row>
    <row r="197" spans="1:4" ht="19.95" customHeight="1" x14ac:dyDescent="0.25">
      <c r="A197" s="10" t="s">
        <v>37</v>
      </c>
      <c r="B197" s="11" t="s">
        <v>14</v>
      </c>
      <c r="C197" s="11">
        <v>1371.4580000000001</v>
      </c>
      <c r="D197" s="11">
        <v>1966</v>
      </c>
    </row>
    <row r="198" spans="1:4" ht="19.95" customHeight="1" x14ac:dyDescent="0.25">
      <c r="A198" s="10" t="s">
        <v>38</v>
      </c>
      <c r="B198" s="11" t="s">
        <v>14</v>
      </c>
      <c r="C198" s="11">
        <v>733.4</v>
      </c>
      <c r="D198" s="11">
        <v>1966</v>
      </c>
    </row>
    <row r="199" spans="1:4" ht="19.95" customHeight="1" x14ac:dyDescent="0.25">
      <c r="A199" s="10" t="s">
        <v>39</v>
      </c>
      <c r="B199" s="11" t="s">
        <v>14</v>
      </c>
      <c r="C199" s="11">
        <v>3501.9850000000001</v>
      </c>
      <c r="D199" s="11">
        <v>1966</v>
      </c>
    </row>
    <row r="200" spans="1:4" ht="19.95" customHeight="1" x14ac:dyDescent="0.25">
      <c r="A200" s="10" t="s">
        <v>40</v>
      </c>
      <c r="B200" s="11" t="s">
        <v>14</v>
      </c>
      <c r="C200" s="11">
        <v>6046.8829999999998</v>
      </c>
      <c r="D200" s="11">
        <v>1966</v>
      </c>
    </row>
    <row r="201" spans="1:4" ht="19.95" customHeight="1" x14ac:dyDescent="0.25">
      <c r="A201" s="10" t="s">
        <v>10</v>
      </c>
      <c r="B201" s="11" t="s">
        <v>14</v>
      </c>
      <c r="C201" s="11">
        <v>47.670999999999999</v>
      </c>
      <c r="D201" s="11">
        <v>1967</v>
      </c>
    </row>
    <row r="202" spans="1:4" ht="19.95" customHeight="1" x14ac:dyDescent="0.25">
      <c r="A202" s="10" t="s">
        <v>13</v>
      </c>
      <c r="B202" s="11" t="s">
        <v>14</v>
      </c>
      <c r="C202" s="11">
        <v>458.375</v>
      </c>
      <c r="D202" s="11">
        <v>1967</v>
      </c>
    </row>
    <row r="203" spans="1:4" ht="19.95" customHeight="1" x14ac:dyDescent="0.25">
      <c r="A203" s="10" t="s">
        <v>15</v>
      </c>
      <c r="B203" s="11" t="s">
        <v>14</v>
      </c>
      <c r="C203" s="11">
        <v>117.34399999999999</v>
      </c>
      <c r="D203" s="11">
        <v>1967</v>
      </c>
    </row>
    <row r="204" spans="1:4" ht="19.95" customHeight="1" x14ac:dyDescent="0.25">
      <c r="A204" s="10" t="s">
        <v>16</v>
      </c>
      <c r="B204" s="11" t="s">
        <v>14</v>
      </c>
      <c r="C204" s="11">
        <v>18.335000000000001</v>
      </c>
      <c r="D204" s="11">
        <v>1967</v>
      </c>
    </row>
    <row r="205" spans="1:4" ht="19.95" customHeight="1" x14ac:dyDescent="0.25">
      <c r="A205" s="10" t="s">
        <v>17</v>
      </c>
      <c r="B205" s="11" t="s">
        <v>14</v>
      </c>
      <c r="C205" s="11">
        <v>88.007999999999996</v>
      </c>
      <c r="D205" s="11">
        <v>1967</v>
      </c>
    </row>
    <row r="206" spans="1:4" ht="19.95" customHeight="1" x14ac:dyDescent="0.25">
      <c r="A206" s="10" t="s">
        <v>2</v>
      </c>
      <c r="B206" s="11" t="s">
        <v>14</v>
      </c>
      <c r="C206" s="11">
        <v>1074.431</v>
      </c>
      <c r="D206" s="11">
        <v>1967</v>
      </c>
    </row>
    <row r="207" spans="1:4" ht="19.95" customHeight="1" x14ac:dyDescent="0.25">
      <c r="A207" s="10" t="s">
        <v>18</v>
      </c>
      <c r="B207" s="11" t="s">
        <v>14</v>
      </c>
      <c r="C207" s="11">
        <v>726.06600000000003</v>
      </c>
      <c r="D207" s="11">
        <v>1967</v>
      </c>
    </row>
    <row r="208" spans="1:4" ht="19.95" customHeight="1" x14ac:dyDescent="0.25">
      <c r="A208" s="10" t="s">
        <v>19</v>
      </c>
      <c r="B208" s="11" t="s">
        <v>14</v>
      </c>
      <c r="C208" s="11">
        <v>260.35700000000003</v>
      </c>
      <c r="D208" s="11">
        <v>1967</v>
      </c>
    </row>
    <row r="209" spans="1:4" ht="19.95" customHeight="1" x14ac:dyDescent="0.25">
      <c r="A209" s="10" t="s">
        <v>20</v>
      </c>
      <c r="B209" s="11" t="s">
        <v>14</v>
      </c>
      <c r="C209" s="11">
        <v>2702.5790000000002</v>
      </c>
      <c r="D209" s="11">
        <v>1967</v>
      </c>
    </row>
    <row r="210" spans="1:4" ht="19.95" customHeight="1" x14ac:dyDescent="0.25">
      <c r="A210" s="10" t="s">
        <v>21</v>
      </c>
      <c r="B210" s="11" t="s">
        <v>14</v>
      </c>
      <c r="C210" s="11"/>
      <c r="D210" s="11">
        <v>1967</v>
      </c>
    </row>
    <row r="211" spans="1:4" ht="19.95" customHeight="1" x14ac:dyDescent="0.25">
      <c r="A211" s="10" t="s">
        <v>22</v>
      </c>
      <c r="B211" s="11" t="s">
        <v>14</v>
      </c>
      <c r="C211" s="11">
        <v>612.38900000000001</v>
      </c>
      <c r="D211" s="11">
        <v>1967</v>
      </c>
    </row>
    <row r="212" spans="1:4" ht="19.95" customHeight="1" x14ac:dyDescent="0.25">
      <c r="A212" s="10" t="s">
        <v>23</v>
      </c>
      <c r="B212" s="11" t="s">
        <v>14</v>
      </c>
      <c r="C212" s="11">
        <v>843.41</v>
      </c>
      <c r="D212" s="11">
        <v>1967</v>
      </c>
    </row>
    <row r="213" spans="1:4" ht="19.95" customHeight="1" x14ac:dyDescent="0.25">
      <c r="A213" s="10" t="s">
        <v>24</v>
      </c>
      <c r="B213" s="11" t="s">
        <v>14</v>
      </c>
      <c r="C213" s="11">
        <v>366.7</v>
      </c>
      <c r="D213" s="11">
        <v>1967</v>
      </c>
    </row>
    <row r="214" spans="1:4" ht="19.95" customHeight="1" x14ac:dyDescent="0.25">
      <c r="A214" s="10" t="s">
        <v>25</v>
      </c>
      <c r="B214" s="11" t="s">
        <v>14</v>
      </c>
      <c r="C214" s="11">
        <v>223.68700000000001</v>
      </c>
      <c r="D214" s="11">
        <v>1967</v>
      </c>
    </row>
    <row r="215" spans="1:4" ht="19.95" customHeight="1" x14ac:dyDescent="0.25">
      <c r="A215" s="10" t="s">
        <v>26</v>
      </c>
      <c r="B215" s="11" t="s">
        <v>14</v>
      </c>
      <c r="C215" s="11"/>
      <c r="D215" s="11">
        <v>1967</v>
      </c>
    </row>
    <row r="216" spans="1:4" ht="19.95" customHeight="1" x14ac:dyDescent="0.25">
      <c r="A216" s="10" t="s">
        <v>27</v>
      </c>
      <c r="B216" s="11" t="s">
        <v>14</v>
      </c>
      <c r="C216" s="11">
        <v>1873.837</v>
      </c>
      <c r="D216" s="11">
        <v>1967</v>
      </c>
    </row>
    <row r="217" spans="1:4" ht="19.95" customHeight="1" x14ac:dyDescent="0.25">
      <c r="A217" s="10" t="s">
        <v>29</v>
      </c>
      <c r="B217" s="11" t="s">
        <v>14</v>
      </c>
      <c r="C217" s="11">
        <v>3619.3290000000002</v>
      </c>
      <c r="D217" s="11">
        <v>1967</v>
      </c>
    </row>
    <row r="218" spans="1:4" ht="19.95" customHeight="1" x14ac:dyDescent="0.25">
      <c r="A218" s="10" t="s">
        <v>30</v>
      </c>
      <c r="B218" s="11" t="s">
        <v>14</v>
      </c>
      <c r="C218" s="11">
        <v>212.68600000000001</v>
      </c>
      <c r="D218" s="11">
        <v>1967</v>
      </c>
    </row>
    <row r="219" spans="1:4" ht="19.95" customHeight="1" x14ac:dyDescent="0.25">
      <c r="A219" s="10" t="s">
        <v>31</v>
      </c>
      <c r="B219" s="11" t="s">
        <v>14</v>
      </c>
      <c r="C219" s="11">
        <v>1081.7650000000001</v>
      </c>
      <c r="D219" s="11">
        <v>1967</v>
      </c>
    </row>
    <row r="220" spans="1:4" ht="19.95" customHeight="1" x14ac:dyDescent="0.25">
      <c r="A220" s="10" t="s">
        <v>32</v>
      </c>
      <c r="B220" s="11" t="s">
        <v>14</v>
      </c>
      <c r="C220" s="11">
        <v>132.012</v>
      </c>
      <c r="D220" s="11">
        <v>1967</v>
      </c>
    </row>
    <row r="221" spans="1:4" ht="19.95" customHeight="1" x14ac:dyDescent="0.25">
      <c r="A221" s="10" t="s">
        <v>33</v>
      </c>
      <c r="B221" s="11" t="s">
        <v>14</v>
      </c>
      <c r="C221" s="11">
        <v>40.337000000000003</v>
      </c>
      <c r="D221" s="11">
        <v>1967</v>
      </c>
    </row>
    <row r="222" spans="1:4" ht="19.95" customHeight="1" x14ac:dyDescent="0.25">
      <c r="A222" s="10" t="s">
        <v>34</v>
      </c>
      <c r="B222" s="11" t="s">
        <v>14</v>
      </c>
      <c r="C222" s="11">
        <v>11.000999999999999</v>
      </c>
      <c r="D222" s="11">
        <v>1967</v>
      </c>
    </row>
    <row r="223" spans="1:4" ht="19.95" customHeight="1" x14ac:dyDescent="0.25">
      <c r="A223" s="10" t="s">
        <v>35</v>
      </c>
      <c r="B223" s="11" t="s">
        <v>14</v>
      </c>
      <c r="C223" s="11">
        <v>2948.268</v>
      </c>
      <c r="D223" s="11">
        <v>1967</v>
      </c>
    </row>
    <row r="224" spans="1:4" ht="19.95" customHeight="1" x14ac:dyDescent="0.25">
      <c r="A224" s="10" t="s">
        <v>36</v>
      </c>
      <c r="B224" s="11" t="s">
        <v>14</v>
      </c>
      <c r="C224" s="11"/>
      <c r="D224" s="11">
        <v>1967</v>
      </c>
    </row>
    <row r="225" spans="1:4" ht="19.95" customHeight="1" x14ac:dyDescent="0.25">
      <c r="A225" s="10" t="s">
        <v>37</v>
      </c>
      <c r="B225" s="11" t="s">
        <v>14</v>
      </c>
      <c r="C225" s="11">
        <v>1760.16</v>
      </c>
      <c r="D225" s="11">
        <v>1967</v>
      </c>
    </row>
    <row r="226" spans="1:4" ht="19.95" customHeight="1" x14ac:dyDescent="0.25">
      <c r="A226" s="10" t="s">
        <v>38</v>
      </c>
      <c r="B226" s="11" t="s">
        <v>14</v>
      </c>
      <c r="C226" s="11">
        <v>810.40700000000004</v>
      </c>
      <c r="D226" s="11">
        <v>1967</v>
      </c>
    </row>
    <row r="227" spans="1:4" ht="19.95" customHeight="1" x14ac:dyDescent="0.25">
      <c r="A227" s="10" t="s">
        <v>39</v>
      </c>
      <c r="B227" s="11" t="s">
        <v>14</v>
      </c>
      <c r="C227" s="11">
        <v>4792.7690000000002</v>
      </c>
      <c r="D227" s="11">
        <v>1967</v>
      </c>
    </row>
    <row r="228" spans="1:4" ht="19.95" customHeight="1" x14ac:dyDescent="0.25">
      <c r="A228" s="10" t="s">
        <v>40</v>
      </c>
      <c r="B228" s="11" t="s">
        <v>14</v>
      </c>
      <c r="C228" s="11">
        <v>5298.8149999999996</v>
      </c>
      <c r="D228" s="11">
        <v>1967</v>
      </c>
    </row>
    <row r="229" spans="1:4" ht="19.95" customHeight="1" x14ac:dyDescent="0.25">
      <c r="A229" s="10" t="s">
        <v>10</v>
      </c>
      <c r="B229" s="11" t="s">
        <v>14</v>
      </c>
      <c r="C229" s="11">
        <v>55.005000000000003</v>
      </c>
      <c r="D229" s="11">
        <v>1968</v>
      </c>
    </row>
    <row r="230" spans="1:4" ht="19.95" customHeight="1" x14ac:dyDescent="0.25">
      <c r="A230" s="10" t="s">
        <v>13</v>
      </c>
      <c r="B230" s="11" t="s">
        <v>14</v>
      </c>
      <c r="C230" s="11">
        <v>506.04599999999999</v>
      </c>
      <c r="D230" s="11">
        <v>1968</v>
      </c>
    </row>
    <row r="231" spans="1:4" ht="19.95" customHeight="1" x14ac:dyDescent="0.25">
      <c r="A231" s="10" t="s">
        <v>15</v>
      </c>
      <c r="B231" s="11" t="s">
        <v>14</v>
      </c>
      <c r="C231" s="11">
        <v>124.678</v>
      </c>
      <c r="D231" s="11">
        <v>1968</v>
      </c>
    </row>
    <row r="232" spans="1:4" ht="19.95" customHeight="1" x14ac:dyDescent="0.25">
      <c r="A232" s="10" t="s">
        <v>16</v>
      </c>
      <c r="B232" s="11" t="s">
        <v>14</v>
      </c>
      <c r="C232" s="11">
        <v>18.335000000000001</v>
      </c>
      <c r="D232" s="11">
        <v>1968</v>
      </c>
    </row>
    <row r="233" spans="1:4" ht="19.95" customHeight="1" x14ac:dyDescent="0.25">
      <c r="A233" s="10" t="s">
        <v>17</v>
      </c>
      <c r="B233" s="11" t="s">
        <v>14</v>
      </c>
      <c r="C233" s="11">
        <v>121.011</v>
      </c>
      <c r="D233" s="11">
        <v>1968</v>
      </c>
    </row>
    <row r="234" spans="1:4" ht="19.95" customHeight="1" x14ac:dyDescent="0.25">
      <c r="A234" s="10" t="s">
        <v>2</v>
      </c>
      <c r="B234" s="11" t="s">
        <v>14</v>
      </c>
      <c r="C234" s="11">
        <v>1727.1569999999999</v>
      </c>
      <c r="D234" s="11">
        <v>1968</v>
      </c>
    </row>
    <row r="235" spans="1:4" ht="19.95" customHeight="1" x14ac:dyDescent="0.25">
      <c r="A235" s="10" t="s">
        <v>18</v>
      </c>
      <c r="B235" s="11" t="s">
        <v>14</v>
      </c>
      <c r="C235" s="11">
        <v>748.06799999999998</v>
      </c>
      <c r="D235" s="11">
        <v>1968</v>
      </c>
    </row>
    <row r="236" spans="1:4" ht="19.95" customHeight="1" x14ac:dyDescent="0.25">
      <c r="A236" s="10" t="s">
        <v>19</v>
      </c>
      <c r="B236" s="11" t="s">
        <v>14</v>
      </c>
      <c r="C236" s="11">
        <v>264.024</v>
      </c>
      <c r="D236" s="11">
        <v>1968</v>
      </c>
    </row>
    <row r="237" spans="1:4" ht="19.95" customHeight="1" x14ac:dyDescent="0.25">
      <c r="A237" s="10" t="s">
        <v>20</v>
      </c>
      <c r="B237" s="11" t="s">
        <v>14</v>
      </c>
      <c r="C237" s="11">
        <v>2819.9229999999998</v>
      </c>
      <c r="D237" s="11">
        <v>1968</v>
      </c>
    </row>
    <row r="238" spans="1:4" ht="19.95" customHeight="1" x14ac:dyDescent="0.25">
      <c r="A238" s="10" t="s">
        <v>21</v>
      </c>
      <c r="B238" s="11" t="s">
        <v>14</v>
      </c>
      <c r="C238" s="11"/>
      <c r="D238" s="11">
        <v>1968</v>
      </c>
    </row>
    <row r="239" spans="1:4" ht="19.95" customHeight="1" x14ac:dyDescent="0.25">
      <c r="A239" s="10" t="s">
        <v>22</v>
      </c>
      <c r="B239" s="11" t="s">
        <v>14</v>
      </c>
      <c r="C239" s="11">
        <v>883.74699999999996</v>
      </c>
      <c r="D239" s="11">
        <v>1968</v>
      </c>
    </row>
    <row r="240" spans="1:4" ht="19.95" customHeight="1" x14ac:dyDescent="0.25">
      <c r="A240" s="10" t="s">
        <v>23</v>
      </c>
      <c r="B240" s="11" t="s">
        <v>14</v>
      </c>
      <c r="C240" s="11">
        <v>913.08299999999997</v>
      </c>
      <c r="D240" s="11">
        <v>1968</v>
      </c>
    </row>
    <row r="241" spans="1:4" ht="19.95" customHeight="1" x14ac:dyDescent="0.25">
      <c r="A241" s="10" t="s">
        <v>24</v>
      </c>
      <c r="B241" s="11" t="s">
        <v>14</v>
      </c>
      <c r="C241" s="11">
        <v>388.702</v>
      </c>
      <c r="D241" s="11">
        <v>1968</v>
      </c>
    </row>
    <row r="242" spans="1:4" ht="19.95" customHeight="1" x14ac:dyDescent="0.25">
      <c r="A242" s="10" t="s">
        <v>25</v>
      </c>
      <c r="B242" s="11" t="s">
        <v>14</v>
      </c>
      <c r="C242" s="11">
        <v>198.018</v>
      </c>
      <c r="D242" s="11">
        <v>1968</v>
      </c>
    </row>
    <row r="243" spans="1:4" ht="19.95" customHeight="1" x14ac:dyDescent="0.25">
      <c r="A243" s="10" t="s">
        <v>26</v>
      </c>
      <c r="B243" s="11" t="s">
        <v>14</v>
      </c>
      <c r="C243" s="11"/>
      <c r="D243" s="11">
        <v>1968</v>
      </c>
    </row>
    <row r="244" spans="1:4" ht="19.95" customHeight="1" x14ac:dyDescent="0.25">
      <c r="A244" s="10" t="s">
        <v>27</v>
      </c>
      <c r="B244" s="11" t="s">
        <v>14</v>
      </c>
      <c r="C244" s="11">
        <v>2779.5859999999998</v>
      </c>
      <c r="D244" s="11">
        <v>1968</v>
      </c>
    </row>
    <row r="245" spans="1:4" ht="19.95" customHeight="1" x14ac:dyDescent="0.25">
      <c r="A245" s="10" t="s">
        <v>29</v>
      </c>
      <c r="B245" s="11" t="s">
        <v>14</v>
      </c>
      <c r="C245" s="11">
        <v>2929.933</v>
      </c>
      <c r="D245" s="11">
        <v>1968</v>
      </c>
    </row>
    <row r="246" spans="1:4" ht="19.95" customHeight="1" x14ac:dyDescent="0.25">
      <c r="A246" s="10" t="s">
        <v>30</v>
      </c>
      <c r="B246" s="11" t="s">
        <v>14</v>
      </c>
      <c r="C246" s="11">
        <v>253.023</v>
      </c>
      <c r="D246" s="11">
        <v>1968</v>
      </c>
    </row>
    <row r="247" spans="1:4" ht="19.95" customHeight="1" x14ac:dyDescent="0.25">
      <c r="A247" s="10" t="s">
        <v>31</v>
      </c>
      <c r="B247" s="11" t="s">
        <v>14</v>
      </c>
      <c r="C247" s="11">
        <v>1232.1120000000001</v>
      </c>
      <c r="D247" s="11">
        <v>1968</v>
      </c>
    </row>
    <row r="248" spans="1:4" ht="19.95" customHeight="1" x14ac:dyDescent="0.25">
      <c r="A248" s="10" t="s">
        <v>32</v>
      </c>
      <c r="B248" s="11" t="s">
        <v>14</v>
      </c>
      <c r="C248" s="11">
        <v>161.34800000000001</v>
      </c>
      <c r="D248" s="11">
        <v>1968</v>
      </c>
    </row>
    <row r="249" spans="1:4" ht="19.95" customHeight="1" x14ac:dyDescent="0.25">
      <c r="A249" s="10" t="s">
        <v>33</v>
      </c>
      <c r="B249" s="11" t="s">
        <v>14</v>
      </c>
      <c r="C249" s="11">
        <v>55.005000000000003</v>
      </c>
      <c r="D249" s="11">
        <v>1968</v>
      </c>
    </row>
    <row r="250" spans="1:4" ht="19.95" customHeight="1" x14ac:dyDescent="0.25">
      <c r="A250" s="10" t="s">
        <v>34</v>
      </c>
      <c r="B250" s="11" t="s">
        <v>14</v>
      </c>
      <c r="C250" s="11">
        <v>14.667999999999999</v>
      </c>
      <c r="D250" s="11">
        <v>1968</v>
      </c>
    </row>
    <row r="251" spans="1:4" ht="19.95" customHeight="1" x14ac:dyDescent="0.25">
      <c r="A251" s="10" t="s">
        <v>35</v>
      </c>
      <c r="B251" s="11" t="s">
        <v>14</v>
      </c>
      <c r="C251" s="11">
        <v>3241.6280000000002</v>
      </c>
      <c r="D251" s="11">
        <v>1968</v>
      </c>
    </row>
    <row r="252" spans="1:4" ht="19.95" customHeight="1" x14ac:dyDescent="0.25">
      <c r="A252" s="10" t="s">
        <v>36</v>
      </c>
      <c r="B252" s="11" t="s">
        <v>14</v>
      </c>
      <c r="C252" s="11"/>
      <c r="D252" s="11">
        <v>1968</v>
      </c>
    </row>
    <row r="253" spans="1:4" ht="19.95" customHeight="1" x14ac:dyDescent="0.25">
      <c r="A253" s="10" t="s">
        <v>37</v>
      </c>
      <c r="B253" s="11" t="s">
        <v>14</v>
      </c>
      <c r="C253" s="11">
        <v>1653.817</v>
      </c>
      <c r="D253" s="11">
        <v>1968</v>
      </c>
    </row>
    <row r="254" spans="1:4" ht="19.95" customHeight="1" x14ac:dyDescent="0.25">
      <c r="A254" s="10" t="s">
        <v>38</v>
      </c>
      <c r="B254" s="11" t="s">
        <v>14</v>
      </c>
      <c r="C254" s="11">
        <v>982.75599999999997</v>
      </c>
      <c r="D254" s="11">
        <v>1968</v>
      </c>
    </row>
    <row r="255" spans="1:4" ht="19.95" customHeight="1" x14ac:dyDescent="0.25">
      <c r="A255" s="10" t="s">
        <v>39</v>
      </c>
      <c r="B255" s="11" t="s">
        <v>14</v>
      </c>
      <c r="C255" s="11">
        <v>4572.7489999999998</v>
      </c>
      <c r="D255" s="11">
        <v>1968</v>
      </c>
    </row>
    <row r="256" spans="1:4" ht="19.95" customHeight="1" x14ac:dyDescent="0.25">
      <c r="A256" s="10" t="s">
        <v>40</v>
      </c>
      <c r="B256" s="11" t="s">
        <v>14</v>
      </c>
      <c r="C256" s="11">
        <v>6384.2470000000003</v>
      </c>
      <c r="D256" s="11">
        <v>1968</v>
      </c>
    </row>
    <row r="257" spans="1:4" ht="19.95" customHeight="1" x14ac:dyDescent="0.25">
      <c r="A257" s="10" t="s">
        <v>10</v>
      </c>
      <c r="B257" s="11" t="s">
        <v>14</v>
      </c>
      <c r="C257" s="11">
        <v>73.34</v>
      </c>
      <c r="D257" s="11">
        <v>1969</v>
      </c>
    </row>
    <row r="258" spans="1:4" ht="19.95" customHeight="1" x14ac:dyDescent="0.25">
      <c r="A258" s="10" t="s">
        <v>13</v>
      </c>
      <c r="B258" s="11" t="s">
        <v>14</v>
      </c>
      <c r="C258" s="11">
        <v>572.05200000000002</v>
      </c>
      <c r="D258" s="11">
        <v>1969</v>
      </c>
    </row>
    <row r="259" spans="1:4" ht="19.95" customHeight="1" x14ac:dyDescent="0.25">
      <c r="A259" s="10" t="s">
        <v>15</v>
      </c>
      <c r="B259" s="11" t="s">
        <v>14</v>
      </c>
      <c r="C259" s="11">
        <v>161.34800000000001</v>
      </c>
      <c r="D259" s="11">
        <v>1969</v>
      </c>
    </row>
    <row r="260" spans="1:4" ht="19.95" customHeight="1" x14ac:dyDescent="0.25">
      <c r="A260" s="10" t="s">
        <v>16</v>
      </c>
      <c r="B260" s="11" t="s">
        <v>14</v>
      </c>
      <c r="C260" s="11">
        <v>18.335000000000001</v>
      </c>
      <c r="D260" s="11">
        <v>1969</v>
      </c>
    </row>
    <row r="261" spans="1:4" ht="19.95" customHeight="1" x14ac:dyDescent="0.25">
      <c r="A261" s="10" t="s">
        <v>17</v>
      </c>
      <c r="B261" s="11" t="s">
        <v>14</v>
      </c>
      <c r="C261" s="11">
        <v>84.340999999999994</v>
      </c>
      <c r="D261" s="11">
        <v>1969</v>
      </c>
    </row>
    <row r="262" spans="1:4" ht="19.95" customHeight="1" x14ac:dyDescent="0.25">
      <c r="A262" s="10" t="s">
        <v>2</v>
      </c>
      <c r="B262" s="11" t="s">
        <v>14</v>
      </c>
      <c r="C262" s="11">
        <v>1668.4849999999999</v>
      </c>
      <c r="D262" s="11">
        <v>1969</v>
      </c>
    </row>
    <row r="263" spans="1:4" ht="19.95" customHeight="1" x14ac:dyDescent="0.25">
      <c r="A263" s="10" t="s">
        <v>18</v>
      </c>
      <c r="B263" s="11" t="s">
        <v>14</v>
      </c>
      <c r="C263" s="11">
        <v>748.06799999999998</v>
      </c>
      <c r="D263" s="11">
        <v>1969</v>
      </c>
    </row>
    <row r="264" spans="1:4" ht="19.95" customHeight="1" x14ac:dyDescent="0.25">
      <c r="A264" s="10" t="s">
        <v>19</v>
      </c>
      <c r="B264" s="11" t="s">
        <v>14</v>
      </c>
      <c r="C264" s="11">
        <v>315.36200000000002</v>
      </c>
      <c r="D264" s="11">
        <v>1969</v>
      </c>
    </row>
    <row r="265" spans="1:4" ht="19.95" customHeight="1" x14ac:dyDescent="0.25">
      <c r="A265" s="10" t="s">
        <v>20</v>
      </c>
      <c r="B265" s="11" t="s">
        <v>14</v>
      </c>
      <c r="C265" s="11">
        <v>3131.6179999999999</v>
      </c>
      <c r="D265" s="11">
        <v>1969</v>
      </c>
    </row>
    <row r="266" spans="1:4" ht="19.95" customHeight="1" x14ac:dyDescent="0.25">
      <c r="A266" s="10" t="s">
        <v>21</v>
      </c>
      <c r="B266" s="11" t="s">
        <v>14</v>
      </c>
      <c r="C266" s="11"/>
      <c r="D266" s="11">
        <v>1969</v>
      </c>
    </row>
    <row r="267" spans="1:4" ht="19.95" customHeight="1" x14ac:dyDescent="0.25">
      <c r="A267" s="10" t="s">
        <v>22</v>
      </c>
      <c r="B267" s="11" t="s">
        <v>14</v>
      </c>
      <c r="C267" s="11">
        <v>1272.4490000000001</v>
      </c>
      <c r="D267" s="11">
        <v>1969</v>
      </c>
    </row>
    <row r="268" spans="1:4" ht="19.95" customHeight="1" x14ac:dyDescent="0.25">
      <c r="A268" s="10" t="s">
        <v>23</v>
      </c>
      <c r="B268" s="11" t="s">
        <v>14</v>
      </c>
      <c r="C268" s="11">
        <v>850.74400000000003</v>
      </c>
      <c r="D268" s="11">
        <v>1969</v>
      </c>
    </row>
    <row r="269" spans="1:4" ht="19.95" customHeight="1" x14ac:dyDescent="0.25">
      <c r="A269" s="10" t="s">
        <v>24</v>
      </c>
      <c r="B269" s="11" t="s">
        <v>14</v>
      </c>
      <c r="C269" s="11">
        <v>381.36799999999999</v>
      </c>
      <c r="D269" s="11">
        <v>1969</v>
      </c>
    </row>
    <row r="270" spans="1:4" ht="19.95" customHeight="1" x14ac:dyDescent="0.25">
      <c r="A270" s="10" t="s">
        <v>25</v>
      </c>
      <c r="B270" s="11" t="s">
        <v>14</v>
      </c>
      <c r="C270" s="11">
        <v>161.34800000000001</v>
      </c>
      <c r="D270" s="11">
        <v>1969</v>
      </c>
    </row>
    <row r="271" spans="1:4" ht="19.95" customHeight="1" x14ac:dyDescent="0.25">
      <c r="A271" s="10" t="s">
        <v>26</v>
      </c>
      <c r="B271" s="11" t="s">
        <v>14</v>
      </c>
      <c r="C271" s="11"/>
      <c r="D271" s="11">
        <v>1969</v>
      </c>
    </row>
    <row r="272" spans="1:4" ht="19.95" customHeight="1" x14ac:dyDescent="0.25">
      <c r="A272" s="10" t="s">
        <v>27</v>
      </c>
      <c r="B272" s="11" t="s">
        <v>14</v>
      </c>
      <c r="C272" s="11">
        <v>3241.6280000000002</v>
      </c>
      <c r="D272" s="11">
        <v>1969</v>
      </c>
    </row>
    <row r="273" spans="1:4" ht="19.95" customHeight="1" x14ac:dyDescent="0.25">
      <c r="A273" s="10" t="s">
        <v>29</v>
      </c>
      <c r="B273" s="11" t="s">
        <v>14</v>
      </c>
      <c r="C273" s="11">
        <v>3215.9589999999998</v>
      </c>
      <c r="D273" s="11">
        <v>1969</v>
      </c>
    </row>
    <row r="274" spans="1:4" ht="19.95" customHeight="1" x14ac:dyDescent="0.25">
      <c r="A274" s="10" t="s">
        <v>30</v>
      </c>
      <c r="B274" s="11" t="s">
        <v>14</v>
      </c>
      <c r="C274" s="11">
        <v>399.70299999999997</v>
      </c>
      <c r="D274" s="11">
        <v>1969</v>
      </c>
    </row>
    <row r="275" spans="1:4" ht="19.95" customHeight="1" x14ac:dyDescent="0.25">
      <c r="A275" s="10" t="s">
        <v>31</v>
      </c>
      <c r="B275" s="11" t="s">
        <v>14</v>
      </c>
      <c r="C275" s="11">
        <v>1287.117</v>
      </c>
      <c r="D275" s="11">
        <v>1969</v>
      </c>
    </row>
    <row r="276" spans="1:4" ht="19.95" customHeight="1" x14ac:dyDescent="0.25">
      <c r="A276" s="10" t="s">
        <v>32</v>
      </c>
      <c r="B276" s="11" t="s">
        <v>14</v>
      </c>
      <c r="C276" s="11">
        <v>190.684</v>
      </c>
      <c r="D276" s="11">
        <v>1969</v>
      </c>
    </row>
    <row r="277" spans="1:4" ht="19.95" customHeight="1" x14ac:dyDescent="0.25">
      <c r="A277" s="10" t="s">
        <v>33</v>
      </c>
      <c r="B277" s="11" t="s">
        <v>14</v>
      </c>
      <c r="C277" s="11">
        <v>58.671999999999997</v>
      </c>
      <c r="D277" s="11">
        <v>1969</v>
      </c>
    </row>
    <row r="278" spans="1:4" ht="19.95" customHeight="1" x14ac:dyDescent="0.25">
      <c r="A278" s="10" t="s">
        <v>34</v>
      </c>
      <c r="B278" s="11" t="s">
        <v>14</v>
      </c>
      <c r="C278" s="11">
        <v>14.667999999999999</v>
      </c>
      <c r="D278" s="11">
        <v>1969</v>
      </c>
    </row>
    <row r="279" spans="1:4" ht="19.95" customHeight="1" x14ac:dyDescent="0.25">
      <c r="A279" s="10" t="s">
        <v>35</v>
      </c>
      <c r="B279" s="11" t="s">
        <v>14</v>
      </c>
      <c r="C279" s="11">
        <v>4319.7259999999997</v>
      </c>
      <c r="D279" s="11">
        <v>1969</v>
      </c>
    </row>
    <row r="280" spans="1:4" ht="19.95" customHeight="1" x14ac:dyDescent="0.25">
      <c r="A280" s="10" t="s">
        <v>36</v>
      </c>
      <c r="B280" s="11" t="s">
        <v>14</v>
      </c>
      <c r="C280" s="11"/>
      <c r="D280" s="11">
        <v>1969</v>
      </c>
    </row>
    <row r="281" spans="1:4" ht="19.95" customHeight="1" x14ac:dyDescent="0.25">
      <c r="A281" s="10" t="s">
        <v>37</v>
      </c>
      <c r="B281" s="11" t="s">
        <v>14</v>
      </c>
      <c r="C281" s="11">
        <v>1796.83</v>
      </c>
      <c r="D281" s="11">
        <v>1969</v>
      </c>
    </row>
    <row r="282" spans="1:4" ht="19.95" customHeight="1" x14ac:dyDescent="0.25">
      <c r="A282" s="10" t="s">
        <v>38</v>
      </c>
      <c r="B282" s="11" t="s">
        <v>14</v>
      </c>
      <c r="C282" s="11">
        <v>1177.107</v>
      </c>
      <c r="D282" s="11">
        <v>1969</v>
      </c>
    </row>
    <row r="283" spans="1:4" ht="19.95" customHeight="1" x14ac:dyDescent="0.25">
      <c r="A283" s="10" t="s">
        <v>39</v>
      </c>
      <c r="B283" s="11" t="s">
        <v>14</v>
      </c>
      <c r="C283" s="11">
        <v>4275.7219999999998</v>
      </c>
      <c r="D283" s="11">
        <v>1969</v>
      </c>
    </row>
    <row r="284" spans="1:4" ht="19.95" customHeight="1" x14ac:dyDescent="0.25">
      <c r="A284" s="10" t="s">
        <v>40</v>
      </c>
      <c r="B284" s="11" t="s">
        <v>14</v>
      </c>
      <c r="C284" s="11">
        <v>6750.9470000000001</v>
      </c>
      <c r="D284" s="11">
        <v>1969</v>
      </c>
    </row>
    <row r="285" spans="1:4" ht="19.95" customHeight="1" x14ac:dyDescent="0.25">
      <c r="A285" s="10" t="s">
        <v>10</v>
      </c>
      <c r="B285" s="11" t="s">
        <v>14</v>
      </c>
      <c r="C285" s="11">
        <v>62.338999999999999</v>
      </c>
      <c r="D285" s="11">
        <v>1970</v>
      </c>
    </row>
    <row r="286" spans="1:4" ht="19.95" customHeight="1" x14ac:dyDescent="0.25">
      <c r="A286" s="10" t="s">
        <v>13</v>
      </c>
      <c r="B286" s="11" t="s">
        <v>14</v>
      </c>
      <c r="C286" s="11">
        <v>638.05799999999999</v>
      </c>
      <c r="D286" s="11">
        <v>1970</v>
      </c>
    </row>
    <row r="287" spans="1:4" ht="19.95" customHeight="1" x14ac:dyDescent="0.25">
      <c r="A287" s="10" t="s">
        <v>15</v>
      </c>
      <c r="B287" s="11" t="s">
        <v>14</v>
      </c>
      <c r="C287" s="11">
        <v>124.678</v>
      </c>
      <c r="D287" s="11">
        <v>1970</v>
      </c>
    </row>
    <row r="288" spans="1:4" ht="19.95" customHeight="1" x14ac:dyDescent="0.25">
      <c r="A288" s="10" t="s">
        <v>16</v>
      </c>
      <c r="B288" s="11" t="s">
        <v>14</v>
      </c>
      <c r="C288" s="11">
        <v>29.335999999999999</v>
      </c>
      <c r="D288" s="11">
        <v>1970</v>
      </c>
    </row>
    <row r="289" spans="1:4" ht="19.95" customHeight="1" x14ac:dyDescent="0.25">
      <c r="A289" s="10" t="s">
        <v>17</v>
      </c>
      <c r="B289" s="11" t="s">
        <v>14</v>
      </c>
      <c r="C289" s="11">
        <v>139.346</v>
      </c>
      <c r="D289" s="11">
        <v>1970</v>
      </c>
    </row>
    <row r="290" spans="1:4" ht="19.95" customHeight="1" x14ac:dyDescent="0.25">
      <c r="A290" s="10" t="s">
        <v>2</v>
      </c>
      <c r="B290" s="11" t="s">
        <v>14</v>
      </c>
      <c r="C290" s="11">
        <v>1653.817</v>
      </c>
      <c r="D290" s="11">
        <v>1970</v>
      </c>
    </row>
    <row r="291" spans="1:4" ht="19.95" customHeight="1" x14ac:dyDescent="0.25">
      <c r="A291" s="10" t="s">
        <v>18</v>
      </c>
      <c r="B291" s="11" t="s">
        <v>14</v>
      </c>
      <c r="C291" s="11">
        <v>792.072</v>
      </c>
      <c r="D291" s="11">
        <v>1970</v>
      </c>
    </row>
    <row r="292" spans="1:4" ht="19.95" customHeight="1" x14ac:dyDescent="0.25">
      <c r="A292" s="10" t="s">
        <v>19</v>
      </c>
      <c r="B292" s="11" t="s">
        <v>14</v>
      </c>
      <c r="C292" s="11">
        <v>385.03500000000003</v>
      </c>
      <c r="D292" s="11">
        <v>1970</v>
      </c>
    </row>
    <row r="293" spans="1:4" ht="19.95" customHeight="1" x14ac:dyDescent="0.25">
      <c r="A293" s="10" t="s">
        <v>20</v>
      </c>
      <c r="B293" s="11" t="s">
        <v>14</v>
      </c>
      <c r="C293" s="11">
        <v>3083.9470000000001</v>
      </c>
      <c r="D293" s="11">
        <v>1970</v>
      </c>
    </row>
    <row r="294" spans="1:4" ht="19.95" customHeight="1" x14ac:dyDescent="0.25">
      <c r="A294" s="10" t="s">
        <v>21</v>
      </c>
      <c r="B294" s="11" t="s">
        <v>14</v>
      </c>
      <c r="C294" s="11"/>
      <c r="D294" s="11">
        <v>1970</v>
      </c>
    </row>
    <row r="295" spans="1:4" ht="19.95" customHeight="1" x14ac:dyDescent="0.25">
      <c r="A295" s="10" t="s">
        <v>22</v>
      </c>
      <c r="B295" s="11" t="s">
        <v>14</v>
      </c>
      <c r="C295" s="11">
        <v>1452.1320000000001</v>
      </c>
      <c r="D295" s="11">
        <v>1970</v>
      </c>
    </row>
    <row r="296" spans="1:4" ht="19.95" customHeight="1" x14ac:dyDescent="0.25">
      <c r="A296" s="10" t="s">
        <v>23</v>
      </c>
      <c r="B296" s="11" t="s">
        <v>14</v>
      </c>
      <c r="C296" s="11">
        <v>971.755</v>
      </c>
      <c r="D296" s="11">
        <v>1970</v>
      </c>
    </row>
    <row r="297" spans="1:4" ht="19.95" customHeight="1" x14ac:dyDescent="0.25">
      <c r="A297" s="10" t="s">
        <v>24</v>
      </c>
      <c r="B297" s="11" t="s">
        <v>14</v>
      </c>
      <c r="C297" s="11">
        <v>454.70800000000003</v>
      </c>
      <c r="D297" s="11">
        <v>1970</v>
      </c>
    </row>
    <row r="298" spans="1:4" ht="19.95" customHeight="1" x14ac:dyDescent="0.25">
      <c r="A298" s="10" t="s">
        <v>25</v>
      </c>
      <c r="B298" s="11" t="s">
        <v>14</v>
      </c>
      <c r="C298" s="11">
        <v>201.685</v>
      </c>
      <c r="D298" s="11">
        <v>1970</v>
      </c>
    </row>
    <row r="299" spans="1:4" ht="19.95" customHeight="1" x14ac:dyDescent="0.25">
      <c r="A299" s="10" t="s">
        <v>26</v>
      </c>
      <c r="B299" s="11" t="s">
        <v>14</v>
      </c>
      <c r="C299" s="11"/>
      <c r="D299" s="11">
        <v>1970</v>
      </c>
    </row>
    <row r="300" spans="1:4" ht="19.95" customHeight="1" x14ac:dyDescent="0.25">
      <c r="A300" s="10" t="s">
        <v>27</v>
      </c>
      <c r="B300" s="11" t="s">
        <v>14</v>
      </c>
      <c r="C300" s="11">
        <v>2984.9380000000001</v>
      </c>
      <c r="D300" s="11">
        <v>1970</v>
      </c>
    </row>
    <row r="301" spans="1:4" ht="19.95" customHeight="1" x14ac:dyDescent="0.25">
      <c r="A301" s="10" t="s">
        <v>29</v>
      </c>
      <c r="B301" s="11" t="s">
        <v>14</v>
      </c>
      <c r="C301" s="11">
        <v>4616.7529999999997</v>
      </c>
      <c r="D301" s="11">
        <v>1970</v>
      </c>
    </row>
    <row r="302" spans="1:4" ht="19.95" customHeight="1" x14ac:dyDescent="0.25">
      <c r="A302" s="10" t="s">
        <v>30</v>
      </c>
      <c r="B302" s="11" t="s">
        <v>14</v>
      </c>
      <c r="C302" s="11">
        <v>227.35400000000001</v>
      </c>
      <c r="D302" s="11">
        <v>1970</v>
      </c>
    </row>
    <row r="303" spans="1:4" ht="19.95" customHeight="1" x14ac:dyDescent="0.25">
      <c r="A303" s="10" t="s">
        <v>31</v>
      </c>
      <c r="B303" s="11" t="s">
        <v>14</v>
      </c>
      <c r="C303" s="11">
        <v>1404.461</v>
      </c>
      <c r="D303" s="11">
        <v>1970</v>
      </c>
    </row>
    <row r="304" spans="1:4" ht="19.95" customHeight="1" x14ac:dyDescent="0.25">
      <c r="A304" s="10" t="s">
        <v>32</v>
      </c>
      <c r="B304" s="11" t="s">
        <v>14</v>
      </c>
      <c r="C304" s="11">
        <v>216.35300000000001</v>
      </c>
      <c r="D304" s="11">
        <v>1970</v>
      </c>
    </row>
    <row r="305" spans="1:4" ht="19.95" customHeight="1" x14ac:dyDescent="0.25">
      <c r="A305" s="10" t="s">
        <v>33</v>
      </c>
      <c r="B305" s="11" t="s">
        <v>14</v>
      </c>
      <c r="C305" s="11">
        <v>58.671999999999997</v>
      </c>
      <c r="D305" s="11">
        <v>1970</v>
      </c>
    </row>
    <row r="306" spans="1:4" ht="19.95" customHeight="1" x14ac:dyDescent="0.25">
      <c r="A306" s="10" t="s">
        <v>34</v>
      </c>
      <c r="B306" s="11" t="s">
        <v>14</v>
      </c>
      <c r="C306" s="11">
        <v>14.667999999999999</v>
      </c>
      <c r="D306" s="11">
        <v>1970</v>
      </c>
    </row>
    <row r="307" spans="1:4" ht="19.95" customHeight="1" x14ac:dyDescent="0.25">
      <c r="A307" s="10" t="s">
        <v>35</v>
      </c>
      <c r="B307" s="11" t="s">
        <v>14</v>
      </c>
      <c r="C307" s="11">
        <v>3597.3270000000002</v>
      </c>
      <c r="D307" s="11">
        <v>1970</v>
      </c>
    </row>
    <row r="308" spans="1:4" ht="19.95" customHeight="1" x14ac:dyDescent="0.25">
      <c r="A308" s="10" t="s">
        <v>36</v>
      </c>
      <c r="B308" s="11" t="s">
        <v>14</v>
      </c>
      <c r="C308" s="11"/>
      <c r="D308" s="11">
        <v>1970</v>
      </c>
    </row>
    <row r="309" spans="1:4" ht="19.95" customHeight="1" x14ac:dyDescent="0.25">
      <c r="A309" s="10" t="s">
        <v>37</v>
      </c>
      <c r="B309" s="11" t="s">
        <v>14</v>
      </c>
      <c r="C309" s="11">
        <v>1767.4939999999999</v>
      </c>
      <c r="D309" s="11">
        <v>1970</v>
      </c>
    </row>
    <row r="310" spans="1:4" ht="19.95" customHeight="1" x14ac:dyDescent="0.25">
      <c r="A310" s="10" t="s">
        <v>38</v>
      </c>
      <c r="B310" s="11" t="s">
        <v>14</v>
      </c>
      <c r="C310" s="11">
        <v>1444.798</v>
      </c>
      <c r="D310" s="11">
        <v>1970</v>
      </c>
    </row>
    <row r="311" spans="1:4" ht="19.95" customHeight="1" x14ac:dyDescent="0.25">
      <c r="A311" s="10" t="s">
        <v>39</v>
      </c>
      <c r="B311" s="11" t="s">
        <v>14</v>
      </c>
      <c r="C311" s="11">
        <v>3769.6759999999999</v>
      </c>
      <c r="D311" s="11">
        <v>1970</v>
      </c>
    </row>
    <row r="312" spans="1:4" ht="19.95" customHeight="1" x14ac:dyDescent="0.25">
      <c r="A312" s="10" t="s">
        <v>40</v>
      </c>
      <c r="B312" s="11" t="s">
        <v>14</v>
      </c>
      <c r="C312" s="11">
        <v>8162.7420000000002</v>
      </c>
      <c r="D312" s="11">
        <v>1970</v>
      </c>
    </row>
    <row r="313" spans="1:4" ht="19.95" customHeight="1" x14ac:dyDescent="0.25">
      <c r="A313" s="10" t="s">
        <v>10</v>
      </c>
      <c r="B313" s="11" t="s">
        <v>14</v>
      </c>
      <c r="C313" s="11">
        <v>73.34</v>
      </c>
      <c r="D313" s="11">
        <v>1971</v>
      </c>
    </row>
    <row r="314" spans="1:4" ht="19.95" customHeight="1" x14ac:dyDescent="0.25">
      <c r="A314" s="10" t="s">
        <v>13</v>
      </c>
      <c r="B314" s="11" t="s">
        <v>14</v>
      </c>
      <c r="C314" s="11">
        <v>810.40700000000004</v>
      </c>
      <c r="D314" s="11">
        <v>1971</v>
      </c>
    </row>
    <row r="315" spans="1:4" ht="19.95" customHeight="1" x14ac:dyDescent="0.25">
      <c r="A315" s="10" t="s">
        <v>15</v>
      </c>
      <c r="B315" s="11" t="s">
        <v>14</v>
      </c>
      <c r="C315" s="11">
        <v>150.34700000000001</v>
      </c>
      <c r="D315" s="11">
        <v>1971</v>
      </c>
    </row>
    <row r="316" spans="1:4" ht="19.95" customHeight="1" x14ac:dyDescent="0.25">
      <c r="A316" s="10" t="s">
        <v>16</v>
      </c>
      <c r="B316" s="11" t="s">
        <v>14</v>
      </c>
      <c r="C316" s="11">
        <v>29.335999999999999</v>
      </c>
      <c r="D316" s="11">
        <v>1971</v>
      </c>
    </row>
    <row r="317" spans="1:4" ht="19.95" customHeight="1" x14ac:dyDescent="0.25">
      <c r="A317" s="10" t="s">
        <v>17</v>
      </c>
      <c r="B317" s="11" t="s">
        <v>14</v>
      </c>
      <c r="C317" s="11">
        <v>161.34800000000001</v>
      </c>
      <c r="D317" s="11">
        <v>1971</v>
      </c>
    </row>
    <row r="318" spans="1:4" ht="19.95" customHeight="1" x14ac:dyDescent="0.25">
      <c r="A318" s="10" t="s">
        <v>2</v>
      </c>
      <c r="B318" s="11" t="s">
        <v>14</v>
      </c>
      <c r="C318" s="11">
        <v>1851.835</v>
      </c>
      <c r="D318" s="11">
        <v>1971</v>
      </c>
    </row>
    <row r="319" spans="1:4" ht="19.95" customHeight="1" x14ac:dyDescent="0.25">
      <c r="A319" s="10" t="s">
        <v>18</v>
      </c>
      <c r="B319" s="11" t="s">
        <v>14</v>
      </c>
      <c r="C319" s="11">
        <v>814.07399999999996</v>
      </c>
      <c r="D319" s="11">
        <v>1971</v>
      </c>
    </row>
    <row r="320" spans="1:4" ht="19.95" customHeight="1" x14ac:dyDescent="0.25">
      <c r="A320" s="10" t="s">
        <v>19</v>
      </c>
      <c r="B320" s="11" t="s">
        <v>14</v>
      </c>
      <c r="C320" s="11">
        <v>403.37</v>
      </c>
      <c r="D320" s="11">
        <v>1971</v>
      </c>
    </row>
    <row r="321" spans="1:4" ht="19.95" customHeight="1" x14ac:dyDescent="0.25">
      <c r="A321" s="10" t="s">
        <v>20</v>
      </c>
      <c r="B321" s="11" t="s">
        <v>14</v>
      </c>
      <c r="C321" s="11">
        <v>3685.335</v>
      </c>
      <c r="D321" s="11">
        <v>1971</v>
      </c>
    </row>
    <row r="322" spans="1:4" ht="19.95" customHeight="1" x14ac:dyDescent="0.25">
      <c r="A322" s="10" t="s">
        <v>21</v>
      </c>
      <c r="B322" s="11" t="s">
        <v>14</v>
      </c>
      <c r="C322" s="11"/>
      <c r="D322" s="11">
        <v>1971</v>
      </c>
    </row>
    <row r="323" spans="1:4" ht="19.95" customHeight="1" x14ac:dyDescent="0.25">
      <c r="A323" s="10" t="s">
        <v>22</v>
      </c>
      <c r="B323" s="11" t="s">
        <v>14</v>
      </c>
      <c r="C323" s="11">
        <v>1525.472</v>
      </c>
      <c r="D323" s="11">
        <v>1971</v>
      </c>
    </row>
    <row r="324" spans="1:4" ht="19.95" customHeight="1" x14ac:dyDescent="0.25">
      <c r="A324" s="10" t="s">
        <v>23</v>
      </c>
      <c r="B324" s="11" t="s">
        <v>14</v>
      </c>
      <c r="C324" s="11">
        <v>1026.76</v>
      </c>
      <c r="D324" s="11">
        <v>1971</v>
      </c>
    </row>
    <row r="325" spans="1:4" ht="19.95" customHeight="1" x14ac:dyDescent="0.25">
      <c r="A325" s="10" t="s">
        <v>24</v>
      </c>
      <c r="B325" s="11" t="s">
        <v>14</v>
      </c>
      <c r="C325" s="11">
        <v>502.37900000000002</v>
      </c>
      <c r="D325" s="11">
        <v>1971</v>
      </c>
    </row>
    <row r="326" spans="1:4" ht="19.95" customHeight="1" x14ac:dyDescent="0.25">
      <c r="A326" s="10" t="s">
        <v>25</v>
      </c>
      <c r="B326" s="11" t="s">
        <v>14</v>
      </c>
      <c r="C326" s="11">
        <v>227.35400000000001</v>
      </c>
      <c r="D326" s="11">
        <v>1971</v>
      </c>
    </row>
    <row r="327" spans="1:4" ht="19.95" customHeight="1" x14ac:dyDescent="0.25">
      <c r="A327" s="10" t="s">
        <v>26</v>
      </c>
      <c r="B327" s="11" t="s">
        <v>14</v>
      </c>
      <c r="C327" s="11"/>
      <c r="D327" s="11">
        <v>1971</v>
      </c>
    </row>
    <row r="328" spans="1:4" ht="19.95" customHeight="1" x14ac:dyDescent="0.25">
      <c r="A328" s="10" t="s">
        <v>27</v>
      </c>
      <c r="B328" s="11" t="s">
        <v>14</v>
      </c>
      <c r="C328" s="11">
        <v>3615.6619999999998</v>
      </c>
      <c r="D328" s="11">
        <v>1971</v>
      </c>
    </row>
    <row r="329" spans="1:4" ht="19.95" customHeight="1" x14ac:dyDescent="0.25">
      <c r="A329" s="10" t="s">
        <v>29</v>
      </c>
      <c r="B329" s="11" t="s">
        <v>14</v>
      </c>
      <c r="C329" s="11">
        <v>5104.4639999999999</v>
      </c>
      <c r="D329" s="11">
        <v>1971</v>
      </c>
    </row>
    <row r="330" spans="1:4" ht="19.95" customHeight="1" x14ac:dyDescent="0.25">
      <c r="A330" s="10" t="s">
        <v>30</v>
      </c>
      <c r="B330" s="11" t="s">
        <v>14</v>
      </c>
      <c r="C330" s="11">
        <v>198.018</v>
      </c>
      <c r="D330" s="11">
        <v>1971</v>
      </c>
    </row>
    <row r="331" spans="1:4" ht="19.95" customHeight="1" x14ac:dyDescent="0.25">
      <c r="A331" s="10" t="s">
        <v>31</v>
      </c>
      <c r="B331" s="11" t="s">
        <v>14</v>
      </c>
      <c r="C331" s="11">
        <v>1507.1369999999999</v>
      </c>
      <c r="D331" s="11">
        <v>1971</v>
      </c>
    </row>
    <row r="332" spans="1:4" ht="19.95" customHeight="1" x14ac:dyDescent="0.25">
      <c r="A332" s="10" t="s">
        <v>32</v>
      </c>
      <c r="B332" s="11" t="s">
        <v>14</v>
      </c>
      <c r="C332" s="11">
        <v>231.02099999999999</v>
      </c>
      <c r="D332" s="11">
        <v>1971</v>
      </c>
    </row>
    <row r="333" spans="1:4" ht="19.95" customHeight="1" x14ac:dyDescent="0.25">
      <c r="A333" s="10" t="s">
        <v>33</v>
      </c>
      <c r="B333" s="11" t="s">
        <v>14</v>
      </c>
      <c r="C333" s="11">
        <v>62.338999999999999</v>
      </c>
      <c r="D333" s="11">
        <v>1971</v>
      </c>
    </row>
    <row r="334" spans="1:4" ht="19.95" customHeight="1" x14ac:dyDescent="0.25">
      <c r="A334" s="10" t="s">
        <v>34</v>
      </c>
      <c r="B334" s="11" t="s">
        <v>14</v>
      </c>
      <c r="C334" s="11">
        <v>11.000999999999999</v>
      </c>
      <c r="D334" s="11">
        <v>1971</v>
      </c>
    </row>
    <row r="335" spans="1:4" ht="19.95" customHeight="1" x14ac:dyDescent="0.25">
      <c r="A335" s="10" t="s">
        <v>35</v>
      </c>
      <c r="B335" s="11" t="s">
        <v>14</v>
      </c>
      <c r="C335" s="11">
        <v>3197.6239999999998</v>
      </c>
      <c r="D335" s="11">
        <v>1971</v>
      </c>
    </row>
    <row r="336" spans="1:4" ht="19.95" customHeight="1" x14ac:dyDescent="0.25">
      <c r="A336" s="10" t="s">
        <v>36</v>
      </c>
      <c r="B336" s="11" t="s">
        <v>14</v>
      </c>
      <c r="C336" s="11"/>
      <c r="D336" s="11">
        <v>1971</v>
      </c>
    </row>
    <row r="337" spans="1:4" ht="19.95" customHeight="1" x14ac:dyDescent="0.25">
      <c r="A337" s="10" t="s">
        <v>37</v>
      </c>
      <c r="B337" s="11" t="s">
        <v>14</v>
      </c>
      <c r="C337" s="11">
        <v>2464.2240000000002</v>
      </c>
      <c r="D337" s="11">
        <v>1971</v>
      </c>
    </row>
    <row r="338" spans="1:4" ht="19.95" customHeight="1" x14ac:dyDescent="0.25">
      <c r="A338" s="10" t="s">
        <v>38</v>
      </c>
      <c r="B338" s="11" t="s">
        <v>14</v>
      </c>
      <c r="C338" s="11">
        <v>1441.1310000000001</v>
      </c>
      <c r="D338" s="11">
        <v>1971</v>
      </c>
    </row>
    <row r="339" spans="1:4" ht="19.95" customHeight="1" x14ac:dyDescent="0.25">
      <c r="A339" s="10" t="s">
        <v>39</v>
      </c>
      <c r="B339" s="11" t="s">
        <v>14</v>
      </c>
      <c r="C339" s="11">
        <v>3791.6779999999999</v>
      </c>
      <c r="D339" s="11">
        <v>1971</v>
      </c>
    </row>
    <row r="340" spans="1:4" ht="19.95" customHeight="1" x14ac:dyDescent="0.25">
      <c r="A340" s="10" t="s">
        <v>40</v>
      </c>
      <c r="B340" s="11" t="s">
        <v>14</v>
      </c>
      <c r="C340" s="11">
        <v>8742.1280000000006</v>
      </c>
      <c r="D340" s="11">
        <v>1971</v>
      </c>
    </row>
    <row r="341" spans="1:4" ht="19.95" customHeight="1" x14ac:dyDescent="0.25">
      <c r="A341" s="10" t="s">
        <v>10</v>
      </c>
      <c r="B341" s="11" t="s">
        <v>14</v>
      </c>
      <c r="C341" s="11">
        <v>73.34</v>
      </c>
      <c r="D341" s="11">
        <v>1972</v>
      </c>
    </row>
    <row r="342" spans="1:4" ht="19.95" customHeight="1" x14ac:dyDescent="0.25">
      <c r="A342" s="10" t="s">
        <v>13</v>
      </c>
      <c r="B342" s="11" t="s">
        <v>14</v>
      </c>
      <c r="C342" s="11">
        <v>861.745</v>
      </c>
      <c r="D342" s="11">
        <v>1972</v>
      </c>
    </row>
    <row r="343" spans="1:4" ht="19.95" customHeight="1" x14ac:dyDescent="0.25">
      <c r="A343" s="10" t="s">
        <v>15</v>
      </c>
      <c r="B343" s="11" t="s">
        <v>14</v>
      </c>
      <c r="C343" s="11">
        <v>121.011</v>
      </c>
      <c r="D343" s="11">
        <v>1972</v>
      </c>
    </row>
    <row r="344" spans="1:4" ht="19.95" customHeight="1" x14ac:dyDescent="0.25">
      <c r="A344" s="10" t="s">
        <v>16</v>
      </c>
      <c r="B344" s="11" t="s">
        <v>14</v>
      </c>
      <c r="C344" s="11">
        <v>29.335999999999999</v>
      </c>
      <c r="D344" s="11">
        <v>1972</v>
      </c>
    </row>
    <row r="345" spans="1:4" ht="19.95" customHeight="1" x14ac:dyDescent="0.25">
      <c r="A345" s="10" t="s">
        <v>17</v>
      </c>
      <c r="B345" s="11" t="s">
        <v>14</v>
      </c>
      <c r="C345" s="11">
        <v>190.684</v>
      </c>
      <c r="D345" s="11">
        <v>1972</v>
      </c>
    </row>
    <row r="346" spans="1:4" ht="19.95" customHeight="1" x14ac:dyDescent="0.25">
      <c r="A346" s="10" t="s">
        <v>2</v>
      </c>
      <c r="B346" s="11" t="s">
        <v>14</v>
      </c>
      <c r="C346" s="11">
        <v>1408.1279999999999</v>
      </c>
      <c r="D346" s="11">
        <v>1972</v>
      </c>
    </row>
    <row r="347" spans="1:4" ht="19.95" customHeight="1" x14ac:dyDescent="0.25">
      <c r="A347" s="10" t="s">
        <v>18</v>
      </c>
      <c r="B347" s="11" t="s">
        <v>14</v>
      </c>
      <c r="C347" s="11">
        <v>832.40899999999999</v>
      </c>
      <c r="D347" s="11">
        <v>1972</v>
      </c>
    </row>
    <row r="348" spans="1:4" ht="19.95" customHeight="1" x14ac:dyDescent="0.25">
      <c r="A348" s="10" t="s">
        <v>19</v>
      </c>
      <c r="B348" s="11" t="s">
        <v>14</v>
      </c>
      <c r="C348" s="11">
        <v>392.36900000000003</v>
      </c>
      <c r="D348" s="11">
        <v>1972</v>
      </c>
    </row>
    <row r="349" spans="1:4" ht="19.95" customHeight="1" x14ac:dyDescent="0.25">
      <c r="A349" s="10" t="s">
        <v>20</v>
      </c>
      <c r="B349" s="11" t="s">
        <v>14</v>
      </c>
      <c r="C349" s="11">
        <v>3872.3519999999999</v>
      </c>
      <c r="D349" s="11">
        <v>1972</v>
      </c>
    </row>
    <row r="350" spans="1:4" ht="19.95" customHeight="1" x14ac:dyDescent="0.25">
      <c r="A350" s="10" t="s">
        <v>21</v>
      </c>
      <c r="B350" s="11" t="s">
        <v>14</v>
      </c>
      <c r="C350" s="11"/>
      <c r="D350" s="11">
        <v>1972</v>
      </c>
    </row>
    <row r="351" spans="1:4" ht="19.95" customHeight="1" x14ac:dyDescent="0.25">
      <c r="A351" s="10" t="s">
        <v>22</v>
      </c>
      <c r="B351" s="11" t="s">
        <v>14</v>
      </c>
      <c r="C351" s="11">
        <v>1507.1369999999999</v>
      </c>
      <c r="D351" s="11">
        <v>1972</v>
      </c>
    </row>
    <row r="352" spans="1:4" ht="19.95" customHeight="1" x14ac:dyDescent="0.25">
      <c r="A352" s="10" t="s">
        <v>23</v>
      </c>
      <c r="B352" s="11" t="s">
        <v>14</v>
      </c>
      <c r="C352" s="11">
        <v>1287.117</v>
      </c>
      <c r="D352" s="11">
        <v>1972</v>
      </c>
    </row>
    <row r="353" spans="1:4" ht="19.95" customHeight="1" x14ac:dyDescent="0.25">
      <c r="A353" s="10" t="s">
        <v>24</v>
      </c>
      <c r="B353" s="11" t="s">
        <v>14</v>
      </c>
      <c r="C353" s="11">
        <v>546.38300000000004</v>
      </c>
      <c r="D353" s="11">
        <v>1972</v>
      </c>
    </row>
    <row r="354" spans="1:4" ht="19.95" customHeight="1" x14ac:dyDescent="0.25">
      <c r="A354" s="10" t="s">
        <v>25</v>
      </c>
      <c r="B354" s="11" t="s">
        <v>14</v>
      </c>
      <c r="C354" s="11">
        <v>245.68899999999999</v>
      </c>
      <c r="D354" s="11">
        <v>1972</v>
      </c>
    </row>
    <row r="355" spans="1:4" ht="19.95" customHeight="1" x14ac:dyDescent="0.25">
      <c r="A355" s="10" t="s">
        <v>26</v>
      </c>
      <c r="B355" s="11" t="s">
        <v>14</v>
      </c>
      <c r="C355" s="11"/>
      <c r="D355" s="11">
        <v>1972</v>
      </c>
    </row>
    <row r="356" spans="1:4" ht="19.95" customHeight="1" x14ac:dyDescent="0.25">
      <c r="A356" s="10" t="s">
        <v>27</v>
      </c>
      <c r="B356" s="11" t="s">
        <v>14</v>
      </c>
      <c r="C356" s="11">
        <v>3300.3</v>
      </c>
      <c r="D356" s="11">
        <v>1972</v>
      </c>
    </row>
    <row r="357" spans="1:4" ht="19.95" customHeight="1" x14ac:dyDescent="0.25">
      <c r="A357" s="10" t="s">
        <v>29</v>
      </c>
      <c r="B357" s="11" t="s">
        <v>14</v>
      </c>
      <c r="C357" s="11">
        <v>4899.1120000000001</v>
      </c>
      <c r="D357" s="11">
        <v>1972</v>
      </c>
    </row>
    <row r="358" spans="1:4" ht="19.95" customHeight="1" x14ac:dyDescent="0.25">
      <c r="A358" s="10" t="s">
        <v>30</v>
      </c>
      <c r="B358" s="11" t="s">
        <v>14</v>
      </c>
      <c r="C358" s="11">
        <v>267.69099999999997</v>
      </c>
      <c r="D358" s="11">
        <v>1972</v>
      </c>
    </row>
    <row r="359" spans="1:4" ht="19.95" customHeight="1" x14ac:dyDescent="0.25">
      <c r="A359" s="10" t="s">
        <v>31</v>
      </c>
      <c r="B359" s="11" t="s">
        <v>14</v>
      </c>
      <c r="C359" s="11">
        <v>1606.146</v>
      </c>
      <c r="D359" s="11">
        <v>1972</v>
      </c>
    </row>
    <row r="360" spans="1:4" ht="19.95" customHeight="1" x14ac:dyDescent="0.25">
      <c r="A360" s="10" t="s">
        <v>32</v>
      </c>
      <c r="B360" s="11" t="s">
        <v>14</v>
      </c>
      <c r="C360" s="11">
        <v>253.023</v>
      </c>
      <c r="D360" s="11">
        <v>1972</v>
      </c>
    </row>
    <row r="361" spans="1:4" ht="19.95" customHeight="1" x14ac:dyDescent="0.25">
      <c r="A361" s="10" t="s">
        <v>33</v>
      </c>
      <c r="B361" s="11" t="s">
        <v>14</v>
      </c>
      <c r="C361" s="11">
        <v>66.006</v>
      </c>
      <c r="D361" s="11">
        <v>1972</v>
      </c>
    </row>
    <row r="362" spans="1:4" ht="19.95" customHeight="1" x14ac:dyDescent="0.25">
      <c r="A362" s="10" t="s">
        <v>34</v>
      </c>
      <c r="B362" s="11" t="s">
        <v>14</v>
      </c>
      <c r="C362" s="11">
        <v>11.000999999999999</v>
      </c>
      <c r="D362" s="11">
        <v>1972</v>
      </c>
    </row>
    <row r="363" spans="1:4" ht="19.95" customHeight="1" x14ac:dyDescent="0.25">
      <c r="A363" s="10" t="s">
        <v>35</v>
      </c>
      <c r="B363" s="11" t="s">
        <v>14</v>
      </c>
      <c r="C363" s="11">
        <v>3542.3220000000001</v>
      </c>
      <c r="D363" s="11">
        <v>1972</v>
      </c>
    </row>
    <row r="364" spans="1:4" ht="19.95" customHeight="1" x14ac:dyDescent="0.25">
      <c r="A364" s="10" t="s">
        <v>36</v>
      </c>
      <c r="B364" s="11" t="s">
        <v>14</v>
      </c>
      <c r="C364" s="11"/>
      <c r="D364" s="11">
        <v>1972</v>
      </c>
    </row>
    <row r="365" spans="1:4" ht="19.95" customHeight="1" x14ac:dyDescent="0.25">
      <c r="A365" s="10" t="s">
        <v>37</v>
      </c>
      <c r="B365" s="11" t="s">
        <v>14</v>
      </c>
      <c r="C365" s="11">
        <v>2167.1970000000001</v>
      </c>
      <c r="D365" s="11">
        <v>1972</v>
      </c>
    </row>
    <row r="366" spans="1:4" ht="19.95" customHeight="1" x14ac:dyDescent="0.25">
      <c r="A366" s="10" t="s">
        <v>38</v>
      </c>
      <c r="B366" s="11" t="s">
        <v>14</v>
      </c>
      <c r="C366" s="11">
        <v>1382.4590000000001</v>
      </c>
      <c r="D366" s="11">
        <v>1972</v>
      </c>
    </row>
    <row r="367" spans="1:4" ht="19.95" customHeight="1" x14ac:dyDescent="0.25">
      <c r="A367" s="10" t="s">
        <v>39</v>
      </c>
      <c r="B367" s="11" t="s">
        <v>14</v>
      </c>
      <c r="C367" s="11">
        <v>4066.703</v>
      </c>
      <c r="D367" s="11">
        <v>1972</v>
      </c>
    </row>
    <row r="368" spans="1:4" ht="19.95" customHeight="1" x14ac:dyDescent="0.25">
      <c r="A368" s="10" t="s">
        <v>40</v>
      </c>
      <c r="B368" s="11" t="s">
        <v>14</v>
      </c>
      <c r="C368" s="11">
        <v>8225.0810000000001</v>
      </c>
      <c r="D368" s="11">
        <v>1972</v>
      </c>
    </row>
    <row r="369" spans="1:4" ht="19.95" customHeight="1" x14ac:dyDescent="0.25">
      <c r="A369" s="10" t="s">
        <v>10</v>
      </c>
      <c r="B369" s="11" t="s">
        <v>14</v>
      </c>
      <c r="C369" s="11">
        <v>73.34</v>
      </c>
      <c r="D369" s="11">
        <v>1973</v>
      </c>
    </row>
    <row r="370" spans="1:4" ht="19.95" customHeight="1" x14ac:dyDescent="0.25">
      <c r="A370" s="10" t="s">
        <v>13</v>
      </c>
      <c r="B370" s="11" t="s">
        <v>14</v>
      </c>
      <c r="C370" s="11">
        <v>898.41499999999996</v>
      </c>
      <c r="D370" s="11">
        <v>1973</v>
      </c>
    </row>
    <row r="371" spans="1:4" ht="19.95" customHeight="1" x14ac:dyDescent="0.25">
      <c r="A371" s="10" t="s">
        <v>15</v>
      </c>
      <c r="B371" s="11" t="s">
        <v>14</v>
      </c>
      <c r="C371" s="11">
        <v>161.34800000000001</v>
      </c>
      <c r="D371" s="11">
        <v>1973</v>
      </c>
    </row>
    <row r="372" spans="1:4" ht="19.95" customHeight="1" x14ac:dyDescent="0.25">
      <c r="A372" s="10" t="s">
        <v>16</v>
      </c>
      <c r="B372" s="11" t="s">
        <v>14</v>
      </c>
      <c r="C372" s="11">
        <v>29.335999999999999</v>
      </c>
      <c r="D372" s="11">
        <v>1973</v>
      </c>
    </row>
    <row r="373" spans="1:4" ht="19.95" customHeight="1" x14ac:dyDescent="0.25">
      <c r="A373" s="10" t="s">
        <v>17</v>
      </c>
      <c r="B373" s="11" t="s">
        <v>14</v>
      </c>
      <c r="C373" s="11">
        <v>179.68299999999999</v>
      </c>
      <c r="D373" s="11">
        <v>1973</v>
      </c>
    </row>
    <row r="374" spans="1:4" ht="19.95" customHeight="1" x14ac:dyDescent="0.25">
      <c r="A374" s="10" t="s">
        <v>2</v>
      </c>
      <c r="B374" s="11" t="s">
        <v>14</v>
      </c>
      <c r="C374" s="11">
        <v>1752.826</v>
      </c>
      <c r="D374" s="11">
        <v>1973</v>
      </c>
    </row>
    <row r="375" spans="1:4" ht="19.95" customHeight="1" x14ac:dyDescent="0.25">
      <c r="A375" s="10" t="s">
        <v>18</v>
      </c>
      <c r="B375" s="11" t="s">
        <v>14</v>
      </c>
      <c r="C375" s="11">
        <v>803.07299999999998</v>
      </c>
      <c r="D375" s="11">
        <v>1973</v>
      </c>
    </row>
    <row r="376" spans="1:4" ht="19.95" customHeight="1" x14ac:dyDescent="0.25">
      <c r="A376" s="10" t="s">
        <v>19</v>
      </c>
      <c r="B376" s="11" t="s">
        <v>14</v>
      </c>
      <c r="C376" s="11">
        <v>421.70499999999998</v>
      </c>
      <c r="D376" s="11">
        <v>1973</v>
      </c>
    </row>
    <row r="377" spans="1:4" ht="19.95" customHeight="1" x14ac:dyDescent="0.25">
      <c r="A377" s="10" t="s">
        <v>20</v>
      </c>
      <c r="B377" s="11" t="s">
        <v>14</v>
      </c>
      <c r="C377" s="11">
        <v>3920.0230000000001</v>
      </c>
      <c r="D377" s="11">
        <v>1973</v>
      </c>
    </row>
    <row r="378" spans="1:4" ht="19.95" customHeight="1" x14ac:dyDescent="0.25">
      <c r="A378" s="10" t="s">
        <v>21</v>
      </c>
      <c r="B378" s="11" t="s">
        <v>14</v>
      </c>
      <c r="C378" s="11"/>
      <c r="D378" s="11">
        <v>1973</v>
      </c>
    </row>
    <row r="379" spans="1:4" ht="19.95" customHeight="1" x14ac:dyDescent="0.25">
      <c r="A379" s="10" t="s">
        <v>22</v>
      </c>
      <c r="B379" s="11" t="s">
        <v>14</v>
      </c>
      <c r="C379" s="11">
        <v>1481.4680000000001</v>
      </c>
      <c r="D379" s="11">
        <v>1973</v>
      </c>
    </row>
    <row r="380" spans="1:4" ht="19.95" customHeight="1" x14ac:dyDescent="0.25">
      <c r="A380" s="10" t="s">
        <v>23</v>
      </c>
      <c r="B380" s="11" t="s">
        <v>14</v>
      </c>
      <c r="C380" s="11">
        <v>1074.431</v>
      </c>
      <c r="D380" s="11">
        <v>1973</v>
      </c>
    </row>
    <row r="381" spans="1:4" ht="19.95" customHeight="1" x14ac:dyDescent="0.25">
      <c r="A381" s="10" t="s">
        <v>24</v>
      </c>
      <c r="B381" s="11" t="s">
        <v>14</v>
      </c>
      <c r="C381" s="11">
        <v>572.05200000000002</v>
      </c>
      <c r="D381" s="11">
        <v>1973</v>
      </c>
    </row>
    <row r="382" spans="1:4" ht="19.95" customHeight="1" x14ac:dyDescent="0.25">
      <c r="A382" s="10" t="s">
        <v>25</v>
      </c>
      <c r="B382" s="11" t="s">
        <v>14</v>
      </c>
      <c r="C382" s="11">
        <v>267.69099999999997</v>
      </c>
      <c r="D382" s="11">
        <v>1973</v>
      </c>
    </row>
    <row r="383" spans="1:4" ht="19.95" customHeight="1" x14ac:dyDescent="0.25">
      <c r="A383" s="10" t="s">
        <v>26</v>
      </c>
      <c r="B383" s="11" t="s">
        <v>14</v>
      </c>
      <c r="C383" s="11"/>
      <c r="D383" s="11">
        <v>1973</v>
      </c>
    </row>
    <row r="384" spans="1:4" ht="19.95" customHeight="1" x14ac:dyDescent="0.25">
      <c r="A384" s="10" t="s">
        <v>27</v>
      </c>
      <c r="B384" s="11" t="s">
        <v>14</v>
      </c>
      <c r="C384" s="11">
        <v>3564.3240000000001</v>
      </c>
      <c r="D384" s="11">
        <v>1973</v>
      </c>
    </row>
    <row r="385" spans="1:4" ht="19.95" customHeight="1" x14ac:dyDescent="0.25">
      <c r="A385" s="10" t="s">
        <v>29</v>
      </c>
      <c r="B385" s="11" t="s">
        <v>14</v>
      </c>
      <c r="C385" s="11">
        <v>4110.7070000000003</v>
      </c>
      <c r="D385" s="11">
        <v>1973</v>
      </c>
    </row>
    <row r="386" spans="1:4" ht="19.95" customHeight="1" x14ac:dyDescent="0.25">
      <c r="A386" s="10" t="s">
        <v>30</v>
      </c>
      <c r="B386" s="11" t="s">
        <v>14</v>
      </c>
      <c r="C386" s="11">
        <v>421.70499999999998</v>
      </c>
      <c r="D386" s="11">
        <v>1973</v>
      </c>
    </row>
    <row r="387" spans="1:4" ht="19.95" customHeight="1" x14ac:dyDescent="0.25">
      <c r="A387" s="10" t="s">
        <v>31</v>
      </c>
      <c r="B387" s="11" t="s">
        <v>14</v>
      </c>
      <c r="C387" s="11">
        <v>1829.8330000000001</v>
      </c>
      <c r="D387" s="11">
        <v>1973</v>
      </c>
    </row>
    <row r="388" spans="1:4" ht="19.95" customHeight="1" x14ac:dyDescent="0.25">
      <c r="A388" s="10" t="s">
        <v>32</v>
      </c>
      <c r="B388" s="11" t="s">
        <v>14</v>
      </c>
      <c r="C388" s="11">
        <v>330.03</v>
      </c>
      <c r="D388" s="11">
        <v>1973</v>
      </c>
    </row>
    <row r="389" spans="1:4" ht="19.95" customHeight="1" x14ac:dyDescent="0.25">
      <c r="A389" s="10" t="s">
        <v>33</v>
      </c>
      <c r="B389" s="11" t="s">
        <v>14</v>
      </c>
      <c r="C389" s="11">
        <v>69.673000000000002</v>
      </c>
      <c r="D389" s="11">
        <v>1973</v>
      </c>
    </row>
    <row r="390" spans="1:4" ht="19.95" customHeight="1" x14ac:dyDescent="0.25">
      <c r="A390" s="10" t="s">
        <v>34</v>
      </c>
      <c r="B390" s="11" t="s">
        <v>14</v>
      </c>
      <c r="C390" s="11">
        <v>14.667999999999999</v>
      </c>
      <c r="D390" s="11">
        <v>1973</v>
      </c>
    </row>
    <row r="391" spans="1:4" ht="19.95" customHeight="1" x14ac:dyDescent="0.25">
      <c r="A391" s="10" t="s">
        <v>35</v>
      </c>
      <c r="B391" s="11" t="s">
        <v>14</v>
      </c>
      <c r="C391" s="11">
        <v>3689.002</v>
      </c>
      <c r="D391" s="11">
        <v>1973</v>
      </c>
    </row>
    <row r="392" spans="1:4" ht="19.95" customHeight="1" x14ac:dyDescent="0.25">
      <c r="A392" s="10" t="s">
        <v>36</v>
      </c>
      <c r="B392" s="11" t="s">
        <v>14</v>
      </c>
      <c r="C392" s="11"/>
      <c r="D392" s="11">
        <v>1973</v>
      </c>
    </row>
    <row r="393" spans="1:4" ht="19.95" customHeight="1" x14ac:dyDescent="0.25">
      <c r="A393" s="10" t="s">
        <v>37</v>
      </c>
      <c r="B393" s="11" t="s">
        <v>14</v>
      </c>
      <c r="C393" s="11">
        <v>3186.623</v>
      </c>
      <c r="D393" s="11">
        <v>1973</v>
      </c>
    </row>
    <row r="394" spans="1:4" ht="19.95" customHeight="1" x14ac:dyDescent="0.25">
      <c r="A394" s="10" t="s">
        <v>38</v>
      </c>
      <c r="B394" s="11" t="s">
        <v>14</v>
      </c>
      <c r="C394" s="11">
        <v>1180.7739999999999</v>
      </c>
      <c r="D394" s="11">
        <v>1973</v>
      </c>
    </row>
    <row r="395" spans="1:4" ht="19.95" customHeight="1" x14ac:dyDescent="0.25">
      <c r="A395" s="10" t="s">
        <v>39</v>
      </c>
      <c r="B395" s="11" t="s">
        <v>14</v>
      </c>
      <c r="C395" s="11">
        <v>4591.0839999999998</v>
      </c>
      <c r="D395" s="11">
        <v>1973</v>
      </c>
    </row>
    <row r="396" spans="1:4" ht="19.95" customHeight="1" x14ac:dyDescent="0.25">
      <c r="A396" s="10" t="s">
        <v>40</v>
      </c>
      <c r="B396" s="11" t="s">
        <v>14</v>
      </c>
      <c r="C396" s="11">
        <v>9281.1769999999997</v>
      </c>
      <c r="D396" s="11">
        <v>1973</v>
      </c>
    </row>
    <row r="397" spans="1:4" ht="19.95" customHeight="1" x14ac:dyDescent="0.25">
      <c r="A397" s="10" t="s">
        <v>10</v>
      </c>
      <c r="B397" s="11" t="s">
        <v>14</v>
      </c>
      <c r="C397" s="11">
        <v>91.674999999999997</v>
      </c>
      <c r="D397" s="11">
        <v>1974</v>
      </c>
    </row>
    <row r="398" spans="1:4" ht="19.95" customHeight="1" x14ac:dyDescent="0.25">
      <c r="A398" s="10" t="s">
        <v>13</v>
      </c>
      <c r="B398" s="11" t="s">
        <v>14</v>
      </c>
      <c r="C398" s="11">
        <v>975.42200000000003</v>
      </c>
      <c r="D398" s="11">
        <v>1974</v>
      </c>
    </row>
    <row r="399" spans="1:4" ht="19.95" customHeight="1" x14ac:dyDescent="0.25">
      <c r="A399" s="10" t="s">
        <v>15</v>
      </c>
      <c r="B399" s="11" t="s">
        <v>14</v>
      </c>
      <c r="C399" s="11">
        <v>150.34700000000001</v>
      </c>
      <c r="D399" s="11">
        <v>1974</v>
      </c>
    </row>
    <row r="400" spans="1:4" ht="19.95" customHeight="1" x14ac:dyDescent="0.25">
      <c r="A400" s="10" t="s">
        <v>16</v>
      </c>
      <c r="B400" s="11" t="s">
        <v>14</v>
      </c>
      <c r="C400" s="11">
        <v>29.335999999999999</v>
      </c>
      <c r="D400" s="11">
        <v>1974</v>
      </c>
    </row>
    <row r="401" spans="1:4" ht="19.95" customHeight="1" x14ac:dyDescent="0.25">
      <c r="A401" s="10" t="s">
        <v>17</v>
      </c>
      <c r="B401" s="11" t="s">
        <v>14</v>
      </c>
      <c r="C401" s="11">
        <v>194.351</v>
      </c>
      <c r="D401" s="11">
        <v>1974</v>
      </c>
    </row>
    <row r="402" spans="1:4" ht="19.95" customHeight="1" x14ac:dyDescent="0.25">
      <c r="A402" s="10" t="s">
        <v>2</v>
      </c>
      <c r="B402" s="11" t="s">
        <v>14</v>
      </c>
      <c r="C402" s="11">
        <v>1738.1579999999999</v>
      </c>
      <c r="D402" s="11">
        <v>1974</v>
      </c>
    </row>
    <row r="403" spans="1:4" ht="19.95" customHeight="1" x14ac:dyDescent="0.25">
      <c r="A403" s="10" t="s">
        <v>18</v>
      </c>
      <c r="B403" s="11" t="s">
        <v>14</v>
      </c>
      <c r="C403" s="11">
        <v>839.74300000000005</v>
      </c>
      <c r="D403" s="11">
        <v>1974</v>
      </c>
    </row>
    <row r="404" spans="1:4" ht="19.95" customHeight="1" x14ac:dyDescent="0.25">
      <c r="A404" s="10" t="s">
        <v>19</v>
      </c>
      <c r="B404" s="11" t="s">
        <v>14</v>
      </c>
      <c r="C404" s="11">
        <v>473.04300000000001</v>
      </c>
      <c r="D404" s="11">
        <v>1974</v>
      </c>
    </row>
    <row r="405" spans="1:4" ht="19.95" customHeight="1" x14ac:dyDescent="0.25">
      <c r="A405" s="10" t="s">
        <v>20</v>
      </c>
      <c r="B405" s="11" t="s">
        <v>14</v>
      </c>
      <c r="C405" s="11">
        <v>4950.45</v>
      </c>
      <c r="D405" s="11">
        <v>1974</v>
      </c>
    </row>
    <row r="406" spans="1:4" ht="19.95" customHeight="1" x14ac:dyDescent="0.25">
      <c r="A406" s="10" t="s">
        <v>21</v>
      </c>
      <c r="B406" s="11" t="s">
        <v>14</v>
      </c>
      <c r="C406" s="11"/>
      <c r="D406" s="11">
        <v>1974</v>
      </c>
    </row>
    <row r="407" spans="1:4" ht="19.95" customHeight="1" x14ac:dyDescent="0.25">
      <c r="A407" s="10" t="s">
        <v>22</v>
      </c>
      <c r="B407" s="11" t="s">
        <v>14</v>
      </c>
      <c r="C407" s="11">
        <v>1723.49</v>
      </c>
      <c r="D407" s="11">
        <v>1974</v>
      </c>
    </row>
    <row r="408" spans="1:4" ht="19.95" customHeight="1" x14ac:dyDescent="0.25">
      <c r="A408" s="10" t="s">
        <v>23</v>
      </c>
      <c r="B408" s="11" t="s">
        <v>14</v>
      </c>
      <c r="C408" s="11">
        <v>1188.1079999999999</v>
      </c>
      <c r="D408" s="11">
        <v>1974</v>
      </c>
    </row>
    <row r="409" spans="1:4" ht="19.95" customHeight="1" x14ac:dyDescent="0.25">
      <c r="A409" s="10" t="s">
        <v>24</v>
      </c>
      <c r="B409" s="11" t="s">
        <v>14</v>
      </c>
      <c r="C409" s="11">
        <v>550.04999999999995</v>
      </c>
      <c r="D409" s="11">
        <v>1974</v>
      </c>
    </row>
    <row r="410" spans="1:4" ht="19.95" customHeight="1" x14ac:dyDescent="0.25">
      <c r="A410" s="10" t="s">
        <v>25</v>
      </c>
      <c r="B410" s="11" t="s">
        <v>14</v>
      </c>
      <c r="C410" s="11">
        <v>304.36099999999999</v>
      </c>
      <c r="D410" s="11">
        <v>1974</v>
      </c>
    </row>
    <row r="411" spans="1:4" ht="19.95" customHeight="1" x14ac:dyDescent="0.25">
      <c r="A411" s="10" t="s">
        <v>26</v>
      </c>
      <c r="B411" s="11" t="s">
        <v>14</v>
      </c>
      <c r="C411" s="11"/>
      <c r="D411" s="11">
        <v>1974</v>
      </c>
    </row>
    <row r="412" spans="1:4" ht="19.95" customHeight="1" x14ac:dyDescent="0.25">
      <c r="A412" s="10" t="s">
        <v>27</v>
      </c>
      <c r="B412" s="11" t="s">
        <v>14</v>
      </c>
      <c r="C412" s="11">
        <v>3149.953</v>
      </c>
      <c r="D412" s="11">
        <v>1974</v>
      </c>
    </row>
    <row r="413" spans="1:4" ht="19.95" customHeight="1" x14ac:dyDescent="0.25">
      <c r="A413" s="10" t="s">
        <v>29</v>
      </c>
      <c r="B413" s="11" t="s">
        <v>14</v>
      </c>
      <c r="C413" s="11">
        <v>4675.4250000000002</v>
      </c>
      <c r="D413" s="11">
        <v>1974</v>
      </c>
    </row>
    <row r="414" spans="1:4" ht="19.95" customHeight="1" x14ac:dyDescent="0.25">
      <c r="A414" s="10" t="s">
        <v>30</v>
      </c>
      <c r="B414" s="11" t="s">
        <v>14</v>
      </c>
      <c r="C414" s="11">
        <v>425.37200000000001</v>
      </c>
      <c r="D414" s="11">
        <v>1974</v>
      </c>
    </row>
    <row r="415" spans="1:4" ht="19.95" customHeight="1" x14ac:dyDescent="0.25">
      <c r="A415" s="10" t="s">
        <v>31</v>
      </c>
      <c r="B415" s="11" t="s">
        <v>14</v>
      </c>
      <c r="C415" s="11">
        <v>1950.8440000000001</v>
      </c>
      <c r="D415" s="11">
        <v>1974</v>
      </c>
    </row>
    <row r="416" spans="1:4" ht="19.95" customHeight="1" x14ac:dyDescent="0.25">
      <c r="A416" s="10" t="s">
        <v>32</v>
      </c>
      <c r="B416" s="11" t="s">
        <v>14</v>
      </c>
      <c r="C416" s="11">
        <v>289.69299999999998</v>
      </c>
      <c r="D416" s="11">
        <v>1974</v>
      </c>
    </row>
    <row r="417" spans="1:4" ht="19.95" customHeight="1" x14ac:dyDescent="0.25">
      <c r="A417" s="10" t="s">
        <v>33</v>
      </c>
      <c r="B417" s="11" t="s">
        <v>14</v>
      </c>
      <c r="C417" s="11">
        <v>73.34</v>
      </c>
      <c r="D417" s="11">
        <v>1974</v>
      </c>
    </row>
    <row r="418" spans="1:4" ht="19.95" customHeight="1" x14ac:dyDescent="0.25">
      <c r="A418" s="10" t="s">
        <v>34</v>
      </c>
      <c r="B418" s="11" t="s">
        <v>14</v>
      </c>
      <c r="C418" s="11">
        <v>18.335000000000001</v>
      </c>
      <c r="D418" s="11">
        <v>1974</v>
      </c>
    </row>
    <row r="419" spans="1:4" ht="19.95" customHeight="1" x14ac:dyDescent="0.25">
      <c r="A419" s="10" t="s">
        <v>35</v>
      </c>
      <c r="B419" s="11" t="s">
        <v>14</v>
      </c>
      <c r="C419" s="11">
        <v>2933.6</v>
      </c>
      <c r="D419" s="11">
        <v>1974</v>
      </c>
    </row>
    <row r="420" spans="1:4" ht="19.95" customHeight="1" x14ac:dyDescent="0.25">
      <c r="A420" s="10" t="s">
        <v>36</v>
      </c>
      <c r="B420" s="11" t="s">
        <v>14</v>
      </c>
      <c r="C420" s="11"/>
      <c r="D420" s="11">
        <v>1974</v>
      </c>
    </row>
    <row r="421" spans="1:4" ht="19.95" customHeight="1" x14ac:dyDescent="0.25">
      <c r="A421" s="10" t="s">
        <v>37</v>
      </c>
      <c r="B421" s="11" t="s">
        <v>14</v>
      </c>
      <c r="C421" s="11">
        <v>2306.5430000000001</v>
      </c>
      <c r="D421" s="11">
        <v>1974</v>
      </c>
    </row>
    <row r="422" spans="1:4" ht="19.95" customHeight="1" x14ac:dyDescent="0.25">
      <c r="A422" s="10" t="s">
        <v>38</v>
      </c>
      <c r="B422" s="11" t="s">
        <v>14</v>
      </c>
      <c r="C422" s="11">
        <v>1195.442</v>
      </c>
      <c r="D422" s="11">
        <v>1974</v>
      </c>
    </row>
    <row r="423" spans="1:4" ht="19.95" customHeight="1" x14ac:dyDescent="0.25">
      <c r="A423" s="10" t="s">
        <v>39</v>
      </c>
      <c r="B423" s="11" t="s">
        <v>14</v>
      </c>
      <c r="C423" s="11">
        <v>4202.3819999999996</v>
      </c>
      <c r="D423" s="11">
        <v>1974</v>
      </c>
    </row>
    <row r="424" spans="1:4" ht="19.95" customHeight="1" x14ac:dyDescent="0.25">
      <c r="A424" s="10" t="s">
        <v>40</v>
      </c>
      <c r="B424" s="11" t="s">
        <v>14</v>
      </c>
      <c r="C424" s="11">
        <v>9057.49</v>
      </c>
      <c r="D424" s="11">
        <v>1974</v>
      </c>
    </row>
    <row r="425" spans="1:4" ht="19.95" customHeight="1" x14ac:dyDescent="0.25">
      <c r="A425" s="10" t="s">
        <v>10</v>
      </c>
      <c r="B425" s="11" t="s">
        <v>14</v>
      </c>
      <c r="C425" s="11">
        <v>77.007000000000005</v>
      </c>
      <c r="D425" s="11">
        <v>1975</v>
      </c>
    </row>
    <row r="426" spans="1:4" ht="19.95" customHeight="1" x14ac:dyDescent="0.25">
      <c r="A426" s="10" t="s">
        <v>13</v>
      </c>
      <c r="B426" s="11" t="s">
        <v>14</v>
      </c>
      <c r="C426" s="11">
        <v>1162.4390000000001</v>
      </c>
      <c r="D426" s="11">
        <v>1975</v>
      </c>
    </row>
    <row r="427" spans="1:4" ht="19.95" customHeight="1" x14ac:dyDescent="0.25">
      <c r="A427" s="10" t="s">
        <v>15</v>
      </c>
      <c r="B427" s="11" t="s">
        <v>14</v>
      </c>
      <c r="C427" s="11">
        <v>183.35</v>
      </c>
      <c r="D427" s="11">
        <v>1975</v>
      </c>
    </row>
    <row r="428" spans="1:4" ht="19.95" customHeight="1" x14ac:dyDescent="0.25">
      <c r="A428" s="10" t="s">
        <v>16</v>
      </c>
      <c r="B428" s="11" t="s">
        <v>14</v>
      </c>
      <c r="C428" s="11">
        <v>33.003</v>
      </c>
      <c r="D428" s="11">
        <v>1975</v>
      </c>
    </row>
    <row r="429" spans="1:4" ht="19.95" customHeight="1" x14ac:dyDescent="0.25">
      <c r="A429" s="10" t="s">
        <v>17</v>
      </c>
      <c r="B429" s="11" t="s">
        <v>14</v>
      </c>
      <c r="C429" s="11">
        <v>198.018</v>
      </c>
      <c r="D429" s="11">
        <v>1975</v>
      </c>
    </row>
    <row r="430" spans="1:4" ht="19.95" customHeight="1" x14ac:dyDescent="0.25">
      <c r="A430" s="10" t="s">
        <v>2</v>
      </c>
      <c r="B430" s="11" t="s">
        <v>14</v>
      </c>
      <c r="C430" s="11">
        <v>1210.1099999999999</v>
      </c>
      <c r="D430" s="11">
        <v>1975</v>
      </c>
    </row>
    <row r="431" spans="1:4" ht="19.95" customHeight="1" x14ac:dyDescent="0.25">
      <c r="A431" s="10" t="s">
        <v>18</v>
      </c>
      <c r="B431" s="11" t="s">
        <v>14</v>
      </c>
      <c r="C431" s="11">
        <v>843.41</v>
      </c>
      <c r="D431" s="11">
        <v>1975</v>
      </c>
    </row>
    <row r="432" spans="1:4" ht="19.95" customHeight="1" x14ac:dyDescent="0.25">
      <c r="A432" s="10" t="s">
        <v>19</v>
      </c>
      <c r="B432" s="11" t="s">
        <v>14</v>
      </c>
      <c r="C432" s="11">
        <v>484.04399999999998</v>
      </c>
      <c r="D432" s="11">
        <v>1975</v>
      </c>
    </row>
    <row r="433" spans="1:4" ht="19.95" customHeight="1" x14ac:dyDescent="0.25">
      <c r="A433" s="10" t="s">
        <v>20</v>
      </c>
      <c r="B433" s="11" t="s">
        <v>14</v>
      </c>
      <c r="C433" s="11">
        <v>4976.1189999999997</v>
      </c>
      <c r="D433" s="11">
        <v>1975</v>
      </c>
    </row>
    <row r="434" spans="1:4" ht="19.95" customHeight="1" x14ac:dyDescent="0.25">
      <c r="A434" s="10" t="s">
        <v>21</v>
      </c>
      <c r="B434" s="11" t="s">
        <v>14</v>
      </c>
      <c r="C434" s="11"/>
      <c r="D434" s="11">
        <v>1975</v>
      </c>
    </row>
    <row r="435" spans="1:4" ht="19.95" customHeight="1" x14ac:dyDescent="0.25">
      <c r="A435" s="10" t="s">
        <v>22</v>
      </c>
      <c r="B435" s="11" t="s">
        <v>14</v>
      </c>
      <c r="C435" s="11">
        <v>1485.135</v>
      </c>
      <c r="D435" s="11">
        <v>1975</v>
      </c>
    </row>
    <row r="436" spans="1:4" ht="19.95" customHeight="1" x14ac:dyDescent="0.25">
      <c r="A436" s="10" t="s">
        <v>23</v>
      </c>
      <c r="B436" s="11" t="s">
        <v>14</v>
      </c>
      <c r="C436" s="11">
        <v>1694.154</v>
      </c>
      <c r="D436" s="11">
        <v>1975</v>
      </c>
    </row>
    <row r="437" spans="1:4" ht="19.95" customHeight="1" x14ac:dyDescent="0.25">
      <c r="A437" s="10" t="s">
        <v>24</v>
      </c>
      <c r="B437" s="11" t="s">
        <v>14</v>
      </c>
      <c r="C437" s="11">
        <v>579.38599999999997</v>
      </c>
      <c r="D437" s="11">
        <v>1975</v>
      </c>
    </row>
    <row r="438" spans="1:4" ht="19.95" customHeight="1" x14ac:dyDescent="0.25">
      <c r="A438" s="10" t="s">
        <v>25</v>
      </c>
      <c r="B438" s="11" t="s">
        <v>14</v>
      </c>
      <c r="C438" s="11">
        <v>341.03100000000001</v>
      </c>
      <c r="D438" s="11">
        <v>1975</v>
      </c>
    </row>
    <row r="439" spans="1:4" ht="19.95" customHeight="1" x14ac:dyDescent="0.25">
      <c r="A439" s="10" t="s">
        <v>26</v>
      </c>
      <c r="B439" s="11" t="s">
        <v>14</v>
      </c>
      <c r="C439" s="11"/>
      <c r="D439" s="11">
        <v>1975</v>
      </c>
    </row>
    <row r="440" spans="1:4" ht="19.95" customHeight="1" x14ac:dyDescent="0.25">
      <c r="A440" s="10" t="s">
        <v>27</v>
      </c>
      <c r="B440" s="11" t="s">
        <v>14</v>
      </c>
      <c r="C440" s="11">
        <v>2885.9290000000001</v>
      </c>
      <c r="D440" s="11">
        <v>1975</v>
      </c>
    </row>
    <row r="441" spans="1:4" ht="19.95" customHeight="1" x14ac:dyDescent="0.25">
      <c r="A441" s="10" t="s">
        <v>29</v>
      </c>
      <c r="B441" s="11" t="s">
        <v>14</v>
      </c>
      <c r="C441" s="11">
        <v>4587.4170000000004</v>
      </c>
      <c r="D441" s="11">
        <v>1975</v>
      </c>
    </row>
    <row r="442" spans="1:4" ht="19.95" customHeight="1" x14ac:dyDescent="0.25">
      <c r="A442" s="10" t="s">
        <v>30</v>
      </c>
      <c r="B442" s="11" t="s">
        <v>14</v>
      </c>
      <c r="C442" s="11">
        <v>352.03199999999998</v>
      </c>
      <c r="D442" s="11">
        <v>1975</v>
      </c>
    </row>
    <row r="443" spans="1:4" ht="19.95" customHeight="1" x14ac:dyDescent="0.25">
      <c r="A443" s="10" t="s">
        <v>31</v>
      </c>
      <c r="B443" s="11" t="s">
        <v>14</v>
      </c>
      <c r="C443" s="11">
        <v>1928.8420000000001</v>
      </c>
      <c r="D443" s="11">
        <v>1975</v>
      </c>
    </row>
    <row r="444" spans="1:4" ht="19.95" customHeight="1" x14ac:dyDescent="0.25">
      <c r="A444" s="10" t="s">
        <v>32</v>
      </c>
      <c r="B444" s="11" t="s">
        <v>14</v>
      </c>
      <c r="C444" s="11">
        <v>333.697</v>
      </c>
      <c r="D444" s="11">
        <v>1975</v>
      </c>
    </row>
    <row r="445" spans="1:4" ht="19.95" customHeight="1" x14ac:dyDescent="0.25">
      <c r="A445" s="10" t="s">
        <v>33</v>
      </c>
      <c r="B445" s="11" t="s">
        <v>14</v>
      </c>
      <c r="C445" s="11">
        <v>176.01599999999999</v>
      </c>
      <c r="D445" s="11">
        <v>1975</v>
      </c>
    </row>
    <row r="446" spans="1:4" ht="19.95" customHeight="1" x14ac:dyDescent="0.25">
      <c r="A446" s="10" t="s">
        <v>34</v>
      </c>
      <c r="B446" s="11" t="s">
        <v>14</v>
      </c>
      <c r="C446" s="11">
        <v>18.335000000000001</v>
      </c>
      <c r="D446" s="11">
        <v>1975</v>
      </c>
    </row>
    <row r="447" spans="1:4" ht="19.95" customHeight="1" x14ac:dyDescent="0.25">
      <c r="A447" s="10" t="s">
        <v>35</v>
      </c>
      <c r="B447" s="11" t="s">
        <v>14</v>
      </c>
      <c r="C447" s="11">
        <v>2896.93</v>
      </c>
      <c r="D447" s="11">
        <v>1975</v>
      </c>
    </row>
    <row r="448" spans="1:4" ht="19.95" customHeight="1" x14ac:dyDescent="0.25">
      <c r="A448" s="10" t="s">
        <v>36</v>
      </c>
      <c r="B448" s="11" t="s">
        <v>14</v>
      </c>
      <c r="C448" s="11"/>
      <c r="D448" s="11">
        <v>1975</v>
      </c>
    </row>
    <row r="449" spans="1:4" ht="19.95" customHeight="1" x14ac:dyDescent="0.25">
      <c r="A449" s="10" t="s">
        <v>37</v>
      </c>
      <c r="B449" s="11" t="s">
        <v>14</v>
      </c>
      <c r="C449" s="11">
        <v>2284.5410000000002</v>
      </c>
      <c r="D449" s="11">
        <v>1975</v>
      </c>
    </row>
    <row r="450" spans="1:4" ht="19.95" customHeight="1" x14ac:dyDescent="0.25">
      <c r="A450" s="10" t="s">
        <v>38</v>
      </c>
      <c r="B450" s="11" t="s">
        <v>14</v>
      </c>
      <c r="C450" s="11">
        <v>1133.1030000000001</v>
      </c>
      <c r="D450" s="11">
        <v>1975</v>
      </c>
    </row>
    <row r="451" spans="1:4" ht="19.95" customHeight="1" x14ac:dyDescent="0.25">
      <c r="A451" s="10" t="s">
        <v>39</v>
      </c>
      <c r="B451" s="11" t="s">
        <v>14</v>
      </c>
      <c r="C451" s="11">
        <v>4081.3710000000001</v>
      </c>
      <c r="D451" s="11">
        <v>1975</v>
      </c>
    </row>
    <row r="452" spans="1:4" ht="19.95" customHeight="1" x14ac:dyDescent="0.25">
      <c r="A452" s="10" t="s">
        <v>40</v>
      </c>
      <c r="B452" s="11" t="s">
        <v>14</v>
      </c>
      <c r="C452" s="11">
        <v>8320.4230000000007</v>
      </c>
      <c r="D452" s="11">
        <v>1975</v>
      </c>
    </row>
    <row r="453" spans="1:4" ht="19.95" customHeight="1" x14ac:dyDescent="0.25">
      <c r="A453" s="10" t="s">
        <v>10</v>
      </c>
      <c r="B453" s="11" t="s">
        <v>14</v>
      </c>
      <c r="C453" s="11">
        <v>88.007999999999996</v>
      </c>
      <c r="D453" s="11">
        <v>1976</v>
      </c>
    </row>
    <row r="454" spans="1:4" ht="19.95" customHeight="1" x14ac:dyDescent="0.25">
      <c r="A454" s="10" t="s">
        <v>13</v>
      </c>
      <c r="B454" s="11" t="s">
        <v>14</v>
      </c>
      <c r="C454" s="11">
        <v>1092.7660000000001</v>
      </c>
      <c r="D454" s="11">
        <v>1976</v>
      </c>
    </row>
    <row r="455" spans="1:4" ht="19.95" customHeight="1" x14ac:dyDescent="0.25">
      <c r="A455" s="10" t="s">
        <v>15</v>
      </c>
      <c r="B455" s="11" t="s">
        <v>14</v>
      </c>
      <c r="C455" s="11">
        <v>183.35</v>
      </c>
      <c r="D455" s="11">
        <v>1976</v>
      </c>
    </row>
    <row r="456" spans="1:4" ht="19.95" customHeight="1" x14ac:dyDescent="0.25">
      <c r="A456" s="10" t="s">
        <v>16</v>
      </c>
      <c r="B456" s="11" t="s">
        <v>14</v>
      </c>
      <c r="C456" s="11">
        <v>40.337000000000003</v>
      </c>
      <c r="D456" s="11">
        <v>1976</v>
      </c>
    </row>
    <row r="457" spans="1:4" ht="19.95" customHeight="1" x14ac:dyDescent="0.25">
      <c r="A457" s="10" t="s">
        <v>17</v>
      </c>
      <c r="B457" s="11" t="s">
        <v>14</v>
      </c>
      <c r="C457" s="11">
        <v>198.018</v>
      </c>
      <c r="D457" s="11">
        <v>1976</v>
      </c>
    </row>
    <row r="458" spans="1:4" ht="19.95" customHeight="1" x14ac:dyDescent="0.25">
      <c r="A458" s="10" t="s">
        <v>2</v>
      </c>
      <c r="B458" s="11" t="s">
        <v>14</v>
      </c>
      <c r="C458" s="11">
        <v>1177.107</v>
      </c>
      <c r="D458" s="11">
        <v>1976</v>
      </c>
    </row>
    <row r="459" spans="1:4" ht="19.95" customHeight="1" x14ac:dyDescent="0.25">
      <c r="A459" s="10" t="s">
        <v>18</v>
      </c>
      <c r="B459" s="11" t="s">
        <v>14</v>
      </c>
      <c r="C459" s="11">
        <v>887.41399999999999</v>
      </c>
      <c r="D459" s="11">
        <v>1976</v>
      </c>
    </row>
    <row r="460" spans="1:4" ht="19.95" customHeight="1" x14ac:dyDescent="0.25">
      <c r="A460" s="10" t="s">
        <v>19</v>
      </c>
      <c r="B460" s="11" t="s">
        <v>14</v>
      </c>
      <c r="C460" s="11">
        <v>674.72799999999995</v>
      </c>
      <c r="D460" s="11">
        <v>1976</v>
      </c>
    </row>
    <row r="461" spans="1:4" ht="19.95" customHeight="1" x14ac:dyDescent="0.25">
      <c r="A461" s="10" t="s">
        <v>20</v>
      </c>
      <c r="B461" s="11" t="s">
        <v>14</v>
      </c>
      <c r="C461" s="11">
        <v>4609.4189999999999</v>
      </c>
      <c r="D461" s="11">
        <v>1976</v>
      </c>
    </row>
    <row r="462" spans="1:4" ht="19.95" customHeight="1" x14ac:dyDescent="0.25">
      <c r="A462" s="10" t="s">
        <v>21</v>
      </c>
      <c r="B462" s="11" t="s">
        <v>14</v>
      </c>
      <c r="C462" s="11"/>
      <c r="D462" s="11">
        <v>1976</v>
      </c>
    </row>
    <row r="463" spans="1:4" ht="19.95" customHeight="1" x14ac:dyDescent="0.25">
      <c r="A463" s="10" t="s">
        <v>22</v>
      </c>
      <c r="B463" s="11" t="s">
        <v>14</v>
      </c>
      <c r="C463" s="11">
        <v>1477.8009999999999</v>
      </c>
      <c r="D463" s="11">
        <v>1976</v>
      </c>
    </row>
    <row r="464" spans="1:4" ht="19.95" customHeight="1" x14ac:dyDescent="0.25">
      <c r="A464" s="10" t="s">
        <v>23</v>
      </c>
      <c r="B464" s="11" t="s">
        <v>14</v>
      </c>
      <c r="C464" s="11">
        <v>993.75699999999995</v>
      </c>
      <c r="D464" s="11">
        <v>1976</v>
      </c>
    </row>
    <row r="465" spans="1:4" ht="19.95" customHeight="1" x14ac:dyDescent="0.25">
      <c r="A465" s="10" t="s">
        <v>24</v>
      </c>
      <c r="B465" s="11" t="s">
        <v>14</v>
      </c>
      <c r="C465" s="11">
        <v>583.053</v>
      </c>
      <c r="D465" s="11">
        <v>1976</v>
      </c>
    </row>
    <row r="466" spans="1:4" ht="19.95" customHeight="1" x14ac:dyDescent="0.25">
      <c r="A466" s="10" t="s">
        <v>25</v>
      </c>
      <c r="B466" s="11" t="s">
        <v>14</v>
      </c>
      <c r="C466" s="11">
        <v>341.03100000000001</v>
      </c>
      <c r="D466" s="11">
        <v>1976</v>
      </c>
    </row>
    <row r="467" spans="1:4" ht="19.95" customHeight="1" x14ac:dyDescent="0.25">
      <c r="A467" s="10" t="s">
        <v>26</v>
      </c>
      <c r="B467" s="11" t="s">
        <v>14</v>
      </c>
      <c r="C467" s="11"/>
      <c r="D467" s="11">
        <v>1976</v>
      </c>
    </row>
    <row r="468" spans="1:4" ht="19.95" customHeight="1" x14ac:dyDescent="0.25">
      <c r="A468" s="10" t="s">
        <v>27</v>
      </c>
      <c r="B468" s="11" t="s">
        <v>14</v>
      </c>
      <c r="C468" s="11">
        <v>2559.5659999999998</v>
      </c>
      <c r="D468" s="11">
        <v>1976</v>
      </c>
    </row>
    <row r="469" spans="1:4" ht="19.95" customHeight="1" x14ac:dyDescent="0.25">
      <c r="A469" s="10" t="s">
        <v>29</v>
      </c>
      <c r="B469" s="11" t="s">
        <v>14</v>
      </c>
      <c r="C469" s="11">
        <v>4899.1120000000001</v>
      </c>
      <c r="D469" s="11">
        <v>1976</v>
      </c>
    </row>
    <row r="470" spans="1:4" ht="19.95" customHeight="1" x14ac:dyDescent="0.25">
      <c r="A470" s="10" t="s">
        <v>30</v>
      </c>
      <c r="B470" s="11" t="s">
        <v>14</v>
      </c>
      <c r="C470" s="11">
        <v>282.35899999999998</v>
      </c>
      <c r="D470" s="11">
        <v>1976</v>
      </c>
    </row>
    <row r="471" spans="1:4" ht="19.95" customHeight="1" x14ac:dyDescent="0.25">
      <c r="A471" s="10" t="s">
        <v>31</v>
      </c>
      <c r="B471" s="11" t="s">
        <v>14</v>
      </c>
      <c r="C471" s="11">
        <v>2225.8690000000001</v>
      </c>
      <c r="D471" s="11">
        <v>1976</v>
      </c>
    </row>
    <row r="472" spans="1:4" ht="19.95" customHeight="1" x14ac:dyDescent="0.25">
      <c r="A472" s="10" t="s">
        <v>32</v>
      </c>
      <c r="B472" s="11" t="s">
        <v>14</v>
      </c>
      <c r="C472" s="11">
        <v>333.697</v>
      </c>
      <c r="D472" s="11">
        <v>1976</v>
      </c>
    </row>
    <row r="473" spans="1:4" ht="19.95" customHeight="1" x14ac:dyDescent="0.25">
      <c r="A473" s="10" t="s">
        <v>33</v>
      </c>
      <c r="B473" s="11" t="s">
        <v>14</v>
      </c>
      <c r="C473" s="11">
        <v>267.69099999999997</v>
      </c>
      <c r="D473" s="11">
        <v>1976</v>
      </c>
    </row>
    <row r="474" spans="1:4" ht="19.95" customHeight="1" x14ac:dyDescent="0.25">
      <c r="A474" s="10" t="s">
        <v>34</v>
      </c>
      <c r="B474" s="11" t="s">
        <v>14</v>
      </c>
      <c r="C474" s="11">
        <v>29.335999999999999</v>
      </c>
      <c r="D474" s="11">
        <v>1976</v>
      </c>
    </row>
    <row r="475" spans="1:4" ht="19.95" customHeight="1" x14ac:dyDescent="0.25">
      <c r="A475" s="10" t="s">
        <v>35</v>
      </c>
      <c r="B475" s="11" t="s">
        <v>14</v>
      </c>
      <c r="C475" s="11">
        <v>2805.2550000000001</v>
      </c>
      <c r="D475" s="11">
        <v>1976</v>
      </c>
    </row>
    <row r="476" spans="1:4" ht="19.95" customHeight="1" x14ac:dyDescent="0.25">
      <c r="A476" s="10" t="s">
        <v>36</v>
      </c>
      <c r="B476" s="11" t="s">
        <v>14</v>
      </c>
      <c r="C476" s="11"/>
      <c r="D476" s="11">
        <v>1976</v>
      </c>
    </row>
    <row r="477" spans="1:4" ht="19.95" customHeight="1" x14ac:dyDescent="0.25">
      <c r="A477" s="10" t="s">
        <v>37</v>
      </c>
      <c r="B477" s="11" t="s">
        <v>14</v>
      </c>
      <c r="C477" s="11">
        <v>2790.587</v>
      </c>
      <c r="D477" s="11">
        <v>1976</v>
      </c>
    </row>
    <row r="478" spans="1:4" ht="19.95" customHeight="1" x14ac:dyDescent="0.25">
      <c r="A478" s="10" t="s">
        <v>38</v>
      </c>
      <c r="B478" s="11" t="s">
        <v>14</v>
      </c>
      <c r="C478" s="11">
        <v>990.09</v>
      </c>
      <c r="D478" s="11">
        <v>1976</v>
      </c>
    </row>
    <row r="479" spans="1:4" ht="19.95" customHeight="1" x14ac:dyDescent="0.25">
      <c r="A479" s="10" t="s">
        <v>39</v>
      </c>
      <c r="B479" s="11" t="s">
        <v>14</v>
      </c>
      <c r="C479" s="11">
        <v>4026.366</v>
      </c>
      <c r="D479" s="11">
        <v>1976</v>
      </c>
    </row>
    <row r="480" spans="1:4" ht="19.95" customHeight="1" x14ac:dyDescent="0.25">
      <c r="A480" s="10" t="s">
        <v>40</v>
      </c>
      <c r="B480" s="11" t="s">
        <v>14</v>
      </c>
      <c r="C480" s="11">
        <v>10868.987999999999</v>
      </c>
      <c r="D480" s="11">
        <v>1976</v>
      </c>
    </row>
    <row r="481" spans="1:4" ht="19.95" customHeight="1" x14ac:dyDescent="0.25">
      <c r="A481" s="10" t="s">
        <v>10</v>
      </c>
      <c r="B481" s="11" t="s">
        <v>14</v>
      </c>
      <c r="C481" s="11">
        <v>99.009</v>
      </c>
      <c r="D481" s="11">
        <v>1977</v>
      </c>
    </row>
    <row r="482" spans="1:4" ht="19.95" customHeight="1" x14ac:dyDescent="0.25">
      <c r="A482" s="10" t="s">
        <v>13</v>
      </c>
      <c r="B482" s="11" t="s">
        <v>14</v>
      </c>
      <c r="C482" s="11">
        <v>1565.809</v>
      </c>
      <c r="D482" s="11">
        <v>1977</v>
      </c>
    </row>
    <row r="483" spans="1:4" ht="19.95" customHeight="1" x14ac:dyDescent="0.25">
      <c r="A483" s="10" t="s">
        <v>15</v>
      </c>
      <c r="B483" s="11" t="s">
        <v>14</v>
      </c>
      <c r="C483" s="11">
        <v>198.018</v>
      </c>
      <c r="D483" s="11">
        <v>1977</v>
      </c>
    </row>
    <row r="484" spans="1:4" ht="19.95" customHeight="1" x14ac:dyDescent="0.25">
      <c r="A484" s="10" t="s">
        <v>16</v>
      </c>
      <c r="B484" s="11" t="s">
        <v>14</v>
      </c>
      <c r="C484" s="11">
        <v>40.337000000000003</v>
      </c>
      <c r="D484" s="11">
        <v>1977</v>
      </c>
    </row>
    <row r="485" spans="1:4" ht="19.95" customHeight="1" x14ac:dyDescent="0.25">
      <c r="A485" s="10" t="s">
        <v>17</v>
      </c>
      <c r="B485" s="11" t="s">
        <v>14</v>
      </c>
      <c r="C485" s="11">
        <v>198.018</v>
      </c>
      <c r="D485" s="11">
        <v>1977</v>
      </c>
    </row>
    <row r="486" spans="1:4" ht="19.95" customHeight="1" x14ac:dyDescent="0.25">
      <c r="A486" s="10" t="s">
        <v>2</v>
      </c>
      <c r="B486" s="11" t="s">
        <v>14</v>
      </c>
      <c r="C486" s="11">
        <v>1048.7619999999999</v>
      </c>
      <c r="D486" s="11">
        <v>1977</v>
      </c>
    </row>
    <row r="487" spans="1:4" ht="19.95" customHeight="1" x14ac:dyDescent="0.25">
      <c r="A487" s="10" t="s">
        <v>18</v>
      </c>
      <c r="B487" s="11" t="s">
        <v>14</v>
      </c>
      <c r="C487" s="11">
        <v>902.08199999999999</v>
      </c>
      <c r="D487" s="11">
        <v>1977</v>
      </c>
    </row>
    <row r="488" spans="1:4" ht="19.95" customHeight="1" x14ac:dyDescent="0.25">
      <c r="A488" s="10" t="s">
        <v>19</v>
      </c>
      <c r="B488" s="11" t="s">
        <v>14</v>
      </c>
      <c r="C488" s="11">
        <v>707.73099999999999</v>
      </c>
      <c r="D488" s="11">
        <v>1977</v>
      </c>
    </row>
    <row r="489" spans="1:4" ht="19.95" customHeight="1" x14ac:dyDescent="0.25">
      <c r="A489" s="10" t="s">
        <v>20</v>
      </c>
      <c r="B489" s="11" t="s">
        <v>14</v>
      </c>
      <c r="C489" s="11">
        <v>5056.7929999999997</v>
      </c>
      <c r="D489" s="11">
        <v>1977</v>
      </c>
    </row>
    <row r="490" spans="1:4" ht="19.95" customHeight="1" x14ac:dyDescent="0.25">
      <c r="A490" s="10" t="s">
        <v>21</v>
      </c>
      <c r="B490" s="11" t="s">
        <v>14</v>
      </c>
      <c r="C490" s="11"/>
      <c r="D490" s="11">
        <v>1977</v>
      </c>
    </row>
    <row r="491" spans="1:4" ht="19.95" customHeight="1" x14ac:dyDescent="0.25">
      <c r="A491" s="10" t="s">
        <v>22</v>
      </c>
      <c r="B491" s="11" t="s">
        <v>14</v>
      </c>
      <c r="C491" s="11">
        <v>1474.134</v>
      </c>
      <c r="D491" s="11">
        <v>1977</v>
      </c>
    </row>
    <row r="492" spans="1:4" ht="19.95" customHeight="1" x14ac:dyDescent="0.25">
      <c r="A492" s="10" t="s">
        <v>23</v>
      </c>
      <c r="B492" s="11" t="s">
        <v>14</v>
      </c>
      <c r="C492" s="11">
        <v>847.077</v>
      </c>
      <c r="D492" s="11">
        <v>1977</v>
      </c>
    </row>
    <row r="493" spans="1:4" ht="19.95" customHeight="1" x14ac:dyDescent="0.25">
      <c r="A493" s="10" t="s">
        <v>24</v>
      </c>
      <c r="B493" s="11" t="s">
        <v>14</v>
      </c>
      <c r="C493" s="11">
        <v>638.05799999999999</v>
      </c>
      <c r="D493" s="11">
        <v>1977</v>
      </c>
    </row>
    <row r="494" spans="1:4" ht="19.95" customHeight="1" x14ac:dyDescent="0.25">
      <c r="A494" s="10" t="s">
        <v>25</v>
      </c>
      <c r="B494" s="11" t="s">
        <v>14</v>
      </c>
      <c r="C494" s="11">
        <v>414.37099999999998</v>
      </c>
      <c r="D494" s="11">
        <v>1977</v>
      </c>
    </row>
    <row r="495" spans="1:4" ht="19.95" customHeight="1" x14ac:dyDescent="0.25">
      <c r="A495" s="10" t="s">
        <v>26</v>
      </c>
      <c r="B495" s="11" t="s">
        <v>14</v>
      </c>
      <c r="C495" s="11"/>
      <c r="D495" s="11">
        <v>1977</v>
      </c>
    </row>
    <row r="496" spans="1:4" ht="19.95" customHeight="1" x14ac:dyDescent="0.25">
      <c r="A496" s="10" t="s">
        <v>27</v>
      </c>
      <c r="B496" s="11" t="s">
        <v>14</v>
      </c>
      <c r="C496" s="11">
        <v>2713.58</v>
      </c>
      <c r="D496" s="11">
        <v>1977</v>
      </c>
    </row>
    <row r="497" spans="1:4" ht="19.95" customHeight="1" x14ac:dyDescent="0.25">
      <c r="A497" s="10" t="s">
        <v>29</v>
      </c>
      <c r="B497" s="11" t="s">
        <v>14</v>
      </c>
      <c r="C497" s="11">
        <v>5174.1369999999997</v>
      </c>
      <c r="D497" s="11">
        <v>1977</v>
      </c>
    </row>
    <row r="498" spans="1:4" ht="19.95" customHeight="1" x14ac:dyDescent="0.25">
      <c r="A498" s="10" t="s">
        <v>30</v>
      </c>
      <c r="B498" s="11" t="s">
        <v>14</v>
      </c>
      <c r="C498" s="11">
        <v>337.36399999999998</v>
      </c>
      <c r="D498" s="11">
        <v>1977</v>
      </c>
    </row>
    <row r="499" spans="1:4" ht="19.95" customHeight="1" x14ac:dyDescent="0.25">
      <c r="A499" s="10" t="s">
        <v>31</v>
      </c>
      <c r="B499" s="11" t="s">
        <v>14</v>
      </c>
      <c r="C499" s="11">
        <v>2838.2579999999998</v>
      </c>
      <c r="D499" s="11">
        <v>1977</v>
      </c>
    </row>
    <row r="500" spans="1:4" ht="19.95" customHeight="1" x14ac:dyDescent="0.25">
      <c r="A500" s="10" t="s">
        <v>32</v>
      </c>
      <c r="B500" s="11" t="s">
        <v>14</v>
      </c>
      <c r="C500" s="11">
        <v>366.7</v>
      </c>
      <c r="D500" s="11">
        <v>1977</v>
      </c>
    </row>
    <row r="501" spans="1:4" ht="19.95" customHeight="1" x14ac:dyDescent="0.25">
      <c r="A501" s="10" t="s">
        <v>33</v>
      </c>
      <c r="B501" s="11" t="s">
        <v>14</v>
      </c>
      <c r="C501" s="11">
        <v>267.69099999999997</v>
      </c>
      <c r="D501" s="11">
        <v>1977</v>
      </c>
    </row>
    <row r="502" spans="1:4" ht="19.95" customHeight="1" x14ac:dyDescent="0.25">
      <c r="A502" s="10" t="s">
        <v>34</v>
      </c>
      <c r="B502" s="11" t="s">
        <v>14</v>
      </c>
      <c r="C502" s="11">
        <v>29.335999999999999</v>
      </c>
      <c r="D502" s="11">
        <v>1977</v>
      </c>
    </row>
    <row r="503" spans="1:4" ht="19.95" customHeight="1" x14ac:dyDescent="0.25">
      <c r="A503" s="10" t="s">
        <v>35</v>
      </c>
      <c r="B503" s="11" t="s">
        <v>14</v>
      </c>
      <c r="C503" s="11">
        <v>2918.9319999999998</v>
      </c>
      <c r="D503" s="11">
        <v>1977</v>
      </c>
    </row>
    <row r="504" spans="1:4" ht="19.95" customHeight="1" x14ac:dyDescent="0.25">
      <c r="A504" s="10" t="s">
        <v>36</v>
      </c>
      <c r="B504" s="11" t="s">
        <v>14</v>
      </c>
      <c r="C504" s="11"/>
      <c r="D504" s="11">
        <v>1977</v>
      </c>
    </row>
    <row r="505" spans="1:4" ht="19.95" customHeight="1" x14ac:dyDescent="0.25">
      <c r="A505" s="10" t="s">
        <v>37</v>
      </c>
      <c r="B505" s="11" t="s">
        <v>14</v>
      </c>
      <c r="C505" s="11">
        <v>2013.183</v>
      </c>
      <c r="D505" s="11">
        <v>1977</v>
      </c>
    </row>
    <row r="506" spans="1:4" ht="19.95" customHeight="1" x14ac:dyDescent="0.25">
      <c r="A506" s="10" t="s">
        <v>38</v>
      </c>
      <c r="B506" s="11" t="s">
        <v>14</v>
      </c>
      <c r="C506" s="11">
        <v>806.74</v>
      </c>
      <c r="D506" s="11">
        <v>1977</v>
      </c>
    </row>
    <row r="507" spans="1:4" ht="19.95" customHeight="1" x14ac:dyDescent="0.25">
      <c r="A507" s="10" t="s">
        <v>39</v>
      </c>
      <c r="B507" s="11" t="s">
        <v>14</v>
      </c>
      <c r="C507" s="11">
        <v>3744.0070000000001</v>
      </c>
      <c r="D507" s="11">
        <v>1977</v>
      </c>
    </row>
    <row r="508" spans="1:4" ht="19.95" customHeight="1" x14ac:dyDescent="0.25">
      <c r="A508" s="10" t="s">
        <v>40</v>
      </c>
      <c r="B508" s="11" t="s">
        <v>14</v>
      </c>
      <c r="C508" s="11">
        <v>9299.5120000000006</v>
      </c>
      <c r="D508" s="11">
        <v>1977</v>
      </c>
    </row>
    <row r="509" spans="1:4" ht="19.95" customHeight="1" x14ac:dyDescent="0.25">
      <c r="A509" s="10" t="s">
        <v>10</v>
      </c>
      <c r="B509" s="11" t="s">
        <v>14</v>
      </c>
      <c r="C509" s="11">
        <v>102.676</v>
      </c>
      <c r="D509" s="11">
        <v>1978</v>
      </c>
    </row>
    <row r="510" spans="1:4" ht="19.95" customHeight="1" x14ac:dyDescent="0.25">
      <c r="A510" s="10" t="s">
        <v>13</v>
      </c>
      <c r="B510" s="11" t="s">
        <v>14</v>
      </c>
      <c r="C510" s="11">
        <v>2002.182</v>
      </c>
      <c r="D510" s="11">
        <v>1978</v>
      </c>
    </row>
    <row r="511" spans="1:4" ht="19.95" customHeight="1" x14ac:dyDescent="0.25">
      <c r="A511" s="10" t="s">
        <v>15</v>
      </c>
      <c r="B511" s="11" t="s">
        <v>14</v>
      </c>
      <c r="C511" s="11">
        <v>194.351</v>
      </c>
      <c r="D511" s="11">
        <v>1978</v>
      </c>
    </row>
    <row r="512" spans="1:4" ht="19.95" customHeight="1" x14ac:dyDescent="0.25">
      <c r="A512" s="10" t="s">
        <v>16</v>
      </c>
      <c r="B512" s="11" t="s">
        <v>14</v>
      </c>
      <c r="C512" s="11">
        <v>29.335999999999999</v>
      </c>
      <c r="D512" s="11">
        <v>1978</v>
      </c>
    </row>
    <row r="513" spans="1:4" ht="19.95" customHeight="1" x14ac:dyDescent="0.25">
      <c r="A513" s="10" t="s">
        <v>17</v>
      </c>
      <c r="B513" s="11" t="s">
        <v>14</v>
      </c>
      <c r="C513" s="11">
        <v>201.685</v>
      </c>
      <c r="D513" s="11">
        <v>1978</v>
      </c>
    </row>
    <row r="514" spans="1:4" ht="19.95" customHeight="1" x14ac:dyDescent="0.25">
      <c r="A514" s="10" t="s">
        <v>2</v>
      </c>
      <c r="B514" s="11" t="s">
        <v>14</v>
      </c>
      <c r="C514" s="11">
        <v>1371.4580000000001</v>
      </c>
      <c r="D514" s="11">
        <v>1978</v>
      </c>
    </row>
    <row r="515" spans="1:4" ht="19.95" customHeight="1" x14ac:dyDescent="0.25">
      <c r="A515" s="10" t="s">
        <v>18</v>
      </c>
      <c r="B515" s="11" t="s">
        <v>14</v>
      </c>
      <c r="C515" s="11">
        <v>902.08199999999999</v>
      </c>
      <c r="D515" s="11">
        <v>1978</v>
      </c>
    </row>
    <row r="516" spans="1:4" ht="19.95" customHeight="1" x14ac:dyDescent="0.25">
      <c r="A516" s="10" t="s">
        <v>19</v>
      </c>
      <c r="B516" s="11" t="s">
        <v>14</v>
      </c>
      <c r="C516" s="11">
        <v>755.40200000000004</v>
      </c>
      <c r="D516" s="11">
        <v>1978</v>
      </c>
    </row>
    <row r="517" spans="1:4" ht="19.95" customHeight="1" x14ac:dyDescent="0.25">
      <c r="A517" s="10" t="s">
        <v>20</v>
      </c>
      <c r="B517" s="11" t="s">
        <v>14</v>
      </c>
      <c r="C517" s="11">
        <v>5324.4840000000004</v>
      </c>
      <c r="D517" s="11">
        <v>1978</v>
      </c>
    </row>
    <row r="518" spans="1:4" ht="19.95" customHeight="1" x14ac:dyDescent="0.25">
      <c r="A518" s="10" t="s">
        <v>21</v>
      </c>
      <c r="B518" s="11" t="s">
        <v>14</v>
      </c>
      <c r="C518" s="11"/>
      <c r="D518" s="11">
        <v>1978</v>
      </c>
    </row>
    <row r="519" spans="1:4" ht="19.95" customHeight="1" x14ac:dyDescent="0.25">
      <c r="A519" s="10" t="s">
        <v>22</v>
      </c>
      <c r="B519" s="11" t="s">
        <v>14</v>
      </c>
      <c r="C519" s="11">
        <v>1507.1369999999999</v>
      </c>
      <c r="D519" s="11">
        <v>1978</v>
      </c>
    </row>
    <row r="520" spans="1:4" ht="19.95" customHeight="1" x14ac:dyDescent="0.25">
      <c r="A520" s="10" t="s">
        <v>23</v>
      </c>
      <c r="B520" s="11" t="s">
        <v>14</v>
      </c>
      <c r="C520" s="11">
        <v>1019.426</v>
      </c>
      <c r="D520" s="11">
        <v>1978</v>
      </c>
    </row>
    <row r="521" spans="1:4" ht="19.95" customHeight="1" x14ac:dyDescent="0.25">
      <c r="A521" s="10" t="s">
        <v>24</v>
      </c>
      <c r="B521" s="11" t="s">
        <v>14</v>
      </c>
      <c r="C521" s="11">
        <v>671.06100000000004</v>
      </c>
      <c r="D521" s="11">
        <v>1978</v>
      </c>
    </row>
    <row r="522" spans="1:4" ht="19.95" customHeight="1" x14ac:dyDescent="0.25">
      <c r="A522" s="10" t="s">
        <v>25</v>
      </c>
      <c r="B522" s="11" t="s">
        <v>14</v>
      </c>
      <c r="C522" s="11">
        <v>396.036</v>
      </c>
      <c r="D522" s="11">
        <v>1978</v>
      </c>
    </row>
    <row r="523" spans="1:4" ht="19.95" customHeight="1" x14ac:dyDescent="0.25">
      <c r="A523" s="10" t="s">
        <v>26</v>
      </c>
      <c r="B523" s="11" t="s">
        <v>14</v>
      </c>
      <c r="C523" s="11"/>
      <c r="D523" s="11">
        <v>1978</v>
      </c>
    </row>
    <row r="524" spans="1:4" ht="19.95" customHeight="1" x14ac:dyDescent="0.25">
      <c r="A524" s="10" t="s">
        <v>27</v>
      </c>
      <c r="B524" s="11" t="s">
        <v>14</v>
      </c>
      <c r="C524" s="11">
        <v>2874.9279999999999</v>
      </c>
      <c r="D524" s="11">
        <v>1978</v>
      </c>
    </row>
    <row r="525" spans="1:4" ht="19.95" customHeight="1" x14ac:dyDescent="0.25">
      <c r="A525" s="10" t="s">
        <v>29</v>
      </c>
      <c r="B525" s="11" t="s">
        <v>14</v>
      </c>
      <c r="C525" s="11">
        <v>5155.8019999999997</v>
      </c>
      <c r="D525" s="11">
        <v>1978</v>
      </c>
    </row>
    <row r="526" spans="1:4" ht="19.95" customHeight="1" x14ac:dyDescent="0.25">
      <c r="A526" s="10" t="s">
        <v>30</v>
      </c>
      <c r="B526" s="11" t="s">
        <v>14</v>
      </c>
      <c r="C526" s="11">
        <v>330.03</v>
      </c>
      <c r="D526" s="11">
        <v>1978</v>
      </c>
    </row>
    <row r="527" spans="1:4" ht="19.95" customHeight="1" x14ac:dyDescent="0.25">
      <c r="A527" s="10" t="s">
        <v>31</v>
      </c>
      <c r="B527" s="11" t="s">
        <v>14</v>
      </c>
      <c r="C527" s="11">
        <v>2632.9059999999999</v>
      </c>
      <c r="D527" s="11">
        <v>1978</v>
      </c>
    </row>
    <row r="528" spans="1:4" ht="19.95" customHeight="1" x14ac:dyDescent="0.25">
      <c r="A528" s="10" t="s">
        <v>32</v>
      </c>
      <c r="B528" s="11" t="s">
        <v>14</v>
      </c>
      <c r="C528" s="11">
        <v>418.03800000000001</v>
      </c>
      <c r="D528" s="11">
        <v>1978</v>
      </c>
    </row>
    <row r="529" spans="1:4" ht="19.95" customHeight="1" x14ac:dyDescent="0.25">
      <c r="A529" s="10" t="s">
        <v>33</v>
      </c>
      <c r="B529" s="11" t="s">
        <v>14</v>
      </c>
      <c r="C529" s="11">
        <v>289.69299999999998</v>
      </c>
      <c r="D529" s="11">
        <v>1978</v>
      </c>
    </row>
    <row r="530" spans="1:4" ht="19.95" customHeight="1" x14ac:dyDescent="0.25">
      <c r="A530" s="10" t="s">
        <v>34</v>
      </c>
      <c r="B530" s="11" t="s">
        <v>14</v>
      </c>
      <c r="C530" s="11">
        <v>33.003</v>
      </c>
      <c r="D530" s="11">
        <v>1978</v>
      </c>
    </row>
    <row r="531" spans="1:4" ht="19.95" customHeight="1" x14ac:dyDescent="0.25">
      <c r="A531" s="10" t="s">
        <v>35</v>
      </c>
      <c r="B531" s="11" t="s">
        <v>14</v>
      </c>
      <c r="C531" s="11">
        <v>3450.6469999999999</v>
      </c>
      <c r="D531" s="11">
        <v>1978</v>
      </c>
    </row>
    <row r="532" spans="1:4" ht="19.95" customHeight="1" x14ac:dyDescent="0.25">
      <c r="A532" s="10" t="s">
        <v>36</v>
      </c>
      <c r="B532" s="11" t="s">
        <v>14</v>
      </c>
      <c r="C532" s="11"/>
      <c r="D532" s="11">
        <v>1978</v>
      </c>
    </row>
    <row r="533" spans="1:4" ht="19.95" customHeight="1" x14ac:dyDescent="0.25">
      <c r="A533" s="10" t="s">
        <v>37</v>
      </c>
      <c r="B533" s="11" t="s">
        <v>14</v>
      </c>
      <c r="C533" s="11">
        <v>2203.8670000000002</v>
      </c>
      <c r="D533" s="11">
        <v>1978</v>
      </c>
    </row>
    <row r="534" spans="1:4" ht="19.95" customHeight="1" x14ac:dyDescent="0.25">
      <c r="A534" s="10" t="s">
        <v>38</v>
      </c>
      <c r="B534" s="11" t="s">
        <v>14</v>
      </c>
      <c r="C534" s="11">
        <v>700.39700000000005</v>
      </c>
      <c r="D534" s="11">
        <v>1978</v>
      </c>
    </row>
    <row r="535" spans="1:4" ht="19.95" customHeight="1" x14ac:dyDescent="0.25">
      <c r="A535" s="10" t="s">
        <v>39</v>
      </c>
      <c r="B535" s="11" t="s">
        <v>14</v>
      </c>
      <c r="C535" s="11">
        <v>3476.3159999999998</v>
      </c>
      <c r="D535" s="11">
        <v>1978</v>
      </c>
    </row>
    <row r="536" spans="1:4" ht="19.95" customHeight="1" x14ac:dyDescent="0.25">
      <c r="A536" s="10" t="s">
        <v>40</v>
      </c>
      <c r="B536" s="11" t="s">
        <v>14</v>
      </c>
      <c r="C536" s="11">
        <v>9295.8449999999993</v>
      </c>
      <c r="D536" s="11">
        <v>1978</v>
      </c>
    </row>
    <row r="537" spans="1:4" ht="19.95" customHeight="1" x14ac:dyDescent="0.25">
      <c r="A537" s="10" t="s">
        <v>10</v>
      </c>
      <c r="B537" s="11" t="s">
        <v>14</v>
      </c>
      <c r="C537" s="11">
        <v>110.01</v>
      </c>
      <c r="D537" s="11">
        <v>1979</v>
      </c>
    </row>
    <row r="538" spans="1:4" ht="19.95" customHeight="1" x14ac:dyDescent="0.25">
      <c r="A538" s="10" t="s">
        <v>13</v>
      </c>
      <c r="B538" s="11" t="s">
        <v>14</v>
      </c>
      <c r="C538" s="11">
        <v>1829.8330000000001</v>
      </c>
      <c r="D538" s="11">
        <v>1979</v>
      </c>
    </row>
    <row r="539" spans="1:4" ht="19.95" customHeight="1" x14ac:dyDescent="0.25">
      <c r="A539" s="10" t="s">
        <v>15</v>
      </c>
      <c r="B539" s="11" t="s">
        <v>14</v>
      </c>
      <c r="C539" s="11">
        <v>201.685</v>
      </c>
      <c r="D539" s="11">
        <v>1979</v>
      </c>
    </row>
    <row r="540" spans="1:4" ht="19.95" customHeight="1" x14ac:dyDescent="0.25">
      <c r="A540" s="10" t="s">
        <v>16</v>
      </c>
      <c r="B540" s="11" t="s">
        <v>14</v>
      </c>
      <c r="C540" s="11">
        <v>22.001999999999999</v>
      </c>
      <c r="D540" s="11">
        <v>1979</v>
      </c>
    </row>
    <row r="541" spans="1:4" ht="19.95" customHeight="1" x14ac:dyDescent="0.25">
      <c r="A541" s="10" t="s">
        <v>17</v>
      </c>
      <c r="B541" s="11" t="s">
        <v>14</v>
      </c>
      <c r="C541" s="11">
        <v>363.03300000000002</v>
      </c>
      <c r="D541" s="11">
        <v>1979</v>
      </c>
    </row>
    <row r="542" spans="1:4" ht="19.95" customHeight="1" x14ac:dyDescent="0.25">
      <c r="A542" s="10" t="s">
        <v>2</v>
      </c>
      <c r="B542" s="11" t="s">
        <v>14</v>
      </c>
      <c r="C542" s="11">
        <v>1848.1679999999999</v>
      </c>
      <c r="D542" s="11">
        <v>1979</v>
      </c>
    </row>
    <row r="543" spans="1:4" ht="19.95" customHeight="1" x14ac:dyDescent="0.25">
      <c r="A543" s="10" t="s">
        <v>18</v>
      </c>
      <c r="B543" s="11" t="s">
        <v>14</v>
      </c>
      <c r="C543" s="11">
        <v>946.08600000000001</v>
      </c>
      <c r="D543" s="11">
        <v>1979</v>
      </c>
    </row>
    <row r="544" spans="1:4" ht="19.95" customHeight="1" x14ac:dyDescent="0.25">
      <c r="A544" s="10" t="s">
        <v>19</v>
      </c>
      <c r="B544" s="11" t="s">
        <v>14</v>
      </c>
      <c r="C544" s="11">
        <v>755.40200000000004</v>
      </c>
      <c r="D544" s="11">
        <v>1979</v>
      </c>
    </row>
    <row r="545" spans="1:4" ht="19.95" customHeight="1" x14ac:dyDescent="0.25">
      <c r="A545" s="10" t="s">
        <v>20</v>
      </c>
      <c r="B545" s="11" t="s">
        <v>14</v>
      </c>
      <c r="C545" s="11">
        <v>5038.4579999999996</v>
      </c>
      <c r="D545" s="11">
        <v>1979</v>
      </c>
    </row>
    <row r="546" spans="1:4" ht="19.95" customHeight="1" x14ac:dyDescent="0.25">
      <c r="A546" s="10" t="s">
        <v>21</v>
      </c>
      <c r="B546" s="11" t="s">
        <v>14</v>
      </c>
      <c r="C546" s="11"/>
      <c r="D546" s="11">
        <v>1979</v>
      </c>
    </row>
    <row r="547" spans="1:4" ht="19.95" customHeight="1" x14ac:dyDescent="0.25">
      <c r="A547" s="10" t="s">
        <v>22</v>
      </c>
      <c r="B547" s="11" t="s">
        <v>14</v>
      </c>
      <c r="C547" s="11">
        <v>1947.1769999999999</v>
      </c>
      <c r="D547" s="11">
        <v>1979</v>
      </c>
    </row>
    <row r="548" spans="1:4" ht="19.95" customHeight="1" x14ac:dyDescent="0.25">
      <c r="A548" s="10" t="s">
        <v>23</v>
      </c>
      <c r="B548" s="11" t="s">
        <v>14</v>
      </c>
      <c r="C548" s="11">
        <v>1133.1030000000001</v>
      </c>
      <c r="D548" s="11">
        <v>1979</v>
      </c>
    </row>
    <row r="549" spans="1:4" ht="19.95" customHeight="1" x14ac:dyDescent="0.25">
      <c r="A549" s="10" t="s">
        <v>24</v>
      </c>
      <c r="B549" s="11" t="s">
        <v>14</v>
      </c>
      <c r="C549" s="11">
        <v>638.05799999999999</v>
      </c>
      <c r="D549" s="11">
        <v>1979</v>
      </c>
    </row>
    <row r="550" spans="1:4" ht="19.95" customHeight="1" x14ac:dyDescent="0.25">
      <c r="A550" s="10" t="s">
        <v>25</v>
      </c>
      <c r="B550" s="11" t="s">
        <v>14</v>
      </c>
      <c r="C550" s="11">
        <v>429.03899999999999</v>
      </c>
      <c r="D550" s="11">
        <v>1979</v>
      </c>
    </row>
    <row r="551" spans="1:4" ht="19.95" customHeight="1" x14ac:dyDescent="0.25">
      <c r="A551" s="10" t="s">
        <v>26</v>
      </c>
      <c r="B551" s="11" t="s">
        <v>14</v>
      </c>
      <c r="C551" s="11"/>
      <c r="D551" s="11">
        <v>1979</v>
      </c>
    </row>
    <row r="552" spans="1:4" ht="19.95" customHeight="1" x14ac:dyDescent="0.25">
      <c r="A552" s="10" t="s">
        <v>27</v>
      </c>
      <c r="B552" s="11" t="s">
        <v>14</v>
      </c>
      <c r="C552" s="11">
        <v>2643.9070000000002</v>
      </c>
      <c r="D552" s="11">
        <v>1979</v>
      </c>
    </row>
    <row r="553" spans="1:4" ht="19.95" customHeight="1" x14ac:dyDescent="0.25">
      <c r="A553" s="10" t="s">
        <v>29</v>
      </c>
      <c r="B553" s="11" t="s">
        <v>14</v>
      </c>
      <c r="C553" s="11">
        <v>5100.7969999999996</v>
      </c>
      <c r="D553" s="11">
        <v>1979</v>
      </c>
    </row>
    <row r="554" spans="1:4" ht="19.95" customHeight="1" x14ac:dyDescent="0.25">
      <c r="A554" s="10" t="s">
        <v>30</v>
      </c>
      <c r="B554" s="11" t="s">
        <v>14</v>
      </c>
      <c r="C554" s="11">
        <v>513.38</v>
      </c>
      <c r="D554" s="11">
        <v>1979</v>
      </c>
    </row>
    <row r="555" spans="1:4" ht="19.95" customHeight="1" x14ac:dyDescent="0.25">
      <c r="A555" s="10" t="s">
        <v>31</v>
      </c>
      <c r="B555" s="11" t="s">
        <v>14</v>
      </c>
      <c r="C555" s="11">
        <v>1712.489</v>
      </c>
      <c r="D555" s="11">
        <v>1979</v>
      </c>
    </row>
    <row r="556" spans="1:4" ht="19.95" customHeight="1" x14ac:dyDescent="0.25">
      <c r="A556" s="10" t="s">
        <v>32</v>
      </c>
      <c r="B556" s="11" t="s">
        <v>14</v>
      </c>
      <c r="C556" s="11">
        <v>480.37700000000001</v>
      </c>
      <c r="D556" s="11">
        <v>1979</v>
      </c>
    </row>
    <row r="557" spans="1:4" ht="19.95" customHeight="1" x14ac:dyDescent="0.25">
      <c r="A557" s="10" t="s">
        <v>33</v>
      </c>
      <c r="B557" s="11" t="s">
        <v>14</v>
      </c>
      <c r="C557" s="11">
        <v>297.02699999999999</v>
      </c>
      <c r="D557" s="11">
        <v>1979</v>
      </c>
    </row>
    <row r="558" spans="1:4" ht="19.95" customHeight="1" x14ac:dyDescent="0.25">
      <c r="A558" s="10" t="s">
        <v>34</v>
      </c>
      <c r="B558" s="11" t="s">
        <v>14</v>
      </c>
      <c r="C558" s="11">
        <v>33.003</v>
      </c>
      <c r="D558" s="11">
        <v>1979</v>
      </c>
    </row>
    <row r="559" spans="1:4" ht="19.95" customHeight="1" x14ac:dyDescent="0.25">
      <c r="A559" s="10" t="s">
        <v>35</v>
      </c>
      <c r="B559" s="11" t="s">
        <v>14</v>
      </c>
      <c r="C559" s="11">
        <v>3828.348</v>
      </c>
      <c r="D559" s="11">
        <v>1979</v>
      </c>
    </row>
    <row r="560" spans="1:4" ht="19.95" customHeight="1" x14ac:dyDescent="0.25">
      <c r="A560" s="10" t="s">
        <v>36</v>
      </c>
      <c r="B560" s="11" t="s">
        <v>14</v>
      </c>
      <c r="C560" s="11"/>
      <c r="D560" s="11">
        <v>1979</v>
      </c>
    </row>
    <row r="561" spans="1:4" ht="19.95" customHeight="1" x14ac:dyDescent="0.25">
      <c r="A561" s="10" t="s">
        <v>37</v>
      </c>
      <c r="B561" s="11" t="s">
        <v>14</v>
      </c>
      <c r="C561" s="11">
        <v>2071.855</v>
      </c>
      <c r="D561" s="11">
        <v>1979</v>
      </c>
    </row>
    <row r="562" spans="1:4" ht="19.95" customHeight="1" x14ac:dyDescent="0.25">
      <c r="A562" s="10" t="s">
        <v>38</v>
      </c>
      <c r="B562" s="11" t="s">
        <v>14</v>
      </c>
      <c r="C562" s="11">
        <v>674.72799999999995</v>
      </c>
      <c r="D562" s="11">
        <v>1979</v>
      </c>
    </row>
    <row r="563" spans="1:4" ht="19.95" customHeight="1" x14ac:dyDescent="0.25">
      <c r="A563" s="10" t="s">
        <v>39</v>
      </c>
      <c r="B563" s="11" t="s">
        <v>14</v>
      </c>
      <c r="C563" s="11">
        <v>3604.6610000000001</v>
      </c>
      <c r="D563" s="11">
        <v>1979</v>
      </c>
    </row>
    <row r="564" spans="1:4" ht="19.95" customHeight="1" x14ac:dyDescent="0.25">
      <c r="A564" s="10" t="s">
        <v>40</v>
      </c>
      <c r="B564" s="11" t="s">
        <v>14</v>
      </c>
      <c r="C564" s="11">
        <v>9449.8590000000004</v>
      </c>
      <c r="D564" s="11">
        <v>1979</v>
      </c>
    </row>
    <row r="565" spans="1:4" ht="19.95" customHeight="1" x14ac:dyDescent="0.25">
      <c r="A565" s="10" t="s">
        <v>10</v>
      </c>
      <c r="B565" s="11" t="s">
        <v>14</v>
      </c>
      <c r="C565" s="11">
        <v>146.68</v>
      </c>
      <c r="D565" s="11">
        <v>1980</v>
      </c>
    </row>
    <row r="566" spans="1:4" ht="19.95" customHeight="1" x14ac:dyDescent="0.25">
      <c r="A566" s="10" t="s">
        <v>13</v>
      </c>
      <c r="B566" s="11" t="s">
        <v>14</v>
      </c>
      <c r="C566" s="11">
        <v>3905.355</v>
      </c>
      <c r="D566" s="11">
        <v>1980</v>
      </c>
    </row>
    <row r="567" spans="1:4" ht="19.95" customHeight="1" x14ac:dyDescent="0.25">
      <c r="A567" s="10" t="s">
        <v>15</v>
      </c>
      <c r="B567" s="11" t="s">
        <v>14</v>
      </c>
      <c r="C567" s="11">
        <v>209.01900000000001</v>
      </c>
      <c r="D567" s="11">
        <v>1980</v>
      </c>
    </row>
    <row r="568" spans="1:4" ht="19.95" customHeight="1" x14ac:dyDescent="0.25">
      <c r="A568" s="10" t="s">
        <v>16</v>
      </c>
      <c r="B568" s="11" t="s">
        <v>14</v>
      </c>
      <c r="C568" s="11">
        <v>47.670999999999999</v>
      </c>
      <c r="D568" s="11">
        <v>1980</v>
      </c>
    </row>
    <row r="569" spans="1:4" ht="19.95" customHeight="1" x14ac:dyDescent="0.25">
      <c r="A569" s="10" t="s">
        <v>17</v>
      </c>
      <c r="B569" s="11" t="s">
        <v>14</v>
      </c>
      <c r="C569" s="11">
        <v>348.36500000000001</v>
      </c>
      <c r="D569" s="11">
        <v>1980</v>
      </c>
    </row>
    <row r="570" spans="1:4" ht="19.95" customHeight="1" x14ac:dyDescent="0.25">
      <c r="A570" s="10" t="s">
        <v>2</v>
      </c>
      <c r="B570" s="11" t="s">
        <v>14</v>
      </c>
      <c r="C570" s="11">
        <v>1822.499</v>
      </c>
      <c r="D570" s="11">
        <v>1980</v>
      </c>
    </row>
    <row r="571" spans="1:4" ht="19.95" customHeight="1" x14ac:dyDescent="0.25">
      <c r="A571" s="10" t="s">
        <v>18</v>
      </c>
      <c r="B571" s="11" t="s">
        <v>14</v>
      </c>
      <c r="C571" s="11">
        <v>964.42100000000005</v>
      </c>
      <c r="D571" s="11">
        <v>1980</v>
      </c>
    </row>
    <row r="572" spans="1:4" ht="19.95" customHeight="1" x14ac:dyDescent="0.25">
      <c r="A572" s="10" t="s">
        <v>19</v>
      </c>
      <c r="B572" s="11" t="s">
        <v>14</v>
      </c>
      <c r="C572" s="11">
        <v>751.73500000000001</v>
      </c>
      <c r="D572" s="11">
        <v>1980</v>
      </c>
    </row>
    <row r="573" spans="1:4" ht="19.95" customHeight="1" x14ac:dyDescent="0.25">
      <c r="A573" s="10" t="s">
        <v>20</v>
      </c>
      <c r="B573" s="11" t="s">
        <v>14</v>
      </c>
      <c r="C573" s="11">
        <v>6197.23</v>
      </c>
      <c r="D573" s="11">
        <v>1980</v>
      </c>
    </row>
    <row r="574" spans="1:4" ht="19.95" customHeight="1" x14ac:dyDescent="0.25">
      <c r="A574" s="10" t="s">
        <v>21</v>
      </c>
      <c r="B574" s="11" t="s">
        <v>14</v>
      </c>
      <c r="C574" s="11"/>
      <c r="D574" s="11">
        <v>1980</v>
      </c>
    </row>
    <row r="575" spans="1:4" ht="19.95" customHeight="1" x14ac:dyDescent="0.25">
      <c r="A575" s="10" t="s">
        <v>22</v>
      </c>
      <c r="B575" s="11" t="s">
        <v>14</v>
      </c>
      <c r="C575" s="11">
        <v>2042.519</v>
      </c>
      <c r="D575" s="11">
        <v>1980</v>
      </c>
    </row>
    <row r="576" spans="1:4" ht="19.95" customHeight="1" x14ac:dyDescent="0.25">
      <c r="A576" s="10" t="s">
        <v>23</v>
      </c>
      <c r="B576" s="11" t="s">
        <v>14</v>
      </c>
      <c r="C576" s="11">
        <v>1617.1469999999999</v>
      </c>
      <c r="D576" s="11">
        <v>1980</v>
      </c>
    </row>
    <row r="577" spans="1:4" ht="19.95" customHeight="1" x14ac:dyDescent="0.25">
      <c r="A577" s="10" t="s">
        <v>24</v>
      </c>
      <c r="B577" s="11" t="s">
        <v>14</v>
      </c>
      <c r="C577" s="11">
        <v>711.39800000000002</v>
      </c>
      <c r="D577" s="11">
        <v>1980</v>
      </c>
    </row>
    <row r="578" spans="1:4" ht="19.95" customHeight="1" x14ac:dyDescent="0.25">
      <c r="A578" s="10" t="s">
        <v>25</v>
      </c>
      <c r="B578" s="11" t="s">
        <v>14</v>
      </c>
      <c r="C578" s="11">
        <v>392.36900000000003</v>
      </c>
      <c r="D578" s="11">
        <v>1980</v>
      </c>
    </row>
    <row r="579" spans="1:4" ht="19.95" customHeight="1" x14ac:dyDescent="0.25">
      <c r="A579" s="10" t="s">
        <v>26</v>
      </c>
      <c r="B579" s="11" t="s">
        <v>14</v>
      </c>
      <c r="C579" s="11"/>
      <c r="D579" s="11">
        <v>1980</v>
      </c>
    </row>
    <row r="580" spans="1:4" ht="19.95" customHeight="1" x14ac:dyDescent="0.25">
      <c r="A580" s="10" t="s">
        <v>27</v>
      </c>
      <c r="B580" s="11" t="s">
        <v>14</v>
      </c>
      <c r="C580" s="11">
        <v>3208.625</v>
      </c>
      <c r="D580" s="11">
        <v>1980</v>
      </c>
    </row>
    <row r="581" spans="1:4" ht="19.95" customHeight="1" x14ac:dyDescent="0.25">
      <c r="A581" s="10" t="s">
        <v>29</v>
      </c>
      <c r="B581" s="11" t="s">
        <v>14</v>
      </c>
      <c r="C581" s="11">
        <v>5526.1689999999999</v>
      </c>
      <c r="D581" s="11">
        <v>1980</v>
      </c>
    </row>
    <row r="582" spans="1:4" ht="19.95" customHeight="1" x14ac:dyDescent="0.25">
      <c r="A582" s="10" t="s">
        <v>30</v>
      </c>
      <c r="B582" s="11" t="s">
        <v>14</v>
      </c>
      <c r="C582" s="11">
        <v>542.71600000000001</v>
      </c>
      <c r="D582" s="11">
        <v>1980</v>
      </c>
    </row>
    <row r="583" spans="1:4" ht="19.95" customHeight="1" x14ac:dyDescent="0.25">
      <c r="A583" s="10" t="s">
        <v>31</v>
      </c>
      <c r="B583" s="11" t="s">
        <v>14</v>
      </c>
      <c r="C583" s="11">
        <v>2027.8510000000001</v>
      </c>
      <c r="D583" s="11">
        <v>1980</v>
      </c>
    </row>
    <row r="584" spans="1:4" ht="19.95" customHeight="1" x14ac:dyDescent="0.25">
      <c r="A584" s="10" t="s">
        <v>32</v>
      </c>
      <c r="B584" s="11" t="s">
        <v>14</v>
      </c>
      <c r="C584" s="11">
        <v>572.05200000000002</v>
      </c>
      <c r="D584" s="11">
        <v>1980</v>
      </c>
    </row>
    <row r="585" spans="1:4" ht="19.95" customHeight="1" x14ac:dyDescent="0.25">
      <c r="A585" s="10" t="s">
        <v>33</v>
      </c>
      <c r="B585" s="11" t="s">
        <v>14</v>
      </c>
      <c r="C585" s="11">
        <v>495.04500000000002</v>
      </c>
      <c r="D585" s="11">
        <v>1980</v>
      </c>
    </row>
    <row r="586" spans="1:4" ht="19.95" customHeight="1" x14ac:dyDescent="0.25">
      <c r="A586" s="10" t="s">
        <v>34</v>
      </c>
      <c r="B586" s="11" t="s">
        <v>14</v>
      </c>
      <c r="C586" s="11">
        <v>40.337000000000003</v>
      </c>
      <c r="D586" s="11">
        <v>1980</v>
      </c>
    </row>
    <row r="587" spans="1:4" ht="19.95" customHeight="1" x14ac:dyDescent="0.25">
      <c r="A587" s="10" t="s">
        <v>35</v>
      </c>
      <c r="B587" s="11" t="s">
        <v>14</v>
      </c>
      <c r="C587" s="11">
        <v>3410.31</v>
      </c>
      <c r="D587" s="11">
        <v>1980</v>
      </c>
    </row>
    <row r="588" spans="1:4" ht="19.95" customHeight="1" x14ac:dyDescent="0.25">
      <c r="A588" s="10" t="s">
        <v>36</v>
      </c>
      <c r="B588" s="11" t="s">
        <v>14</v>
      </c>
      <c r="C588" s="11"/>
      <c r="D588" s="11">
        <v>1980</v>
      </c>
    </row>
    <row r="589" spans="1:4" ht="19.95" customHeight="1" x14ac:dyDescent="0.25">
      <c r="A589" s="10" t="s">
        <v>37</v>
      </c>
      <c r="B589" s="11" t="s">
        <v>14</v>
      </c>
      <c r="C589" s="11">
        <v>1884.838</v>
      </c>
      <c r="D589" s="11">
        <v>1980</v>
      </c>
    </row>
    <row r="590" spans="1:4" ht="19.95" customHeight="1" x14ac:dyDescent="0.25">
      <c r="A590" s="10" t="s">
        <v>38</v>
      </c>
      <c r="B590" s="11" t="s">
        <v>14</v>
      </c>
      <c r="C590" s="11">
        <v>627.05700000000002</v>
      </c>
      <c r="D590" s="11">
        <v>1980</v>
      </c>
    </row>
    <row r="591" spans="1:4" ht="19.95" customHeight="1" x14ac:dyDescent="0.25">
      <c r="A591" s="10" t="s">
        <v>39</v>
      </c>
      <c r="B591" s="11" t="s">
        <v>14</v>
      </c>
      <c r="C591" s="11">
        <v>3531.3209999999999</v>
      </c>
      <c r="D591" s="11">
        <v>1980</v>
      </c>
    </row>
    <row r="592" spans="1:4" ht="19.95" customHeight="1" x14ac:dyDescent="0.25">
      <c r="A592" s="10" t="s">
        <v>40</v>
      </c>
      <c r="B592" s="11" t="s">
        <v>14</v>
      </c>
      <c r="C592" s="11">
        <v>9636.8760000000002</v>
      </c>
      <c r="D592" s="11">
        <v>1980</v>
      </c>
    </row>
    <row r="593" spans="1:4" ht="19.95" customHeight="1" x14ac:dyDescent="0.25">
      <c r="A593" s="10" t="s">
        <v>10</v>
      </c>
      <c r="B593" s="11" t="s">
        <v>14</v>
      </c>
      <c r="C593" s="11">
        <v>157.68100000000001</v>
      </c>
      <c r="D593" s="11">
        <v>1981</v>
      </c>
    </row>
    <row r="594" spans="1:4" ht="19.95" customHeight="1" x14ac:dyDescent="0.25">
      <c r="A594" s="10" t="s">
        <v>13</v>
      </c>
      <c r="B594" s="11" t="s">
        <v>14</v>
      </c>
      <c r="C594" s="11">
        <v>5342.8190000000004</v>
      </c>
      <c r="D594" s="11">
        <v>1981</v>
      </c>
    </row>
    <row r="595" spans="1:4" ht="19.95" customHeight="1" x14ac:dyDescent="0.25">
      <c r="A595" s="10" t="s">
        <v>15</v>
      </c>
      <c r="B595" s="11" t="s">
        <v>14</v>
      </c>
      <c r="C595" s="11">
        <v>209.01900000000001</v>
      </c>
      <c r="D595" s="11">
        <v>1981</v>
      </c>
    </row>
    <row r="596" spans="1:4" ht="19.95" customHeight="1" x14ac:dyDescent="0.25">
      <c r="A596" s="10" t="s">
        <v>16</v>
      </c>
      <c r="B596" s="11" t="s">
        <v>14</v>
      </c>
      <c r="C596" s="11">
        <v>47.670999999999999</v>
      </c>
      <c r="D596" s="11">
        <v>1981</v>
      </c>
    </row>
    <row r="597" spans="1:4" ht="19.95" customHeight="1" x14ac:dyDescent="0.25">
      <c r="A597" s="10" t="s">
        <v>17</v>
      </c>
      <c r="B597" s="11" t="s">
        <v>14</v>
      </c>
      <c r="C597" s="11">
        <v>300.69400000000002</v>
      </c>
      <c r="D597" s="11">
        <v>1981</v>
      </c>
    </row>
    <row r="598" spans="1:4" ht="19.95" customHeight="1" x14ac:dyDescent="0.25">
      <c r="A598" s="10" t="s">
        <v>2</v>
      </c>
      <c r="B598" s="11" t="s">
        <v>14</v>
      </c>
      <c r="C598" s="11">
        <v>1866.5029999999999</v>
      </c>
      <c r="D598" s="11">
        <v>1981</v>
      </c>
    </row>
    <row r="599" spans="1:4" ht="19.95" customHeight="1" x14ac:dyDescent="0.25">
      <c r="A599" s="10" t="s">
        <v>18</v>
      </c>
      <c r="B599" s="11" t="s">
        <v>14</v>
      </c>
      <c r="C599" s="11">
        <v>990.09</v>
      </c>
      <c r="D599" s="11">
        <v>1981</v>
      </c>
    </row>
    <row r="600" spans="1:4" ht="19.95" customHeight="1" x14ac:dyDescent="0.25">
      <c r="A600" s="10" t="s">
        <v>19</v>
      </c>
      <c r="B600" s="11" t="s">
        <v>14</v>
      </c>
      <c r="C600" s="11">
        <v>766.40300000000002</v>
      </c>
      <c r="D600" s="11">
        <v>1981</v>
      </c>
    </row>
    <row r="601" spans="1:4" ht="19.95" customHeight="1" x14ac:dyDescent="0.25">
      <c r="A601" s="10" t="s">
        <v>20</v>
      </c>
      <c r="B601" s="11" t="s">
        <v>14</v>
      </c>
      <c r="C601" s="11">
        <v>6527.26</v>
      </c>
      <c r="D601" s="11">
        <v>1981</v>
      </c>
    </row>
    <row r="602" spans="1:4" ht="19.95" customHeight="1" x14ac:dyDescent="0.25">
      <c r="A602" s="10" t="s">
        <v>21</v>
      </c>
      <c r="B602" s="11" t="s">
        <v>14</v>
      </c>
      <c r="C602" s="11"/>
      <c r="D602" s="11">
        <v>1981</v>
      </c>
    </row>
    <row r="603" spans="1:4" ht="19.95" customHeight="1" x14ac:dyDescent="0.25">
      <c r="A603" s="10" t="s">
        <v>22</v>
      </c>
      <c r="B603" s="11" t="s">
        <v>14</v>
      </c>
      <c r="C603" s="11">
        <v>1939.8430000000001</v>
      </c>
      <c r="D603" s="11">
        <v>1981</v>
      </c>
    </row>
    <row r="604" spans="1:4" ht="19.95" customHeight="1" x14ac:dyDescent="0.25">
      <c r="A604" s="10" t="s">
        <v>23</v>
      </c>
      <c r="B604" s="11" t="s">
        <v>14</v>
      </c>
      <c r="C604" s="11">
        <v>1026.76</v>
      </c>
      <c r="D604" s="11">
        <v>1981</v>
      </c>
    </row>
    <row r="605" spans="1:4" ht="19.95" customHeight="1" x14ac:dyDescent="0.25">
      <c r="A605" s="10" t="s">
        <v>24</v>
      </c>
      <c r="B605" s="11" t="s">
        <v>14</v>
      </c>
      <c r="C605" s="11">
        <v>605.05499999999995</v>
      </c>
      <c r="D605" s="11">
        <v>1981</v>
      </c>
    </row>
    <row r="606" spans="1:4" ht="19.95" customHeight="1" x14ac:dyDescent="0.25">
      <c r="A606" s="10" t="s">
        <v>25</v>
      </c>
      <c r="B606" s="11" t="s">
        <v>14</v>
      </c>
      <c r="C606" s="11">
        <v>396.036</v>
      </c>
      <c r="D606" s="11">
        <v>1981</v>
      </c>
    </row>
    <row r="607" spans="1:4" ht="19.95" customHeight="1" x14ac:dyDescent="0.25">
      <c r="A607" s="10" t="s">
        <v>26</v>
      </c>
      <c r="B607" s="11" t="s">
        <v>14</v>
      </c>
      <c r="C607" s="11"/>
      <c r="D607" s="11">
        <v>1981</v>
      </c>
    </row>
    <row r="608" spans="1:4" ht="19.95" customHeight="1" x14ac:dyDescent="0.25">
      <c r="A608" s="10" t="s">
        <v>27</v>
      </c>
      <c r="B608" s="11" t="s">
        <v>14</v>
      </c>
      <c r="C608" s="11">
        <v>2489.893</v>
      </c>
      <c r="D608" s="11">
        <v>1981</v>
      </c>
    </row>
    <row r="609" spans="1:4" ht="19.95" customHeight="1" x14ac:dyDescent="0.25">
      <c r="A609" s="10" t="s">
        <v>29</v>
      </c>
      <c r="B609" s="11" t="s">
        <v>14</v>
      </c>
      <c r="C609" s="11">
        <v>5639.8459999999995</v>
      </c>
      <c r="D609" s="11">
        <v>1981</v>
      </c>
    </row>
    <row r="610" spans="1:4" ht="19.95" customHeight="1" x14ac:dyDescent="0.25">
      <c r="A610" s="10" t="s">
        <v>30</v>
      </c>
      <c r="B610" s="11" t="s">
        <v>14</v>
      </c>
      <c r="C610" s="11">
        <v>454.70800000000003</v>
      </c>
      <c r="D610" s="11">
        <v>1981</v>
      </c>
    </row>
    <row r="611" spans="1:4" ht="19.95" customHeight="1" x14ac:dyDescent="0.25">
      <c r="A611" s="10" t="s">
        <v>31</v>
      </c>
      <c r="B611" s="11" t="s">
        <v>14</v>
      </c>
      <c r="C611" s="11">
        <v>2141.5279999999998</v>
      </c>
      <c r="D611" s="11">
        <v>1981</v>
      </c>
    </row>
    <row r="612" spans="1:4" ht="19.95" customHeight="1" x14ac:dyDescent="0.25">
      <c r="A612" s="10" t="s">
        <v>32</v>
      </c>
      <c r="B612" s="11" t="s">
        <v>14</v>
      </c>
      <c r="C612" s="11">
        <v>685.72900000000004</v>
      </c>
      <c r="D612" s="11">
        <v>1981</v>
      </c>
    </row>
    <row r="613" spans="1:4" ht="19.95" customHeight="1" x14ac:dyDescent="0.25">
      <c r="A613" s="10" t="s">
        <v>33</v>
      </c>
      <c r="B613" s="11" t="s">
        <v>14</v>
      </c>
      <c r="C613" s="11">
        <v>601.38800000000003</v>
      </c>
      <c r="D613" s="11">
        <v>1981</v>
      </c>
    </row>
    <row r="614" spans="1:4" ht="19.95" customHeight="1" x14ac:dyDescent="0.25">
      <c r="A614" s="10" t="s">
        <v>34</v>
      </c>
      <c r="B614" s="11" t="s">
        <v>14</v>
      </c>
      <c r="C614" s="11">
        <v>44.003999999999998</v>
      </c>
      <c r="D614" s="11">
        <v>1981</v>
      </c>
    </row>
    <row r="615" spans="1:4" ht="19.95" customHeight="1" x14ac:dyDescent="0.25">
      <c r="A615" s="10" t="s">
        <v>35</v>
      </c>
      <c r="B615" s="11" t="s">
        <v>14</v>
      </c>
      <c r="C615" s="11">
        <v>4033.7</v>
      </c>
      <c r="D615" s="11">
        <v>1981</v>
      </c>
    </row>
    <row r="616" spans="1:4" ht="19.95" customHeight="1" x14ac:dyDescent="0.25">
      <c r="A616" s="10" t="s">
        <v>36</v>
      </c>
      <c r="B616" s="11" t="s">
        <v>14</v>
      </c>
      <c r="C616" s="11"/>
      <c r="D616" s="11">
        <v>1981</v>
      </c>
    </row>
    <row r="617" spans="1:4" ht="19.95" customHeight="1" x14ac:dyDescent="0.25">
      <c r="A617" s="10" t="s">
        <v>37</v>
      </c>
      <c r="B617" s="11" t="s">
        <v>14</v>
      </c>
      <c r="C617" s="11">
        <v>2123.1930000000002</v>
      </c>
      <c r="D617" s="11">
        <v>1981</v>
      </c>
    </row>
    <row r="618" spans="1:4" ht="19.95" customHeight="1" x14ac:dyDescent="0.25">
      <c r="A618" s="10" t="s">
        <v>38</v>
      </c>
      <c r="B618" s="11" t="s">
        <v>14</v>
      </c>
      <c r="C618" s="11">
        <v>528.048</v>
      </c>
      <c r="D618" s="11">
        <v>1981</v>
      </c>
    </row>
    <row r="619" spans="1:4" ht="19.95" customHeight="1" x14ac:dyDescent="0.25">
      <c r="A619" s="10" t="s">
        <v>39</v>
      </c>
      <c r="B619" s="11" t="s">
        <v>14</v>
      </c>
      <c r="C619" s="11">
        <v>3366.306</v>
      </c>
      <c r="D619" s="11">
        <v>1981</v>
      </c>
    </row>
    <row r="620" spans="1:4" ht="19.95" customHeight="1" x14ac:dyDescent="0.25">
      <c r="A620" s="10" t="s">
        <v>40</v>
      </c>
      <c r="B620" s="11" t="s">
        <v>14</v>
      </c>
      <c r="C620" s="11">
        <v>9435.1910000000007</v>
      </c>
      <c r="D620" s="11">
        <v>1981</v>
      </c>
    </row>
    <row r="621" spans="1:4" ht="19.95" customHeight="1" x14ac:dyDescent="0.25">
      <c r="A621" s="10" t="s">
        <v>10</v>
      </c>
      <c r="B621" s="11" t="s">
        <v>14</v>
      </c>
      <c r="C621" s="11">
        <v>157.68100000000001</v>
      </c>
      <c r="D621" s="11">
        <v>1982</v>
      </c>
    </row>
    <row r="622" spans="1:4" ht="19.95" customHeight="1" x14ac:dyDescent="0.25">
      <c r="A622" s="10" t="s">
        <v>13</v>
      </c>
      <c r="B622" s="11" t="s">
        <v>14</v>
      </c>
      <c r="C622" s="11">
        <v>6343.91</v>
      </c>
      <c r="D622" s="11">
        <v>1982</v>
      </c>
    </row>
    <row r="623" spans="1:4" ht="19.95" customHeight="1" x14ac:dyDescent="0.25">
      <c r="A623" s="10" t="s">
        <v>15</v>
      </c>
      <c r="B623" s="11" t="s">
        <v>14</v>
      </c>
      <c r="C623" s="11">
        <v>205.352</v>
      </c>
      <c r="D623" s="11">
        <v>1982</v>
      </c>
    </row>
    <row r="624" spans="1:4" ht="19.95" customHeight="1" x14ac:dyDescent="0.25">
      <c r="A624" s="10" t="s">
        <v>16</v>
      </c>
      <c r="B624" s="11" t="s">
        <v>14</v>
      </c>
      <c r="C624" s="11">
        <v>47.670999999999999</v>
      </c>
      <c r="D624" s="11">
        <v>1982</v>
      </c>
    </row>
    <row r="625" spans="1:4" ht="19.95" customHeight="1" x14ac:dyDescent="0.25">
      <c r="A625" s="10" t="s">
        <v>17</v>
      </c>
      <c r="B625" s="11" t="s">
        <v>14</v>
      </c>
      <c r="C625" s="11">
        <v>348.36500000000001</v>
      </c>
      <c r="D625" s="11">
        <v>1982</v>
      </c>
    </row>
    <row r="626" spans="1:4" ht="19.95" customHeight="1" x14ac:dyDescent="0.25">
      <c r="A626" s="10" t="s">
        <v>2</v>
      </c>
      <c r="B626" s="11" t="s">
        <v>14</v>
      </c>
      <c r="C626" s="11">
        <v>1481.4680000000001</v>
      </c>
      <c r="D626" s="11">
        <v>1982</v>
      </c>
    </row>
    <row r="627" spans="1:4" ht="19.95" customHeight="1" x14ac:dyDescent="0.25">
      <c r="A627" s="10" t="s">
        <v>18</v>
      </c>
      <c r="B627" s="11" t="s">
        <v>14</v>
      </c>
      <c r="C627" s="11">
        <v>982.75599999999997</v>
      </c>
      <c r="D627" s="11">
        <v>1982</v>
      </c>
    </row>
    <row r="628" spans="1:4" ht="19.95" customHeight="1" x14ac:dyDescent="0.25">
      <c r="A628" s="10" t="s">
        <v>19</v>
      </c>
      <c r="B628" s="11" t="s">
        <v>14</v>
      </c>
      <c r="C628" s="11">
        <v>825.07500000000005</v>
      </c>
      <c r="D628" s="11">
        <v>1982</v>
      </c>
    </row>
    <row r="629" spans="1:4" ht="19.95" customHeight="1" x14ac:dyDescent="0.25">
      <c r="A629" s="10" t="s">
        <v>20</v>
      </c>
      <c r="B629" s="11" t="s">
        <v>14</v>
      </c>
      <c r="C629" s="11">
        <v>4693.76</v>
      </c>
      <c r="D629" s="11">
        <v>1982</v>
      </c>
    </row>
    <row r="630" spans="1:4" ht="19.95" customHeight="1" x14ac:dyDescent="0.25">
      <c r="A630" s="10" t="s">
        <v>21</v>
      </c>
      <c r="B630" s="11" t="s">
        <v>14</v>
      </c>
      <c r="C630" s="11"/>
      <c r="D630" s="11">
        <v>1982</v>
      </c>
    </row>
    <row r="631" spans="1:4" ht="19.95" customHeight="1" x14ac:dyDescent="0.25">
      <c r="A631" s="10" t="s">
        <v>22</v>
      </c>
      <c r="B631" s="11" t="s">
        <v>14</v>
      </c>
      <c r="C631" s="11">
        <v>601.38800000000003</v>
      </c>
      <c r="D631" s="11">
        <v>1982</v>
      </c>
    </row>
    <row r="632" spans="1:4" ht="19.95" customHeight="1" x14ac:dyDescent="0.25">
      <c r="A632" s="10" t="s">
        <v>23</v>
      </c>
      <c r="B632" s="11" t="s">
        <v>14</v>
      </c>
      <c r="C632" s="11">
        <v>1015.759</v>
      </c>
      <c r="D632" s="11">
        <v>1982</v>
      </c>
    </row>
    <row r="633" spans="1:4" ht="19.95" customHeight="1" x14ac:dyDescent="0.25">
      <c r="A633" s="10" t="s">
        <v>24</v>
      </c>
      <c r="B633" s="11" t="s">
        <v>14</v>
      </c>
      <c r="C633" s="11">
        <v>594.05399999999997</v>
      </c>
      <c r="D633" s="11">
        <v>1982</v>
      </c>
    </row>
    <row r="634" spans="1:4" ht="19.95" customHeight="1" x14ac:dyDescent="0.25">
      <c r="A634" s="10" t="s">
        <v>25</v>
      </c>
      <c r="B634" s="11" t="s">
        <v>14</v>
      </c>
      <c r="C634" s="11">
        <v>366.7</v>
      </c>
      <c r="D634" s="11">
        <v>1982</v>
      </c>
    </row>
    <row r="635" spans="1:4" ht="19.95" customHeight="1" x14ac:dyDescent="0.25">
      <c r="A635" s="10" t="s">
        <v>26</v>
      </c>
      <c r="B635" s="11" t="s">
        <v>14</v>
      </c>
      <c r="C635" s="11"/>
      <c r="D635" s="11">
        <v>1982</v>
      </c>
    </row>
    <row r="636" spans="1:4" ht="19.95" customHeight="1" x14ac:dyDescent="0.25">
      <c r="A636" s="10" t="s">
        <v>27</v>
      </c>
      <c r="B636" s="11" t="s">
        <v>14</v>
      </c>
      <c r="C636" s="11">
        <v>2541.2310000000002</v>
      </c>
      <c r="D636" s="11">
        <v>1982</v>
      </c>
    </row>
    <row r="637" spans="1:4" ht="19.95" customHeight="1" x14ac:dyDescent="0.25">
      <c r="A637" s="10" t="s">
        <v>29</v>
      </c>
      <c r="B637" s="11" t="s">
        <v>14</v>
      </c>
      <c r="C637" s="11">
        <v>5599.509</v>
      </c>
      <c r="D637" s="11">
        <v>1982</v>
      </c>
    </row>
    <row r="638" spans="1:4" ht="19.95" customHeight="1" x14ac:dyDescent="0.25">
      <c r="A638" s="10" t="s">
        <v>30</v>
      </c>
      <c r="B638" s="11" t="s">
        <v>14</v>
      </c>
      <c r="C638" s="11">
        <v>443.70699999999999</v>
      </c>
      <c r="D638" s="11">
        <v>1982</v>
      </c>
    </row>
    <row r="639" spans="1:4" ht="19.95" customHeight="1" x14ac:dyDescent="0.25">
      <c r="A639" s="10" t="s">
        <v>31</v>
      </c>
      <c r="B639" s="11" t="s">
        <v>14</v>
      </c>
      <c r="C639" s="11">
        <v>2115.8589999999999</v>
      </c>
      <c r="D639" s="11">
        <v>1982</v>
      </c>
    </row>
    <row r="640" spans="1:4" ht="19.95" customHeight="1" x14ac:dyDescent="0.25">
      <c r="A640" s="10" t="s">
        <v>32</v>
      </c>
      <c r="B640" s="11" t="s">
        <v>14</v>
      </c>
      <c r="C640" s="11">
        <v>748.06799999999998</v>
      </c>
      <c r="D640" s="11">
        <v>1982</v>
      </c>
    </row>
    <row r="641" spans="1:4" ht="19.95" customHeight="1" x14ac:dyDescent="0.25">
      <c r="A641" s="10" t="s">
        <v>33</v>
      </c>
      <c r="B641" s="11" t="s">
        <v>14</v>
      </c>
      <c r="C641" s="11">
        <v>608.72199999999998</v>
      </c>
      <c r="D641" s="11">
        <v>1982</v>
      </c>
    </row>
    <row r="642" spans="1:4" ht="19.95" customHeight="1" x14ac:dyDescent="0.25">
      <c r="A642" s="10" t="s">
        <v>34</v>
      </c>
      <c r="B642" s="11" t="s">
        <v>14</v>
      </c>
      <c r="C642" s="11">
        <v>47.670999999999999</v>
      </c>
      <c r="D642" s="11">
        <v>1982</v>
      </c>
    </row>
    <row r="643" spans="1:4" ht="19.95" customHeight="1" x14ac:dyDescent="0.25">
      <c r="A643" s="10" t="s">
        <v>35</v>
      </c>
      <c r="B643" s="11" t="s">
        <v>14</v>
      </c>
      <c r="C643" s="11">
        <v>4499.4089999999997</v>
      </c>
      <c r="D643" s="11">
        <v>1982</v>
      </c>
    </row>
    <row r="644" spans="1:4" ht="19.95" customHeight="1" x14ac:dyDescent="0.25">
      <c r="A644" s="10" t="s">
        <v>36</v>
      </c>
      <c r="B644" s="11" t="s">
        <v>14</v>
      </c>
      <c r="C644" s="11"/>
      <c r="D644" s="11">
        <v>1982</v>
      </c>
    </row>
    <row r="645" spans="1:4" ht="19.95" customHeight="1" x14ac:dyDescent="0.25">
      <c r="A645" s="10" t="s">
        <v>37</v>
      </c>
      <c r="B645" s="11" t="s">
        <v>14</v>
      </c>
      <c r="C645" s="11">
        <v>2167.1970000000001</v>
      </c>
      <c r="D645" s="11">
        <v>1982</v>
      </c>
    </row>
    <row r="646" spans="1:4" ht="19.95" customHeight="1" x14ac:dyDescent="0.25">
      <c r="A646" s="10" t="s">
        <v>38</v>
      </c>
      <c r="B646" s="11" t="s">
        <v>14</v>
      </c>
      <c r="C646" s="11">
        <v>546.38300000000004</v>
      </c>
      <c r="D646" s="11">
        <v>1982</v>
      </c>
    </row>
    <row r="647" spans="1:4" ht="19.95" customHeight="1" x14ac:dyDescent="0.25">
      <c r="A647" s="10" t="s">
        <v>39</v>
      </c>
      <c r="B647" s="11" t="s">
        <v>14</v>
      </c>
      <c r="C647" s="11">
        <v>3520.32</v>
      </c>
      <c r="D647" s="11">
        <v>1982</v>
      </c>
    </row>
    <row r="648" spans="1:4" ht="19.95" customHeight="1" x14ac:dyDescent="0.25">
      <c r="A648" s="10" t="s">
        <v>40</v>
      </c>
      <c r="B648" s="11" t="s">
        <v>14</v>
      </c>
      <c r="C648" s="11">
        <v>8811.8009999999995</v>
      </c>
      <c r="D648" s="11">
        <v>1982</v>
      </c>
    </row>
    <row r="649" spans="1:4" ht="19.95" customHeight="1" x14ac:dyDescent="0.25">
      <c r="A649" s="10" t="s">
        <v>10</v>
      </c>
      <c r="B649" s="11" t="s">
        <v>14</v>
      </c>
      <c r="C649" s="11">
        <v>205.352</v>
      </c>
      <c r="D649" s="11">
        <v>1983</v>
      </c>
    </row>
    <row r="650" spans="1:4" ht="19.95" customHeight="1" x14ac:dyDescent="0.25">
      <c r="A650" s="10" t="s">
        <v>13</v>
      </c>
      <c r="B650" s="11" t="s">
        <v>14</v>
      </c>
      <c r="C650" s="11">
        <v>6589.5990000000002</v>
      </c>
      <c r="D650" s="11">
        <v>1983</v>
      </c>
    </row>
    <row r="651" spans="1:4" ht="19.95" customHeight="1" x14ac:dyDescent="0.25">
      <c r="A651" s="10" t="s">
        <v>15</v>
      </c>
      <c r="B651" s="11" t="s">
        <v>14</v>
      </c>
      <c r="C651" s="11">
        <v>205.352</v>
      </c>
      <c r="D651" s="11">
        <v>1983</v>
      </c>
    </row>
    <row r="652" spans="1:4" ht="19.95" customHeight="1" x14ac:dyDescent="0.25">
      <c r="A652" s="10" t="s">
        <v>16</v>
      </c>
      <c r="B652" s="11" t="s">
        <v>14</v>
      </c>
      <c r="C652" s="11">
        <v>47.670999999999999</v>
      </c>
      <c r="D652" s="11">
        <v>1983</v>
      </c>
    </row>
    <row r="653" spans="1:4" ht="19.95" customHeight="1" x14ac:dyDescent="0.25">
      <c r="A653" s="10" t="s">
        <v>17</v>
      </c>
      <c r="B653" s="11" t="s">
        <v>14</v>
      </c>
      <c r="C653" s="11">
        <v>348.36500000000001</v>
      </c>
      <c r="D653" s="11">
        <v>1983</v>
      </c>
    </row>
    <row r="654" spans="1:4" ht="19.95" customHeight="1" x14ac:dyDescent="0.25">
      <c r="A654" s="10" t="s">
        <v>2</v>
      </c>
      <c r="B654" s="11" t="s">
        <v>14</v>
      </c>
      <c r="C654" s="11">
        <v>1844.501</v>
      </c>
      <c r="D654" s="11">
        <v>1983</v>
      </c>
    </row>
    <row r="655" spans="1:4" ht="19.95" customHeight="1" x14ac:dyDescent="0.25">
      <c r="A655" s="10" t="s">
        <v>18</v>
      </c>
      <c r="B655" s="11" t="s">
        <v>14</v>
      </c>
      <c r="C655" s="11">
        <v>953.42</v>
      </c>
      <c r="D655" s="11">
        <v>1983</v>
      </c>
    </row>
    <row r="656" spans="1:4" ht="19.95" customHeight="1" x14ac:dyDescent="0.25">
      <c r="A656" s="10" t="s">
        <v>19</v>
      </c>
      <c r="B656" s="11" t="s">
        <v>14</v>
      </c>
      <c r="C656" s="11">
        <v>894.74800000000005</v>
      </c>
      <c r="D656" s="11">
        <v>1983</v>
      </c>
    </row>
    <row r="657" spans="1:4" ht="19.95" customHeight="1" x14ac:dyDescent="0.25">
      <c r="A657" s="10" t="s">
        <v>20</v>
      </c>
      <c r="B657" s="11" t="s">
        <v>14</v>
      </c>
      <c r="C657" s="11">
        <v>4660.7569999999996</v>
      </c>
      <c r="D657" s="11">
        <v>1983</v>
      </c>
    </row>
    <row r="658" spans="1:4" ht="19.95" customHeight="1" x14ac:dyDescent="0.25">
      <c r="A658" s="10" t="s">
        <v>21</v>
      </c>
      <c r="B658" s="11" t="s">
        <v>14</v>
      </c>
      <c r="C658" s="11"/>
      <c r="D658" s="11">
        <v>1983</v>
      </c>
    </row>
    <row r="659" spans="1:4" ht="19.95" customHeight="1" x14ac:dyDescent="0.25">
      <c r="A659" s="10" t="s">
        <v>22</v>
      </c>
      <c r="B659" s="11" t="s">
        <v>14</v>
      </c>
      <c r="C659" s="11">
        <v>711.39800000000002</v>
      </c>
      <c r="D659" s="11">
        <v>1983</v>
      </c>
    </row>
    <row r="660" spans="1:4" ht="19.95" customHeight="1" x14ac:dyDescent="0.25">
      <c r="A660" s="10" t="s">
        <v>23</v>
      </c>
      <c r="B660" s="11" t="s">
        <v>14</v>
      </c>
      <c r="C660" s="11">
        <v>652.726</v>
      </c>
      <c r="D660" s="11">
        <v>1983</v>
      </c>
    </row>
    <row r="661" spans="1:4" ht="19.95" customHeight="1" x14ac:dyDescent="0.25">
      <c r="A661" s="10" t="s">
        <v>24</v>
      </c>
      <c r="B661" s="11" t="s">
        <v>14</v>
      </c>
      <c r="C661" s="11">
        <v>575.71900000000005</v>
      </c>
      <c r="D661" s="11">
        <v>1983</v>
      </c>
    </row>
    <row r="662" spans="1:4" ht="19.95" customHeight="1" x14ac:dyDescent="0.25">
      <c r="A662" s="10" t="s">
        <v>25</v>
      </c>
      <c r="B662" s="11" t="s">
        <v>14</v>
      </c>
      <c r="C662" s="11">
        <v>418.03800000000001</v>
      </c>
      <c r="D662" s="11">
        <v>1983</v>
      </c>
    </row>
    <row r="663" spans="1:4" ht="19.95" customHeight="1" x14ac:dyDescent="0.25">
      <c r="A663" s="10" t="s">
        <v>26</v>
      </c>
      <c r="B663" s="11" t="s">
        <v>14</v>
      </c>
      <c r="C663" s="11"/>
      <c r="D663" s="11">
        <v>1983</v>
      </c>
    </row>
    <row r="664" spans="1:4" ht="19.95" customHeight="1" x14ac:dyDescent="0.25">
      <c r="A664" s="10" t="s">
        <v>27</v>
      </c>
      <c r="B664" s="11" t="s">
        <v>14</v>
      </c>
      <c r="C664" s="11">
        <v>1976.5129999999999</v>
      </c>
      <c r="D664" s="11">
        <v>1983</v>
      </c>
    </row>
    <row r="665" spans="1:4" ht="19.95" customHeight="1" x14ac:dyDescent="0.25">
      <c r="A665" s="10" t="s">
        <v>29</v>
      </c>
      <c r="B665" s="11" t="s">
        <v>14</v>
      </c>
      <c r="C665" s="11">
        <v>5775.5249999999996</v>
      </c>
      <c r="D665" s="11">
        <v>1983</v>
      </c>
    </row>
    <row r="666" spans="1:4" ht="19.95" customHeight="1" x14ac:dyDescent="0.25">
      <c r="A666" s="10" t="s">
        <v>30</v>
      </c>
      <c r="B666" s="11" t="s">
        <v>14</v>
      </c>
      <c r="C666" s="11">
        <v>495.04500000000002</v>
      </c>
      <c r="D666" s="11">
        <v>1983</v>
      </c>
    </row>
    <row r="667" spans="1:4" ht="19.95" customHeight="1" x14ac:dyDescent="0.25">
      <c r="A667" s="10" t="s">
        <v>31</v>
      </c>
      <c r="B667" s="11" t="s">
        <v>14</v>
      </c>
      <c r="C667" s="11">
        <v>2002.182</v>
      </c>
      <c r="D667" s="11">
        <v>1983</v>
      </c>
    </row>
    <row r="668" spans="1:4" ht="19.95" customHeight="1" x14ac:dyDescent="0.25">
      <c r="A668" s="10" t="s">
        <v>32</v>
      </c>
      <c r="B668" s="11" t="s">
        <v>14</v>
      </c>
      <c r="C668" s="11">
        <v>964.42100000000005</v>
      </c>
      <c r="D668" s="11">
        <v>1983</v>
      </c>
    </row>
    <row r="669" spans="1:4" ht="19.95" customHeight="1" x14ac:dyDescent="0.25">
      <c r="A669" s="10" t="s">
        <v>33</v>
      </c>
      <c r="B669" s="11" t="s">
        <v>14</v>
      </c>
      <c r="C669" s="11">
        <v>696.73</v>
      </c>
      <c r="D669" s="11">
        <v>1983</v>
      </c>
    </row>
    <row r="670" spans="1:4" ht="19.95" customHeight="1" x14ac:dyDescent="0.25">
      <c r="A670" s="10" t="s">
        <v>34</v>
      </c>
      <c r="B670" s="11" t="s">
        <v>14</v>
      </c>
      <c r="C670" s="11">
        <v>55.005000000000003</v>
      </c>
      <c r="D670" s="11">
        <v>1983</v>
      </c>
    </row>
    <row r="671" spans="1:4" ht="19.95" customHeight="1" x14ac:dyDescent="0.25">
      <c r="A671" s="10" t="s">
        <v>35</v>
      </c>
      <c r="B671" s="11" t="s">
        <v>14</v>
      </c>
      <c r="C671" s="11">
        <v>4884.4440000000004</v>
      </c>
      <c r="D671" s="11">
        <v>1983</v>
      </c>
    </row>
    <row r="672" spans="1:4" ht="19.95" customHeight="1" x14ac:dyDescent="0.25">
      <c r="A672" s="10" t="s">
        <v>36</v>
      </c>
      <c r="B672" s="11" t="s">
        <v>14</v>
      </c>
      <c r="C672" s="11"/>
      <c r="D672" s="11">
        <v>1983</v>
      </c>
    </row>
    <row r="673" spans="1:4" ht="19.95" customHeight="1" x14ac:dyDescent="0.25">
      <c r="A673" s="10" t="s">
        <v>37</v>
      </c>
      <c r="B673" s="11" t="s">
        <v>14</v>
      </c>
      <c r="C673" s="11">
        <v>2218.5349999999999</v>
      </c>
      <c r="D673" s="11">
        <v>1983</v>
      </c>
    </row>
    <row r="674" spans="1:4" ht="19.95" customHeight="1" x14ac:dyDescent="0.25">
      <c r="A674" s="10" t="s">
        <v>38</v>
      </c>
      <c r="B674" s="11" t="s">
        <v>14</v>
      </c>
      <c r="C674" s="11">
        <v>616.05600000000004</v>
      </c>
      <c r="D674" s="11">
        <v>1983</v>
      </c>
    </row>
    <row r="675" spans="1:4" ht="19.95" customHeight="1" x14ac:dyDescent="0.25">
      <c r="A675" s="10" t="s">
        <v>39</v>
      </c>
      <c r="B675" s="11" t="s">
        <v>14</v>
      </c>
      <c r="C675" s="11">
        <v>3270.9639999999999</v>
      </c>
      <c r="D675" s="11">
        <v>1983</v>
      </c>
    </row>
    <row r="676" spans="1:4" ht="19.95" customHeight="1" x14ac:dyDescent="0.25">
      <c r="A676" s="10" t="s">
        <v>40</v>
      </c>
      <c r="B676" s="11" t="s">
        <v>14</v>
      </c>
      <c r="C676" s="11">
        <v>10461.950999999999</v>
      </c>
      <c r="D676" s="11">
        <v>1983</v>
      </c>
    </row>
    <row r="677" spans="1:4" ht="19.95" customHeight="1" x14ac:dyDescent="0.25">
      <c r="A677" s="10" t="s">
        <v>10</v>
      </c>
      <c r="B677" s="11" t="s">
        <v>14</v>
      </c>
      <c r="C677" s="11">
        <v>220.02</v>
      </c>
      <c r="D677" s="11">
        <v>1984</v>
      </c>
    </row>
    <row r="678" spans="1:4" ht="19.95" customHeight="1" x14ac:dyDescent="0.25">
      <c r="A678" s="10" t="s">
        <v>13</v>
      </c>
      <c r="B678" s="11" t="s">
        <v>14</v>
      </c>
      <c r="C678" s="11">
        <v>6057.884</v>
      </c>
      <c r="D678" s="11">
        <v>1984</v>
      </c>
    </row>
    <row r="679" spans="1:4" ht="19.95" customHeight="1" x14ac:dyDescent="0.25">
      <c r="A679" s="10" t="s">
        <v>15</v>
      </c>
      <c r="B679" s="11" t="s">
        <v>14</v>
      </c>
      <c r="C679" s="11">
        <v>216.35300000000001</v>
      </c>
      <c r="D679" s="11">
        <v>1984</v>
      </c>
    </row>
    <row r="680" spans="1:4" ht="19.95" customHeight="1" x14ac:dyDescent="0.25">
      <c r="A680" s="10" t="s">
        <v>16</v>
      </c>
      <c r="B680" s="11" t="s">
        <v>14</v>
      </c>
      <c r="C680" s="11">
        <v>47.670999999999999</v>
      </c>
      <c r="D680" s="11">
        <v>1984</v>
      </c>
    </row>
    <row r="681" spans="1:4" ht="19.95" customHeight="1" x14ac:dyDescent="0.25">
      <c r="A681" s="10" t="s">
        <v>17</v>
      </c>
      <c r="B681" s="11" t="s">
        <v>14</v>
      </c>
      <c r="C681" s="11">
        <v>352.03199999999998</v>
      </c>
      <c r="D681" s="11">
        <v>1984</v>
      </c>
    </row>
    <row r="682" spans="1:4" ht="19.95" customHeight="1" x14ac:dyDescent="0.25">
      <c r="A682" s="10" t="s">
        <v>2</v>
      </c>
      <c r="B682" s="11" t="s">
        <v>14</v>
      </c>
      <c r="C682" s="11">
        <v>1664.818</v>
      </c>
      <c r="D682" s="11">
        <v>1984</v>
      </c>
    </row>
    <row r="683" spans="1:4" ht="19.95" customHeight="1" x14ac:dyDescent="0.25">
      <c r="A683" s="10" t="s">
        <v>18</v>
      </c>
      <c r="B683" s="11" t="s">
        <v>14</v>
      </c>
      <c r="C683" s="11">
        <v>979.08900000000006</v>
      </c>
      <c r="D683" s="11">
        <v>1984</v>
      </c>
    </row>
    <row r="684" spans="1:4" ht="19.95" customHeight="1" x14ac:dyDescent="0.25">
      <c r="A684" s="10" t="s">
        <v>19</v>
      </c>
      <c r="B684" s="11" t="s">
        <v>14</v>
      </c>
      <c r="C684" s="11">
        <v>913.08299999999997</v>
      </c>
      <c r="D684" s="11">
        <v>1984</v>
      </c>
    </row>
    <row r="685" spans="1:4" ht="19.95" customHeight="1" x14ac:dyDescent="0.25">
      <c r="A685" s="10" t="s">
        <v>20</v>
      </c>
      <c r="B685" s="11" t="s">
        <v>14</v>
      </c>
      <c r="C685" s="11">
        <v>4319.7259999999997</v>
      </c>
      <c r="D685" s="11">
        <v>1984</v>
      </c>
    </row>
    <row r="686" spans="1:4" ht="19.95" customHeight="1" x14ac:dyDescent="0.25">
      <c r="A686" s="10" t="s">
        <v>21</v>
      </c>
      <c r="B686" s="11" t="s">
        <v>14</v>
      </c>
      <c r="C686" s="11"/>
      <c r="D686" s="11">
        <v>1984</v>
      </c>
    </row>
    <row r="687" spans="1:4" ht="19.95" customHeight="1" x14ac:dyDescent="0.25">
      <c r="A687" s="10" t="s">
        <v>22</v>
      </c>
      <c r="B687" s="11" t="s">
        <v>14</v>
      </c>
      <c r="C687" s="11">
        <v>700.39700000000005</v>
      </c>
      <c r="D687" s="11">
        <v>1984</v>
      </c>
    </row>
    <row r="688" spans="1:4" ht="19.95" customHeight="1" x14ac:dyDescent="0.25">
      <c r="A688" s="10" t="s">
        <v>23</v>
      </c>
      <c r="B688" s="11" t="s">
        <v>14</v>
      </c>
      <c r="C688" s="11">
        <v>869.07899999999995</v>
      </c>
      <c r="D688" s="11">
        <v>1984</v>
      </c>
    </row>
    <row r="689" spans="1:4" ht="19.95" customHeight="1" x14ac:dyDescent="0.25">
      <c r="A689" s="10" t="s">
        <v>24</v>
      </c>
      <c r="B689" s="11" t="s">
        <v>14</v>
      </c>
      <c r="C689" s="11">
        <v>557.38400000000001</v>
      </c>
      <c r="D689" s="11">
        <v>1984</v>
      </c>
    </row>
    <row r="690" spans="1:4" ht="19.95" customHeight="1" x14ac:dyDescent="0.25">
      <c r="A690" s="10" t="s">
        <v>25</v>
      </c>
      <c r="B690" s="11" t="s">
        <v>14</v>
      </c>
      <c r="C690" s="11">
        <v>436.37299999999999</v>
      </c>
      <c r="D690" s="11">
        <v>1984</v>
      </c>
    </row>
    <row r="691" spans="1:4" ht="19.95" customHeight="1" x14ac:dyDescent="0.25">
      <c r="A691" s="10" t="s">
        <v>26</v>
      </c>
      <c r="B691" s="11" t="s">
        <v>14</v>
      </c>
      <c r="C691" s="11"/>
      <c r="D691" s="11">
        <v>1984</v>
      </c>
    </row>
    <row r="692" spans="1:4" ht="19.95" customHeight="1" x14ac:dyDescent="0.25">
      <c r="A692" s="10" t="s">
        <v>27</v>
      </c>
      <c r="B692" s="11" t="s">
        <v>14</v>
      </c>
      <c r="C692" s="11">
        <v>1536.473</v>
      </c>
      <c r="D692" s="11">
        <v>1984</v>
      </c>
    </row>
    <row r="693" spans="1:4" ht="19.95" customHeight="1" x14ac:dyDescent="0.25">
      <c r="A693" s="10" t="s">
        <v>29</v>
      </c>
      <c r="B693" s="11" t="s">
        <v>14</v>
      </c>
      <c r="C693" s="11">
        <v>6571.2640000000001</v>
      </c>
      <c r="D693" s="11">
        <v>1984</v>
      </c>
    </row>
    <row r="694" spans="1:4" ht="19.95" customHeight="1" x14ac:dyDescent="0.25">
      <c r="A694" s="10" t="s">
        <v>30</v>
      </c>
      <c r="B694" s="11" t="s">
        <v>14</v>
      </c>
      <c r="C694" s="11">
        <v>704.06399999999996</v>
      </c>
      <c r="D694" s="11">
        <v>1984</v>
      </c>
    </row>
    <row r="695" spans="1:4" ht="19.95" customHeight="1" x14ac:dyDescent="0.25">
      <c r="A695" s="10" t="s">
        <v>31</v>
      </c>
      <c r="B695" s="11" t="s">
        <v>14</v>
      </c>
      <c r="C695" s="11">
        <v>1851.835</v>
      </c>
      <c r="D695" s="11">
        <v>1984</v>
      </c>
    </row>
    <row r="696" spans="1:4" ht="19.95" customHeight="1" x14ac:dyDescent="0.25">
      <c r="A696" s="10" t="s">
        <v>32</v>
      </c>
      <c r="B696" s="11" t="s">
        <v>14</v>
      </c>
      <c r="C696" s="11">
        <v>993.75699999999995</v>
      </c>
      <c r="D696" s="11">
        <v>1984</v>
      </c>
    </row>
    <row r="697" spans="1:4" ht="19.95" customHeight="1" x14ac:dyDescent="0.25">
      <c r="A697" s="10" t="s">
        <v>33</v>
      </c>
      <c r="B697" s="11" t="s">
        <v>14</v>
      </c>
      <c r="C697" s="11">
        <v>634.39099999999996</v>
      </c>
      <c r="D697" s="11">
        <v>1984</v>
      </c>
    </row>
    <row r="698" spans="1:4" ht="19.95" customHeight="1" x14ac:dyDescent="0.25">
      <c r="A698" s="10" t="s">
        <v>34</v>
      </c>
      <c r="B698" s="11" t="s">
        <v>14</v>
      </c>
      <c r="C698" s="11">
        <v>51.338000000000001</v>
      </c>
      <c r="D698" s="11">
        <v>1984</v>
      </c>
    </row>
    <row r="699" spans="1:4" ht="19.95" customHeight="1" x14ac:dyDescent="0.25">
      <c r="A699" s="10" t="s">
        <v>35</v>
      </c>
      <c r="B699" s="11" t="s">
        <v>14</v>
      </c>
      <c r="C699" s="11">
        <v>3883.3530000000001</v>
      </c>
      <c r="D699" s="11">
        <v>1984</v>
      </c>
    </row>
    <row r="700" spans="1:4" ht="19.95" customHeight="1" x14ac:dyDescent="0.25">
      <c r="A700" s="10" t="s">
        <v>36</v>
      </c>
      <c r="B700" s="11" t="s">
        <v>14</v>
      </c>
      <c r="C700" s="11"/>
      <c r="D700" s="11">
        <v>1984</v>
      </c>
    </row>
    <row r="701" spans="1:4" ht="19.95" customHeight="1" x14ac:dyDescent="0.25">
      <c r="A701" s="10" t="s">
        <v>37</v>
      </c>
      <c r="B701" s="11" t="s">
        <v>14</v>
      </c>
      <c r="C701" s="11">
        <v>2368.8820000000001</v>
      </c>
      <c r="D701" s="11">
        <v>1984</v>
      </c>
    </row>
    <row r="702" spans="1:4" ht="19.95" customHeight="1" x14ac:dyDescent="0.25">
      <c r="A702" s="10" t="s">
        <v>38</v>
      </c>
      <c r="B702" s="11" t="s">
        <v>14</v>
      </c>
      <c r="C702" s="11">
        <v>583.053</v>
      </c>
      <c r="D702" s="11">
        <v>1984</v>
      </c>
    </row>
    <row r="703" spans="1:4" ht="19.95" customHeight="1" x14ac:dyDescent="0.25">
      <c r="A703" s="10" t="s">
        <v>39</v>
      </c>
      <c r="B703" s="11" t="s">
        <v>14</v>
      </c>
      <c r="C703" s="11">
        <v>2819.9229999999998</v>
      </c>
      <c r="D703" s="11">
        <v>1984</v>
      </c>
    </row>
    <row r="704" spans="1:4" ht="19.95" customHeight="1" x14ac:dyDescent="0.25">
      <c r="A704" s="10" t="s">
        <v>40</v>
      </c>
      <c r="B704" s="11" t="s">
        <v>14</v>
      </c>
      <c r="C704" s="11">
        <v>9922.902</v>
      </c>
      <c r="D704" s="11">
        <v>1984</v>
      </c>
    </row>
    <row r="705" spans="1:4" ht="19.95" customHeight="1" x14ac:dyDescent="0.25">
      <c r="A705" s="10" t="s">
        <v>10</v>
      </c>
      <c r="B705" s="11" t="s">
        <v>14</v>
      </c>
      <c r="C705" s="11">
        <v>231.02099999999999</v>
      </c>
      <c r="D705" s="11">
        <v>1985</v>
      </c>
    </row>
    <row r="706" spans="1:4" ht="19.95" customHeight="1" x14ac:dyDescent="0.25">
      <c r="A706" s="10" t="s">
        <v>13</v>
      </c>
      <c r="B706" s="11" t="s">
        <v>14</v>
      </c>
      <c r="C706" s="11">
        <v>6475.9219999999996</v>
      </c>
      <c r="D706" s="11">
        <v>1985</v>
      </c>
    </row>
    <row r="707" spans="1:4" ht="19.95" customHeight="1" x14ac:dyDescent="0.25">
      <c r="A707" s="10" t="s">
        <v>15</v>
      </c>
      <c r="B707" s="11" t="s">
        <v>14</v>
      </c>
      <c r="C707" s="11">
        <v>179.68299999999999</v>
      </c>
      <c r="D707" s="11">
        <v>1985</v>
      </c>
    </row>
    <row r="708" spans="1:4" ht="19.95" customHeight="1" x14ac:dyDescent="0.25">
      <c r="A708" s="10" t="s">
        <v>16</v>
      </c>
      <c r="B708" s="11" t="s">
        <v>14</v>
      </c>
      <c r="C708" s="11">
        <v>47.670999999999999</v>
      </c>
      <c r="D708" s="11">
        <v>1985</v>
      </c>
    </row>
    <row r="709" spans="1:4" ht="19.95" customHeight="1" x14ac:dyDescent="0.25">
      <c r="A709" s="10" t="s">
        <v>17</v>
      </c>
      <c r="B709" s="11" t="s">
        <v>14</v>
      </c>
      <c r="C709" s="11">
        <v>359.36599999999999</v>
      </c>
      <c r="D709" s="11">
        <v>1985</v>
      </c>
    </row>
    <row r="710" spans="1:4" ht="19.95" customHeight="1" x14ac:dyDescent="0.25">
      <c r="A710" s="10" t="s">
        <v>2</v>
      </c>
      <c r="B710" s="11" t="s">
        <v>14</v>
      </c>
      <c r="C710" s="11">
        <v>1815.165</v>
      </c>
      <c r="D710" s="11">
        <v>1985</v>
      </c>
    </row>
    <row r="711" spans="1:4" ht="19.95" customHeight="1" x14ac:dyDescent="0.25">
      <c r="A711" s="10" t="s">
        <v>18</v>
      </c>
      <c r="B711" s="11" t="s">
        <v>14</v>
      </c>
      <c r="C711" s="11">
        <v>993.75699999999995</v>
      </c>
      <c r="D711" s="11">
        <v>1985</v>
      </c>
    </row>
    <row r="712" spans="1:4" ht="19.95" customHeight="1" x14ac:dyDescent="0.25">
      <c r="A712" s="10" t="s">
        <v>19</v>
      </c>
      <c r="B712" s="11" t="s">
        <v>14</v>
      </c>
      <c r="C712" s="11">
        <v>942.41899999999998</v>
      </c>
      <c r="D712" s="11">
        <v>1985</v>
      </c>
    </row>
    <row r="713" spans="1:4" ht="19.95" customHeight="1" x14ac:dyDescent="0.25">
      <c r="A713" s="10" t="s">
        <v>20</v>
      </c>
      <c r="B713" s="11" t="s">
        <v>14</v>
      </c>
      <c r="C713" s="11">
        <v>3769.6759999999999</v>
      </c>
      <c r="D713" s="11">
        <v>1985</v>
      </c>
    </row>
    <row r="714" spans="1:4" ht="19.95" customHeight="1" x14ac:dyDescent="0.25">
      <c r="A714" s="10" t="s">
        <v>21</v>
      </c>
      <c r="B714" s="11" t="s">
        <v>14</v>
      </c>
      <c r="C714" s="11"/>
      <c r="D714" s="11">
        <v>1985</v>
      </c>
    </row>
    <row r="715" spans="1:4" ht="19.95" customHeight="1" x14ac:dyDescent="0.25">
      <c r="A715" s="10" t="s">
        <v>22</v>
      </c>
      <c r="B715" s="11" t="s">
        <v>14</v>
      </c>
      <c r="C715" s="11">
        <v>722.399</v>
      </c>
      <c r="D715" s="11">
        <v>1985</v>
      </c>
    </row>
    <row r="716" spans="1:4" ht="19.95" customHeight="1" x14ac:dyDescent="0.25">
      <c r="A716" s="10" t="s">
        <v>23</v>
      </c>
      <c r="B716" s="11" t="s">
        <v>14</v>
      </c>
      <c r="C716" s="11">
        <v>1056.096</v>
      </c>
      <c r="D716" s="11">
        <v>1985</v>
      </c>
    </row>
    <row r="717" spans="1:4" ht="19.95" customHeight="1" x14ac:dyDescent="0.25">
      <c r="A717" s="10" t="s">
        <v>24</v>
      </c>
      <c r="B717" s="11" t="s">
        <v>14</v>
      </c>
      <c r="C717" s="11">
        <v>557.38400000000001</v>
      </c>
      <c r="D717" s="11">
        <v>1985</v>
      </c>
    </row>
    <row r="718" spans="1:4" ht="19.95" customHeight="1" x14ac:dyDescent="0.25">
      <c r="A718" s="10" t="s">
        <v>25</v>
      </c>
      <c r="B718" s="11" t="s">
        <v>14</v>
      </c>
      <c r="C718" s="11">
        <v>407.03699999999998</v>
      </c>
      <c r="D718" s="11">
        <v>1985</v>
      </c>
    </row>
    <row r="719" spans="1:4" ht="19.95" customHeight="1" x14ac:dyDescent="0.25">
      <c r="A719" s="10" t="s">
        <v>26</v>
      </c>
      <c r="B719" s="11" t="s">
        <v>14</v>
      </c>
      <c r="C719" s="11"/>
      <c r="D719" s="11">
        <v>1985</v>
      </c>
    </row>
    <row r="720" spans="1:4" ht="19.95" customHeight="1" x14ac:dyDescent="0.25">
      <c r="A720" s="10" t="s">
        <v>27</v>
      </c>
      <c r="B720" s="11" t="s">
        <v>14</v>
      </c>
      <c r="C720" s="11">
        <v>1147.771</v>
      </c>
      <c r="D720" s="11">
        <v>1985</v>
      </c>
    </row>
    <row r="721" spans="1:4" ht="19.95" customHeight="1" x14ac:dyDescent="0.25">
      <c r="A721" s="10" t="s">
        <v>29</v>
      </c>
      <c r="B721" s="11" t="s">
        <v>14</v>
      </c>
      <c r="C721" s="11">
        <v>6710.61</v>
      </c>
      <c r="D721" s="11">
        <v>1985</v>
      </c>
    </row>
    <row r="722" spans="1:4" ht="19.95" customHeight="1" x14ac:dyDescent="0.25">
      <c r="A722" s="10" t="s">
        <v>30</v>
      </c>
      <c r="B722" s="11" t="s">
        <v>14</v>
      </c>
      <c r="C722" s="11">
        <v>678.39499999999998</v>
      </c>
      <c r="D722" s="11">
        <v>1985</v>
      </c>
    </row>
    <row r="723" spans="1:4" ht="19.95" customHeight="1" x14ac:dyDescent="0.25">
      <c r="A723" s="10" t="s">
        <v>31</v>
      </c>
      <c r="B723" s="11" t="s">
        <v>14</v>
      </c>
      <c r="C723" s="11">
        <v>1991.181</v>
      </c>
      <c r="D723" s="11">
        <v>1985</v>
      </c>
    </row>
    <row r="724" spans="1:4" ht="19.95" customHeight="1" x14ac:dyDescent="0.25">
      <c r="A724" s="10" t="s">
        <v>32</v>
      </c>
      <c r="B724" s="11" t="s">
        <v>14</v>
      </c>
      <c r="C724" s="11">
        <v>997.42399999999998</v>
      </c>
      <c r="D724" s="11">
        <v>1985</v>
      </c>
    </row>
    <row r="725" spans="1:4" ht="19.95" customHeight="1" x14ac:dyDescent="0.25">
      <c r="A725" s="10" t="s">
        <v>33</v>
      </c>
      <c r="B725" s="11" t="s">
        <v>14</v>
      </c>
      <c r="C725" s="11">
        <v>616.05600000000004</v>
      </c>
      <c r="D725" s="11">
        <v>1985</v>
      </c>
    </row>
    <row r="726" spans="1:4" ht="19.95" customHeight="1" x14ac:dyDescent="0.25">
      <c r="A726" s="10" t="s">
        <v>34</v>
      </c>
      <c r="B726" s="11" t="s">
        <v>14</v>
      </c>
      <c r="C726" s="11">
        <v>55.005000000000003</v>
      </c>
      <c r="D726" s="11">
        <v>1985</v>
      </c>
    </row>
    <row r="727" spans="1:4" ht="19.95" customHeight="1" x14ac:dyDescent="0.25">
      <c r="A727" s="10" t="s">
        <v>35</v>
      </c>
      <c r="B727" s="11" t="s">
        <v>14</v>
      </c>
      <c r="C727" s="11">
        <v>3956.6930000000002</v>
      </c>
      <c r="D727" s="11">
        <v>1985</v>
      </c>
    </row>
    <row r="728" spans="1:4" ht="19.95" customHeight="1" x14ac:dyDescent="0.25">
      <c r="A728" s="10" t="s">
        <v>36</v>
      </c>
      <c r="B728" s="11" t="s">
        <v>14</v>
      </c>
      <c r="C728" s="11"/>
      <c r="D728" s="11">
        <v>1985</v>
      </c>
    </row>
    <row r="729" spans="1:4" ht="19.95" customHeight="1" x14ac:dyDescent="0.25">
      <c r="A729" s="10" t="s">
        <v>37</v>
      </c>
      <c r="B729" s="11" t="s">
        <v>14</v>
      </c>
      <c r="C729" s="11">
        <v>2357.8809999999999</v>
      </c>
      <c r="D729" s="11">
        <v>1985</v>
      </c>
    </row>
    <row r="730" spans="1:4" ht="19.95" customHeight="1" x14ac:dyDescent="0.25">
      <c r="A730" s="10" t="s">
        <v>38</v>
      </c>
      <c r="B730" s="11" t="s">
        <v>14</v>
      </c>
      <c r="C730" s="11">
        <v>619.72299999999996</v>
      </c>
      <c r="D730" s="11">
        <v>1985</v>
      </c>
    </row>
    <row r="731" spans="1:4" ht="19.95" customHeight="1" x14ac:dyDescent="0.25">
      <c r="A731" s="10" t="s">
        <v>39</v>
      </c>
      <c r="B731" s="11" t="s">
        <v>14</v>
      </c>
      <c r="C731" s="11">
        <v>2753.9169999999999</v>
      </c>
      <c r="D731" s="11">
        <v>1985</v>
      </c>
    </row>
    <row r="732" spans="1:4" ht="19.95" customHeight="1" x14ac:dyDescent="0.25">
      <c r="A732" s="10" t="s">
        <v>40</v>
      </c>
      <c r="B732" s="11" t="s">
        <v>14</v>
      </c>
      <c r="C732" s="11">
        <v>10263.933000000001</v>
      </c>
      <c r="D732" s="11">
        <v>1985</v>
      </c>
    </row>
    <row r="733" spans="1:4" ht="19.95" customHeight="1" x14ac:dyDescent="0.25">
      <c r="A733" s="10" t="s">
        <v>10</v>
      </c>
      <c r="B733" s="11" t="s">
        <v>14</v>
      </c>
      <c r="C733" s="11">
        <v>234.68799999999999</v>
      </c>
      <c r="D733" s="11">
        <v>1986</v>
      </c>
    </row>
    <row r="734" spans="1:4" ht="19.95" customHeight="1" x14ac:dyDescent="0.25">
      <c r="A734" s="10" t="s">
        <v>13</v>
      </c>
      <c r="B734" s="11" t="s">
        <v>14</v>
      </c>
      <c r="C734" s="11">
        <v>1994.848</v>
      </c>
      <c r="D734" s="11">
        <v>1986</v>
      </c>
    </row>
    <row r="735" spans="1:4" ht="19.95" customHeight="1" x14ac:dyDescent="0.25">
      <c r="A735" s="10" t="s">
        <v>15</v>
      </c>
      <c r="B735" s="11" t="s">
        <v>14</v>
      </c>
      <c r="C735" s="11">
        <v>187.017</v>
      </c>
      <c r="D735" s="11">
        <v>1986</v>
      </c>
    </row>
    <row r="736" spans="1:4" ht="19.95" customHeight="1" x14ac:dyDescent="0.25">
      <c r="A736" s="10" t="s">
        <v>16</v>
      </c>
      <c r="B736" s="11" t="s">
        <v>14</v>
      </c>
      <c r="C736" s="11">
        <v>44.003999999999998</v>
      </c>
      <c r="D736" s="11">
        <v>1986</v>
      </c>
    </row>
    <row r="737" spans="1:4" ht="19.95" customHeight="1" x14ac:dyDescent="0.25">
      <c r="A737" s="10" t="s">
        <v>17</v>
      </c>
      <c r="B737" s="11" t="s">
        <v>14</v>
      </c>
      <c r="C737" s="11">
        <v>377.70100000000002</v>
      </c>
      <c r="D737" s="11">
        <v>1986</v>
      </c>
    </row>
    <row r="738" spans="1:4" ht="19.95" customHeight="1" x14ac:dyDescent="0.25">
      <c r="A738" s="10" t="s">
        <v>2</v>
      </c>
      <c r="B738" s="11" t="s">
        <v>14</v>
      </c>
      <c r="C738" s="11">
        <v>2214.8679999999999</v>
      </c>
      <c r="D738" s="11">
        <v>1986</v>
      </c>
    </row>
    <row r="739" spans="1:4" ht="19.95" customHeight="1" x14ac:dyDescent="0.25">
      <c r="A739" s="10" t="s">
        <v>18</v>
      </c>
      <c r="B739" s="11" t="s">
        <v>14</v>
      </c>
      <c r="C739" s="11">
        <v>997.42399999999998</v>
      </c>
      <c r="D739" s="11">
        <v>1986</v>
      </c>
    </row>
    <row r="740" spans="1:4" ht="19.95" customHeight="1" x14ac:dyDescent="0.25">
      <c r="A740" s="10" t="s">
        <v>19</v>
      </c>
      <c r="B740" s="11" t="s">
        <v>14</v>
      </c>
      <c r="C740" s="11">
        <v>843.41</v>
      </c>
      <c r="D740" s="11">
        <v>1986</v>
      </c>
    </row>
    <row r="741" spans="1:4" ht="19.95" customHeight="1" x14ac:dyDescent="0.25">
      <c r="A741" s="10" t="s">
        <v>20</v>
      </c>
      <c r="B741" s="11" t="s">
        <v>14</v>
      </c>
      <c r="C741" s="11">
        <v>4162.0450000000001</v>
      </c>
      <c r="D741" s="11">
        <v>1986</v>
      </c>
    </row>
    <row r="742" spans="1:4" ht="19.95" customHeight="1" x14ac:dyDescent="0.25">
      <c r="A742" s="10" t="s">
        <v>21</v>
      </c>
      <c r="B742" s="11" t="s">
        <v>14</v>
      </c>
      <c r="C742" s="11"/>
      <c r="D742" s="11">
        <v>1986</v>
      </c>
    </row>
    <row r="743" spans="1:4" ht="19.95" customHeight="1" x14ac:dyDescent="0.25">
      <c r="A743" s="10" t="s">
        <v>22</v>
      </c>
      <c r="B743" s="11" t="s">
        <v>14</v>
      </c>
      <c r="C743" s="11">
        <v>729.73299999999995</v>
      </c>
      <c r="D743" s="11">
        <v>1986</v>
      </c>
    </row>
    <row r="744" spans="1:4" ht="19.95" customHeight="1" x14ac:dyDescent="0.25">
      <c r="A744" s="10" t="s">
        <v>23</v>
      </c>
      <c r="B744" s="11" t="s">
        <v>14</v>
      </c>
      <c r="C744" s="11">
        <v>1140.4369999999999</v>
      </c>
      <c r="D744" s="11">
        <v>1986</v>
      </c>
    </row>
    <row r="745" spans="1:4" ht="19.95" customHeight="1" x14ac:dyDescent="0.25">
      <c r="A745" s="10" t="s">
        <v>24</v>
      </c>
      <c r="B745" s="11" t="s">
        <v>14</v>
      </c>
      <c r="C745" s="11">
        <v>553.71699999999998</v>
      </c>
      <c r="D745" s="11">
        <v>1986</v>
      </c>
    </row>
    <row r="746" spans="1:4" ht="19.95" customHeight="1" x14ac:dyDescent="0.25">
      <c r="A746" s="10" t="s">
        <v>25</v>
      </c>
      <c r="B746" s="11" t="s">
        <v>14</v>
      </c>
      <c r="C746" s="11">
        <v>381.36799999999999</v>
      </c>
      <c r="D746" s="11">
        <v>1986</v>
      </c>
    </row>
    <row r="747" spans="1:4" ht="19.95" customHeight="1" x14ac:dyDescent="0.25">
      <c r="A747" s="10" t="s">
        <v>26</v>
      </c>
      <c r="B747" s="11" t="s">
        <v>14</v>
      </c>
      <c r="C747" s="11"/>
      <c r="D747" s="11">
        <v>1986</v>
      </c>
    </row>
    <row r="748" spans="1:4" ht="19.95" customHeight="1" x14ac:dyDescent="0.25">
      <c r="A748" s="10" t="s">
        <v>27</v>
      </c>
      <c r="B748" s="11" t="s">
        <v>14</v>
      </c>
      <c r="C748" s="11">
        <v>982.75599999999997</v>
      </c>
      <c r="D748" s="11">
        <v>1986</v>
      </c>
    </row>
    <row r="749" spans="1:4" ht="19.95" customHeight="1" x14ac:dyDescent="0.25">
      <c r="A749" s="10" t="s">
        <v>29</v>
      </c>
      <c r="B749" s="11" t="s">
        <v>14</v>
      </c>
      <c r="C749" s="11">
        <v>6791.2839999999997</v>
      </c>
      <c r="D749" s="11">
        <v>1986</v>
      </c>
    </row>
    <row r="750" spans="1:4" ht="19.95" customHeight="1" x14ac:dyDescent="0.25">
      <c r="A750" s="10" t="s">
        <v>30</v>
      </c>
      <c r="B750" s="11" t="s">
        <v>14</v>
      </c>
      <c r="C750" s="11">
        <v>704.06399999999996</v>
      </c>
      <c r="D750" s="11">
        <v>1986</v>
      </c>
    </row>
    <row r="751" spans="1:4" ht="19.95" customHeight="1" x14ac:dyDescent="0.25">
      <c r="A751" s="10" t="s">
        <v>31</v>
      </c>
      <c r="B751" s="11" t="s">
        <v>14</v>
      </c>
      <c r="C751" s="11">
        <v>2262.5390000000002</v>
      </c>
      <c r="D751" s="11">
        <v>1986</v>
      </c>
    </row>
    <row r="752" spans="1:4" ht="19.95" customHeight="1" x14ac:dyDescent="0.25">
      <c r="A752" s="10" t="s">
        <v>32</v>
      </c>
      <c r="B752" s="11" t="s">
        <v>14</v>
      </c>
      <c r="C752" s="11">
        <v>902.08199999999999</v>
      </c>
      <c r="D752" s="11">
        <v>1986</v>
      </c>
    </row>
    <row r="753" spans="1:4" ht="19.95" customHeight="1" x14ac:dyDescent="0.25">
      <c r="A753" s="10" t="s">
        <v>33</v>
      </c>
      <c r="B753" s="11" t="s">
        <v>14</v>
      </c>
      <c r="C753" s="11">
        <v>597.721</v>
      </c>
      <c r="D753" s="11">
        <v>1986</v>
      </c>
    </row>
    <row r="754" spans="1:4" ht="19.95" customHeight="1" x14ac:dyDescent="0.25">
      <c r="A754" s="10" t="s">
        <v>34</v>
      </c>
      <c r="B754" s="11" t="s">
        <v>14</v>
      </c>
      <c r="C754" s="11">
        <v>51.338000000000001</v>
      </c>
      <c r="D754" s="11">
        <v>1986</v>
      </c>
    </row>
    <row r="755" spans="1:4" ht="19.95" customHeight="1" x14ac:dyDescent="0.25">
      <c r="A755" s="10" t="s">
        <v>35</v>
      </c>
      <c r="B755" s="11" t="s">
        <v>14</v>
      </c>
      <c r="C755" s="11">
        <v>3703.67</v>
      </c>
      <c r="D755" s="11">
        <v>1986</v>
      </c>
    </row>
    <row r="756" spans="1:4" ht="19.95" customHeight="1" x14ac:dyDescent="0.25">
      <c r="A756" s="10" t="s">
        <v>36</v>
      </c>
      <c r="B756" s="11" t="s">
        <v>14</v>
      </c>
      <c r="C756" s="11"/>
      <c r="D756" s="11">
        <v>1986</v>
      </c>
    </row>
    <row r="757" spans="1:4" ht="19.95" customHeight="1" x14ac:dyDescent="0.25">
      <c r="A757" s="10" t="s">
        <v>37</v>
      </c>
      <c r="B757" s="11" t="s">
        <v>14</v>
      </c>
      <c r="C757" s="11">
        <v>2299.2089999999998</v>
      </c>
      <c r="D757" s="11">
        <v>1986</v>
      </c>
    </row>
    <row r="758" spans="1:4" ht="19.95" customHeight="1" x14ac:dyDescent="0.25">
      <c r="A758" s="10" t="s">
        <v>38</v>
      </c>
      <c r="B758" s="11" t="s">
        <v>14</v>
      </c>
      <c r="C758" s="11">
        <v>704.06399999999996</v>
      </c>
      <c r="D758" s="11">
        <v>1986</v>
      </c>
    </row>
    <row r="759" spans="1:4" ht="19.95" customHeight="1" x14ac:dyDescent="0.25">
      <c r="A759" s="10" t="s">
        <v>39</v>
      </c>
      <c r="B759" s="11" t="s">
        <v>14</v>
      </c>
      <c r="C759" s="11">
        <v>2889.596</v>
      </c>
      <c r="D759" s="11">
        <v>1986</v>
      </c>
    </row>
    <row r="760" spans="1:4" ht="19.95" customHeight="1" x14ac:dyDescent="0.25">
      <c r="A760" s="10" t="s">
        <v>40</v>
      </c>
      <c r="B760" s="11" t="s">
        <v>14</v>
      </c>
      <c r="C760" s="11">
        <v>13127.86</v>
      </c>
      <c r="D760" s="11">
        <v>1986</v>
      </c>
    </row>
    <row r="761" spans="1:4" ht="19.95" customHeight="1" x14ac:dyDescent="0.25">
      <c r="A761" s="10" t="s">
        <v>10</v>
      </c>
      <c r="B761" s="11" t="s">
        <v>14</v>
      </c>
      <c r="C761" s="11">
        <v>249.35599999999999</v>
      </c>
      <c r="D761" s="11">
        <v>1987</v>
      </c>
    </row>
    <row r="762" spans="1:4" ht="19.95" customHeight="1" x14ac:dyDescent="0.25">
      <c r="A762" s="10" t="s">
        <v>13</v>
      </c>
      <c r="B762" s="11" t="s">
        <v>14</v>
      </c>
      <c r="C762" s="11">
        <v>1844.501</v>
      </c>
      <c r="D762" s="11">
        <v>1987</v>
      </c>
    </row>
    <row r="763" spans="1:4" ht="19.95" customHeight="1" x14ac:dyDescent="0.25">
      <c r="A763" s="10" t="s">
        <v>15</v>
      </c>
      <c r="B763" s="11" t="s">
        <v>14</v>
      </c>
      <c r="C763" s="11">
        <v>198.018</v>
      </c>
      <c r="D763" s="11">
        <v>1987</v>
      </c>
    </row>
    <row r="764" spans="1:4" ht="19.95" customHeight="1" x14ac:dyDescent="0.25">
      <c r="A764" s="10" t="s">
        <v>16</v>
      </c>
      <c r="B764" s="11" t="s">
        <v>14</v>
      </c>
      <c r="C764" s="11">
        <v>47.670999999999999</v>
      </c>
      <c r="D764" s="11">
        <v>1987</v>
      </c>
    </row>
    <row r="765" spans="1:4" ht="19.95" customHeight="1" x14ac:dyDescent="0.25">
      <c r="A765" s="10" t="s">
        <v>17</v>
      </c>
      <c r="B765" s="11" t="s">
        <v>14</v>
      </c>
      <c r="C765" s="11">
        <v>388.702</v>
      </c>
      <c r="D765" s="11">
        <v>1987</v>
      </c>
    </row>
    <row r="766" spans="1:4" ht="19.95" customHeight="1" x14ac:dyDescent="0.25">
      <c r="A766" s="10" t="s">
        <v>2</v>
      </c>
      <c r="B766" s="11" t="s">
        <v>14</v>
      </c>
      <c r="C766" s="11">
        <v>2581.5680000000002</v>
      </c>
      <c r="D766" s="11">
        <v>1987</v>
      </c>
    </row>
    <row r="767" spans="1:4" ht="19.95" customHeight="1" x14ac:dyDescent="0.25">
      <c r="A767" s="10" t="s">
        <v>18</v>
      </c>
      <c r="B767" s="11" t="s">
        <v>14</v>
      </c>
      <c r="C767" s="11">
        <v>993.75699999999995</v>
      </c>
      <c r="D767" s="11">
        <v>1987</v>
      </c>
    </row>
    <row r="768" spans="1:4" ht="19.95" customHeight="1" x14ac:dyDescent="0.25">
      <c r="A768" s="10" t="s">
        <v>19</v>
      </c>
      <c r="B768" s="11" t="s">
        <v>14</v>
      </c>
      <c r="C768" s="11">
        <v>913.08299999999997</v>
      </c>
      <c r="D768" s="11">
        <v>1987</v>
      </c>
    </row>
    <row r="769" spans="1:4" ht="19.95" customHeight="1" x14ac:dyDescent="0.25">
      <c r="A769" s="10" t="s">
        <v>20</v>
      </c>
      <c r="B769" s="11" t="s">
        <v>14</v>
      </c>
      <c r="C769" s="11">
        <v>5174.1369999999997</v>
      </c>
      <c r="D769" s="11">
        <v>1987</v>
      </c>
    </row>
    <row r="770" spans="1:4" ht="19.95" customHeight="1" x14ac:dyDescent="0.25">
      <c r="A770" s="10" t="s">
        <v>21</v>
      </c>
      <c r="B770" s="11" t="s">
        <v>14</v>
      </c>
      <c r="C770" s="11"/>
      <c r="D770" s="11">
        <v>1987</v>
      </c>
    </row>
    <row r="771" spans="1:4" ht="19.95" customHeight="1" x14ac:dyDescent="0.25">
      <c r="A771" s="10" t="s">
        <v>22</v>
      </c>
      <c r="B771" s="11" t="s">
        <v>14</v>
      </c>
      <c r="C771" s="11">
        <v>766.40300000000002</v>
      </c>
      <c r="D771" s="11">
        <v>1987</v>
      </c>
    </row>
    <row r="772" spans="1:4" ht="19.95" customHeight="1" x14ac:dyDescent="0.25">
      <c r="A772" s="10" t="s">
        <v>23</v>
      </c>
      <c r="B772" s="11" t="s">
        <v>14</v>
      </c>
      <c r="C772" s="11">
        <v>1287.117</v>
      </c>
      <c r="D772" s="11">
        <v>1987</v>
      </c>
    </row>
    <row r="773" spans="1:4" ht="19.95" customHeight="1" x14ac:dyDescent="0.25">
      <c r="A773" s="10" t="s">
        <v>24</v>
      </c>
      <c r="B773" s="11" t="s">
        <v>14</v>
      </c>
      <c r="C773" s="11">
        <v>546.38300000000004</v>
      </c>
      <c r="D773" s="11">
        <v>1987</v>
      </c>
    </row>
    <row r="774" spans="1:4" ht="19.95" customHeight="1" x14ac:dyDescent="0.25">
      <c r="A774" s="10" t="s">
        <v>25</v>
      </c>
      <c r="B774" s="11" t="s">
        <v>14</v>
      </c>
      <c r="C774" s="11">
        <v>359.36599999999999</v>
      </c>
      <c r="D774" s="11">
        <v>1987</v>
      </c>
    </row>
    <row r="775" spans="1:4" ht="19.95" customHeight="1" x14ac:dyDescent="0.25">
      <c r="A775" s="10" t="s">
        <v>26</v>
      </c>
      <c r="B775" s="11" t="s">
        <v>14</v>
      </c>
      <c r="C775" s="11"/>
      <c r="D775" s="11">
        <v>1987</v>
      </c>
    </row>
    <row r="776" spans="1:4" ht="19.95" customHeight="1" x14ac:dyDescent="0.25">
      <c r="A776" s="10" t="s">
        <v>27</v>
      </c>
      <c r="B776" s="11" t="s">
        <v>14</v>
      </c>
      <c r="C776" s="11">
        <v>982.75599999999997</v>
      </c>
      <c r="D776" s="11">
        <v>1987</v>
      </c>
    </row>
    <row r="777" spans="1:4" ht="19.95" customHeight="1" x14ac:dyDescent="0.25">
      <c r="A777" s="10" t="s">
        <v>29</v>
      </c>
      <c r="B777" s="11" t="s">
        <v>14</v>
      </c>
      <c r="C777" s="11">
        <v>4976.1189999999997</v>
      </c>
      <c r="D777" s="11">
        <v>1987</v>
      </c>
    </row>
    <row r="778" spans="1:4" ht="19.95" customHeight="1" x14ac:dyDescent="0.25">
      <c r="A778" s="10" t="s">
        <v>30</v>
      </c>
      <c r="B778" s="11" t="s">
        <v>14</v>
      </c>
      <c r="C778" s="11">
        <v>872.74599999999998</v>
      </c>
      <c r="D778" s="11">
        <v>1987</v>
      </c>
    </row>
    <row r="779" spans="1:4" ht="19.95" customHeight="1" x14ac:dyDescent="0.25">
      <c r="A779" s="10" t="s">
        <v>31</v>
      </c>
      <c r="B779" s="11" t="s">
        <v>14</v>
      </c>
      <c r="C779" s="11">
        <v>2438.5549999999998</v>
      </c>
      <c r="D779" s="11">
        <v>1987</v>
      </c>
    </row>
    <row r="780" spans="1:4" ht="19.95" customHeight="1" x14ac:dyDescent="0.25">
      <c r="A780" s="10" t="s">
        <v>32</v>
      </c>
      <c r="B780" s="11" t="s">
        <v>14</v>
      </c>
      <c r="C780" s="11">
        <v>1001.091</v>
      </c>
      <c r="D780" s="11">
        <v>1987</v>
      </c>
    </row>
    <row r="781" spans="1:4" ht="19.95" customHeight="1" x14ac:dyDescent="0.25">
      <c r="A781" s="10" t="s">
        <v>33</v>
      </c>
      <c r="B781" s="11" t="s">
        <v>14</v>
      </c>
      <c r="C781" s="11">
        <v>616.05600000000004</v>
      </c>
      <c r="D781" s="11">
        <v>1987</v>
      </c>
    </row>
    <row r="782" spans="1:4" ht="19.95" customHeight="1" x14ac:dyDescent="0.25">
      <c r="A782" s="10" t="s">
        <v>34</v>
      </c>
      <c r="B782" s="11" t="s">
        <v>14</v>
      </c>
      <c r="C782" s="11">
        <v>51.338000000000001</v>
      </c>
      <c r="D782" s="11">
        <v>1987</v>
      </c>
    </row>
    <row r="783" spans="1:4" ht="19.95" customHeight="1" x14ac:dyDescent="0.25">
      <c r="A783" s="10" t="s">
        <v>35</v>
      </c>
      <c r="B783" s="11" t="s">
        <v>14</v>
      </c>
      <c r="C783" s="11">
        <v>4074.0369999999998</v>
      </c>
      <c r="D783" s="11">
        <v>1987</v>
      </c>
    </row>
    <row r="784" spans="1:4" ht="19.95" customHeight="1" x14ac:dyDescent="0.25">
      <c r="A784" s="10" t="s">
        <v>36</v>
      </c>
      <c r="B784" s="11" t="s">
        <v>14</v>
      </c>
      <c r="C784" s="11"/>
      <c r="D784" s="11">
        <v>1987</v>
      </c>
    </row>
    <row r="785" spans="1:4" ht="19.95" customHeight="1" x14ac:dyDescent="0.25">
      <c r="A785" s="10" t="s">
        <v>37</v>
      </c>
      <c r="B785" s="11" t="s">
        <v>14</v>
      </c>
      <c r="C785" s="11">
        <v>2390.884</v>
      </c>
      <c r="D785" s="11">
        <v>1987</v>
      </c>
    </row>
    <row r="786" spans="1:4" ht="19.95" customHeight="1" x14ac:dyDescent="0.25">
      <c r="A786" s="10" t="s">
        <v>38</v>
      </c>
      <c r="B786" s="11" t="s">
        <v>14</v>
      </c>
      <c r="C786" s="11">
        <v>770.07</v>
      </c>
      <c r="D786" s="11">
        <v>1987</v>
      </c>
    </row>
    <row r="787" spans="1:4" ht="19.95" customHeight="1" x14ac:dyDescent="0.25">
      <c r="A787" s="10" t="s">
        <v>39</v>
      </c>
      <c r="B787" s="11" t="s">
        <v>14</v>
      </c>
      <c r="C787" s="11">
        <v>2702.5790000000002</v>
      </c>
      <c r="D787" s="11">
        <v>1987</v>
      </c>
    </row>
    <row r="788" spans="1:4" ht="19.95" customHeight="1" x14ac:dyDescent="0.25">
      <c r="A788" s="10" t="s">
        <v>40</v>
      </c>
      <c r="B788" s="11" t="s">
        <v>14</v>
      </c>
      <c r="C788" s="11">
        <v>15240.052</v>
      </c>
      <c r="D788" s="11">
        <v>1987</v>
      </c>
    </row>
    <row r="789" spans="1:4" ht="19.95" customHeight="1" x14ac:dyDescent="0.25">
      <c r="A789" s="10" t="s">
        <v>10</v>
      </c>
      <c r="B789" s="11" t="s">
        <v>14</v>
      </c>
      <c r="C789" s="11">
        <v>227.35400000000001</v>
      </c>
      <c r="D789" s="11">
        <v>1988</v>
      </c>
    </row>
    <row r="790" spans="1:4" ht="19.95" customHeight="1" x14ac:dyDescent="0.25">
      <c r="A790" s="10" t="s">
        <v>13</v>
      </c>
      <c r="B790" s="11" t="s">
        <v>14</v>
      </c>
      <c r="C790" s="11">
        <v>2200.1999999999998</v>
      </c>
      <c r="D790" s="11">
        <v>1988</v>
      </c>
    </row>
    <row r="791" spans="1:4" ht="19.95" customHeight="1" x14ac:dyDescent="0.25">
      <c r="A791" s="10" t="s">
        <v>15</v>
      </c>
      <c r="B791" s="11" t="s">
        <v>14</v>
      </c>
      <c r="C791" s="11">
        <v>66.006</v>
      </c>
      <c r="D791" s="11">
        <v>1988</v>
      </c>
    </row>
    <row r="792" spans="1:4" ht="19.95" customHeight="1" x14ac:dyDescent="0.25">
      <c r="A792" s="10" t="s">
        <v>16</v>
      </c>
      <c r="B792" s="11" t="s">
        <v>14</v>
      </c>
      <c r="C792" s="11">
        <v>51.338000000000001</v>
      </c>
      <c r="D792" s="11">
        <v>1988</v>
      </c>
    </row>
    <row r="793" spans="1:4" ht="19.95" customHeight="1" x14ac:dyDescent="0.25">
      <c r="A793" s="10" t="s">
        <v>17</v>
      </c>
      <c r="B793" s="11" t="s">
        <v>14</v>
      </c>
      <c r="C793" s="11">
        <v>348.36500000000001</v>
      </c>
      <c r="D793" s="11">
        <v>1988</v>
      </c>
    </row>
    <row r="794" spans="1:4" ht="19.95" customHeight="1" x14ac:dyDescent="0.25">
      <c r="A794" s="10" t="s">
        <v>2</v>
      </c>
      <c r="B794" s="11" t="s">
        <v>14</v>
      </c>
      <c r="C794" s="11">
        <v>2673.2429999999999</v>
      </c>
      <c r="D794" s="11">
        <v>1988</v>
      </c>
    </row>
    <row r="795" spans="1:4" ht="19.95" customHeight="1" x14ac:dyDescent="0.25">
      <c r="A795" s="10" t="s">
        <v>18</v>
      </c>
      <c r="B795" s="11" t="s">
        <v>14</v>
      </c>
      <c r="C795" s="11">
        <v>1026.76</v>
      </c>
      <c r="D795" s="11">
        <v>1988</v>
      </c>
    </row>
    <row r="796" spans="1:4" ht="19.95" customHeight="1" x14ac:dyDescent="0.25">
      <c r="A796" s="10" t="s">
        <v>19</v>
      </c>
      <c r="B796" s="11" t="s">
        <v>14</v>
      </c>
      <c r="C796" s="11">
        <v>1023.093</v>
      </c>
      <c r="D796" s="11">
        <v>1988</v>
      </c>
    </row>
    <row r="797" spans="1:4" ht="19.95" customHeight="1" x14ac:dyDescent="0.25">
      <c r="A797" s="10" t="s">
        <v>20</v>
      </c>
      <c r="B797" s="11" t="s">
        <v>14</v>
      </c>
      <c r="C797" s="11">
        <v>4789.1019999999999</v>
      </c>
      <c r="D797" s="11">
        <v>1988</v>
      </c>
    </row>
    <row r="798" spans="1:4" ht="19.95" customHeight="1" x14ac:dyDescent="0.25">
      <c r="A798" s="10" t="s">
        <v>21</v>
      </c>
      <c r="B798" s="11" t="s">
        <v>14</v>
      </c>
      <c r="C798" s="11"/>
      <c r="D798" s="11">
        <v>1988</v>
      </c>
    </row>
    <row r="799" spans="1:4" ht="19.95" customHeight="1" x14ac:dyDescent="0.25">
      <c r="A799" s="10" t="s">
        <v>22</v>
      </c>
      <c r="B799" s="11" t="s">
        <v>14</v>
      </c>
      <c r="C799" s="11">
        <v>817.74099999999999</v>
      </c>
      <c r="D799" s="11">
        <v>1988</v>
      </c>
    </row>
    <row r="800" spans="1:4" ht="19.95" customHeight="1" x14ac:dyDescent="0.25">
      <c r="A800" s="10" t="s">
        <v>23</v>
      </c>
      <c r="B800" s="11" t="s">
        <v>14</v>
      </c>
      <c r="C800" s="11">
        <v>1290.7840000000001</v>
      </c>
      <c r="D800" s="11">
        <v>1988</v>
      </c>
    </row>
    <row r="801" spans="1:4" ht="19.95" customHeight="1" x14ac:dyDescent="0.25">
      <c r="A801" s="10" t="s">
        <v>24</v>
      </c>
      <c r="B801" s="11" t="s">
        <v>14</v>
      </c>
      <c r="C801" s="11">
        <v>542.71600000000001</v>
      </c>
      <c r="D801" s="11">
        <v>1988</v>
      </c>
    </row>
    <row r="802" spans="1:4" ht="19.95" customHeight="1" x14ac:dyDescent="0.25">
      <c r="A802" s="10" t="s">
        <v>25</v>
      </c>
      <c r="B802" s="11" t="s">
        <v>14</v>
      </c>
      <c r="C802" s="11">
        <v>385.03500000000003</v>
      </c>
      <c r="D802" s="11">
        <v>1988</v>
      </c>
    </row>
    <row r="803" spans="1:4" ht="19.95" customHeight="1" x14ac:dyDescent="0.25">
      <c r="A803" s="10" t="s">
        <v>26</v>
      </c>
      <c r="B803" s="11" t="s">
        <v>14</v>
      </c>
      <c r="C803" s="11"/>
      <c r="D803" s="11">
        <v>1988</v>
      </c>
    </row>
    <row r="804" spans="1:4" ht="19.95" customHeight="1" x14ac:dyDescent="0.25">
      <c r="A804" s="10" t="s">
        <v>27</v>
      </c>
      <c r="B804" s="11" t="s">
        <v>14</v>
      </c>
      <c r="C804" s="11">
        <v>1012.092</v>
      </c>
      <c r="D804" s="11">
        <v>1988</v>
      </c>
    </row>
    <row r="805" spans="1:4" ht="19.95" customHeight="1" x14ac:dyDescent="0.25">
      <c r="A805" s="10" t="s">
        <v>29</v>
      </c>
      <c r="B805" s="11" t="s">
        <v>14</v>
      </c>
      <c r="C805" s="11">
        <v>4118.0410000000002</v>
      </c>
      <c r="D805" s="11">
        <v>1988</v>
      </c>
    </row>
    <row r="806" spans="1:4" ht="19.95" customHeight="1" x14ac:dyDescent="0.25">
      <c r="A806" s="10" t="s">
        <v>30</v>
      </c>
      <c r="B806" s="11" t="s">
        <v>14</v>
      </c>
      <c r="C806" s="11">
        <v>993.75699999999995</v>
      </c>
      <c r="D806" s="11">
        <v>1988</v>
      </c>
    </row>
    <row r="807" spans="1:4" ht="19.95" customHeight="1" x14ac:dyDescent="0.25">
      <c r="A807" s="10" t="s">
        <v>31</v>
      </c>
      <c r="B807" s="11" t="s">
        <v>14</v>
      </c>
      <c r="C807" s="11">
        <v>2247.8710000000001</v>
      </c>
      <c r="D807" s="11">
        <v>1988</v>
      </c>
    </row>
    <row r="808" spans="1:4" ht="19.95" customHeight="1" x14ac:dyDescent="0.25">
      <c r="A808" s="10" t="s">
        <v>32</v>
      </c>
      <c r="B808" s="11" t="s">
        <v>14</v>
      </c>
      <c r="C808" s="11">
        <v>990.09</v>
      </c>
      <c r="D808" s="11">
        <v>1988</v>
      </c>
    </row>
    <row r="809" spans="1:4" ht="19.95" customHeight="1" x14ac:dyDescent="0.25">
      <c r="A809" s="10" t="s">
        <v>33</v>
      </c>
      <c r="B809" s="11" t="s">
        <v>14</v>
      </c>
      <c r="C809" s="11">
        <v>696.73</v>
      </c>
      <c r="D809" s="11">
        <v>1988</v>
      </c>
    </row>
    <row r="810" spans="1:4" ht="19.95" customHeight="1" x14ac:dyDescent="0.25">
      <c r="A810" s="10" t="s">
        <v>34</v>
      </c>
      <c r="B810" s="11" t="s">
        <v>14</v>
      </c>
      <c r="C810" s="11">
        <v>47.670999999999999</v>
      </c>
      <c r="D810" s="11">
        <v>1988</v>
      </c>
    </row>
    <row r="811" spans="1:4" ht="19.95" customHeight="1" x14ac:dyDescent="0.25">
      <c r="A811" s="10" t="s">
        <v>35</v>
      </c>
      <c r="B811" s="11" t="s">
        <v>14</v>
      </c>
      <c r="C811" s="11">
        <v>3490.9839999999999</v>
      </c>
      <c r="D811" s="11">
        <v>1988</v>
      </c>
    </row>
    <row r="812" spans="1:4" ht="19.95" customHeight="1" x14ac:dyDescent="0.25">
      <c r="A812" s="10" t="s">
        <v>36</v>
      </c>
      <c r="B812" s="11" t="s">
        <v>14</v>
      </c>
      <c r="C812" s="11"/>
      <c r="D812" s="11">
        <v>1988</v>
      </c>
    </row>
    <row r="813" spans="1:4" ht="19.95" customHeight="1" x14ac:dyDescent="0.25">
      <c r="A813" s="10" t="s">
        <v>37</v>
      </c>
      <c r="B813" s="11" t="s">
        <v>14</v>
      </c>
      <c r="C813" s="11">
        <v>2288.2080000000001</v>
      </c>
      <c r="D813" s="11">
        <v>1988</v>
      </c>
    </row>
    <row r="814" spans="1:4" ht="19.95" customHeight="1" x14ac:dyDescent="0.25">
      <c r="A814" s="10" t="s">
        <v>38</v>
      </c>
      <c r="B814" s="11" t="s">
        <v>14</v>
      </c>
      <c r="C814" s="11">
        <v>865.41200000000003</v>
      </c>
      <c r="D814" s="11">
        <v>1988</v>
      </c>
    </row>
    <row r="815" spans="1:4" ht="19.95" customHeight="1" x14ac:dyDescent="0.25">
      <c r="A815" s="10" t="s">
        <v>39</v>
      </c>
      <c r="B815" s="11" t="s">
        <v>14</v>
      </c>
      <c r="C815" s="11">
        <v>3142.6190000000001</v>
      </c>
      <c r="D815" s="11">
        <v>1988</v>
      </c>
    </row>
    <row r="816" spans="1:4" ht="19.95" customHeight="1" x14ac:dyDescent="0.25">
      <c r="A816" s="10" t="s">
        <v>40</v>
      </c>
      <c r="B816" s="11" t="s">
        <v>14</v>
      </c>
      <c r="C816" s="11">
        <v>16101.797</v>
      </c>
      <c r="D816" s="11">
        <v>1988</v>
      </c>
    </row>
    <row r="817" spans="1:4" ht="19.95" customHeight="1" x14ac:dyDescent="0.25">
      <c r="A817" s="10" t="s">
        <v>10</v>
      </c>
      <c r="B817" s="11" t="s">
        <v>14</v>
      </c>
      <c r="C817" s="11">
        <v>267.69099999999997</v>
      </c>
      <c r="D817" s="11">
        <v>1989</v>
      </c>
    </row>
    <row r="818" spans="1:4" ht="19.95" customHeight="1" x14ac:dyDescent="0.25">
      <c r="A818" s="10" t="s">
        <v>13</v>
      </c>
      <c r="B818" s="11" t="s">
        <v>14</v>
      </c>
      <c r="C818" s="11">
        <v>7634.6940000000004</v>
      </c>
      <c r="D818" s="11">
        <v>1989</v>
      </c>
    </row>
    <row r="819" spans="1:4" ht="19.95" customHeight="1" x14ac:dyDescent="0.25">
      <c r="A819" s="10" t="s">
        <v>15</v>
      </c>
      <c r="B819" s="11" t="s">
        <v>14</v>
      </c>
      <c r="C819" s="11">
        <v>102.676</v>
      </c>
      <c r="D819" s="11">
        <v>1989</v>
      </c>
    </row>
    <row r="820" spans="1:4" ht="19.95" customHeight="1" x14ac:dyDescent="0.25">
      <c r="A820" s="10" t="s">
        <v>16</v>
      </c>
      <c r="B820" s="11" t="s">
        <v>14</v>
      </c>
      <c r="C820" s="11">
        <v>51.338000000000001</v>
      </c>
      <c r="D820" s="11">
        <v>1989</v>
      </c>
    </row>
    <row r="821" spans="1:4" ht="19.95" customHeight="1" x14ac:dyDescent="0.25">
      <c r="A821" s="10" t="s">
        <v>17</v>
      </c>
      <c r="B821" s="11" t="s">
        <v>14</v>
      </c>
      <c r="C821" s="11">
        <v>388.702</v>
      </c>
      <c r="D821" s="11">
        <v>1989</v>
      </c>
    </row>
    <row r="822" spans="1:4" ht="19.95" customHeight="1" x14ac:dyDescent="0.25">
      <c r="A822" s="10" t="s">
        <v>2</v>
      </c>
      <c r="B822" s="11" t="s">
        <v>14</v>
      </c>
      <c r="C822" s="11">
        <v>2827.2570000000001</v>
      </c>
      <c r="D822" s="11">
        <v>1989</v>
      </c>
    </row>
    <row r="823" spans="1:4" ht="19.95" customHeight="1" x14ac:dyDescent="0.25">
      <c r="A823" s="10" t="s">
        <v>18</v>
      </c>
      <c r="B823" s="11" t="s">
        <v>14</v>
      </c>
      <c r="C823" s="11">
        <v>1045.095</v>
      </c>
      <c r="D823" s="11">
        <v>1989</v>
      </c>
    </row>
    <row r="824" spans="1:4" ht="19.95" customHeight="1" x14ac:dyDescent="0.25">
      <c r="A824" s="10" t="s">
        <v>19</v>
      </c>
      <c r="B824" s="11" t="s">
        <v>14</v>
      </c>
      <c r="C824" s="11">
        <v>1037.761</v>
      </c>
      <c r="D824" s="11">
        <v>1989</v>
      </c>
    </row>
    <row r="825" spans="1:4" ht="19.95" customHeight="1" x14ac:dyDescent="0.25">
      <c r="A825" s="10" t="s">
        <v>20</v>
      </c>
      <c r="B825" s="11" t="s">
        <v>14</v>
      </c>
      <c r="C825" s="11">
        <v>5192.4719999999998</v>
      </c>
      <c r="D825" s="11">
        <v>1989</v>
      </c>
    </row>
    <row r="826" spans="1:4" ht="19.95" customHeight="1" x14ac:dyDescent="0.25">
      <c r="A826" s="10" t="s">
        <v>21</v>
      </c>
      <c r="B826" s="11" t="s">
        <v>14</v>
      </c>
      <c r="C826" s="11"/>
      <c r="D826" s="11">
        <v>1989</v>
      </c>
    </row>
    <row r="827" spans="1:4" ht="19.95" customHeight="1" x14ac:dyDescent="0.25">
      <c r="A827" s="10" t="s">
        <v>22</v>
      </c>
      <c r="B827" s="11" t="s">
        <v>14</v>
      </c>
      <c r="C827" s="11">
        <v>667.39400000000001</v>
      </c>
      <c r="D827" s="11">
        <v>1989</v>
      </c>
    </row>
    <row r="828" spans="1:4" ht="19.95" customHeight="1" x14ac:dyDescent="0.25">
      <c r="A828" s="10" t="s">
        <v>23</v>
      </c>
      <c r="B828" s="11" t="s">
        <v>14</v>
      </c>
      <c r="C828" s="11">
        <v>931.41800000000001</v>
      </c>
      <c r="D828" s="11">
        <v>1989</v>
      </c>
    </row>
    <row r="829" spans="1:4" ht="19.95" customHeight="1" x14ac:dyDescent="0.25">
      <c r="A829" s="10" t="s">
        <v>24</v>
      </c>
      <c r="B829" s="11" t="s">
        <v>14</v>
      </c>
      <c r="C829" s="11">
        <v>564.71799999999996</v>
      </c>
      <c r="D829" s="11">
        <v>1989</v>
      </c>
    </row>
    <row r="830" spans="1:4" ht="19.95" customHeight="1" x14ac:dyDescent="0.25">
      <c r="A830" s="10" t="s">
        <v>25</v>
      </c>
      <c r="B830" s="11" t="s">
        <v>14</v>
      </c>
      <c r="C830" s="11">
        <v>418.03800000000001</v>
      </c>
      <c r="D830" s="11">
        <v>1989</v>
      </c>
    </row>
    <row r="831" spans="1:4" ht="19.95" customHeight="1" x14ac:dyDescent="0.25">
      <c r="A831" s="10" t="s">
        <v>26</v>
      </c>
      <c r="B831" s="11" t="s">
        <v>14</v>
      </c>
      <c r="C831" s="11"/>
      <c r="D831" s="11">
        <v>1989</v>
      </c>
    </row>
    <row r="832" spans="1:4" ht="19.95" customHeight="1" x14ac:dyDescent="0.25">
      <c r="A832" s="10" t="s">
        <v>27</v>
      </c>
      <c r="B832" s="11" t="s">
        <v>14</v>
      </c>
      <c r="C832" s="11">
        <v>1041.4280000000001</v>
      </c>
      <c r="D832" s="11">
        <v>1989</v>
      </c>
    </row>
    <row r="833" spans="1:4" ht="19.95" customHeight="1" x14ac:dyDescent="0.25">
      <c r="A833" s="10" t="s">
        <v>29</v>
      </c>
      <c r="B833" s="11" t="s">
        <v>14</v>
      </c>
      <c r="C833" s="11">
        <v>4462.7389999999996</v>
      </c>
      <c r="D833" s="11">
        <v>1989</v>
      </c>
    </row>
    <row r="834" spans="1:4" ht="19.95" customHeight="1" x14ac:dyDescent="0.25">
      <c r="A834" s="10" t="s">
        <v>30</v>
      </c>
      <c r="B834" s="11" t="s">
        <v>14</v>
      </c>
      <c r="C834" s="11">
        <v>913.08299999999997</v>
      </c>
      <c r="D834" s="11">
        <v>1989</v>
      </c>
    </row>
    <row r="835" spans="1:4" ht="19.95" customHeight="1" x14ac:dyDescent="0.25">
      <c r="A835" s="10" t="s">
        <v>31</v>
      </c>
      <c r="B835" s="11" t="s">
        <v>14</v>
      </c>
      <c r="C835" s="11">
        <v>1477.8009999999999</v>
      </c>
      <c r="D835" s="11">
        <v>1989</v>
      </c>
    </row>
    <row r="836" spans="1:4" ht="19.95" customHeight="1" x14ac:dyDescent="0.25">
      <c r="A836" s="10" t="s">
        <v>32</v>
      </c>
      <c r="B836" s="11" t="s">
        <v>14</v>
      </c>
      <c r="C836" s="11">
        <v>1041.4280000000001</v>
      </c>
      <c r="D836" s="11">
        <v>1989</v>
      </c>
    </row>
    <row r="837" spans="1:4" ht="19.95" customHeight="1" x14ac:dyDescent="0.25">
      <c r="A837" s="10" t="s">
        <v>33</v>
      </c>
      <c r="B837" s="11" t="s">
        <v>14</v>
      </c>
      <c r="C837" s="11">
        <v>689.39599999999996</v>
      </c>
      <c r="D837" s="11">
        <v>1989</v>
      </c>
    </row>
    <row r="838" spans="1:4" ht="19.95" customHeight="1" x14ac:dyDescent="0.25">
      <c r="A838" s="10" t="s">
        <v>34</v>
      </c>
      <c r="B838" s="11" t="s">
        <v>14</v>
      </c>
      <c r="C838" s="11">
        <v>47.670999999999999</v>
      </c>
      <c r="D838" s="11">
        <v>1989</v>
      </c>
    </row>
    <row r="839" spans="1:4" ht="19.95" customHeight="1" x14ac:dyDescent="0.25">
      <c r="A839" s="10" t="s">
        <v>35</v>
      </c>
      <c r="B839" s="11" t="s">
        <v>14</v>
      </c>
      <c r="C839" s="11">
        <v>3483.65</v>
      </c>
      <c r="D839" s="11">
        <v>1989</v>
      </c>
    </row>
    <row r="840" spans="1:4" ht="19.95" customHeight="1" x14ac:dyDescent="0.25">
      <c r="A840" s="10" t="s">
        <v>36</v>
      </c>
      <c r="B840" s="11" t="s">
        <v>14</v>
      </c>
      <c r="C840" s="11"/>
      <c r="D840" s="11">
        <v>1989</v>
      </c>
    </row>
    <row r="841" spans="1:4" ht="19.95" customHeight="1" x14ac:dyDescent="0.25">
      <c r="A841" s="10" t="s">
        <v>37</v>
      </c>
      <c r="B841" s="11" t="s">
        <v>14</v>
      </c>
      <c r="C841" s="11">
        <v>2207.5340000000001</v>
      </c>
      <c r="D841" s="11">
        <v>1989</v>
      </c>
    </row>
    <row r="842" spans="1:4" ht="19.95" customHeight="1" x14ac:dyDescent="0.25">
      <c r="A842" s="10" t="s">
        <v>38</v>
      </c>
      <c r="B842" s="11" t="s">
        <v>14</v>
      </c>
      <c r="C842" s="11">
        <v>803.07299999999998</v>
      </c>
      <c r="D842" s="11">
        <v>1989</v>
      </c>
    </row>
    <row r="843" spans="1:4" ht="19.95" customHeight="1" x14ac:dyDescent="0.25">
      <c r="A843" s="10" t="s">
        <v>39</v>
      </c>
      <c r="B843" s="11" t="s">
        <v>14</v>
      </c>
      <c r="C843" s="11">
        <v>2603.5700000000002</v>
      </c>
      <c r="D843" s="11">
        <v>1989</v>
      </c>
    </row>
    <row r="844" spans="1:4" ht="19.95" customHeight="1" x14ac:dyDescent="0.25">
      <c r="A844" s="10" t="s">
        <v>40</v>
      </c>
      <c r="B844" s="11" t="s">
        <v>14</v>
      </c>
      <c r="C844" s="11">
        <v>16186.138000000001</v>
      </c>
      <c r="D844" s="11">
        <v>1989</v>
      </c>
    </row>
    <row r="845" spans="1:4" ht="19.95" customHeight="1" x14ac:dyDescent="0.25">
      <c r="A845" s="10" t="s">
        <v>10</v>
      </c>
      <c r="B845" s="11" t="s">
        <v>14</v>
      </c>
      <c r="C845" s="11">
        <v>209.01900000000001</v>
      </c>
      <c r="D845" s="11">
        <v>1990</v>
      </c>
    </row>
    <row r="846" spans="1:4" ht="19.95" customHeight="1" x14ac:dyDescent="0.25">
      <c r="A846" s="10" t="s">
        <v>13</v>
      </c>
      <c r="B846" s="11" t="s">
        <v>14</v>
      </c>
      <c r="C846" s="11">
        <v>1734.491</v>
      </c>
      <c r="D846" s="11">
        <v>1990</v>
      </c>
    </row>
    <row r="847" spans="1:4" ht="19.95" customHeight="1" x14ac:dyDescent="0.25">
      <c r="A847" s="10" t="s">
        <v>15</v>
      </c>
      <c r="B847" s="11" t="s">
        <v>14</v>
      </c>
      <c r="C847" s="11">
        <v>143.01300000000001</v>
      </c>
      <c r="D847" s="11">
        <v>1990</v>
      </c>
    </row>
    <row r="848" spans="1:4" ht="19.95" customHeight="1" x14ac:dyDescent="0.25">
      <c r="A848" s="10" t="s">
        <v>16</v>
      </c>
      <c r="B848" s="11" t="s">
        <v>14</v>
      </c>
      <c r="C848" s="11">
        <v>62.338999999999999</v>
      </c>
      <c r="D848" s="11">
        <v>1990</v>
      </c>
    </row>
    <row r="849" spans="1:4" ht="19.95" customHeight="1" x14ac:dyDescent="0.25">
      <c r="A849" s="10" t="s">
        <v>17</v>
      </c>
      <c r="B849" s="11" t="s">
        <v>14</v>
      </c>
      <c r="C849" s="11">
        <v>322.69600000000003</v>
      </c>
      <c r="D849" s="11">
        <v>1990</v>
      </c>
    </row>
    <row r="850" spans="1:4" ht="19.95" customHeight="1" x14ac:dyDescent="0.25">
      <c r="A850" s="10" t="s">
        <v>2</v>
      </c>
      <c r="B850" s="11" t="s">
        <v>14</v>
      </c>
      <c r="C850" s="11">
        <v>3017.9409999999998</v>
      </c>
      <c r="D850" s="11">
        <v>1990</v>
      </c>
    </row>
    <row r="851" spans="1:4" ht="19.95" customHeight="1" x14ac:dyDescent="0.25">
      <c r="A851" s="10" t="s">
        <v>18</v>
      </c>
      <c r="B851" s="11" t="s">
        <v>14</v>
      </c>
      <c r="C851" s="11">
        <v>1004.758</v>
      </c>
      <c r="D851" s="11">
        <v>1990</v>
      </c>
    </row>
    <row r="852" spans="1:4" ht="19.95" customHeight="1" x14ac:dyDescent="0.25">
      <c r="A852" s="10" t="s">
        <v>19</v>
      </c>
      <c r="B852" s="11" t="s">
        <v>14</v>
      </c>
      <c r="C852" s="11">
        <v>993.75699999999995</v>
      </c>
      <c r="D852" s="11">
        <v>1990</v>
      </c>
    </row>
    <row r="853" spans="1:4" ht="19.95" customHeight="1" x14ac:dyDescent="0.25">
      <c r="A853" s="10" t="s">
        <v>20</v>
      </c>
      <c r="B853" s="11" t="s">
        <v>14</v>
      </c>
      <c r="C853" s="11">
        <v>5823.1959999999999</v>
      </c>
      <c r="D853" s="11">
        <v>1990</v>
      </c>
    </row>
    <row r="854" spans="1:4" ht="19.95" customHeight="1" x14ac:dyDescent="0.25">
      <c r="A854" s="10" t="s">
        <v>21</v>
      </c>
      <c r="B854" s="11" t="s">
        <v>14</v>
      </c>
      <c r="C854" s="11"/>
      <c r="D854" s="11">
        <v>1990</v>
      </c>
    </row>
    <row r="855" spans="1:4" ht="19.95" customHeight="1" x14ac:dyDescent="0.25">
      <c r="A855" s="10" t="s">
        <v>22</v>
      </c>
      <c r="B855" s="11" t="s">
        <v>14</v>
      </c>
      <c r="C855" s="11">
        <v>473.04300000000001</v>
      </c>
      <c r="D855" s="11">
        <v>1990</v>
      </c>
    </row>
    <row r="856" spans="1:4" ht="19.95" customHeight="1" x14ac:dyDescent="0.25">
      <c r="A856" s="10" t="s">
        <v>23</v>
      </c>
      <c r="B856" s="11" t="s">
        <v>14</v>
      </c>
      <c r="C856" s="11">
        <v>949.75300000000004</v>
      </c>
      <c r="D856" s="11">
        <v>1990</v>
      </c>
    </row>
    <row r="857" spans="1:4" ht="19.95" customHeight="1" x14ac:dyDescent="0.25">
      <c r="A857" s="10" t="s">
        <v>24</v>
      </c>
      <c r="B857" s="11" t="s">
        <v>14</v>
      </c>
      <c r="C857" s="11">
        <v>748.06799999999998</v>
      </c>
      <c r="D857" s="11">
        <v>1990</v>
      </c>
    </row>
    <row r="858" spans="1:4" ht="19.95" customHeight="1" x14ac:dyDescent="0.25">
      <c r="A858" s="10" t="s">
        <v>25</v>
      </c>
      <c r="B858" s="11" t="s">
        <v>14</v>
      </c>
      <c r="C858" s="11">
        <v>421.70499999999998</v>
      </c>
      <c r="D858" s="11">
        <v>1990</v>
      </c>
    </row>
    <row r="859" spans="1:4" ht="19.95" customHeight="1" x14ac:dyDescent="0.25">
      <c r="A859" s="10" t="s">
        <v>26</v>
      </c>
      <c r="B859" s="11" t="s">
        <v>14</v>
      </c>
      <c r="C859" s="11"/>
      <c r="D859" s="11">
        <v>1990</v>
      </c>
    </row>
    <row r="860" spans="1:4" ht="19.95" customHeight="1" x14ac:dyDescent="0.25">
      <c r="A860" s="10" t="s">
        <v>27</v>
      </c>
      <c r="B860" s="11" t="s">
        <v>14</v>
      </c>
      <c r="C860" s="11">
        <v>1023.093</v>
      </c>
      <c r="D860" s="11">
        <v>1990</v>
      </c>
    </row>
    <row r="861" spans="1:4" ht="19.95" customHeight="1" x14ac:dyDescent="0.25">
      <c r="A861" s="10" t="s">
        <v>29</v>
      </c>
      <c r="B861" s="11" t="s">
        <v>14</v>
      </c>
      <c r="C861" s="11">
        <v>4275.7219999999998</v>
      </c>
      <c r="D861" s="11">
        <v>1990</v>
      </c>
    </row>
    <row r="862" spans="1:4" ht="19.95" customHeight="1" x14ac:dyDescent="0.25">
      <c r="A862" s="10" t="s">
        <v>30</v>
      </c>
      <c r="B862" s="11" t="s">
        <v>14</v>
      </c>
      <c r="C862" s="11">
        <v>634.39099999999996</v>
      </c>
      <c r="D862" s="11">
        <v>1990</v>
      </c>
    </row>
    <row r="863" spans="1:4" ht="19.95" customHeight="1" x14ac:dyDescent="0.25">
      <c r="A863" s="10" t="s">
        <v>31</v>
      </c>
      <c r="B863" s="11" t="s">
        <v>14</v>
      </c>
      <c r="C863" s="11">
        <v>2548.5650000000001</v>
      </c>
      <c r="D863" s="11">
        <v>1990</v>
      </c>
    </row>
    <row r="864" spans="1:4" ht="19.95" customHeight="1" x14ac:dyDescent="0.25">
      <c r="A864" s="10" t="s">
        <v>32</v>
      </c>
      <c r="B864" s="11" t="s">
        <v>14</v>
      </c>
      <c r="C864" s="11">
        <v>733.4</v>
      </c>
      <c r="D864" s="11">
        <v>1990</v>
      </c>
    </row>
    <row r="865" spans="1:4" ht="19.95" customHeight="1" x14ac:dyDescent="0.25">
      <c r="A865" s="10" t="s">
        <v>33</v>
      </c>
      <c r="B865" s="11" t="s">
        <v>14</v>
      </c>
      <c r="C865" s="11">
        <v>542.71600000000001</v>
      </c>
      <c r="D865" s="11">
        <v>1990</v>
      </c>
    </row>
    <row r="866" spans="1:4" ht="19.95" customHeight="1" x14ac:dyDescent="0.25">
      <c r="A866" s="10" t="s">
        <v>34</v>
      </c>
      <c r="B866" s="11" t="s">
        <v>14</v>
      </c>
      <c r="C866" s="11">
        <v>47.670999999999999</v>
      </c>
      <c r="D866" s="11">
        <v>1990</v>
      </c>
    </row>
    <row r="867" spans="1:4" ht="19.95" customHeight="1" x14ac:dyDescent="0.25">
      <c r="A867" s="10" t="s">
        <v>35</v>
      </c>
      <c r="B867" s="11" t="s">
        <v>14</v>
      </c>
      <c r="C867" s="11">
        <v>3868.6849999999999</v>
      </c>
      <c r="D867" s="11">
        <v>1990</v>
      </c>
    </row>
    <row r="868" spans="1:4" ht="19.95" customHeight="1" x14ac:dyDescent="0.25">
      <c r="A868" s="10" t="s">
        <v>36</v>
      </c>
      <c r="B868" s="11" t="s">
        <v>14</v>
      </c>
      <c r="C868" s="11"/>
      <c r="D868" s="11">
        <v>1990</v>
      </c>
    </row>
    <row r="869" spans="1:4" ht="19.95" customHeight="1" x14ac:dyDescent="0.25">
      <c r="A869" s="10" t="s">
        <v>37</v>
      </c>
      <c r="B869" s="11" t="s">
        <v>14</v>
      </c>
      <c r="C869" s="11">
        <v>2266.2060000000001</v>
      </c>
      <c r="D869" s="11">
        <v>1990</v>
      </c>
    </row>
    <row r="870" spans="1:4" ht="19.95" customHeight="1" x14ac:dyDescent="0.25">
      <c r="A870" s="10" t="s">
        <v>38</v>
      </c>
      <c r="B870" s="11" t="s">
        <v>14</v>
      </c>
      <c r="C870" s="11">
        <v>759.06899999999996</v>
      </c>
      <c r="D870" s="11">
        <v>1990</v>
      </c>
    </row>
    <row r="871" spans="1:4" ht="19.95" customHeight="1" x14ac:dyDescent="0.25">
      <c r="A871" s="10" t="s">
        <v>39</v>
      </c>
      <c r="B871" s="11" t="s">
        <v>14</v>
      </c>
      <c r="C871" s="11">
        <v>2445.8890000000001</v>
      </c>
      <c r="D871" s="11">
        <v>1990</v>
      </c>
    </row>
    <row r="872" spans="1:4" ht="19.95" customHeight="1" x14ac:dyDescent="0.25">
      <c r="A872" s="10" t="s">
        <v>40</v>
      </c>
      <c r="B872" s="11" t="s">
        <v>14</v>
      </c>
      <c r="C872" s="11">
        <v>15643.422</v>
      </c>
      <c r="D872" s="11">
        <v>1990</v>
      </c>
    </row>
    <row r="873" spans="1:4" ht="19.95" customHeight="1" x14ac:dyDescent="0.25">
      <c r="A873" s="10" t="s">
        <v>10</v>
      </c>
      <c r="B873" s="11" t="s">
        <v>14</v>
      </c>
      <c r="C873" s="11">
        <v>238.35499999999999</v>
      </c>
      <c r="D873" s="11">
        <v>1991</v>
      </c>
    </row>
    <row r="874" spans="1:4" ht="19.95" customHeight="1" x14ac:dyDescent="0.25">
      <c r="A874" s="10" t="s">
        <v>13</v>
      </c>
      <c r="B874" s="11" t="s">
        <v>14</v>
      </c>
      <c r="C874" s="11">
        <v>1103.7670000000001</v>
      </c>
      <c r="D874" s="11">
        <v>1991</v>
      </c>
    </row>
    <row r="875" spans="1:4" ht="19.95" customHeight="1" x14ac:dyDescent="0.25">
      <c r="A875" s="10" t="s">
        <v>15</v>
      </c>
      <c r="B875" s="11" t="s">
        <v>14</v>
      </c>
      <c r="C875" s="11">
        <v>66.006</v>
      </c>
      <c r="D875" s="11">
        <v>1991</v>
      </c>
    </row>
    <row r="876" spans="1:4" ht="19.95" customHeight="1" x14ac:dyDescent="0.25">
      <c r="A876" s="10" t="s">
        <v>16</v>
      </c>
      <c r="B876" s="11" t="s">
        <v>14</v>
      </c>
      <c r="C876" s="11">
        <v>66.006</v>
      </c>
      <c r="D876" s="11">
        <v>1991</v>
      </c>
    </row>
    <row r="877" spans="1:4" ht="19.95" customHeight="1" x14ac:dyDescent="0.25">
      <c r="A877" s="10" t="s">
        <v>17</v>
      </c>
      <c r="B877" s="11" t="s">
        <v>14</v>
      </c>
      <c r="C877" s="11">
        <v>311.69499999999999</v>
      </c>
      <c r="D877" s="11">
        <v>1991</v>
      </c>
    </row>
    <row r="878" spans="1:4" ht="19.95" customHeight="1" x14ac:dyDescent="0.25">
      <c r="A878" s="10" t="s">
        <v>2</v>
      </c>
      <c r="B878" s="11" t="s">
        <v>14</v>
      </c>
      <c r="C878" s="11">
        <v>2984.9380000000001</v>
      </c>
      <c r="D878" s="11">
        <v>1991</v>
      </c>
    </row>
    <row r="879" spans="1:4" ht="19.95" customHeight="1" x14ac:dyDescent="0.25">
      <c r="A879" s="10" t="s">
        <v>18</v>
      </c>
      <c r="B879" s="11" t="s">
        <v>14</v>
      </c>
      <c r="C879" s="11">
        <v>1026.76</v>
      </c>
      <c r="D879" s="11">
        <v>1991</v>
      </c>
    </row>
    <row r="880" spans="1:4" ht="19.95" customHeight="1" x14ac:dyDescent="0.25">
      <c r="A880" s="10" t="s">
        <v>19</v>
      </c>
      <c r="B880" s="11" t="s">
        <v>14</v>
      </c>
      <c r="C880" s="11">
        <v>997.42399999999998</v>
      </c>
      <c r="D880" s="11">
        <v>1991</v>
      </c>
    </row>
    <row r="881" spans="1:4" ht="19.95" customHeight="1" x14ac:dyDescent="0.25">
      <c r="A881" s="10" t="s">
        <v>20</v>
      </c>
      <c r="B881" s="11" t="s">
        <v>14</v>
      </c>
      <c r="C881" s="11">
        <v>4840.4399999999996</v>
      </c>
      <c r="D881" s="11">
        <v>1991</v>
      </c>
    </row>
    <row r="882" spans="1:4" ht="19.95" customHeight="1" x14ac:dyDescent="0.25">
      <c r="A882" s="10" t="s">
        <v>21</v>
      </c>
      <c r="B882" s="11" t="s">
        <v>14</v>
      </c>
      <c r="C882" s="11"/>
      <c r="D882" s="11">
        <v>1991</v>
      </c>
    </row>
    <row r="883" spans="1:4" ht="19.95" customHeight="1" x14ac:dyDescent="0.25">
      <c r="A883" s="10" t="s">
        <v>22</v>
      </c>
      <c r="B883" s="11" t="s">
        <v>14</v>
      </c>
      <c r="C883" s="11">
        <v>278.69200000000001</v>
      </c>
      <c r="D883" s="11">
        <v>1991</v>
      </c>
    </row>
    <row r="884" spans="1:4" ht="19.95" customHeight="1" x14ac:dyDescent="0.25">
      <c r="A884" s="10" t="s">
        <v>23</v>
      </c>
      <c r="B884" s="11" t="s">
        <v>14</v>
      </c>
      <c r="C884" s="11">
        <v>1034.0940000000001</v>
      </c>
      <c r="D884" s="11">
        <v>1991</v>
      </c>
    </row>
    <row r="885" spans="1:4" ht="19.95" customHeight="1" x14ac:dyDescent="0.25">
      <c r="A885" s="10" t="s">
        <v>24</v>
      </c>
      <c r="B885" s="11" t="s">
        <v>14</v>
      </c>
      <c r="C885" s="11">
        <v>795.73900000000003</v>
      </c>
      <c r="D885" s="11">
        <v>1991</v>
      </c>
    </row>
    <row r="886" spans="1:4" ht="19.95" customHeight="1" x14ac:dyDescent="0.25">
      <c r="A886" s="10" t="s">
        <v>25</v>
      </c>
      <c r="B886" s="11" t="s">
        <v>14</v>
      </c>
      <c r="C886" s="11">
        <v>436.37299999999999</v>
      </c>
      <c r="D886" s="11">
        <v>1991</v>
      </c>
    </row>
    <row r="887" spans="1:4" ht="19.95" customHeight="1" x14ac:dyDescent="0.25">
      <c r="A887" s="10" t="s">
        <v>26</v>
      </c>
      <c r="B887" s="11" t="s">
        <v>14</v>
      </c>
      <c r="C887" s="11"/>
      <c r="D887" s="11">
        <v>1991</v>
      </c>
    </row>
    <row r="888" spans="1:4" ht="19.95" customHeight="1" x14ac:dyDescent="0.25">
      <c r="A888" s="10" t="s">
        <v>27</v>
      </c>
      <c r="B888" s="11" t="s">
        <v>14</v>
      </c>
      <c r="C888" s="11">
        <v>1023.093</v>
      </c>
      <c r="D888" s="11">
        <v>1991</v>
      </c>
    </row>
    <row r="889" spans="1:4" ht="19.95" customHeight="1" x14ac:dyDescent="0.25">
      <c r="A889" s="10" t="s">
        <v>29</v>
      </c>
      <c r="B889" s="11" t="s">
        <v>14</v>
      </c>
      <c r="C889" s="11">
        <v>4180.38</v>
      </c>
      <c r="D889" s="11">
        <v>1991</v>
      </c>
    </row>
    <row r="890" spans="1:4" ht="19.95" customHeight="1" x14ac:dyDescent="0.25">
      <c r="A890" s="10" t="s">
        <v>30</v>
      </c>
      <c r="B890" s="11" t="s">
        <v>14</v>
      </c>
      <c r="C890" s="11">
        <v>960.75400000000002</v>
      </c>
      <c r="D890" s="11">
        <v>1991</v>
      </c>
    </row>
    <row r="891" spans="1:4" ht="19.95" customHeight="1" x14ac:dyDescent="0.25">
      <c r="A891" s="10" t="s">
        <v>31</v>
      </c>
      <c r="B891" s="11" t="s">
        <v>14</v>
      </c>
      <c r="C891" s="11">
        <v>2005.8489999999999</v>
      </c>
      <c r="D891" s="11">
        <v>1991</v>
      </c>
    </row>
    <row r="892" spans="1:4" ht="19.95" customHeight="1" x14ac:dyDescent="0.25">
      <c r="A892" s="10" t="s">
        <v>32</v>
      </c>
      <c r="B892" s="11" t="s">
        <v>14</v>
      </c>
      <c r="C892" s="11">
        <v>722.399</v>
      </c>
      <c r="D892" s="11">
        <v>1991</v>
      </c>
    </row>
    <row r="893" spans="1:4" ht="19.95" customHeight="1" x14ac:dyDescent="0.25">
      <c r="A893" s="10" t="s">
        <v>33</v>
      </c>
      <c r="B893" s="11" t="s">
        <v>14</v>
      </c>
      <c r="C893" s="11">
        <v>487.71100000000001</v>
      </c>
      <c r="D893" s="11">
        <v>1991</v>
      </c>
    </row>
    <row r="894" spans="1:4" ht="19.95" customHeight="1" x14ac:dyDescent="0.25">
      <c r="A894" s="10" t="s">
        <v>34</v>
      </c>
      <c r="B894" s="11" t="s">
        <v>14</v>
      </c>
      <c r="C894" s="11">
        <v>47.670999999999999</v>
      </c>
      <c r="D894" s="11">
        <v>1991</v>
      </c>
    </row>
    <row r="895" spans="1:4" ht="19.95" customHeight="1" x14ac:dyDescent="0.25">
      <c r="A895" s="10" t="s">
        <v>35</v>
      </c>
      <c r="B895" s="11" t="s">
        <v>14</v>
      </c>
      <c r="C895" s="11">
        <v>4176.7129999999997</v>
      </c>
      <c r="D895" s="11">
        <v>1991</v>
      </c>
    </row>
    <row r="896" spans="1:4" ht="19.95" customHeight="1" x14ac:dyDescent="0.25">
      <c r="A896" s="10" t="s">
        <v>36</v>
      </c>
      <c r="B896" s="11" t="s">
        <v>14</v>
      </c>
      <c r="C896" s="11"/>
      <c r="D896" s="11">
        <v>1991</v>
      </c>
    </row>
    <row r="897" spans="1:4" ht="19.95" customHeight="1" x14ac:dyDescent="0.25">
      <c r="A897" s="10" t="s">
        <v>37</v>
      </c>
      <c r="B897" s="11" t="s">
        <v>14</v>
      </c>
      <c r="C897" s="11">
        <v>2398.2179999999998</v>
      </c>
      <c r="D897" s="11">
        <v>1991</v>
      </c>
    </row>
    <row r="898" spans="1:4" ht="19.95" customHeight="1" x14ac:dyDescent="0.25">
      <c r="A898" s="10" t="s">
        <v>38</v>
      </c>
      <c r="B898" s="11" t="s">
        <v>14</v>
      </c>
      <c r="C898" s="11">
        <v>781.07100000000003</v>
      </c>
      <c r="D898" s="11">
        <v>1991</v>
      </c>
    </row>
    <row r="899" spans="1:4" ht="19.95" customHeight="1" x14ac:dyDescent="0.25">
      <c r="A899" s="10" t="s">
        <v>39</v>
      </c>
      <c r="B899" s="11" t="s">
        <v>14</v>
      </c>
      <c r="C899" s="11">
        <v>2416.5529999999999</v>
      </c>
      <c r="D899" s="11">
        <v>1991</v>
      </c>
    </row>
    <row r="900" spans="1:4" ht="19.95" customHeight="1" x14ac:dyDescent="0.25">
      <c r="A900" s="10" t="s">
        <v>40</v>
      </c>
      <c r="B900" s="11" t="s">
        <v>14</v>
      </c>
      <c r="C900" s="11">
        <v>15955.117</v>
      </c>
      <c r="D900" s="11">
        <v>1991</v>
      </c>
    </row>
    <row r="901" spans="1:4" ht="19.95" customHeight="1" x14ac:dyDescent="0.25">
      <c r="A901" s="10" t="s">
        <v>10</v>
      </c>
      <c r="B901" s="11" t="s">
        <v>14</v>
      </c>
      <c r="C901" s="11">
        <v>216.35300000000001</v>
      </c>
      <c r="D901" s="11">
        <v>1992</v>
      </c>
    </row>
    <row r="902" spans="1:4" ht="19.95" customHeight="1" x14ac:dyDescent="0.25">
      <c r="A902" s="10" t="s">
        <v>13</v>
      </c>
      <c r="B902" s="11" t="s">
        <v>14</v>
      </c>
      <c r="C902" s="11">
        <v>3788.011</v>
      </c>
      <c r="D902" s="11">
        <v>1992</v>
      </c>
    </row>
    <row r="903" spans="1:4" ht="19.95" customHeight="1" x14ac:dyDescent="0.25">
      <c r="A903" s="10" t="s">
        <v>15</v>
      </c>
      <c r="B903" s="11" t="s">
        <v>14</v>
      </c>
      <c r="C903" s="11">
        <v>84.340999999999994</v>
      </c>
      <c r="D903" s="11">
        <v>1992</v>
      </c>
    </row>
    <row r="904" spans="1:4" ht="19.95" customHeight="1" x14ac:dyDescent="0.25">
      <c r="A904" s="10" t="s">
        <v>16</v>
      </c>
      <c r="B904" s="11" t="s">
        <v>14</v>
      </c>
      <c r="C904" s="11">
        <v>66.006</v>
      </c>
      <c r="D904" s="11">
        <v>1992</v>
      </c>
    </row>
    <row r="905" spans="1:4" ht="19.95" customHeight="1" x14ac:dyDescent="0.25">
      <c r="A905" s="10" t="s">
        <v>17</v>
      </c>
      <c r="B905" s="11" t="s">
        <v>14</v>
      </c>
      <c r="C905" s="11">
        <v>311.69499999999999</v>
      </c>
      <c r="D905" s="11">
        <v>1992</v>
      </c>
    </row>
    <row r="906" spans="1:4" ht="19.95" customHeight="1" x14ac:dyDescent="0.25">
      <c r="A906" s="10" t="s">
        <v>2</v>
      </c>
      <c r="B906" s="11" t="s">
        <v>14</v>
      </c>
      <c r="C906" s="11">
        <v>2966.6030000000001</v>
      </c>
      <c r="D906" s="11">
        <v>1992</v>
      </c>
    </row>
    <row r="907" spans="1:4" ht="19.95" customHeight="1" x14ac:dyDescent="0.25">
      <c r="A907" s="10" t="s">
        <v>18</v>
      </c>
      <c r="B907" s="11" t="s">
        <v>14</v>
      </c>
      <c r="C907" s="11">
        <v>1059.7629999999999</v>
      </c>
      <c r="D907" s="11">
        <v>1992</v>
      </c>
    </row>
    <row r="908" spans="1:4" ht="19.95" customHeight="1" x14ac:dyDescent="0.25">
      <c r="A908" s="10" t="s">
        <v>19</v>
      </c>
      <c r="B908" s="11" t="s">
        <v>14</v>
      </c>
      <c r="C908" s="11">
        <v>909.41600000000005</v>
      </c>
      <c r="D908" s="11">
        <v>1992</v>
      </c>
    </row>
    <row r="909" spans="1:4" ht="19.95" customHeight="1" x14ac:dyDescent="0.25">
      <c r="A909" s="10" t="s">
        <v>20</v>
      </c>
      <c r="B909" s="11" t="s">
        <v>14</v>
      </c>
      <c r="C909" s="11">
        <v>5540.8370000000004</v>
      </c>
      <c r="D909" s="11">
        <v>1992</v>
      </c>
    </row>
    <row r="910" spans="1:4" ht="19.95" customHeight="1" x14ac:dyDescent="0.25">
      <c r="A910" s="10" t="s">
        <v>21</v>
      </c>
      <c r="B910" s="11" t="s">
        <v>14</v>
      </c>
      <c r="C910" s="11"/>
      <c r="D910" s="11">
        <v>1992</v>
      </c>
    </row>
    <row r="911" spans="1:4" ht="19.95" customHeight="1" x14ac:dyDescent="0.25">
      <c r="A911" s="10" t="s">
        <v>22</v>
      </c>
      <c r="B911" s="11" t="s">
        <v>14</v>
      </c>
      <c r="C911" s="11">
        <v>282.35899999999998</v>
      </c>
      <c r="D911" s="11">
        <v>1992</v>
      </c>
    </row>
    <row r="912" spans="1:4" ht="19.95" customHeight="1" x14ac:dyDescent="0.25">
      <c r="A912" s="10" t="s">
        <v>23</v>
      </c>
      <c r="B912" s="11" t="s">
        <v>14</v>
      </c>
      <c r="C912" s="11">
        <v>1004.758</v>
      </c>
      <c r="D912" s="11">
        <v>1992</v>
      </c>
    </row>
    <row r="913" spans="1:4" ht="19.95" customHeight="1" x14ac:dyDescent="0.25">
      <c r="A913" s="10" t="s">
        <v>24</v>
      </c>
      <c r="B913" s="11" t="s">
        <v>14</v>
      </c>
      <c r="C913" s="11">
        <v>795.73900000000003</v>
      </c>
      <c r="D913" s="11">
        <v>1992</v>
      </c>
    </row>
    <row r="914" spans="1:4" ht="19.95" customHeight="1" x14ac:dyDescent="0.25">
      <c r="A914" s="10" t="s">
        <v>25</v>
      </c>
      <c r="B914" s="11" t="s">
        <v>14</v>
      </c>
      <c r="C914" s="11">
        <v>443.70699999999999</v>
      </c>
      <c r="D914" s="11">
        <v>1992</v>
      </c>
    </row>
    <row r="915" spans="1:4" ht="19.95" customHeight="1" x14ac:dyDescent="0.25">
      <c r="A915" s="10" t="s">
        <v>26</v>
      </c>
      <c r="B915" s="11" t="s">
        <v>14</v>
      </c>
      <c r="C915" s="11">
        <v>20971.573</v>
      </c>
      <c r="D915" s="11">
        <v>1992</v>
      </c>
    </row>
    <row r="916" spans="1:4" ht="19.95" customHeight="1" x14ac:dyDescent="0.25">
      <c r="A916" s="10" t="s">
        <v>27</v>
      </c>
      <c r="B916" s="11" t="s">
        <v>14</v>
      </c>
      <c r="C916" s="11">
        <v>1004.758</v>
      </c>
      <c r="D916" s="11">
        <v>1992</v>
      </c>
    </row>
    <row r="917" spans="1:4" ht="19.95" customHeight="1" x14ac:dyDescent="0.25">
      <c r="A917" s="10" t="s">
        <v>29</v>
      </c>
      <c r="B917" s="11" t="s">
        <v>14</v>
      </c>
      <c r="C917" s="11">
        <v>4888.1109999999999</v>
      </c>
      <c r="D917" s="11">
        <v>1992</v>
      </c>
    </row>
    <row r="918" spans="1:4" ht="19.95" customHeight="1" x14ac:dyDescent="0.25">
      <c r="A918" s="10" t="s">
        <v>30</v>
      </c>
      <c r="B918" s="11" t="s">
        <v>14</v>
      </c>
      <c r="C918" s="11">
        <v>1331.1210000000001</v>
      </c>
      <c r="D918" s="11">
        <v>1992</v>
      </c>
    </row>
    <row r="919" spans="1:4" ht="19.95" customHeight="1" x14ac:dyDescent="0.25">
      <c r="A919" s="10" t="s">
        <v>31</v>
      </c>
      <c r="B919" s="11" t="s">
        <v>14</v>
      </c>
      <c r="C919" s="11">
        <v>2394.5509999999999</v>
      </c>
      <c r="D919" s="11">
        <v>1992</v>
      </c>
    </row>
    <row r="920" spans="1:4" ht="19.95" customHeight="1" x14ac:dyDescent="0.25">
      <c r="A920" s="10" t="s">
        <v>32</v>
      </c>
      <c r="B920" s="11" t="s">
        <v>14</v>
      </c>
      <c r="C920" s="11">
        <v>700.39700000000005</v>
      </c>
      <c r="D920" s="11">
        <v>1992</v>
      </c>
    </row>
    <row r="921" spans="1:4" ht="19.95" customHeight="1" x14ac:dyDescent="0.25">
      <c r="A921" s="10" t="s">
        <v>33</v>
      </c>
      <c r="B921" s="11" t="s">
        <v>14</v>
      </c>
      <c r="C921" s="11">
        <v>487.71100000000001</v>
      </c>
      <c r="D921" s="11">
        <v>1992</v>
      </c>
    </row>
    <row r="922" spans="1:4" ht="19.95" customHeight="1" x14ac:dyDescent="0.25">
      <c r="A922" s="10" t="s">
        <v>34</v>
      </c>
      <c r="B922" s="11" t="s">
        <v>14</v>
      </c>
      <c r="C922" s="11">
        <v>47.670999999999999</v>
      </c>
      <c r="D922" s="11">
        <v>1992</v>
      </c>
    </row>
    <row r="923" spans="1:4" ht="19.95" customHeight="1" x14ac:dyDescent="0.25">
      <c r="A923" s="10" t="s">
        <v>35</v>
      </c>
      <c r="B923" s="11" t="s">
        <v>14</v>
      </c>
      <c r="C923" s="11">
        <v>5185.1379999999999</v>
      </c>
      <c r="D923" s="11">
        <v>1992</v>
      </c>
    </row>
    <row r="924" spans="1:4" ht="19.95" customHeight="1" x14ac:dyDescent="0.25">
      <c r="A924" s="10" t="s">
        <v>36</v>
      </c>
      <c r="B924" s="11" t="s">
        <v>14</v>
      </c>
      <c r="C924" s="11">
        <v>7315.665</v>
      </c>
      <c r="D924" s="11">
        <v>1992</v>
      </c>
    </row>
    <row r="925" spans="1:4" ht="19.95" customHeight="1" x14ac:dyDescent="0.25">
      <c r="A925" s="10" t="s">
        <v>37</v>
      </c>
      <c r="B925" s="11" t="s">
        <v>14</v>
      </c>
      <c r="C925" s="11">
        <v>2324.8780000000002</v>
      </c>
      <c r="D925" s="11">
        <v>1992</v>
      </c>
    </row>
    <row r="926" spans="1:4" ht="19.95" customHeight="1" x14ac:dyDescent="0.25">
      <c r="A926" s="10" t="s">
        <v>38</v>
      </c>
      <c r="B926" s="11" t="s">
        <v>14</v>
      </c>
      <c r="C926" s="11">
        <v>788.40499999999997</v>
      </c>
      <c r="D926" s="11">
        <v>1992</v>
      </c>
    </row>
    <row r="927" spans="1:4" ht="19.95" customHeight="1" x14ac:dyDescent="0.25">
      <c r="A927" s="10" t="s">
        <v>39</v>
      </c>
      <c r="B927" s="11" t="s">
        <v>14</v>
      </c>
      <c r="C927" s="11">
        <v>2456.89</v>
      </c>
      <c r="D927" s="11">
        <v>1992</v>
      </c>
    </row>
    <row r="928" spans="1:4" ht="19.95" customHeight="1" x14ac:dyDescent="0.25">
      <c r="A928" s="10" t="s">
        <v>40</v>
      </c>
      <c r="B928" s="11" t="s">
        <v>14</v>
      </c>
      <c r="C928" s="11">
        <v>17011.213</v>
      </c>
      <c r="D928" s="11">
        <v>1992</v>
      </c>
    </row>
    <row r="929" spans="1:4" ht="19.95" customHeight="1" x14ac:dyDescent="0.25">
      <c r="A929" s="10" t="s">
        <v>10</v>
      </c>
      <c r="B929" s="11" t="s">
        <v>14</v>
      </c>
      <c r="C929" s="11">
        <v>227.35400000000001</v>
      </c>
      <c r="D929" s="11">
        <v>1993</v>
      </c>
    </row>
    <row r="930" spans="1:4" ht="19.95" customHeight="1" x14ac:dyDescent="0.25">
      <c r="A930" s="10" t="s">
        <v>13</v>
      </c>
      <c r="B930" s="11" t="s">
        <v>14</v>
      </c>
      <c r="C930" s="11">
        <v>3898.0210000000002</v>
      </c>
      <c r="D930" s="11">
        <v>1993</v>
      </c>
    </row>
    <row r="931" spans="1:4" ht="19.95" customHeight="1" x14ac:dyDescent="0.25">
      <c r="A931" s="10" t="s">
        <v>15</v>
      </c>
      <c r="B931" s="11" t="s">
        <v>14</v>
      </c>
      <c r="C931" s="11">
        <v>91.674999999999997</v>
      </c>
      <c r="D931" s="11">
        <v>1993</v>
      </c>
    </row>
    <row r="932" spans="1:4" ht="19.95" customHeight="1" x14ac:dyDescent="0.25">
      <c r="A932" s="10" t="s">
        <v>16</v>
      </c>
      <c r="B932" s="11" t="s">
        <v>14</v>
      </c>
      <c r="C932" s="11">
        <v>69.673000000000002</v>
      </c>
      <c r="D932" s="11">
        <v>1993</v>
      </c>
    </row>
    <row r="933" spans="1:4" ht="19.95" customHeight="1" x14ac:dyDescent="0.25">
      <c r="A933" s="10" t="s">
        <v>17</v>
      </c>
      <c r="B933" s="11" t="s">
        <v>14</v>
      </c>
      <c r="C933" s="11">
        <v>311.69499999999999</v>
      </c>
      <c r="D933" s="11">
        <v>1993</v>
      </c>
    </row>
    <row r="934" spans="1:4" ht="19.95" customHeight="1" x14ac:dyDescent="0.25">
      <c r="A934" s="10" t="s">
        <v>2</v>
      </c>
      <c r="B934" s="11" t="s">
        <v>14</v>
      </c>
      <c r="C934" s="11">
        <v>3028.942</v>
      </c>
      <c r="D934" s="11">
        <v>1993</v>
      </c>
    </row>
    <row r="935" spans="1:4" ht="19.95" customHeight="1" x14ac:dyDescent="0.25">
      <c r="A935" s="10" t="s">
        <v>18</v>
      </c>
      <c r="B935" s="11" t="s">
        <v>14</v>
      </c>
      <c r="C935" s="11">
        <v>1089.0989999999999</v>
      </c>
      <c r="D935" s="11">
        <v>1993</v>
      </c>
    </row>
    <row r="936" spans="1:4" ht="19.95" customHeight="1" x14ac:dyDescent="0.25">
      <c r="A936" s="10" t="s">
        <v>19</v>
      </c>
      <c r="B936" s="11" t="s">
        <v>14</v>
      </c>
      <c r="C936" s="11">
        <v>663.72699999999998</v>
      </c>
      <c r="D936" s="11">
        <v>1993</v>
      </c>
    </row>
    <row r="937" spans="1:4" ht="19.95" customHeight="1" x14ac:dyDescent="0.25">
      <c r="A937" s="10" t="s">
        <v>20</v>
      </c>
      <c r="B937" s="11" t="s">
        <v>14</v>
      </c>
      <c r="C937" s="11">
        <v>6347.5770000000002</v>
      </c>
      <c r="D937" s="11">
        <v>1993</v>
      </c>
    </row>
    <row r="938" spans="1:4" ht="19.95" customHeight="1" x14ac:dyDescent="0.25">
      <c r="A938" s="10" t="s">
        <v>21</v>
      </c>
      <c r="B938" s="11" t="s">
        <v>14</v>
      </c>
      <c r="C938" s="11"/>
      <c r="D938" s="11">
        <v>1993</v>
      </c>
    </row>
    <row r="939" spans="1:4" ht="19.95" customHeight="1" x14ac:dyDescent="0.25">
      <c r="A939" s="10" t="s">
        <v>22</v>
      </c>
      <c r="B939" s="11" t="s">
        <v>14</v>
      </c>
      <c r="C939" s="11">
        <v>315.36200000000002</v>
      </c>
      <c r="D939" s="11">
        <v>1993</v>
      </c>
    </row>
    <row r="940" spans="1:4" ht="19.95" customHeight="1" x14ac:dyDescent="0.25">
      <c r="A940" s="10" t="s">
        <v>23</v>
      </c>
      <c r="B940" s="11" t="s">
        <v>14</v>
      </c>
      <c r="C940" s="11">
        <v>1030.4269999999999</v>
      </c>
      <c r="D940" s="11">
        <v>1993</v>
      </c>
    </row>
    <row r="941" spans="1:4" ht="19.95" customHeight="1" x14ac:dyDescent="0.25">
      <c r="A941" s="10" t="s">
        <v>24</v>
      </c>
      <c r="B941" s="11" t="s">
        <v>14</v>
      </c>
      <c r="C941" s="11">
        <v>891.08100000000002</v>
      </c>
      <c r="D941" s="11">
        <v>1993</v>
      </c>
    </row>
    <row r="942" spans="1:4" ht="19.95" customHeight="1" x14ac:dyDescent="0.25">
      <c r="A942" s="10" t="s">
        <v>25</v>
      </c>
      <c r="B942" s="11" t="s">
        <v>14</v>
      </c>
      <c r="C942" s="11">
        <v>454.70800000000003</v>
      </c>
      <c r="D942" s="11">
        <v>1993</v>
      </c>
    </row>
    <row r="943" spans="1:4" ht="19.95" customHeight="1" x14ac:dyDescent="0.25">
      <c r="A943" s="10" t="s">
        <v>26</v>
      </c>
      <c r="B943" s="11" t="s">
        <v>14</v>
      </c>
      <c r="C943" s="11">
        <v>15628.754000000001</v>
      </c>
      <c r="D943" s="11">
        <v>1993</v>
      </c>
    </row>
    <row r="944" spans="1:4" ht="19.95" customHeight="1" x14ac:dyDescent="0.25">
      <c r="A944" s="10" t="s">
        <v>27</v>
      </c>
      <c r="B944" s="11" t="s">
        <v>14</v>
      </c>
      <c r="C944" s="11">
        <v>1078.098</v>
      </c>
      <c r="D944" s="11">
        <v>1993</v>
      </c>
    </row>
    <row r="945" spans="1:4" ht="19.95" customHeight="1" x14ac:dyDescent="0.25">
      <c r="A945" s="10" t="s">
        <v>29</v>
      </c>
      <c r="B945" s="11" t="s">
        <v>14</v>
      </c>
      <c r="C945" s="11">
        <v>5342.8190000000004</v>
      </c>
      <c r="D945" s="11">
        <v>1993</v>
      </c>
    </row>
    <row r="946" spans="1:4" ht="19.95" customHeight="1" x14ac:dyDescent="0.25">
      <c r="A946" s="10" t="s">
        <v>30</v>
      </c>
      <c r="B946" s="11" t="s">
        <v>14</v>
      </c>
      <c r="C946" s="11">
        <v>1466.8</v>
      </c>
      <c r="D946" s="11">
        <v>1993</v>
      </c>
    </row>
    <row r="947" spans="1:4" ht="19.95" customHeight="1" x14ac:dyDescent="0.25">
      <c r="A947" s="10" t="s">
        <v>31</v>
      </c>
      <c r="B947" s="11" t="s">
        <v>14</v>
      </c>
      <c r="C947" s="11">
        <v>2302.8760000000002</v>
      </c>
      <c r="D947" s="11">
        <v>1993</v>
      </c>
    </row>
    <row r="948" spans="1:4" ht="19.95" customHeight="1" x14ac:dyDescent="0.25">
      <c r="A948" s="10" t="s">
        <v>32</v>
      </c>
      <c r="B948" s="11" t="s">
        <v>14</v>
      </c>
      <c r="C948" s="11">
        <v>781.07100000000003</v>
      </c>
      <c r="D948" s="11">
        <v>1993</v>
      </c>
    </row>
    <row r="949" spans="1:4" ht="19.95" customHeight="1" x14ac:dyDescent="0.25">
      <c r="A949" s="10" t="s">
        <v>33</v>
      </c>
      <c r="B949" s="11" t="s">
        <v>14</v>
      </c>
      <c r="C949" s="11">
        <v>495.04500000000002</v>
      </c>
      <c r="D949" s="11">
        <v>1993</v>
      </c>
    </row>
    <row r="950" spans="1:4" ht="19.95" customHeight="1" x14ac:dyDescent="0.25">
      <c r="A950" s="10" t="s">
        <v>34</v>
      </c>
      <c r="B950" s="11" t="s">
        <v>14</v>
      </c>
      <c r="C950" s="11">
        <v>47.670999999999999</v>
      </c>
      <c r="D950" s="11">
        <v>1993</v>
      </c>
    </row>
    <row r="951" spans="1:4" ht="19.95" customHeight="1" x14ac:dyDescent="0.25">
      <c r="A951" s="10" t="s">
        <v>35</v>
      </c>
      <c r="B951" s="11" t="s">
        <v>14</v>
      </c>
      <c r="C951" s="11">
        <v>5042.125</v>
      </c>
      <c r="D951" s="11">
        <v>1993</v>
      </c>
    </row>
    <row r="952" spans="1:4" ht="19.95" customHeight="1" x14ac:dyDescent="0.25">
      <c r="A952" s="10" t="s">
        <v>36</v>
      </c>
      <c r="B952" s="11" t="s">
        <v>14</v>
      </c>
      <c r="C952" s="11">
        <v>5177.8040000000001</v>
      </c>
      <c r="D952" s="11">
        <v>1993</v>
      </c>
    </row>
    <row r="953" spans="1:4" ht="19.95" customHeight="1" x14ac:dyDescent="0.25">
      <c r="A953" s="10" t="s">
        <v>37</v>
      </c>
      <c r="B953" s="11" t="s">
        <v>14</v>
      </c>
      <c r="C953" s="11">
        <v>2596.2359999999999</v>
      </c>
      <c r="D953" s="11">
        <v>1993</v>
      </c>
    </row>
    <row r="954" spans="1:4" ht="19.95" customHeight="1" x14ac:dyDescent="0.25">
      <c r="A954" s="10" t="s">
        <v>38</v>
      </c>
      <c r="B954" s="11" t="s">
        <v>14</v>
      </c>
      <c r="C954" s="11">
        <v>781.07100000000003</v>
      </c>
      <c r="D954" s="11">
        <v>1993</v>
      </c>
    </row>
    <row r="955" spans="1:4" ht="19.95" customHeight="1" x14ac:dyDescent="0.25">
      <c r="A955" s="10" t="s">
        <v>39</v>
      </c>
      <c r="B955" s="11" t="s">
        <v>14</v>
      </c>
      <c r="C955" s="11">
        <v>2500.8939999999998</v>
      </c>
      <c r="D955" s="11">
        <v>1993</v>
      </c>
    </row>
    <row r="956" spans="1:4" ht="19.95" customHeight="1" x14ac:dyDescent="0.25">
      <c r="A956" s="10" t="s">
        <v>40</v>
      </c>
      <c r="B956" s="11" t="s">
        <v>14</v>
      </c>
      <c r="C956" s="11">
        <v>16362.154</v>
      </c>
      <c r="D956" s="11">
        <v>1993</v>
      </c>
    </row>
    <row r="957" spans="1:4" ht="19.95" customHeight="1" x14ac:dyDescent="0.25">
      <c r="A957" s="10" t="s">
        <v>10</v>
      </c>
      <c r="B957" s="11" t="s">
        <v>14</v>
      </c>
      <c r="C957" s="11">
        <v>234.68799999999999</v>
      </c>
      <c r="D957" s="11">
        <v>1994</v>
      </c>
    </row>
    <row r="958" spans="1:4" ht="19.95" customHeight="1" x14ac:dyDescent="0.25">
      <c r="A958" s="10" t="s">
        <v>13</v>
      </c>
      <c r="B958" s="11" t="s">
        <v>14</v>
      </c>
      <c r="C958" s="11">
        <v>3817.3470000000002</v>
      </c>
      <c r="D958" s="11">
        <v>1994</v>
      </c>
    </row>
    <row r="959" spans="1:4" ht="19.95" customHeight="1" x14ac:dyDescent="0.25">
      <c r="A959" s="10" t="s">
        <v>15</v>
      </c>
      <c r="B959" s="11" t="s">
        <v>14</v>
      </c>
      <c r="C959" s="11">
        <v>102.676</v>
      </c>
      <c r="D959" s="11">
        <v>1994</v>
      </c>
    </row>
    <row r="960" spans="1:4" ht="19.95" customHeight="1" x14ac:dyDescent="0.25">
      <c r="A960" s="10" t="s">
        <v>16</v>
      </c>
      <c r="B960" s="11" t="s">
        <v>14</v>
      </c>
      <c r="C960" s="11">
        <v>69.673000000000002</v>
      </c>
      <c r="D960" s="11">
        <v>1994</v>
      </c>
    </row>
    <row r="961" spans="1:4" ht="19.95" customHeight="1" x14ac:dyDescent="0.25">
      <c r="A961" s="10" t="s">
        <v>17</v>
      </c>
      <c r="B961" s="11" t="s">
        <v>14</v>
      </c>
      <c r="C961" s="11">
        <v>304.36099999999999</v>
      </c>
      <c r="D961" s="11">
        <v>1994</v>
      </c>
    </row>
    <row r="962" spans="1:4" ht="19.95" customHeight="1" x14ac:dyDescent="0.25">
      <c r="A962" s="10" t="s">
        <v>2</v>
      </c>
      <c r="B962" s="11" t="s">
        <v>14</v>
      </c>
      <c r="C962" s="11">
        <v>2240.5369999999998</v>
      </c>
      <c r="D962" s="11">
        <v>1994</v>
      </c>
    </row>
    <row r="963" spans="1:4" ht="19.95" customHeight="1" x14ac:dyDescent="0.25">
      <c r="A963" s="10" t="s">
        <v>18</v>
      </c>
      <c r="B963" s="11" t="s">
        <v>14</v>
      </c>
      <c r="C963" s="11">
        <v>1250.4469999999999</v>
      </c>
      <c r="D963" s="11">
        <v>1994</v>
      </c>
    </row>
    <row r="964" spans="1:4" ht="19.95" customHeight="1" x14ac:dyDescent="0.25">
      <c r="A964" s="10" t="s">
        <v>19</v>
      </c>
      <c r="B964" s="11" t="s">
        <v>14</v>
      </c>
      <c r="C964" s="11">
        <v>300.69400000000002</v>
      </c>
      <c r="D964" s="11">
        <v>1994</v>
      </c>
    </row>
    <row r="965" spans="1:4" ht="19.95" customHeight="1" x14ac:dyDescent="0.25">
      <c r="A965" s="10" t="s">
        <v>20</v>
      </c>
      <c r="B965" s="11" t="s">
        <v>14</v>
      </c>
      <c r="C965" s="11">
        <v>6556.5959999999995</v>
      </c>
      <c r="D965" s="11">
        <v>1994</v>
      </c>
    </row>
    <row r="966" spans="1:4" ht="19.95" customHeight="1" x14ac:dyDescent="0.25">
      <c r="A966" s="10" t="s">
        <v>21</v>
      </c>
      <c r="B966" s="11" t="s">
        <v>14</v>
      </c>
      <c r="C966" s="11"/>
      <c r="D966" s="11">
        <v>1994</v>
      </c>
    </row>
    <row r="967" spans="1:4" ht="19.95" customHeight="1" x14ac:dyDescent="0.25">
      <c r="A967" s="10" t="s">
        <v>22</v>
      </c>
      <c r="B967" s="11" t="s">
        <v>14</v>
      </c>
      <c r="C967" s="11">
        <v>311.69499999999999</v>
      </c>
      <c r="D967" s="11">
        <v>1994</v>
      </c>
    </row>
    <row r="968" spans="1:4" ht="19.95" customHeight="1" x14ac:dyDescent="0.25">
      <c r="A968" s="10" t="s">
        <v>23</v>
      </c>
      <c r="B968" s="11" t="s">
        <v>14</v>
      </c>
      <c r="C968" s="11">
        <v>1268.7819999999999</v>
      </c>
      <c r="D968" s="11">
        <v>1994</v>
      </c>
    </row>
    <row r="969" spans="1:4" ht="19.95" customHeight="1" x14ac:dyDescent="0.25">
      <c r="A969" s="10" t="s">
        <v>24</v>
      </c>
      <c r="B969" s="11" t="s">
        <v>14</v>
      </c>
      <c r="C969" s="11">
        <v>916.75</v>
      </c>
      <c r="D969" s="11">
        <v>1994</v>
      </c>
    </row>
    <row r="970" spans="1:4" ht="19.95" customHeight="1" x14ac:dyDescent="0.25">
      <c r="A970" s="10" t="s">
        <v>25</v>
      </c>
      <c r="B970" s="11" t="s">
        <v>14</v>
      </c>
      <c r="C970" s="11">
        <v>462.04199999999997</v>
      </c>
      <c r="D970" s="11">
        <v>1994</v>
      </c>
    </row>
    <row r="971" spans="1:4" ht="19.95" customHeight="1" x14ac:dyDescent="0.25">
      <c r="A971" s="10" t="s">
        <v>26</v>
      </c>
      <c r="B971" s="11" t="s">
        <v>14</v>
      </c>
      <c r="C971" s="11">
        <v>12090.099</v>
      </c>
      <c r="D971" s="11">
        <v>1994</v>
      </c>
    </row>
    <row r="972" spans="1:4" ht="19.95" customHeight="1" x14ac:dyDescent="0.25">
      <c r="A972" s="10" t="s">
        <v>27</v>
      </c>
      <c r="B972" s="11" t="s">
        <v>14</v>
      </c>
      <c r="C972" s="11">
        <v>1063.43</v>
      </c>
      <c r="D972" s="11">
        <v>1994</v>
      </c>
    </row>
    <row r="973" spans="1:4" ht="19.95" customHeight="1" x14ac:dyDescent="0.25">
      <c r="A973" s="10" t="s">
        <v>29</v>
      </c>
      <c r="B973" s="11" t="s">
        <v>14</v>
      </c>
      <c r="C973" s="11">
        <v>6244.9009999999998</v>
      </c>
      <c r="D973" s="11">
        <v>1994</v>
      </c>
    </row>
    <row r="974" spans="1:4" ht="19.95" customHeight="1" x14ac:dyDescent="0.25">
      <c r="A974" s="10" t="s">
        <v>30</v>
      </c>
      <c r="B974" s="11" t="s">
        <v>14</v>
      </c>
      <c r="C974" s="11">
        <v>1697.8209999999999</v>
      </c>
      <c r="D974" s="11">
        <v>1994</v>
      </c>
    </row>
    <row r="975" spans="1:4" ht="19.95" customHeight="1" x14ac:dyDescent="0.25">
      <c r="A975" s="10" t="s">
        <v>31</v>
      </c>
      <c r="B975" s="11" t="s">
        <v>14</v>
      </c>
      <c r="C975" s="11">
        <v>2541.2310000000002</v>
      </c>
      <c r="D975" s="11">
        <v>1994</v>
      </c>
    </row>
    <row r="976" spans="1:4" ht="19.95" customHeight="1" x14ac:dyDescent="0.25">
      <c r="A976" s="10" t="s">
        <v>32</v>
      </c>
      <c r="B976" s="11" t="s">
        <v>14</v>
      </c>
      <c r="C976" s="11">
        <v>773.73699999999997</v>
      </c>
      <c r="D976" s="11">
        <v>1994</v>
      </c>
    </row>
    <row r="977" spans="1:4" ht="19.95" customHeight="1" x14ac:dyDescent="0.25">
      <c r="A977" s="10" t="s">
        <v>33</v>
      </c>
      <c r="B977" s="11" t="s">
        <v>14</v>
      </c>
      <c r="C977" s="11">
        <v>473.04300000000001</v>
      </c>
      <c r="D977" s="11">
        <v>1994</v>
      </c>
    </row>
    <row r="978" spans="1:4" ht="19.95" customHeight="1" x14ac:dyDescent="0.25">
      <c r="A978" s="10" t="s">
        <v>34</v>
      </c>
      <c r="B978" s="11" t="s">
        <v>14</v>
      </c>
      <c r="C978" s="11">
        <v>47.670999999999999</v>
      </c>
      <c r="D978" s="11">
        <v>1994</v>
      </c>
    </row>
    <row r="979" spans="1:4" ht="19.95" customHeight="1" x14ac:dyDescent="0.25">
      <c r="A979" s="10" t="s">
        <v>35</v>
      </c>
      <c r="B979" s="11" t="s">
        <v>14</v>
      </c>
      <c r="C979" s="11">
        <v>5526.1689999999999</v>
      </c>
      <c r="D979" s="11">
        <v>1994</v>
      </c>
    </row>
    <row r="980" spans="1:4" ht="19.95" customHeight="1" x14ac:dyDescent="0.25">
      <c r="A980" s="10" t="s">
        <v>36</v>
      </c>
      <c r="B980" s="11" t="s">
        <v>14</v>
      </c>
      <c r="C980" s="11">
        <v>2357.8809999999999</v>
      </c>
      <c r="D980" s="11">
        <v>1994</v>
      </c>
    </row>
    <row r="981" spans="1:4" ht="19.95" customHeight="1" x14ac:dyDescent="0.25">
      <c r="A981" s="10" t="s">
        <v>37</v>
      </c>
      <c r="B981" s="11" t="s">
        <v>14</v>
      </c>
      <c r="C981" s="11">
        <v>2405.5520000000001</v>
      </c>
      <c r="D981" s="11">
        <v>1994</v>
      </c>
    </row>
    <row r="982" spans="1:4" ht="19.95" customHeight="1" x14ac:dyDescent="0.25">
      <c r="A982" s="10" t="s">
        <v>38</v>
      </c>
      <c r="B982" s="11" t="s">
        <v>14</v>
      </c>
      <c r="C982" s="11">
        <v>707.73099999999999</v>
      </c>
      <c r="D982" s="11">
        <v>1994</v>
      </c>
    </row>
    <row r="983" spans="1:4" ht="19.95" customHeight="1" x14ac:dyDescent="0.25">
      <c r="A983" s="10" t="s">
        <v>39</v>
      </c>
      <c r="B983" s="11" t="s">
        <v>14</v>
      </c>
      <c r="C983" s="11">
        <v>2420.2199999999998</v>
      </c>
      <c r="D983" s="11">
        <v>1994</v>
      </c>
    </row>
    <row r="984" spans="1:4" ht="19.95" customHeight="1" x14ac:dyDescent="0.25">
      <c r="A984" s="10" t="s">
        <v>40</v>
      </c>
      <c r="B984" s="11" t="s">
        <v>14</v>
      </c>
      <c r="C984" s="11">
        <v>17795.951000000001</v>
      </c>
      <c r="D984" s="11">
        <v>1994</v>
      </c>
    </row>
    <row r="985" spans="1:4" ht="19.95" customHeight="1" x14ac:dyDescent="0.25">
      <c r="A985" s="10" t="s">
        <v>10</v>
      </c>
      <c r="B985" s="11" t="s">
        <v>14</v>
      </c>
      <c r="C985" s="11">
        <v>238.35499999999999</v>
      </c>
      <c r="D985" s="11">
        <v>1995</v>
      </c>
    </row>
    <row r="986" spans="1:4" ht="19.95" customHeight="1" x14ac:dyDescent="0.25">
      <c r="A986" s="10" t="s">
        <v>13</v>
      </c>
      <c r="B986" s="11" t="s">
        <v>14</v>
      </c>
      <c r="C986" s="11">
        <v>4228.0510000000004</v>
      </c>
      <c r="D986" s="11">
        <v>1995</v>
      </c>
    </row>
    <row r="987" spans="1:4" ht="19.95" customHeight="1" x14ac:dyDescent="0.25">
      <c r="A987" s="10" t="s">
        <v>15</v>
      </c>
      <c r="B987" s="11" t="s">
        <v>14</v>
      </c>
      <c r="C987" s="11">
        <v>110.01</v>
      </c>
      <c r="D987" s="11">
        <v>1995</v>
      </c>
    </row>
    <row r="988" spans="1:4" ht="19.95" customHeight="1" x14ac:dyDescent="0.25">
      <c r="A988" s="10" t="s">
        <v>16</v>
      </c>
      <c r="B988" s="11" t="s">
        <v>14</v>
      </c>
      <c r="C988" s="11">
        <v>73.34</v>
      </c>
      <c r="D988" s="11">
        <v>1995</v>
      </c>
    </row>
    <row r="989" spans="1:4" ht="19.95" customHeight="1" x14ac:dyDescent="0.25">
      <c r="A989" s="10" t="s">
        <v>17</v>
      </c>
      <c r="B989" s="11" t="s">
        <v>14</v>
      </c>
      <c r="C989" s="11">
        <v>304.36099999999999</v>
      </c>
      <c r="D989" s="11">
        <v>1995</v>
      </c>
    </row>
    <row r="990" spans="1:4" ht="19.95" customHeight="1" x14ac:dyDescent="0.25">
      <c r="A990" s="10" t="s">
        <v>2</v>
      </c>
      <c r="B990" s="11" t="s">
        <v>14</v>
      </c>
      <c r="C990" s="11">
        <v>2563.2330000000002</v>
      </c>
      <c r="D990" s="11">
        <v>1995</v>
      </c>
    </row>
    <row r="991" spans="1:4" ht="19.95" customHeight="1" x14ac:dyDescent="0.25">
      <c r="A991" s="10" t="s">
        <v>18</v>
      </c>
      <c r="B991" s="11" t="s">
        <v>14</v>
      </c>
      <c r="C991" s="11">
        <v>1290.7840000000001</v>
      </c>
      <c r="D991" s="11">
        <v>1995</v>
      </c>
    </row>
    <row r="992" spans="1:4" ht="19.95" customHeight="1" x14ac:dyDescent="0.25">
      <c r="A992" s="10" t="s">
        <v>19</v>
      </c>
      <c r="B992" s="11" t="s">
        <v>14</v>
      </c>
      <c r="C992" s="11">
        <v>902.08199999999999</v>
      </c>
      <c r="D992" s="11">
        <v>1995</v>
      </c>
    </row>
    <row r="993" spans="1:4" ht="19.95" customHeight="1" x14ac:dyDescent="0.25">
      <c r="A993" s="10" t="s">
        <v>20</v>
      </c>
      <c r="B993" s="11" t="s">
        <v>14</v>
      </c>
      <c r="C993" s="11">
        <v>7554.02</v>
      </c>
      <c r="D993" s="11">
        <v>1995</v>
      </c>
    </row>
    <row r="994" spans="1:4" ht="19.95" customHeight="1" x14ac:dyDescent="0.25">
      <c r="A994" s="10" t="s">
        <v>21</v>
      </c>
      <c r="B994" s="11" t="s">
        <v>14</v>
      </c>
      <c r="C994" s="11"/>
      <c r="D994" s="11">
        <v>1995</v>
      </c>
    </row>
    <row r="995" spans="1:4" ht="19.95" customHeight="1" x14ac:dyDescent="0.25">
      <c r="A995" s="10" t="s">
        <v>22</v>
      </c>
      <c r="B995" s="11" t="s">
        <v>14</v>
      </c>
      <c r="C995" s="11">
        <v>326.363</v>
      </c>
      <c r="D995" s="11">
        <v>1995</v>
      </c>
    </row>
    <row r="996" spans="1:4" ht="19.95" customHeight="1" x14ac:dyDescent="0.25">
      <c r="A996" s="10" t="s">
        <v>23</v>
      </c>
      <c r="B996" s="11" t="s">
        <v>14</v>
      </c>
      <c r="C996" s="11">
        <v>1265.115</v>
      </c>
      <c r="D996" s="11">
        <v>1995</v>
      </c>
    </row>
    <row r="997" spans="1:4" ht="19.95" customHeight="1" x14ac:dyDescent="0.25">
      <c r="A997" s="10" t="s">
        <v>24</v>
      </c>
      <c r="B997" s="11" t="s">
        <v>14</v>
      </c>
      <c r="C997" s="11">
        <v>920.41700000000003</v>
      </c>
      <c r="D997" s="11">
        <v>1995</v>
      </c>
    </row>
    <row r="998" spans="1:4" ht="19.95" customHeight="1" x14ac:dyDescent="0.25">
      <c r="A998" s="10" t="s">
        <v>25</v>
      </c>
      <c r="B998" s="11" t="s">
        <v>14</v>
      </c>
      <c r="C998" s="11">
        <v>469.37599999999998</v>
      </c>
      <c r="D998" s="11">
        <v>1995</v>
      </c>
    </row>
    <row r="999" spans="1:4" ht="19.95" customHeight="1" x14ac:dyDescent="0.25">
      <c r="A999" s="10" t="s">
        <v>26</v>
      </c>
      <c r="B999" s="11" t="s">
        <v>14</v>
      </c>
      <c r="C999" s="11">
        <v>11191.683999999999</v>
      </c>
      <c r="D999" s="11">
        <v>1995</v>
      </c>
    </row>
    <row r="1000" spans="1:4" ht="19.95" customHeight="1" x14ac:dyDescent="0.25">
      <c r="A1000" s="10" t="s">
        <v>27</v>
      </c>
      <c r="B1000" s="11" t="s">
        <v>14</v>
      </c>
      <c r="C1000" s="11">
        <v>1114.768</v>
      </c>
      <c r="D1000" s="11">
        <v>1995</v>
      </c>
    </row>
    <row r="1001" spans="1:4" ht="19.95" customHeight="1" x14ac:dyDescent="0.25">
      <c r="A1001" s="10" t="s">
        <v>29</v>
      </c>
      <c r="B1001" s="11" t="s">
        <v>14</v>
      </c>
      <c r="C1001" s="11">
        <v>6959.9660000000003</v>
      </c>
      <c r="D1001" s="11">
        <v>1995</v>
      </c>
    </row>
    <row r="1002" spans="1:4" ht="19.95" customHeight="1" x14ac:dyDescent="0.25">
      <c r="A1002" s="10" t="s">
        <v>30</v>
      </c>
      <c r="B1002" s="11" t="s">
        <v>14</v>
      </c>
      <c r="C1002" s="11">
        <v>2035.1849999999999</v>
      </c>
      <c r="D1002" s="11">
        <v>1995</v>
      </c>
    </row>
    <row r="1003" spans="1:4" ht="19.95" customHeight="1" x14ac:dyDescent="0.25">
      <c r="A1003" s="10" t="s">
        <v>31</v>
      </c>
      <c r="B1003" s="11" t="s">
        <v>14</v>
      </c>
      <c r="C1003" s="11">
        <v>2779.5859999999998</v>
      </c>
      <c r="D1003" s="11">
        <v>1995</v>
      </c>
    </row>
    <row r="1004" spans="1:4" ht="19.95" customHeight="1" x14ac:dyDescent="0.25">
      <c r="A1004" s="10" t="s">
        <v>32</v>
      </c>
      <c r="B1004" s="11" t="s">
        <v>14</v>
      </c>
      <c r="C1004" s="11">
        <v>810.40700000000004</v>
      </c>
      <c r="D1004" s="11">
        <v>1995</v>
      </c>
    </row>
    <row r="1005" spans="1:4" ht="19.95" customHeight="1" x14ac:dyDescent="0.25">
      <c r="A1005" s="10" t="s">
        <v>33</v>
      </c>
      <c r="B1005" s="11" t="s">
        <v>14</v>
      </c>
      <c r="C1005" s="11">
        <v>462.04199999999997</v>
      </c>
      <c r="D1005" s="11">
        <v>1995</v>
      </c>
    </row>
    <row r="1006" spans="1:4" ht="19.95" customHeight="1" x14ac:dyDescent="0.25">
      <c r="A1006" s="10" t="s">
        <v>34</v>
      </c>
      <c r="B1006" s="11" t="s">
        <v>14</v>
      </c>
      <c r="C1006" s="11">
        <v>47.670999999999999</v>
      </c>
      <c r="D1006" s="11">
        <v>1995</v>
      </c>
    </row>
    <row r="1007" spans="1:4" ht="19.95" customHeight="1" x14ac:dyDescent="0.25">
      <c r="A1007" s="10" t="s">
        <v>35</v>
      </c>
      <c r="B1007" s="11" t="s">
        <v>14</v>
      </c>
      <c r="C1007" s="11">
        <v>5903.87</v>
      </c>
      <c r="D1007" s="11">
        <v>1995</v>
      </c>
    </row>
    <row r="1008" spans="1:4" ht="19.95" customHeight="1" x14ac:dyDescent="0.25">
      <c r="A1008" s="10" t="s">
        <v>36</v>
      </c>
      <c r="B1008" s="11" t="s">
        <v>14</v>
      </c>
      <c r="C1008" s="11">
        <v>2449.556</v>
      </c>
      <c r="D1008" s="11">
        <v>1995</v>
      </c>
    </row>
    <row r="1009" spans="1:4" ht="19.95" customHeight="1" x14ac:dyDescent="0.25">
      <c r="A1009" s="10" t="s">
        <v>37</v>
      </c>
      <c r="B1009" s="11" t="s">
        <v>14</v>
      </c>
      <c r="C1009" s="11">
        <v>3553.3229999999999</v>
      </c>
      <c r="D1009" s="11">
        <v>1995</v>
      </c>
    </row>
    <row r="1010" spans="1:4" ht="19.95" customHeight="1" x14ac:dyDescent="0.25">
      <c r="A1010" s="10" t="s">
        <v>38</v>
      </c>
      <c r="B1010" s="11" t="s">
        <v>14</v>
      </c>
      <c r="C1010" s="11">
        <v>938.75199999999995</v>
      </c>
      <c r="D1010" s="11">
        <v>1995</v>
      </c>
    </row>
    <row r="1011" spans="1:4" ht="19.95" customHeight="1" x14ac:dyDescent="0.25">
      <c r="A1011" s="10" t="s">
        <v>39</v>
      </c>
      <c r="B1011" s="11" t="s">
        <v>14</v>
      </c>
      <c r="C1011" s="11">
        <v>2170.864</v>
      </c>
      <c r="D1011" s="11">
        <v>1995</v>
      </c>
    </row>
    <row r="1012" spans="1:4" ht="19.95" customHeight="1" x14ac:dyDescent="0.25">
      <c r="A1012" s="10" t="s">
        <v>40</v>
      </c>
      <c r="B1012" s="11" t="s">
        <v>14</v>
      </c>
      <c r="C1012" s="11">
        <v>15130.041999999999</v>
      </c>
      <c r="D1012" s="11">
        <v>1995</v>
      </c>
    </row>
    <row r="1013" spans="1:4" ht="19.95" customHeight="1" x14ac:dyDescent="0.25">
      <c r="A1013" s="10" t="s">
        <v>10</v>
      </c>
      <c r="B1013" s="11" t="s">
        <v>14</v>
      </c>
      <c r="C1013" s="11">
        <v>242.02199999999999</v>
      </c>
      <c r="D1013" s="11">
        <v>1996</v>
      </c>
    </row>
    <row r="1014" spans="1:4" ht="19.95" customHeight="1" x14ac:dyDescent="0.25">
      <c r="A1014" s="10" t="s">
        <v>13</v>
      </c>
      <c r="B1014" s="11" t="s">
        <v>14</v>
      </c>
      <c r="C1014" s="11">
        <v>4462.7389999999996</v>
      </c>
      <c r="D1014" s="11">
        <v>1996</v>
      </c>
    </row>
    <row r="1015" spans="1:4" ht="19.95" customHeight="1" x14ac:dyDescent="0.25">
      <c r="A1015" s="10" t="s">
        <v>15</v>
      </c>
      <c r="B1015" s="11" t="s">
        <v>14</v>
      </c>
      <c r="C1015" s="11">
        <v>124.678</v>
      </c>
      <c r="D1015" s="11">
        <v>1996</v>
      </c>
    </row>
    <row r="1016" spans="1:4" ht="19.95" customHeight="1" x14ac:dyDescent="0.25">
      <c r="A1016" s="10" t="s">
        <v>16</v>
      </c>
      <c r="B1016" s="11" t="s">
        <v>14</v>
      </c>
      <c r="C1016" s="11">
        <v>77.007000000000005</v>
      </c>
      <c r="D1016" s="11">
        <v>1996</v>
      </c>
    </row>
    <row r="1017" spans="1:4" ht="19.95" customHeight="1" x14ac:dyDescent="0.25">
      <c r="A1017" s="10" t="s">
        <v>17</v>
      </c>
      <c r="B1017" s="11" t="s">
        <v>14</v>
      </c>
      <c r="C1017" s="11">
        <v>311.69499999999999</v>
      </c>
      <c r="D1017" s="11">
        <v>1996</v>
      </c>
    </row>
    <row r="1018" spans="1:4" ht="19.95" customHeight="1" x14ac:dyDescent="0.25">
      <c r="A1018" s="10" t="s">
        <v>2</v>
      </c>
      <c r="B1018" s="11" t="s">
        <v>14</v>
      </c>
      <c r="C1018" s="11">
        <v>2860.26</v>
      </c>
      <c r="D1018" s="11">
        <v>1996</v>
      </c>
    </row>
    <row r="1019" spans="1:4" ht="19.95" customHeight="1" x14ac:dyDescent="0.25">
      <c r="A1019" s="10" t="s">
        <v>18</v>
      </c>
      <c r="B1019" s="11" t="s">
        <v>14</v>
      </c>
      <c r="C1019" s="11">
        <v>1364.124</v>
      </c>
      <c r="D1019" s="11">
        <v>1996</v>
      </c>
    </row>
    <row r="1020" spans="1:4" ht="19.95" customHeight="1" x14ac:dyDescent="0.25">
      <c r="A1020" s="10" t="s">
        <v>19</v>
      </c>
      <c r="B1020" s="11" t="s">
        <v>14</v>
      </c>
      <c r="C1020" s="11">
        <v>1034.0940000000001</v>
      </c>
      <c r="D1020" s="11">
        <v>1996</v>
      </c>
    </row>
    <row r="1021" spans="1:4" ht="19.95" customHeight="1" x14ac:dyDescent="0.25">
      <c r="A1021" s="10" t="s">
        <v>20</v>
      </c>
      <c r="B1021" s="11" t="s">
        <v>14</v>
      </c>
      <c r="C1021" s="11">
        <v>9328.848</v>
      </c>
      <c r="D1021" s="11">
        <v>1996</v>
      </c>
    </row>
    <row r="1022" spans="1:4" ht="19.95" customHeight="1" x14ac:dyDescent="0.25">
      <c r="A1022" s="10" t="s">
        <v>21</v>
      </c>
      <c r="B1022" s="11" t="s">
        <v>14</v>
      </c>
      <c r="C1022" s="11"/>
      <c r="D1022" s="11">
        <v>1996</v>
      </c>
    </row>
    <row r="1023" spans="1:4" ht="19.95" customHeight="1" x14ac:dyDescent="0.25">
      <c r="A1023" s="10" t="s">
        <v>22</v>
      </c>
      <c r="B1023" s="11" t="s">
        <v>14</v>
      </c>
      <c r="C1023" s="11">
        <v>337.36399999999998</v>
      </c>
      <c r="D1023" s="11">
        <v>1996</v>
      </c>
    </row>
    <row r="1024" spans="1:4" ht="19.95" customHeight="1" x14ac:dyDescent="0.25">
      <c r="A1024" s="10" t="s">
        <v>23</v>
      </c>
      <c r="B1024" s="11" t="s">
        <v>14</v>
      </c>
      <c r="C1024" s="11">
        <v>1364.124</v>
      </c>
      <c r="D1024" s="11">
        <v>1996</v>
      </c>
    </row>
    <row r="1025" spans="1:4" ht="19.95" customHeight="1" x14ac:dyDescent="0.25">
      <c r="A1025" s="10" t="s">
        <v>24</v>
      </c>
      <c r="B1025" s="11" t="s">
        <v>14</v>
      </c>
      <c r="C1025" s="11">
        <v>913.08299999999997</v>
      </c>
      <c r="D1025" s="11">
        <v>1996</v>
      </c>
    </row>
    <row r="1026" spans="1:4" ht="19.95" customHeight="1" x14ac:dyDescent="0.25">
      <c r="A1026" s="10" t="s">
        <v>25</v>
      </c>
      <c r="B1026" s="11" t="s">
        <v>14</v>
      </c>
      <c r="C1026" s="11">
        <v>487.71100000000001</v>
      </c>
      <c r="D1026" s="11">
        <v>1996</v>
      </c>
    </row>
    <row r="1027" spans="1:4" ht="19.95" customHeight="1" x14ac:dyDescent="0.25">
      <c r="A1027" s="10" t="s">
        <v>26</v>
      </c>
      <c r="B1027" s="11" t="s">
        <v>14</v>
      </c>
      <c r="C1027" s="11">
        <v>11521.714</v>
      </c>
      <c r="D1027" s="11">
        <v>1996</v>
      </c>
    </row>
    <row r="1028" spans="1:4" ht="19.95" customHeight="1" x14ac:dyDescent="0.25">
      <c r="A1028" s="10" t="s">
        <v>27</v>
      </c>
      <c r="B1028" s="11" t="s">
        <v>14</v>
      </c>
      <c r="C1028" s="11">
        <v>1041.4280000000001</v>
      </c>
      <c r="D1028" s="11">
        <v>1996</v>
      </c>
    </row>
    <row r="1029" spans="1:4" ht="19.95" customHeight="1" x14ac:dyDescent="0.25">
      <c r="A1029" s="10" t="s">
        <v>29</v>
      </c>
      <c r="B1029" s="11" t="s">
        <v>14</v>
      </c>
      <c r="C1029" s="11">
        <v>7256.9930000000004</v>
      </c>
      <c r="D1029" s="11">
        <v>1996</v>
      </c>
    </row>
    <row r="1030" spans="1:4" ht="19.95" customHeight="1" x14ac:dyDescent="0.25">
      <c r="A1030" s="10" t="s">
        <v>30</v>
      </c>
      <c r="B1030" s="11" t="s">
        <v>14</v>
      </c>
      <c r="C1030" s="11">
        <v>2486.2260000000001</v>
      </c>
      <c r="D1030" s="11">
        <v>1996</v>
      </c>
    </row>
    <row r="1031" spans="1:4" ht="19.95" customHeight="1" x14ac:dyDescent="0.25">
      <c r="A1031" s="10" t="s">
        <v>31</v>
      </c>
      <c r="B1031" s="11" t="s">
        <v>14</v>
      </c>
      <c r="C1031" s="11">
        <v>2874.9279999999999</v>
      </c>
      <c r="D1031" s="11">
        <v>1996</v>
      </c>
    </row>
    <row r="1032" spans="1:4" ht="19.95" customHeight="1" x14ac:dyDescent="0.25">
      <c r="A1032" s="10" t="s">
        <v>32</v>
      </c>
      <c r="B1032" s="11" t="s">
        <v>14</v>
      </c>
      <c r="C1032" s="11">
        <v>902.08199999999999</v>
      </c>
      <c r="D1032" s="11">
        <v>1996</v>
      </c>
    </row>
    <row r="1033" spans="1:4" ht="19.95" customHeight="1" x14ac:dyDescent="0.25">
      <c r="A1033" s="10" t="s">
        <v>33</v>
      </c>
      <c r="B1033" s="11" t="s">
        <v>14</v>
      </c>
      <c r="C1033" s="11">
        <v>480.37700000000001</v>
      </c>
      <c r="D1033" s="11">
        <v>1996</v>
      </c>
    </row>
    <row r="1034" spans="1:4" ht="19.95" customHeight="1" x14ac:dyDescent="0.25">
      <c r="A1034" s="10" t="s">
        <v>34</v>
      </c>
      <c r="B1034" s="11" t="s">
        <v>14</v>
      </c>
      <c r="C1034" s="11">
        <v>47.670999999999999</v>
      </c>
      <c r="D1034" s="11">
        <v>1996</v>
      </c>
    </row>
    <row r="1035" spans="1:4" ht="19.95" customHeight="1" x14ac:dyDescent="0.25">
      <c r="A1035" s="10" t="s">
        <v>35</v>
      </c>
      <c r="B1035" s="11" t="s">
        <v>14</v>
      </c>
      <c r="C1035" s="11">
        <v>7062.6419999999998</v>
      </c>
      <c r="D1035" s="11">
        <v>1996</v>
      </c>
    </row>
    <row r="1036" spans="1:4" ht="19.95" customHeight="1" x14ac:dyDescent="0.25">
      <c r="A1036" s="10" t="s">
        <v>36</v>
      </c>
      <c r="B1036" s="11" t="s">
        <v>14</v>
      </c>
      <c r="C1036" s="11">
        <v>2827.2570000000001</v>
      </c>
      <c r="D1036" s="11">
        <v>1996</v>
      </c>
    </row>
    <row r="1037" spans="1:4" ht="19.95" customHeight="1" x14ac:dyDescent="0.25">
      <c r="A1037" s="10" t="s">
        <v>37</v>
      </c>
      <c r="B1037" s="11" t="s">
        <v>14</v>
      </c>
      <c r="C1037" s="11">
        <v>3461.6480000000001</v>
      </c>
      <c r="D1037" s="11">
        <v>1996</v>
      </c>
    </row>
    <row r="1038" spans="1:4" ht="19.95" customHeight="1" x14ac:dyDescent="0.25">
      <c r="A1038" s="10" t="s">
        <v>38</v>
      </c>
      <c r="B1038" s="11" t="s">
        <v>14</v>
      </c>
      <c r="C1038" s="11">
        <v>1059.7629999999999</v>
      </c>
      <c r="D1038" s="11">
        <v>1996</v>
      </c>
    </row>
    <row r="1039" spans="1:4" ht="19.95" customHeight="1" x14ac:dyDescent="0.25">
      <c r="A1039" s="10" t="s">
        <v>39</v>
      </c>
      <c r="B1039" s="11" t="s">
        <v>14</v>
      </c>
      <c r="C1039" s="11">
        <v>1870.17</v>
      </c>
      <c r="D1039" s="11">
        <v>1996</v>
      </c>
    </row>
    <row r="1040" spans="1:4" ht="19.95" customHeight="1" x14ac:dyDescent="0.25">
      <c r="A1040" s="10" t="s">
        <v>40</v>
      </c>
      <c r="B1040" s="11" t="s">
        <v>14</v>
      </c>
      <c r="C1040" s="11">
        <v>14994.362999999999</v>
      </c>
      <c r="D1040" s="11">
        <v>1996</v>
      </c>
    </row>
    <row r="1041" spans="1:4" ht="19.95" customHeight="1" x14ac:dyDescent="0.25">
      <c r="A1041" s="10" t="s">
        <v>10</v>
      </c>
      <c r="B1041" s="11" t="s">
        <v>14</v>
      </c>
      <c r="C1041" s="11">
        <v>249.35599999999999</v>
      </c>
      <c r="D1041" s="11">
        <v>1997</v>
      </c>
    </row>
    <row r="1042" spans="1:4" ht="19.95" customHeight="1" x14ac:dyDescent="0.25">
      <c r="A1042" s="10" t="s">
        <v>13</v>
      </c>
      <c r="B1042" s="11" t="s">
        <v>14</v>
      </c>
      <c r="C1042" s="11">
        <v>3215.9589999999998</v>
      </c>
      <c r="D1042" s="11">
        <v>1997</v>
      </c>
    </row>
    <row r="1043" spans="1:4" ht="19.95" customHeight="1" x14ac:dyDescent="0.25">
      <c r="A1043" s="10" t="s">
        <v>15</v>
      </c>
      <c r="B1043" s="11" t="s">
        <v>14</v>
      </c>
      <c r="C1043" s="11">
        <v>143.01300000000001</v>
      </c>
      <c r="D1043" s="11">
        <v>1997</v>
      </c>
    </row>
    <row r="1044" spans="1:4" ht="19.95" customHeight="1" x14ac:dyDescent="0.25">
      <c r="A1044" s="10" t="s">
        <v>16</v>
      </c>
      <c r="B1044" s="11" t="s">
        <v>14</v>
      </c>
      <c r="C1044" s="11">
        <v>80.674000000000007</v>
      </c>
      <c r="D1044" s="11">
        <v>1997</v>
      </c>
    </row>
    <row r="1045" spans="1:4" ht="19.95" customHeight="1" x14ac:dyDescent="0.25">
      <c r="A1045" s="10" t="s">
        <v>17</v>
      </c>
      <c r="B1045" s="11" t="s">
        <v>14</v>
      </c>
      <c r="C1045" s="11">
        <v>326.363</v>
      </c>
      <c r="D1045" s="11">
        <v>1997</v>
      </c>
    </row>
    <row r="1046" spans="1:4" ht="19.95" customHeight="1" x14ac:dyDescent="0.25">
      <c r="A1046" s="10" t="s">
        <v>2</v>
      </c>
      <c r="B1046" s="11" t="s">
        <v>14</v>
      </c>
      <c r="C1046" s="11">
        <v>3050.944</v>
      </c>
      <c r="D1046" s="11">
        <v>1997</v>
      </c>
    </row>
    <row r="1047" spans="1:4" ht="19.95" customHeight="1" x14ac:dyDescent="0.25">
      <c r="A1047" s="10" t="s">
        <v>18</v>
      </c>
      <c r="B1047" s="11" t="s">
        <v>14</v>
      </c>
      <c r="C1047" s="11">
        <v>1419.1289999999999</v>
      </c>
      <c r="D1047" s="11">
        <v>1997</v>
      </c>
    </row>
    <row r="1048" spans="1:4" ht="19.95" customHeight="1" x14ac:dyDescent="0.25">
      <c r="A1048" s="10" t="s">
        <v>19</v>
      </c>
      <c r="B1048" s="11" t="s">
        <v>14</v>
      </c>
      <c r="C1048" s="11">
        <v>1367.7909999999999</v>
      </c>
      <c r="D1048" s="11">
        <v>1997</v>
      </c>
    </row>
    <row r="1049" spans="1:4" ht="19.95" customHeight="1" x14ac:dyDescent="0.25">
      <c r="A1049" s="10" t="s">
        <v>20</v>
      </c>
      <c r="B1049" s="11" t="s">
        <v>14</v>
      </c>
      <c r="C1049" s="11">
        <v>8265.4179999999997</v>
      </c>
      <c r="D1049" s="11">
        <v>1997</v>
      </c>
    </row>
    <row r="1050" spans="1:4" ht="19.95" customHeight="1" x14ac:dyDescent="0.25">
      <c r="A1050" s="10" t="s">
        <v>21</v>
      </c>
      <c r="B1050" s="11" t="s">
        <v>14</v>
      </c>
      <c r="C1050" s="11"/>
      <c r="D1050" s="11">
        <v>1997</v>
      </c>
    </row>
    <row r="1051" spans="1:4" ht="19.95" customHeight="1" x14ac:dyDescent="0.25">
      <c r="A1051" s="10" t="s">
        <v>22</v>
      </c>
      <c r="B1051" s="11" t="s">
        <v>14</v>
      </c>
      <c r="C1051" s="11">
        <v>348.36500000000001</v>
      </c>
      <c r="D1051" s="11">
        <v>1997</v>
      </c>
    </row>
    <row r="1052" spans="1:4" ht="19.95" customHeight="1" x14ac:dyDescent="0.25">
      <c r="A1052" s="10" t="s">
        <v>23</v>
      </c>
      <c r="B1052" s="11" t="s">
        <v>14</v>
      </c>
      <c r="C1052" s="11">
        <v>1650.15</v>
      </c>
      <c r="D1052" s="11">
        <v>1997</v>
      </c>
    </row>
    <row r="1053" spans="1:4" ht="19.95" customHeight="1" x14ac:dyDescent="0.25">
      <c r="A1053" s="10" t="s">
        <v>24</v>
      </c>
      <c r="B1053" s="11" t="s">
        <v>14</v>
      </c>
      <c r="C1053" s="11">
        <v>964.42100000000005</v>
      </c>
      <c r="D1053" s="11">
        <v>1997</v>
      </c>
    </row>
    <row r="1054" spans="1:4" ht="19.95" customHeight="1" x14ac:dyDescent="0.25">
      <c r="A1054" s="10" t="s">
        <v>25</v>
      </c>
      <c r="B1054" s="11" t="s">
        <v>14</v>
      </c>
      <c r="C1054" s="11">
        <v>524.38099999999997</v>
      </c>
      <c r="D1054" s="11">
        <v>1997</v>
      </c>
    </row>
    <row r="1055" spans="1:4" ht="19.95" customHeight="1" x14ac:dyDescent="0.25">
      <c r="A1055" s="10" t="s">
        <v>26</v>
      </c>
      <c r="B1055" s="11" t="s">
        <v>14</v>
      </c>
      <c r="C1055" s="11">
        <v>7099.3119999999999</v>
      </c>
      <c r="D1055" s="11">
        <v>1997</v>
      </c>
    </row>
    <row r="1056" spans="1:4" ht="19.95" customHeight="1" x14ac:dyDescent="0.25">
      <c r="A1056" s="10" t="s">
        <v>27</v>
      </c>
      <c r="B1056" s="11" t="s">
        <v>14</v>
      </c>
      <c r="C1056" s="11">
        <v>1125.769</v>
      </c>
      <c r="D1056" s="11">
        <v>1997</v>
      </c>
    </row>
    <row r="1057" spans="1:4" ht="19.95" customHeight="1" x14ac:dyDescent="0.25">
      <c r="A1057" s="10" t="s">
        <v>29</v>
      </c>
      <c r="B1057" s="11" t="s">
        <v>14</v>
      </c>
      <c r="C1057" s="11">
        <v>7499.0150000000003</v>
      </c>
      <c r="D1057" s="11">
        <v>1997</v>
      </c>
    </row>
    <row r="1058" spans="1:4" ht="19.95" customHeight="1" x14ac:dyDescent="0.25">
      <c r="A1058" s="10" t="s">
        <v>30</v>
      </c>
      <c r="B1058" s="11" t="s">
        <v>14</v>
      </c>
      <c r="C1058" s="11">
        <v>2783.2530000000002</v>
      </c>
      <c r="D1058" s="11">
        <v>1997</v>
      </c>
    </row>
    <row r="1059" spans="1:4" ht="19.95" customHeight="1" x14ac:dyDescent="0.25">
      <c r="A1059" s="10" t="s">
        <v>31</v>
      </c>
      <c r="B1059" s="11" t="s">
        <v>14</v>
      </c>
      <c r="C1059" s="11">
        <v>3142.6190000000001</v>
      </c>
      <c r="D1059" s="11">
        <v>1997</v>
      </c>
    </row>
    <row r="1060" spans="1:4" ht="19.95" customHeight="1" x14ac:dyDescent="0.25">
      <c r="A1060" s="10" t="s">
        <v>32</v>
      </c>
      <c r="B1060" s="11" t="s">
        <v>14</v>
      </c>
      <c r="C1060" s="11">
        <v>909.41600000000005</v>
      </c>
      <c r="D1060" s="11">
        <v>1997</v>
      </c>
    </row>
    <row r="1061" spans="1:4" ht="19.95" customHeight="1" x14ac:dyDescent="0.25">
      <c r="A1061" s="10" t="s">
        <v>33</v>
      </c>
      <c r="B1061" s="11" t="s">
        <v>14</v>
      </c>
      <c r="C1061" s="11">
        <v>498.71199999999999</v>
      </c>
      <c r="D1061" s="11">
        <v>1997</v>
      </c>
    </row>
    <row r="1062" spans="1:4" ht="19.95" customHeight="1" x14ac:dyDescent="0.25">
      <c r="A1062" s="10" t="s">
        <v>34</v>
      </c>
      <c r="B1062" s="11" t="s">
        <v>14</v>
      </c>
      <c r="C1062" s="11">
        <v>47.670999999999999</v>
      </c>
      <c r="D1062" s="11">
        <v>1997</v>
      </c>
    </row>
    <row r="1063" spans="1:4" ht="19.95" customHeight="1" x14ac:dyDescent="0.25">
      <c r="A1063" s="10" t="s">
        <v>35</v>
      </c>
      <c r="B1063" s="11" t="s">
        <v>14</v>
      </c>
      <c r="C1063" s="11">
        <v>7616.3590000000004</v>
      </c>
      <c r="D1063" s="11">
        <v>1997</v>
      </c>
    </row>
    <row r="1064" spans="1:4" ht="19.95" customHeight="1" x14ac:dyDescent="0.25">
      <c r="A1064" s="10" t="s">
        <v>36</v>
      </c>
      <c r="B1064" s="11" t="s">
        <v>14</v>
      </c>
      <c r="C1064" s="11">
        <v>2152.529</v>
      </c>
      <c r="D1064" s="11">
        <v>1997</v>
      </c>
    </row>
    <row r="1065" spans="1:4" ht="19.95" customHeight="1" x14ac:dyDescent="0.25">
      <c r="A1065" s="10" t="s">
        <v>37</v>
      </c>
      <c r="B1065" s="11" t="s">
        <v>14</v>
      </c>
      <c r="C1065" s="11">
        <v>2882.2620000000002</v>
      </c>
      <c r="D1065" s="11">
        <v>1997</v>
      </c>
    </row>
    <row r="1066" spans="1:4" ht="19.95" customHeight="1" x14ac:dyDescent="0.25">
      <c r="A1066" s="10" t="s">
        <v>38</v>
      </c>
      <c r="B1066" s="11" t="s">
        <v>14</v>
      </c>
      <c r="C1066" s="11">
        <v>1107.434</v>
      </c>
      <c r="D1066" s="11">
        <v>1997</v>
      </c>
    </row>
    <row r="1067" spans="1:4" ht="19.95" customHeight="1" x14ac:dyDescent="0.25">
      <c r="A1067" s="10" t="s">
        <v>39</v>
      </c>
      <c r="B1067" s="11" t="s">
        <v>14</v>
      </c>
      <c r="C1067" s="11">
        <v>2390.884</v>
      </c>
      <c r="D1067" s="11">
        <v>1997</v>
      </c>
    </row>
    <row r="1068" spans="1:4" ht="19.95" customHeight="1" x14ac:dyDescent="0.25">
      <c r="A1068" s="10" t="s">
        <v>40</v>
      </c>
      <c r="B1068" s="11" t="s">
        <v>14</v>
      </c>
      <c r="C1068" s="11">
        <v>14407.643</v>
      </c>
      <c r="D1068" s="11">
        <v>1997</v>
      </c>
    </row>
    <row r="1069" spans="1:4" ht="19.95" customHeight="1" x14ac:dyDescent="0.25">
      <c r="A1069" s="10" t="s">
        <v>10</v>
      </c>
      <c r="B1069" s="11" t="s">
        <v>14</v>
      </c>
      <c r="C1069" s="11">
        <v>249.35599999999999</v>
      </c>
      <c r="D1069" s="11">
        <v>1998</v>
      </c>
    </row>
    <row r="1070" spans="1:4" ht="19.95" customHeight="1" x14ac:dyDescent="0.25">
      <c r="A1070" s="10" t="s">
        <v>13</v>
      </c>
      <c r="B1070" s="11" t="s">
        <v>14</v>
      </c>
      <c r="C1070" s="11">
        <v>3208.625</v>
      </c>
      <c r="D1070" s="11">
        <v>1998</v>
      </c>
    </row>
    <row r="1071" spans="1:4" ht="19.95" customHeight="1" x14ac:dyDescent="0.25">
      <c r="A1071" s="10" t="s">
        <v>15</v>
      </c>
      <c r="B1071" s="11" t="s">
        <v>14</v>
      </c>
      <c r="C1071" s="11">
        <v>150.34700000000001</v>
      </c>
      <c r="D1071" s="11">
        <v>1998</v>
      </c>
    </row>
    <row r="1072" spans="1:4" ht="19.95" customHeight="1" x14ac:dyDescent="0.25">
      <c r="A1072" s="10" t="s">
        <v>16</v>
      </c>
      <c r="B1072" s="11" t="s">
        <v>14</v>
      </c>
      <c r="C1072" s="11">
        <v>88.007999999999996</v>
      </c>
      <c r="D1072" s="11">
        <v>1998</v>
      </c>
    </row>
    <row r="1073" spans="1:4" ht="19.95" customHeight="1" x14ac:dyDescent="0.25">
      <c r="A1073" s="10" t="s">
        <v>17</v>
      </c>
      <c r="B1073" s="11" t="s">
        <v>14</v>
      </c>
      <c r="C1073" s="11">
        <v>315.36200000000002</v>
      </c>
      <c r="D1073" s="11">
        <v>1998</v>
      </c>
    </row>
    <row r="1074" spans="1:4" ht="19.95" customHeight="1" x14ac:dyDescent="0.25">
      <c r="A1074" s="10" t="s">
        <v>2</v>
      </c>
      <c r="B1074" s="11" t="s">
        <v>14</v>
      </c>
      <c r="C1074" s="11">
        <v>3219.6260000000002</v>
      </c>
      <c r="D1074" s="11">
        <v>1998</v>
      </c>
    </row>
    <row r="1075" spans="1:4" ht="19.95" customHeight="1" x14ac:dyDescent="0.25">
      <c r="A1075" s="10" t="s">
        <v>18</v>
      </c>
      <c r="B1075" s="11" t="s">
        <v>14</v>
      </c>
      <c r="C1075" s="11">
        <v>1503.47</v>
      </c>
      <c r="D1075" s="11">
        <v>1998</v>
      </c>
    </row>
    <row r="1076" spans="1:4" ht="19.95" customHeight="1" x14ac:dyDescent="0.25">
      <c r="A1076" s="10" t="s">
        <v>19</v>
      </c>
      <c r="B1076" s="11" t="s">
        <v>14</v>
      </c>
      <c r="C1076" s="11">
        <v>1232.1120000000001</v>
      </c>
      <c r="D1076" s="11">
        <v>1998</v>
      </c>
    </row>
    <row r="1077" spans="1:4" ht="19.95" customHeight="1" x14ac:dyDescent="0.25">
      <c r="A1077" s="10" t="s">
        <v>20</v>
      </c>
      <c r="B1077" s="11" t="s">
        <v>14</v>
      </c>
      <c r="C1077" s="11">
        <v>10036.579</v>
      </c>
      <c r="D1077" s="11">
        <v>1998</v>
      </c>
    </row>
    <row r="1078" spans="1:4" ht="19.95" customHeight="1" x14ac:dyDescent="0.25">
      <c r="A1078" s="10" t="s">
        <v>21</v>
      </c>
      <c r="B1078" s="11" t="s">
        <v>14</v>
      </c>
      <c r="C1078" s="11"/>
      <c r="D1078" s="11">
        <v>1998</v>
      </c>
    </row>
    <row r="1079" spans="1:4" ht="19.95" customHeight="1" x14ac:dyDescent="0.25">
      <c r="A1079" s="10" t="s">
        <v>22</v>
      </c>
      <c r="B1079" s="11" t="s">
        <v>14</v>
      </c>
      <c r="C1079" s="11">
        <v>374.03399999999999</v>
      </c>
      <c r="D1079" s="11">
        <v>1998</v>
      </c>
    </row>
    <row r="1080" spans="1:4" ht="19.95" customHeight="1" x14ac:dyDescent="0.25">
      <c r="A1080" s="10" t="s">
        <v>23</v>
      </c>
      <c r="B1080" s="11" t="s">
        <v>14</v>
      </c>
      <c r="C1080" s="11">
        <v>1738.1579999999999</v>
      </c>
      <c r="D1080" s="11">
        <v>1998</v>
      </c>
    </row>
    <row r="1081" spans="1:4" ht="19.95" customHeight="1" x14ac:dyDescent="0.25">
      <c r="A1081" s="10" t="s">
        <v>24</v>
      </c>
      <c r="B1081" s="11" t="s">
        <v>14</v>
      </c>
      <c r="C1081" s="11">
        <v>935.08500000000004</v>
      </c>
      <c r="D1081" s="11">
        <v>1998</v>
      </c>
    </row>
    <row r="1082" spans="1:4" ht="19.95" customHeight="1" x14ac:dyDescent="0.25">
      <c r="A1082" s="10" t="s">
        <v>25</v>
      </c>
      <c r="B1082" s="11" t="s">
        <v>14</v>
      </c>
      <c r="C1082" s="11">
        <v>762.73599999999999</v>
      </c>
      <c r="D1082" s="11">
        <v>1998</v>
      </c>
    </row>
    <row r="1083" spans="1:4" ht="19.95" customHeight="1" x14ac:dyDescent="0.25">
      <c r="A1083" s="10" t="s">
        <v>26</v>
      </c>
      <c r="B1083" s="11" t="s">
        <v>14</v>
      </c>
      <c r="C1083" s="11">
        <v>6270.57</v>
      </c>
      <c r="D1083" s="11">
        <v>1998</v>
      </c>
    </row>
    <row r="1084" spans="1:4" ht="19.95" customHeight="1" x14ac:dyDescent="0.25">
      <c r="A1084" s="10" t="s">
        <v>27</v>
      </c>
      <c r="B1084" s="11" t="s">
        <v>14</v>
      </c>
      <c r="C1084" s="11">
        <v>1133.1030000000001</v>
      </c>
      <c r="D1084" s="11">
        <v>1998</v>
      </c>
    </row>
    <row r="1085" spans="1:4" ht="19.95" customHeight="1" x14ac:dyDescent="0.25">
      <c r="A1085" s="10" t="s">
        <v>29</v>
      </c>
      <c r="B1085" s="11" t="s">
        <v>14</v>
      </c>
      <c r="C1085" s="11">
        <v>8078.4009999999998</v>
      </c>
      <c r="D1085" s="11">
        <v>1998</v>
      </c>
    </row>
    <row r="1086" spans="1:4" ht="19.95" customHeight="1" x14ac:dyDescent="0.25">
      <c r="A1086" s="10" t="s">
        <v>30</v>
      </c>
      <c r="B1086" s="11" t="s">
        <v>14</v>
      </c>
      <c r="C1086" s="11">
        <v>2251.538</v>
      </c>
      <c r="D1086" s="11">
        <v>1998</v>
      </c>
    </row>
    <row r="1087" spans="1:4" ht="19.95" customHeight="1" x14ac:dyDescent="0.25">
      <c r="A1087" s="10" t="s">
        <v>31</v>
      </c>
      <c r="B1087" s="11" t="s">
        <v>14</v>
      </c>
      <c r="C1087" s="11">
        <v>3421.3110000000001</v>
      </c>
      <c r="D1087" s="11">
        <v>1998</v>
      </c>
    </row>
    <row r="1088" spans="1:4" ht="19.95" customHeight="1" x14ac:dyDescent="0.25">
      <c r="A1088" s="10" t="s">
        <v>32</v>
      </c>
      <c r="B1088" s="11" t="s">
        <v>14</v>
      </c>
      <c r="C1088" s="11">
        <v>957.08699999999999</v>
      </c>
      <c r="D1088" s="11">
        <v>1998</v>
      </c>
    </row>
    <row r="1089" spans="1:4" ht="19.95" customHeight="1" x14ac:dyDescent="0.25">
      <c r="A1089" s="10" t="s">
        <v>33</v>
      </c>
      <c r="B1089" s="11" t="s">
        <v>14</v>
      </c>
      <c r="C1089" s="11">
        <v>487.71100000000001</v>
      </c>
      <c r="D1089" s="11">
        <v>1998</v>
      </c>
    </row>
    <row r="1090" spans="1:4" ht="19.95" customHeight="1" x14ac:dyDescent="0.25">
      <c r="A1090" s="10" t="s">
        <v>34</v>
      </c>
      <c r="B1090" s="11" t="s">
        <v>14</v>
      </c>
      <c r="C1090" s="11">
        <v>47.670999999999999</v>
      </c>
      <c r="D1090" s="11">
        <v>1998</v>
      </c>
    </row>
    <row r="1091" spans="1:4" ht="19.95" customHeight="1" x14ac:dyDescent="0.25">
      <c r="A1091" s="10" t="s">
        <v>35</v>
      </c>
      <c r="B1091" s="11" t="s">
        <v>14</v>
      </c>
      <c r="C1091" s="11">
        <v>7825.3779999999997</v>
      </c>
      <c r="D1091" s="11">
        <v>1998</v>
      </c>
    </row>
    <row r="1092" spans="1:4" ht="19.95" customHeight="1" x14ac:dyDescent="0.25">
      <c r="A1092" s="10" t="s">
        <v>36</v>
      </c>
      <c r="B1092" s="11" t="s">
        <v>14</v>
      </c>
      <c r="C1092" s="11">
        <v>2497.2269999999999</v>
      </c>
      <c r="D1092" s="11">
        <v>1998</v>
      </c>
    </row>
    <row r="1093" spans="1:4" ht="19.95" customHeight="1" x14ac:dyDescent="0.25">
      <c r="A1093" s="10" t="s">
        <v>37</v>
      </c>
      <c r="B1093" s="11" t="s">
        <v>14</v>
      </c>
      <c r="C1093" s="11">
        <v>2555.8989999999999</v>
      </c>
      <c r="D1093" s="11">
        <v>1998</v>
      </c>
    </row>
    <row r="1094" spans="1:4" ht="19.95" customHeight="1" x14ac:dyDescent="0.25">
      <c r="A1094" s="10" t="s">
        <v>38</v>
      </c>
      <c r="B1094" s="11" t="s">
        <v>14</v>
      </c>
      <c r="C1094" s="11">
        <v>1265.115</v>
      </c>
      <c r="D1094" s="11">
        <v>1998</v>
      </c>
    </row>
    <row r="1095" spans="1:4" ht="19.95" customHeight="1" x14ac:dyDescent="0.25">
      <c r="A1095" s="10" t="s">
        <v>39</v>
      </c>
      <c r="B1095" s="11" t="s">
        <v>14</v>
      </c>
      <c r="C1095" s="11">
        <v>2313.877</v>
      </c>
      <c r="D1095" s="11">
        <v>1998</v>
      </c>
    </row>
    <row r="1096" spans="1:4" ht="19.95" customHeight="1" x14ac:dyDescent="0.25">
      <c r="A1096" s="10" t="s">
        <v>40</v>
      </c>
      <c r="B1096" s="11" t="s">
        <v>14</v>
      </c>
      <c r="C1096" s="11">
        <v>14253.629000000001</v>
      </c>
      <c r="D1096" s="11">
        <v>1998</v>
      </c>
    </row>
    <row r="1097" spans="1:4" ht="19.95" customHeight="1" x14ac:dyDescent="0.25">
      <c r="A1097" s="10" t="s">
        <v>10</v>
      </c>
      <c r="B1097" s="11" t="s">
        <v>14</v>
      </c>
      <c r="C1097" s="11">
        <v>253.023</v>
      </c>
      <c r="D1097" s="11">
        <v>1999</v>
      </c>
    </row>
    <row r="1098" spans="1:4" ht="19.95" customHeight="1" x14ac:dyDescent="0.25">
      <c r="A1098" s="10" t="s">
        <v>13</v>
      </c>
      <c r="B1098" s="11" t="s">
        <v>14</v>
      </c>
      <c r="C1098" s="11">
        <v>3080.28</v>
      </c>
      <c r="D1098" s="11">
        <v>1999</v>
      </c>
    </row>
    <row r="1099" spans="1:4" ht="19.95" customHeight="1" x14ac:dyDescent="0.25">
      <c r="A1099" s="10" t="s">
        <v>15</v>
      </c>
      <c r="B1099" s="11" t="s">
        <v>14</v>
      </c>
      <c r="C1099" s="11">
        <v>161.34800000000001</v>
      </c>
      <c r="D1099" s="11">
        <v>1999</v>
      </c>
    </row>
    <row r="1100" spans="1:4" ht="19.95" customHeight="1" x14ac:dyDescent="0.25">
      <c r="A1100" s="10" t="s">
        <v>16</v>
      </c>
      <c r="B1100" s="11" t="s">
        <v>14</v>
      </c>
      <c r="C1100" s="11">
        <v>91.674999999999997</v>
      </c>
      <c r="D1100" s="11">
        <v>1999</v>
      </c>
    </row>
    <row r="1101" spans="1:4" ht="19.95" customHeight="1" x14ac:dyDescent="0.25">
      <c r="A1101" s="10" t="s">
        <v>17</v>
      </c>
      <c r="B1101" s="11" t="s">
        <v>14</v>
      </c>
      <c r="C1101" s="11">
        <v>315.36200000000002</v>
      </c>
      <c r="D1101" s="11">
        <v>1999</v>
      </c>
    </row>
    <row r="1102" spans="1:4" ht="19.95" customHeight="1" x14ac:dyDescent="0.25">
      <c r="A1102" s="10" t="s">
        <v>2</v>
      </c>
      <c r="B1102" s="11" t="s">
        <v>14</v>
      </c>
      <c r="C1102" s="11">
        <v>3157.2869999999998</v>
      </c>
      <c r="D1102" s="11">
        <v>1999</v>
      </c>
    </row>
    <row r="1103" spans="1:4" ht="19.95" customHeight="1" x14ac:dyDescent="0.25">
      <c r="A1103" s="10" t="s">
        <v>18</v>
      </c>
      <c r="B1103" s="11" t="s">
        <v>14</v>
      </c>
      <c r="C1103" s="11">
        <v>1580.4770000000001</v>
      </c>
      <c r="D1103" s="11">
        <v>1999</v>
      </c>
    </row>
    <row r="1104" spans="1:4" ht="19.95" customHeight="1" x14ac:dyDescent="0.25">
      <c r="A1104" s="10" t="s">
        <v>19</v>
      </c>
      <c r="B1104" s="11" t="s">
        <v>14</v>
      </c>
      <c r="C1104" s="11">
        <v>1331.1210000000001</v>
      </c>
      <c r="D1104" s="11">
        <v>1999</v>
      </c>
    </row>
    <row r="1105" spans="1:4" ht="19.95" customHeight="1" x14ac:dyDescent="0.25">
      <c r="A1105" s="10" t="s">
        <v>20</v>
      </c>
      <c r="B1105" s="11" t="s">
        <v>14</v>
      </c>
      <c r="C1105" s="11">
        <v>10172.258</v>
      </c>
      <c r="D1105" s="11">
        <v>1999</v>
      </c>
    </row>
    <row r="1106" spans="1:4" ht="19.95" customHeight="1" x14ac:dyDescent="0.25">
      <c r="A1106" s="10" t="s">
        <v>21</v>
      </c>
      <c r="B1106" s="11" t="s">
        <v>14</v>
      </c>
      <c r="C1106" s="11"/>
      <c r="D1106" s="11">
        <v>1999</v>
      </c>
    </row>
    <row r="1107" spans="1:4" ht="19.95" customHeight="1" x14ac:dyDescent="0.25">
      <c r="A1107" s="10" t="s">
        <v>22</v>
      </c>
      <c r="B1107" s="11" t="s">
        <v>14</v>
      </c>
      <c r="C1107" s="11">
        <v>392.36900000000003</v>
      </c>
      <c r="D1107" s="11">
        <v>1999</v>
      </c>
    </row>
    <row r="1108" spans="1:4" ht="19.95" customHeight="1" x14ac:dyDescent="0.25">
      <c r="A1108" s="10" t="s">
        <v>23</v>
      </c>
      <c r="B1108" s="11" t="s">
        <v>14</v>
      </c>
      <c r="C1108" s="11">
        <v>1917.8409999999999</v>
      </c>
      <c r="D1108" s="11">
        <v>1999</v>
      </c>
    </row>
    <row r="1109" spans="1:4" ht="19.95" customHeight="1" x14ac:dyDescent="0.25">
      <c r="A1109" s="10" t="s">
        <v>24</v>
      </c>
      <c r="B1109" s="11" t="s">
        <v>14</v>
      </c>
      <c r="C1109" s="11">
        <v>942.41899999999998</v>
      </c>
      <c r="D1109" s="11">
        <v>1999</v>
      </c>
    </row>
    <row r="1110" spans="1:4" ht="19.95" customHeight="1" x14ac:dyDescent="0.25">
      <c r="A1110" s="10" t="s">
        <v>25</v>
      </c>
      <c r="B1110" s="11" t="s">
        <v>14</v>
      </c>
      <c r="C1110" s="11">
        <v>795.73900000000003</v>
      </c>
      <c r="D1110" s="11">
        <v>1999</v>
      </c>
    </row>
    <row r="1111" spans="1:4" ht="19.95" customHeight="1" x14ac:dyDescent="0.25">
      <c r="A1111" s="10" t="s">
        <v>26</v>
      </c>
      <c r="B1111" s="11" t="s">
        <v>14</v>
      </c>
      <c r="C1111" s="11">
        <v>4503.076</v>
      </c>
      <c r="D1111" s="11">
        <v>1999</v>
      </c>
    </row>
    <row r="1112" spans="1:4" ht="19.95" customHeight="1" x14ac:dyDescent="0.25">
      <c r="A1112" s="10" t="s">
        <v>27</v>
      </c>
      <c r="B1112" s="11" t="s">
        <v>14</v>
      </c>
      <c r="C1112" s="11">
        <v>1188.1079999999999</v>
      </c>
      <c r="D1112" s="11">
        <v>1999</v>
      </c>
    </row>
    <row r="1113" spans="1:4" ht="19.95" customHeight="1" x14ac:dyDescent="0.25">
      <c r="A1113" s="10" t="s">
        <v>29</v>
      </c>
      <c r="B1113" s="11" t="s">
        <v>14</v>
      </c>
      <c r="C1113" s="11">
        <v>8969.482</v>
      </c>
      <c r="D1113" s="11">
        <v>1999</v>
      </c>
    </row>
    <row r="1114" spans="1:4" ht="19.95" customHeight="1" x14ac:dyDescent="0.25">
      <c r="A1114" s="10" t="s">
        <v>30</v>
      </c>
      <c r="B1114" s="11" t="s">
        <v>14</v>
      </c>
      <c r="C1114" s="11">
        <v>3219.6260000000002</v>
      </c>
      <c r="D1114" s="11">
        <v>1999</v>
      </c>
    </row>
    <row r="1115" spans="1:4" ht="19.95" customHeight="1" x14ac:dyDescent="0.25">
      <c r="A1115" s="10" t="s">
        <v>31</v>
      </c>
      <c r="B1115" s="11" t="s">
        <v>14</v>
      </c>
      <c r="C1115" s="11">
        <v>3626.663</v>
      </c>
      <c r="D1115" s="11">
        <v>1999</v>
      </c>
    </row>
    <row r="1116" spans="1:4" ht="19.95" customHeight="1" x14ac:dyDescent="0.25">
      <c r="A1116" s="10" t="s">
        <v>32</v>
      </c>
      <c r="B1116" s="11" t="s">
        <v>14</v>
      </c>
      <c r="C1116" s="11">
        <v>953.42</v>
      </c>
      <c r="D1116" s="11">
        <v>1999</v>
      </c>
    </row>
    <row r="1117" spans="1:4" ht="19.95" customHeight="1" x14ac:dyDescent="0.25">
      <c r="A1117" s="10" t="s">
        <v>33</v>
      </c>
      <c r="B1117" s="11" t="s">
        <v>14</v>
      </c>
      <c r="C1117" s="11">
        <v>509.71300000000002</v>
      </c>
      <c r="D1117" s="11">
        <v>1999</v>
      </c>
    </row>
    <row r="1118" spans="1:4" ht="19.95" customHeight="1" x14ac:dyDescent="0.25">
      <c r="A1118" s="10" t="s">
        <v>34</v>
      </c>
      <c r="B1118" s="11" t="s">
        <v>14</v>
      </c>
      <c r="C1118" s="11">
        <v>47.670999999999999</v>
      </c>
      <c r="D1118" s="11">
        <v>1999</v>
      </c>
    </row>
    <row r="1119" spans="1:4" ht="19.95" customHeight="1" x14ac:dyDescent="0.25">
      <c r="A1119" s="10" t="s">
        <v>35</v>
      </c>
      <c r="B1119" s="11" t="s">
        <v>14</v>
      </c>
      <c r="C1119" s="11">
        <v>8617.4500000000007</v>
      </c>
      <c r="D1119" s="11">
        <v>1999</v>
      </c>
    </row>
    <row r="1120" spans="1:4" ht="19.95" customHeight="1" x14ac:dyDescent="0.25">
      <c r="A1120" s="10" t="s">
        <v>36</v>
      </c>
      <c r="B1120" s="11" t="s">
        <v>14</v>
      </c>
      <c r="C1120" s="11">
        <v>2519.2289999999998</v>
      </c>
      <c r="D1120" s="11">
        <v>1999</v>
      </c>
    </row>
    <row r="1121" spans="1:4" ht="19.95" customHeight="1" x14ac:dyDescent="0.25">
      <c r="A1121" s="10" t="s">
        <v>37</v>
      </c>
      <c r="B1121" s="11" t="s">
        <v>14</v>
      </c>
      <c r="C1121" s="11">
        <v>2537.5639999999999</v>
      </c>
      <c r="D1121" s="11">
        <v>1999</v>
      </c>
    </row>
    <row r="1122" spans="1:4" ht="19.95" customHeight="1" x14ac:dyDescent="0.25">
      <c r="A1122" s="10" t="s">
        <v>38</v>
      </c>
      <c r="B1122" s="11" t="s">
        <v>14</v>
      </c>
      <c r="C1122" s="11">
        <v>1312.7860000000001</v>
      </c>
      <c r="D1122" s="11">
        <v>1999</v>
      </c>
    </row>
    <row r="1123" spans="1:4" ht="19.95" customHeight="1" x14ac:dyDescent="0.25">
      <c r="A1123" s="10" t="s">
        <v>39</v>
      </c>
      <c r="B1123" s="11" t="s">
        <v>14</v>
      </c>
      <c r="C1123" s="11">
        <v>1807.8309999999999</v>
      </c>
      <c r="D1123" s="11">
        <v>1999</v>
      </c>
    </row>
    <row r="1124" spans="1:4" ht="19.95" customHeight="1" x14ac:dyDescent="0.25">
      <c r="A1124" s="10" t="s">
        <v>40</v>
      </c>
      <c r="B1124" s="11" t="s">
        <v>14</v>
      </c>
      <c r="C1124" s="11">
        <v>15834.106</v>
      </c>
      <c r="D1124" s="11">
        <v>1999</v>
      </c>
    </row>
    <row r="1125" spans="1:4" ht="19.95" customHeight="1" x14ac:dyDescent="0.25">
      <c r="A1125" s="10" t="s">
        <v>10</v>
      </c>
      <c r="B1125" s="11" t="s">
        <v>14</v>
      </c>
      <c r="C1125" s="11">
        <v>271.358</v>
      </c>
      <c r="D1125" s="11">
        <v>2000</v>
      </c>
    </row>
    <row r="1126" spans="1:4" ht="19.95" customHeight="1" x14ac:dyDescent="0.25">
      <c r="A1126" s="10" t="s">
        <v>13</v>
      </c>
      <c r="B1126" s="11" t="s">
        <v>14</v>
      </c>
      <c r="C1126" s="11">
        <v>3432.3119999999999</v>
      </c>
      <c r="D1126" s="11">
        <v>2000</v>
      </c>
    </row>
    <row r="1127" spans="1:4" ht="19.95" customHeight="1" x14ac:dyDescent="0.25">
      <c r="A1127" s="10" t="s">
        <v>15</v>
      </c>
      <c r="B1127" s="11" t="s">
        <v>14</v>
      </c>
      <c r="C1127" s="11">
        <v>176.01599999999999</v>
      </c>
      <c r="D1127" s="11">
        <v>2000</v>
      </c>
    </row>
    <row r="1128" spans="1:4" ht="19.95" customHeight="1" x14ac:dyDescent="0.25">
      <c r="A1128" s="10" t="s">
        <v>16</v>
      </c>
      <c r="B1128" s="11" t="s">
        <v>14</v>
      </c>
      <c r="C1128" s="11">
        <v>102.676</v>
      </c>
      <c r="D1128" s="11">
        <v>2000</v>
      </c>
    </row>
    <row r="1129" spans="1:4" ht="19.95" customHeight="1" x14ac:dyDescent="0.25">
      <c r="A1129" s="10" t="s">
        <v>17</v>
      </c>
      <c r="B1129" s="11" t="s">
        <v>14</v>
      </c>
      <c r="C1129" s="11">
        <v>341.03100000000001</v>
      </c>
      <c r="D1129" s="11">
        <v>2000</v>
      </c>
    </row>
    <row r="1130" spans="1:4" ht="19.95" customHeight="1" x14ac:dyDescent="0.25">
      <c r="A1130" s="10" t="s">
        <v>2</v>
      </c>
      <c r="B1130" s="11" t="s">
        <v>14</v>
      </c>
      <c r="C1130" s="11">
        <v>3549.6559999999999</v>
      </c>
      <c r="D1130" s="11">
        <v>2000</v>
      </c>
    </row>
    <row r="1131" spans="1:4" ht="19.95" customHeight="1" x14ac:dyDescent="0.25">
      <c r="A1131" s="10" t="s">
        <v>18</v>
      </c>
      <c r="B1131" s="11" t="s">
        <v>14</v>
      </c>
      <c r="C1131" s="11">
        <v>1642.816</v>
      </c>
      <c r="D1131" s="11">
        <v>2000</v>
      </c>
    </row>
    <row r="1132" spans="1:4" ht="19.95" customHeight="1" x14ac:dyDescent="0.25">
      <c r="A1132" s="10" t="s">
        <v>19</v>
      </c>
      <c r="B1132" s="11" t="s">
        <v>14</v>
      </c>
      <c r="C1132" s="11">
        <v>1367.7909999999999</v>
      </c>
      <c r="D1132" s="11">
        <v>2000</v>
      </c>
    </row>
    <row r="1133" spans="1:4" ht="19.95" customHeight="1" x14ac:dyDescent="0.25">
      <c r="A1133" s="10" t="s">
        <v>20</v>
      </c>
      <c r="B1133" s="11" t="s">
        <v>14</v>
      </c>
      <c r="C1133" s="11">
        <v>10417.947</v>
      </c>
      <c r="D1133" s="11">
        <v>2000</v>
      </c>
    </row>
    <row r="1134" spans="1:4" ht="19.95" customHeight="1" x14ac:dyDescent="0.25">
      <c r="A1134" s="10" t="s">
        <v>21</v>
      </c>
      <c r="B1134" s="11" t="s">
        <v>14</v>
      </c>
      <c r="C1134" s="11"/>
      <c r="D1134" s="11">
        <v>2000</v>
      </c>
    </row>
    <row r="1135" spans="1:4" ht="19.95" customHeight="1" x14ac:dyDescent="0.25">
      <c r="A1135" s="10" t="s">
        <v>22</v>
      </c>
      <c r="B1135" s="11" t="s">
        <v>14</v>
      </c>
      <c r="C1135" s="11">
        <v>421.70499999999998</v>
      </c>
      <c r="D1135" s="11">
        <v>2000</v>
      </c>
    </row>
    <row r="1136" spans="1:4" ht="19.95" customHeight="1" x14ac:dyDescent="0.25">
      <c r="A1136" s="10" t="s">
        <v>23</v>
      </c>
      <c r="B1136" s="11" t="s">
        <v>14</v>
      </c>
      <c r="C1136" s="11">
        <v>1873.837</v>
      </c>
      <c r="D1136" s="11">
        <v>2000</v>
      </c>
    </row>
    <row r="1137" spans="1:4" ht="19.95" customHeight="1" x14ac:dyDescent="0.25">
      <c r="A1137" s="10" t="s">
        <v>24</v>
      </c>
      <c r="B1137" s="11" t="s">
        <v>14</v>
      </c>
      <c r="C1137" s="11">
        <v>869.07899999999995</v>
      </c>
      <c r="D1137" s="11">
        <v>2000</v>
      </c>
    </row>
    <row r="1138" spans="1:4" ht="19.95" customHeight="1" x14ac:dyDescent="0.25">
      <c r="A1138" s="10" t="s">
        <v>25</v>
      </c>
      <c r="B1138" s="11" t="s">
        <v>14</v>
      </c>
      <c r="C1138" s="11">
        <v>821.40800000000002</v>
      </c>
      <c r="D1138" s="11">
        <v>2000</v>
      </c>
    </row>
    <row r="1139" spans="1:4" ht="19.95" customHeight="1" x14ac:dyDescent="0.25">
      <c r="A1139" s="10" t="s">
        <v>26</v>
      </c>
      <c r="B1139" s="11" t="s">
        <v>14</v>
      </c>
      <c r="C1139" s="11">
        <v>3512.9859999999999</v>
      </c>
      <c r="D1139" s="11">
        <v>2000</v>
      </c>
    </row>
    <row r="1140" spans="1:4" ht="19.95" customHeight="1" x14ac:dyDescent="0.25">
      <c r="A1140" s="10" t="s">
        <v>27</v>
      </c>
      <c r="B1140" s="11" t="s">
        <v>14</v>
      </c>
      <c r="C1140" s="11">
        <v>1349.4559999999999</v>
      </c>
      <c r="D1140" s="11">
        <v>2000</v>
      </c>
    </row>
    <row r="1141" spans="1:4" ht="19.95" customHeight="1" x14ac:dyDescent="0.25">
      <c r="A1141" s="10" t="s">
        <v>29</v>
      </c>
      <c r="B1141" s="11" t="s">
        <v>14</v>
      </c>
      <c r="C1141" s="11">
        <v>10087.916999999999</v>
      </c>
      <c r="D1141" s="11">
        <v>2000</v>
      </c>
    </row>
    <row r="1142" spans="1:4" ht="19.95" customHeight="1" x14ac:dyDescent="0.25">
      <c r="A1142" s="10" t="s">
        <v>30</v>
      </c>
      <c r="B1142" s="11" t="s">
        <v>14</v>
      </c>
      <c r="C1142" s="11">
        <v>3069.279</v>
      </c>
      <c r="D1142" s="11">
        <v>2000</v>
      </c>
    </row>
    <row r="1143" spans="1:4" ht="19.95" customHeight="1" x14ac:dyDescent="0.25">
      <c r="A1143" s="10" t="s">
        <v>31</v>
      </c>
      <c r="B1143" s="11" t="s">
        <v>14</v>
      </c>
      <c r="C1143" s="11">
        <v>3762.3420000000001</v>
      </c>
      <c r="D1143" s="11">
        <v>2000</v>
      </c>
    </row>
    <row r="1144" spans="1:4" ht="19.95" customHeight="1" x14ac:dyDescent="0.25">
      <c r="A1144" s="10" t="s">
        <v>32</v>
      </c>
      <c r="B1144" s="11" t="s">
        <v>14</v>
      </c>
      <c r="C1144" s="11">
        <v>696.73</v>
      </c>
      <c r="D1144" s="11">
        <v>2000</v>
      </c>
    </row>
    <row r="1145" spans="1:4" ht="19.95" customHeight="1" x14ac:dyDescent="0.25">
      <c r="A1145" s="10" t="s">
        <v>33</v>
      </c>
      <c r="B1145" s="11" t="s">
        <v>14</v>
      </c>
      <c r="C1145" s="11">
        <v>528.048</v>
      </c>
      <c r="D1145" s="11">
        <v>2000</v>
      </c>
    </row>
    <row r="1146" spans="1:4" ht="19.95" customHeight="1" x14ac:dyDescent="0.25">
      <c r="A1146" s="10" t="s">
        <v>34</v>
      </c>
      <c r="B1146" s="11" t="s">
        <v>14</v>
      </c>
      <c r="C1146" s="11">
        <v>47.670999999999999</v>
      </c>
      <c r="D1146" s="11">
        <v>2000</v>
      </c>
    </row>
    <row r="1147" spans="1:4" ht="19.95" customHeight="1" x14ac:dyDescent="0.25">
      <c r="A1147" s="10" t="s">
        <v>35</v>
      </c>
      <c r="B1147" s="11" t="s">
        <v>14</v>
      </c>
      <c r="C1147" s="11">
        <v>10238.263999999999</v>
      </c>
      <c r="D1147" s="11">
        <v>2000</v>
      </c>
    </row>
    <row r="1148" spans="1:4" ht="19.95" customHeight="1" x14ac:dyDescent="0.25">
      <c r="A1148" s="10" t="s">
        <v>36</v>
      </c>
      <c r="B1148" s="11" t="s">
        <v>14</v>
      </c>
      <c r="C1148" s="11">
        <v>2236.87</v>
      </c>
      <c r="D1148" s="11">
        <v>2000</v>
      </c>
    </row>
    <row r="1149" spans="1:4" ht="19.95" customHeight="1" x14ac:dyDescent="0.25">
      <c r="A1149" s="10" t="s">
        <v>37</v>
      </c>
      <c r="B1149" s="11" t="s">
        <v>14</v>
      </c>
      <c r="C1149" s="11">
        <v>2651.241</v>
      </c>
      <c r="D1149" s="11">
        <v>2000</v>
      </c>
    </row>
    <row r="1150" spans="1:4" ht="19.95" customHeight="1" x14ac:dyDescent="0.25">
      <c r="A1150" s="10" t="s">
        <v>38</v>
      </c>
      <c r="B1150" s="11" t="s">
        <v>14</v>
      </c>
      <c r="C1150" s="11">
        <v>1430.13</v>
      </c>
      <c r="D1150" s="11">
        <v>2000</v>
      </c>
    </row>
    <row r="1151" spans="1:4" ht="19.95" customHeight="1" x14ac:dyDescent="0.25">
      <c r="A1151" s="10" t="s">
        <v>39</v>
      </c>
      <c r="B1151" s="11" t="s">
        <v>14</v>
      </c>
      <c r="C1151" s="11">
        <v>1822.499</v>
      </c>
      <c r="D1151" s="11">
        <v>2000</v>
      </c>
    </row>
    <row r="1152" spans="1:4" ht="19.95" customHeight="1" x14ac:dyDescent="0.25">
      <c r="A1152" s="10" t="s">
        <v>40</v>
      </c>
      <c r="B1152" s="11" t="s">
        <v>14</v>
      </c>
      <c r="C1152" s="11">
        <v>13923.599</v>
      </c>
      <c r="D1152" s="11">
        <v>2000</v>
      </c>
    </row>
    <row r="1153" spans="1:4" ht="19.95" customHeight="1" x14ac:dyDescent="0.25">
      <c r="A1153" s="10" t="s">
        <v>10</v>
      </c>
      <c r="B1153" s="11" t="s">
        <v>14</v>
      </c>
      <c r="C1153" s="11">
        <v>205.352</v>
      </c>
      <c r="D1153" s="11">
        <v>2001</v>
      </c>
    </row>
    <row r="1154" spans="1:4" ht="19.95" customHeight="1" x14ac:dyDescent="0.25">
      <c r="A1154" s="10" t="s">
        <v>13</v>
      </c>
      <c r="B1154" s="11" t="s">
        <v>14</v>
      </c>
      <c r="C1154" s="11">
        <v>3421.3110000000001</v>
      </c>
      <c r="D1154" s="11">
        <v>2001</v>
      </c>
    </row>
    <row r="1155" spans="1:4" ht="19.95" customHeight="1" x14ac:dyDescent="0.25">
      <c r="A1155" s="10" t="s">
        <v>15</v>
      </c>
      <c r="B1155" s="11" t="s">
        <v>14</v>
      </c>
      <c r="C1155" s="11">
        <v>172.34899999999999</v>
      </c>
      <c r="D1155" s="11">
        <v>2001</v>
      </c>
    </row>
    <row r="1156" spans="1:4" ht="19.95" customHeight="1" x14ac:dyDescent="0.25">
      <c r="A1156" s="10" t="s">
        <v>16</v>
      </c>
      <c r="B1156" s="11" t="s">
        <v>14</v>
      </c>
      <c r="C1156" s="11">
        <v>102.676</v>
      </c>
      <c r="D1156" s="11">
        <v>2001</v>
      </c>
    </row>
    <row r="1157" spans="1:4" ht="19.95" customHeight="1" x14ac:dyDescent="0.25">
      <c r="A1157" s="10" t="s">
        <v>17</v>
      </c>
      <c r="B1157" s="11" t="s">
        <v>14</v>
      </c>
      <c r="C1157" s="11">
        <v>366.7</v>
      </c>
      <c r="D1157" s="11">
        <v>2001</v>
      </c>
    </row>
    <row r="1158" spans="1:4" ht="19.95" customHeight="1" x14ac:dyDescent="0.25">
      <c r="A1158" s="10" t="s">
        <v>2</v>
      </c>
      <c r="B1158" s="11" t="s">
        <v>14</v>
      </c>
      <c r="C1158" s="11">
        <v>4352.7290000000003</v>
      </c>
      <c r="D1158" s="11">
        <v>2001</v>
      </c>
    </row>
    <row r="1159" spans="1:4" ht="19.95" customHeight="1" x14ac:dyDescent="0.25">
      <c r="A1159" s="10" t="s">
        <v>18</v>
      </c>
      <c r="B1159" s="11" t="s">
        <v>14</v>
      </c>
      <c r="C1159" s="11">
        <v>1719.8230000000001</v>
      </c>
      <c r="D1159" s="11">
        <v>2001</v>
      </c>
    </row>
    <row r="1160" spans="1:4" ht="19.95" customHeight="1" x14ac:dyDescent="0.25">
      <c r="A1160" s="10" t="s">
        <v>19</v>
      </c>
      <c r="B1160" s="11" t="s">
        <v>14</v>
      </c>
      <c r="C1160" s="11">
        <v>1569.4760000000001</v>
      </c>
      <c r="D1160" s="11">
        <v>2001</v>
      </c>
    </row>
    <row r="1161" spans="1:4" ht="19.95" customHeight="1" x14ac:dyDescent="0.25">
      <c r="A1161" s="10" t="s">
        <v>20</v>
      </c>
      <c r="B1161" s="11" t="s">
        <v>14</v>
      </c>
      <c r="C1161" s="11">
        <v>9369.1849999999995</v>
      </c>
      <c r="D1161" s="11">
        <v>2001</v>
      </c>
    </row>
    <row r="1162" spans="1:4" ht="19.95" customHeight="1" x14ac:dyDescent="0.25">
      <c r="A1162" s="10" t="s">
        <v>21</v>
      </c>
      <c r="B1162" s="11" t="s">
        <v>14</v>
      </c>
      <c r="C1162" s="11"/>
      <c r="D1162" s="11">
        <v>2001</v>
      </c>
    </row>
    <row r="1163" spans="1:4" ht="19.95" customHeight="1" x14ac:dyDescent="0.25">
      <c r="A1163" s="10" t="s">
        <v>22</v>
      </c>
      <c r="B1163" s="11" t="s">
        <v>14</v>
      </c>
      <c r="C1163" s="11">
        <v>491.37799999999999</v>
      </c>
      <c r="D1163" s="11">
        <v>2001</v>
      </c>
    </row>
    <row r="1164" spans="1:4" ht="19.95" customHeight="1" x14ac:dyDescent="0.25">
      <c r="A1164" s="10" t="s">
        <v>23</v>
      </c>
      <c r="B1164" s="11" t="s">
        <v>14</v>
      </c>
      <c r="C1164" s="11">
        <v>1741.825</v>
      </c>
      <c r="D1164" s="11">
        <v>2001</v>
      </c>
    </row>
    <row r="1165" spans="1:4" ht="19.95" customHeight="1" x14ac:dyDescent="0.25">
      <c r="A1165" s="10" t="s">
        <v>24</v>
      </c>
      <c r="B1165" s="11" t="s">
        <v>14</v>
      </c>
      <c r="C1165" s="11">
        <v>865.41200000000003</v>
      </c>
      <c r="D1165" s="11">
        <v>2001</v>
      </c>
    </row>
    <row r="1166" spans="1:4" ht="19.95" customHeight="1" x14ac:dyDescent="0.25">
      <c r="A1166" s="10" t="s">
        <v>25</v>
      </c>
      <c r="B1166" s="11" t="s">
        <v>14</v>
      </c>
      <c r="C1166" s="11">
        <v>828.74199999999996</v>
      </c>
      <c r="D1166" s="11">
        <v>2001</v>
      </c>
    </row>
    <row r="1167" spans="1:4" ht="19.95" customHeight="1" x14ac:dyDescent="0.25">
      <c r="A1167" s="10" t="s">
        <v>26</v>
      </c>
      <c r="B1167" s="11" t="s">
        <v>14</v>
      </c>
      <c r="C1167" s="11">
        <v>3714.6709999999998</v>
      </c>
      <c r="D1167" s="11">
        <v>2001</v>
      </c>
    </row>
    <row r="1168" spans="1:4" ht="19.95" customHeight="1" x14ac:dyDescent="0.25">
      <c r="A1168" s="10" t="s">
        <v>27</v>
      </c>
      <c r="B1168" s="11" t="s">
        <v>14</v>
      </c>
      <c r="C1168" s="11">
        <v>1580.4770000000001</v>
      </c>
      <c r="D1168" s="11">
        <v>2001</v>
      </c>
    </row>
    <row r="1169" spans="1:4" ht="19.95" customHeight="1" x14ac:dyDescent="0.25">
      <c r="A1169" s="10" t="s">
        <v>29</v>
      </c>
      <c r="B1169" s="11" t="s">
        <v>14</v>
      </c>
      <c r="C1169" s="11">
        <v>8723.7929999999997</v>
      </c>
      <c r="D1169" s="11">
        <v>2001</v>
      </c>
    </row>
    <row r="1170" spans="1:4" ht="19.95" customHeight="1" x14ac:dyDescent="0.25">
      <c r="A1170" s="10" t="s">
        <v>30</v>
      </c>
      <c r="B1170" s="11" t="s">
        <v>14</v>
      </c>
      <c r="C1170" s="11">
        <v>3267.297</v>
      </c>
      <c r="D1170" s="11">
        <v>2001</v>
      </c>
    </row>
    <row r="1171" spans="1:4" ht="19.95" customHeight="1" x14ac:dyDescent="0.25">
      <c r="A1171" s="10" t="s">
        <v>31</v>
      </c>
      <c r="B1171" s="11" t="s">
        <v>14</v>
      </c>
      <c r="C1171" s="11">
        <v>3964.027</v>
      </c>
      <c r="D1171" s="11">
        <v>2001</v>
      </c>
    </row>
    <row r="1172" spans="1:4" ht="19.95" customHeight="1" x14ac:dyDescent="0.25">
      <c r="A1172" s="10" t="s">
        <v>32</v>
      </c>
      <c r="B1172" s="11" t="s">
        <v>14</v>
      </c>
      <c r="C1172" s="11">
        <v>656.39300000000003</v>
      </c>
      <c r="D1172" s="11">
        <v>2001</v>
      </c>
    </row>
    <row r="1173" spans="1:4" ht="19.95" customHeight="1" x14ac:dyDescent="0.25">
      <c r="A1173" s="10" t="s">
        <v>33</v>
      </c>
      <c r="B1173" s="11" t="s">
        <v>14</v>
      </c>
      <c r="C1173" s="11">
        <v>531.71500000000003</v>
      </c>
      <c r="D1173" s="11">
        <v>2001</v>
      </c>
    </row>
    <row r="1174" spans="1:4" ht="19.95" customHeight="1" x14ac:dyDescent="0.25">
      <c r="A1174" s="10" t="s">
        <v>34</v>
      </c>
      <c r="B1174" s="11" t="s">
        <v>14</v>
      </c>
      <c r="C1174" s="11">
        <v>51.338000000000001</v>
      </c>
      <c r="D1174" s="11">
        <v>2001</v>
      </c>
    </row>
    <row r="1175" spans="1:4" ht="19.95" customHeight="1" x14ac:dyDescent="0.25">
      <c r="A1175" s="10" t="s">
        <v>35</v>
      </c>
      <c r="B1175" s="11" t="s">
        <v>14</v>
      </c>
      <c r="C1175" s="11">
        <v>10443.616</v>
      </c>
      <c r="D1175" s="11">
        <v>2001</v>
      </c>
    </row>
    <row r="1176" spans="1:4" ht="19.95" customHeight="1" x14ac:dyDescent="0.25">
      <c r="A1176" s="10" t="s">
        <v>36</v>
      </c>
      <c r="B1176" s="11" t="s">
        <v>14</v>
      </c>
      <c r="C1176" s="11">
        <v>2291.875</v>
      </c>
      <c r="D1176" s="11">
        <v>2001</v>
      </c>
    </row>
    <row r="1177" spans="1:4" ht="19.95" customHeight="1" x14ac:dyDescent="0.25">
      <c r="A1177" s="10" t="s">
        <v>37</v>
      </c>
      <c r="B1177" s="11" t="s">
        <v>14</v>
      </c>
      <c r="C1177" s="11">
        <v>3127.951</v>
      </c>
      <c r="D1177" s="11">
        <v>2001</v>
      </c>
    </row>
    <row r="1178" spans="1:4" ht="19.95" customHeight="1" x14ac:dyDescent="0.25">
      <c r="A1178" s="10" t="s">
        <v>38</v>
      </c>
      <c r="B1178" s="11" t="s">
        <v>14</v>
      </c>
      <c r="C1178" s="11">
        <v>1510.8040000000001</v>
      </c>
      <c r="D1178" s="11">
        <v>2001</v>
      </c>
    </row>
    <row r="1179" spans="1:4" ht="19.95" customHeight="1" x14ac:dyDescent="0.25">
      <c r="A1179" s="10" t="s">
        <v>39</v>
      </c>
      <c r="B1179" s="11" t="s">
        <v>14</v>
      </c>
      <c r="C1179" s="11">
        <v>1906.84</v>
      </c>
      <c r="D1179" s="11">
        <v>2001</v>
      </c>
    </row>
    <row r="1180" spans="1:4" ht="19.95" customHeight="1" x14ac:dyDescent="0.25">
      <c r="A1180" s="10" t="s">
        <v>40</v>
      </c>
      <c r="B1180" s="11" t="s">
        <v>14</v>
      </c>
      <c r="C1180" s="11">
        <v>12596.145</v>
      </c>
      <c r="D1180" s="11">
        <v>2001</v>
      </c>
    </row>
    <row r="1181" spans="1:4" ht="19.95" customHeight="1" x14ac:dyDescent="0.25">
      <c r="A1181" s="10" t="s">
        <v>10</v>
      </c>
      <c r="B1181" s="11" t="s">
        <v>14</v>
      </c>
      <c r="C1181" s="11">
        <v>212.68600000000001</v>
      </c>
      <c r="D1181" s="11">
        <v>2002</v>
      </c>
    </row>
    <row r="1182" spans="1:4" ht="19.95" customHeight="1" x14ac:dyDescent="0.25">
      <c r="A1182" s="10" t="s">
        <v>13</v>
      </c>
      <c r="B1182" s="11" t="s">
        <v>14</v>
      </c>
      <c r="C1182" s="11">
        <v>3417.6439999999998</v>
      </c>
      <c r="D1182" s="11">
        <v>2002</v>
      </c>
    </row>
    <row r="1183" spans="1:4" ht="19.95" customHeight="1" x14ac:dyDescent="0.25">
      <c r="A1183" s="10" t="s">
        <v>15</v>
      </c>
      <c r="B1183" s="11" t="s">
        <v>14</v>
      </c>
      <c r="C1183" s="11">
        <v>168.68199999999999</v>
      </c>
      <c r="D1183" s="11">
        <v>2002</v>
      </c>
    </row>
    <row r="1184" spans="1:4" ht="19.95" customHeight="1" x14ac:dyDescent="0.25">
      <c r="A1184" s="10" t="s">
        <v>16</v>
      </c>
      <c r="B1184" s="11" t="s">
        <v>14</v>
      </c>
      <c r="C1184" s="11">
        <v>102.676</v>
      </c>
      <c r="D1184" s="11">
        <v>2002</v>
      </c>
    </row>
    <row r="1185" spans="1:4" ht="19.95" customHeight="1" x14ac:dyDescent="0.25">
      <c r="A1185" s="10" t="s">
        <v>17</v>
      </c>
      <c r="B1185" s="11" t="s">
        <v>14</v>
      </c>
      <c r="C1185" s="11">
        <v>399.70299999999997</v>
      </c>
      <c r="D1185" s="11">
        <v>2002</v>
      </c>
    </row>
    <row r="1186" spans="1:4" ht="19.95" customHeight="1" x14ac:dyDescent="0.25">
      <c r="A1186" s="10" t="s">
        <v>2</v>
      </c>
      <c r="B1186" s="11" t="s">
        <v>14</v>
      </c>
      <c r="C1186" s="11">
        <v>4521.4110000000001</v>
      </c>
      <c r="D1186" s="11">
        <v>2002</v>
      </c>
    </row>
    <row r="1187" spans="1:4" ht="19.95" customHeight="1" x14ac:dyDescent="0.25">
      <c r="A1187" s="10" t="s">
        <v>18</v>
      </c>
      <c r="B1187" s="11" t="s">
        <v>14</v>
      </c>
      <c r="C1187" s="11">
        <v>1804.164</v>
      </c>
      <c r="D1187" s="11">
        <v>2002</v>
      </c>
    </row>
    <row r="1188" spans="1:4" ht="19.95" customHeight="1" x14ac:dyDescent="0.25">
      <c r="A1188" s="10" t="s">
        <v>19</v>
      </c>
      <c r="B1188" s="11" t="s">
        <v>14</v>
      </c>
      <c r="C1188" s="11">
        <v>1826.1659999999999</v>
      </c>
      <c r="D1188" s="11">
        <v>2002</v>
      </c>
    </row>
    <row r="1189" spans="1:4" ht="19.95" customHeight="1" x14ac:dyDescent="0.25">
      <c r="A1189" s="10" t="s">
        <v>20</v>
      </c>
      <c r="B1189" s="11" t="s">
        <v>14</v>
      </c>
      <c r="C1189" s="11">
        <v>7968.3909999999996</v>
      </c>
      <c r="D1189" s="11">
        <v>2002</v>
      </c>
    </row>
    <row r="1190" spans="1:4" ht="19.95" customHeight="1" x14ac:dyDescent="0.25">
      <c r="A1190" s="10" t="s">
        <v>21</v>
      </c>
      <c r="B1190" s="11" t="s">
        <v>14</v>
      </c>
      <c r="C1190" s="11"/>
      <c r="D1190" s="11">
        <v>2002</v>
      </c>
    </row>
    <row r="1191" spans="1:4" ht="19.95" customHeight="1" x14ac:dyDescent="0.25">
      <c r="A1191" s="10" t="s">
        <v>22</v>
      </c>
      <c r="B1191" s="11" t="s">
        <v>14</v>
      </c>
      <c r="C1191" s="11">
        <v>487.71100000000001</v>
      </c>
      <c r="D1191" s="11">
        <v>2002</v>
      </c>
    </row>
    <row r="1192" spans="1:4" ht="19.95" customHeight="1" x14ac:dyDescent="0.25">
      <c r="A1192" s="10" t="s">
        <v>23</v>
      </c>
      <c r="B1192" s="11" t="s">
        <v>14</v>
      </c>
      <c r="C1192" s="11">
        <v>1235.779</v>
      </c>
      <c r="D1192" s="11">
        <v>2002</v>
      </c>
    </row>
    <row r="1193" spans="1:4" ht="19.95" customHeight="1" x14ac:dyDescent="0.25">
      <c r="A1193" s="10" t="s">
        <v>24</v>
      </c>
      <c r="B1193" s="11" t="s">
        <v>14</v>
      </c>
      <c r="C1193" s="11">
        <v>850.74400000000003</v>
      </c>
      <c r="D1193" s="11">
        <v>2002</v>
      </c>
    </row>
    <row r="1194" spans="1:4" ht="19.95" customHeight="1" x14ac:dyDescent="0.25">
      <c r="A1194" s="10" t="s">
        <v>25</v>
      </c>
      <c r="B1194" s="11" t="s">
        <v>14</v>
      </c>
      <c r="C1194" s="11">
        <v>847.077</v>
      </c>
      <c r="D1194" s="11">
        <v>2002</v>
      </c>
    </row>
    <row r="1195" spans="1:4" ht="19.95" customHeight="1" x14ac:dyDescent="0.25">
      <c r="A1195" s="10" t="s">
        <v>26</v>
      </c>
      <c r="B1195" s="11" t="s">
        <v>14</v>
      </c>
      <c r="C1195" s="11">
        <v>3986.029</v>
      </c>
      <c r="D1195" s="11">
        <v>2002</v>
      </c>
    </row>
    <row r="1196" spans="1:4" ht="19.95" customHeight="1" x14ac:dyDescent="0.25">
      <c r="A1196" s="10" t="s">
        <v>27</v>
      </c>
      <c r="B1196" s="11" t="s">
        <v>14</v>
      </c>
      <c r="C1196" s="11">
        <v>1587.8109999999999</v>
      </c>
      <c r="D1196" s="11">
        <v>2002</v>
      </c>
    </row>
    <row r="1197" spans="1:4" ht="19.95" customHeight="1" x14ac:dyDescent="0.25">
      <c r="A1197" s="10" t="s">
        <v>29</v>
      </c>
      <c r="B1197" s="11" t="s">
        <v>14</v>
      </c>
      <c r="C1197" s="11">
        <v>9207.8369999999995</v>
      </c>
      <c r="D1197" s="11">
        <v>2002</v>
      </c>
    </row>
    <row r="1198" spans="1:4" ht="19.95" customHeight="1" x14ac:dyDescent="0.25">
      <c r="A1198" s="10" t="s">
        <v>30</v>
      </c>
      <c r="B1198" s="11" t="s">
        <v>14</v>
      </c>
      <c r="C1198" s="11">
        <v>2625.5720000000001</v>
      </c>
      <c r="D1198" s="11">
        <v>2002</v>
      </c>
    </row>
    <row r="1199" spans="1:4" ht="19.95" customHeight="1" x14ac:dyDescent="0.25">
      <c r="A1199" s="10" t="s">
        <v>31</v>
      </c>
      <c r="B1199" s="11" t="s">
        <v>14</v>
      </c>
      <c r="C1199" s="11">
        <v>4037.3670000000002</v>
      </c>
      <c r="D1199" s="11">
        <v>2002</v>
      </c>
    </row>
    <row r="1200" spans="1:4" ht="19.95" customHeight="1" x14ac:dyDescent="0.25">
      <c r="A1200" s="10" t="s">
        <v>32</v>
      </c>
      <c r="B1200" s="11" t="s">
        <v>14</v>
      </c>
      <c r="C1200" s="11">
        <v>700.39700000000005</v>
      </c>
      <c r="D1200" s="11">
        <v>2002</v>
      </c>
    </row>
    <row r="1201" spans="1:4" ht="19.95" customHeight="1" x14ac:dyDescent="0.25">
      <c r="A1201" s="10" t="s">
        <v>33</v>
      </c>
      <c r="B1201" s="11" t="s">
        <v>14</v>
      </c>
      <c r="C1201" s="11">
        <v>531.71500000000003</v>
      </c>
      <c r="D1201" s="11">
        <v>2002</v>
      </c>
    </row>
    <row r="1202" spans="1:4" ht="19.95" customHeight="1" x14ac:dyDescent="0.25">
      <c r="A1202" s="10" t="s">
        <v>34</v>
      </c>
      <c r="B1202" s="11" t="s">
        <v>14</v>
      </c>
      <c r="C1202" s="11">
        <v>58.671999999999997</v>
      </c>
      <c r="D1202" s="11">
        <v>2002</v>
      </c>
    </row>
    <row r="1203" spans="1:4" ht="19.95" customHeight="1" x14ac:dyDescent="0.25">
      <c r="A1203" s="10" t="s">
        <v>35</v>
      </c>
      <c r="B1203" s="11" t="s">
        <v>14</v>
      </c>
      <c r="C1203" s="11">
        <v>11056.004999999999</v>
      </c>
      <c r="D1203" s="11">
        <v>2002</v>
      </c>
    </row>
    <row r="1204" spans="1:4" ht="19.95" customHeight="1" x14ac:dyDescent="0.25">
      <c r="A1204" s="10" t="s">
        <v>36</v>
      </c>
      <c r="B1204" s="11" t="s">
        <v>14</v>
      </c>
      <c r="C1204" s="11">
        <v>1881.171</v>
      </c>
      <c r="D1204" s="11">
        <v>2002</v>
      </c>
    </row>
    <row r="1205" spans="1:4" ht="19.95" customHeight="1" x14ac:dyDescent="0.25">
      <c r="A1205" s="10" t="s">
        <v>37</v>
      </c>
      <c r="B1205" s="11" t="s">
        <v>14</v>
      </c>
      <c r="C1205" s="11">
        <v>3589.9929999999999</v>
      </c>
      <c r="D1205" s="11">
        <v>2002</v>
      </c>
    </row>
    <row r="1206" spans="1:4" ht="19.95" customHeight="1" x14ac:dyDescent="0.25">
      <c r="A1206" s="10" t="s">
        <v>38</v>
      </c>
      <c r="B1206" s="11" t="s">
        <v>14</v>
      </c>
      <c r="C1206" s="11">
        <v>1558.4749999999999</v>
      </c>
      <c r="D1206" s="11">
        <v>2002</v>
      </c>
    </row>
    <row r="1207" spans="1:4" ht="19.95" customHeight="1" x14ac:dyDescent="0.25">
      <c r="A1207" s="10" t="s">
        <v>39</v>
      </c>
      <c r="B1207" s="11" t="s">
        <v>14</v>
      </c>
      <c r="C1207" s="11">
        <v>1983.847</v>
      </c>
      <c r="D1207" s="11">
        <v>2002</v>
      </c>
    </row>
    <row r="1208" spans="1:4" ht="19.95" customHeight="1" x14ac:dyDescent="0.25">
      <c r="A1208" s="10" t="s">
        <v>40</v>
      </c>
      <c r="B1208" s="11" t="s">
        <v>14</v>
      </c>
      <c r="C1208" s="11">
        <v>11965.421</v>
      </c>
      <c r="D1208" s="11">
        <v>2002</v>
      </c>
    </row>
    <row r="1209" spans="1:4" ht="19.95" customHeight="1" x14ac:dyDescent="0.25">
      <c r="A1209" s="10" t="s">
        <v>10</v>
      </c>
      <c r="B1209" s="11" t="s">
        <v>14</v>
      </c>
      <c r="C1209" s="11">
        <v>161.34800000000001</v>
      </c>
      <c r="D1209" s="11">
        <v>2003</v>
      </c>
    </row>
    <row r="1210" spans="1:4" ht="19.95" customHeight="1" x14ac:dyDescent="0.25">
      <c r="A1210" s="10" t="s">
        <v>13</v>
      </c>
      <c r="B1210" s="11" t="s">
        <v>14</v>
      </c>
      <c r="C1210" s="11">
        <v>3795.3449999999998</v>
      </c>
      <c r="D1210" s="11">
        <v>2003</v>
      </c>
    </row>
    <row r="1211" spans="1:4" ht="19.95" customHeight="1" x14ac:dyDescent="0.25">
      <c r="A1211" s="10" t="s">
        <v>15</v>
      </c>
      <c r="B1211" s="11" t="s">
        <v>14</v>
      </c>
      <c r="C1211" s="11">
        <v>381.36799999999999</v>
      </c>
      <c r="D1211" s="11">
        <v>2003</v>
      </c>
    </row>
    <row r="1212" spans="1:4" ht="19.95" customHeight="1" x14ac:dyDescent="0.25">
      <c r="A1212" s="10" t="s">
        <v>16</v>
      </c>
      <c r="B1212" s="11" t="s">
        <v>14</v>
      </c>
      <c r="C1212" s="11">
        <v>132.012</v>
      </c>
      <c r="D1212" s="11">
        <v>2003</v>
      </c>
    </row>
    <row r="1213" spans="1:4" ht="19.95" customHeight="1" x14ac:dyDescent="0.25">
      <c r="A1213" s="10" t="s">
        <v>17</v>
      </c>
      <c r="B1213" s="11" t="s">
        <v>14</v>
      </c>
      <c r="C1213" s="11">
        <v>421.70499999999998</v>
      </c>
      <c r="D1213" s="11">
        <v>2003</v>
      </c>
    </row>
    <row r="1214" spans="1:4" ht="19.95" customHeight="1" x14ac:dyDescent="0.25">
      <c r="A1214" s="10" t="s">
        <v>2</v>
      </c>
      <c r="B1214" s="11" t="s">
        <v>14</v>
      </c>
      <c r="C1214" s="11">
        <v>4987.12</v>
      </c>
      <c r="D1214" s="11">
        <v>2003</v>
      </c>
    </row>
    <row r="1215" spans="1:4" ht="19.95" customHeight="1" x14ac:dyDescent="0.25">
      <c r="A1215" s="10" t="s">
        <v>18</v>
      </c>
      <c r="B1215" s="11" t="s">
        <v>14</v>
      </c>
      <c r="C1215" s="11">
        <v>1881.171</v>
      </c>
      <c r="D1215" s="11">
        <v>2003</v>
      </c>
    </row>
    <row r="1216" spans="1:4" ht="19.95" customHeight="1" x14ac:dyDescent="0.25">
      <c r="A1216" s="10" t="s">
        <v>19</v>
      </c>
      <c r="B1216" s="11" t="s">
        <v>14</v>
      </c>
      <c r="C1216" s="11">
        <v>1734.491</v>
      </c>
      <c r="D1216" s="11">
        <v>2003</v>
      </c>
    </row>
    <row r="1217" spans="1:4" ht="19.95" customHeight="1" x14ac:dyDescent="0.25">
      <c r="A1217" s="10" t="s">
        <v>20</v>
      </c>
      <c r="B1217" s="11" t="s">
        <v>14</v>
      </c>
      <c r="C1217" s="11">
        <v>6754.6139999999996</v>
      </c>
      <c r="D1217" s="11">
        <v>2003</v>
      </c>
    </row>
    <row r="1218" spans="1:4" ht="19.95" customHeight="1" x14ac:dyDescent="0.25">
      <c r="A1218" s="10" t="s">
        <v>21</v>
      </c>
      <c r="B1218" s="11" t="s">
        <v>14</v>
      </c>
      <c r="C1218" s="11"/>
      <c r="D1218" s="11">
        <v>2003</v>
      </c>
    </row>
    <row r="1219" spans="1:4" ht="19.95" customHeight="1" x14ac:dyDescent="0.25">
      <c r="A1219" s="10" t="s">
        <v>22</v>
      </c>
      <c r="B1219" s="11" t="s">
        <v>14</v>
      </c>
      <c r="C1219" s="11">
        <v>520.71400000000006</v>
      </c>
      <c r="D1219" s="11">
        <v>2003</v>
      </c>
    </row>
    <row r="1220" spans="1:4" ht="19.95" customHeight="1" x14ac:dyDescent="0.25">
      <c r="A1220" s="10" t="s">
        <v>23</v>
      </c>
      <c r="B1220" s="11" t="s">
        <v>14</v>
      </c>
      <c r="C1220" s="11">
        <v>1701.4880000000001</v>
      </c>
      <c r="D1220" s="11">
        <v>2003</v>
      </c>
    </row>
    <row r="1221" spans="1:4" ht="19.95" customHeight="1" x14ac:dyDescent="0.25">
      <c r="A1221" s="10" t="s">
        <v>24</v>
      </c>
      <c r="B1221" s="11" t="s">
        <v>14</v>
      </c>
      <c r="C1221" s="11">
        <v>916.75</v>
      </c>
      <c r="D1221" s="11">
        <v>2003</v>
      </c>
    </row>
    <row r="1222" spans="1:4" ht="19.95" customHeight="1" x14ac:dyDescent="0.25">
      <c r="A1222" s="10" t="s">
        <v>25</v>
      </c>
      <c r="B1222" s="11" t="s">
        <v>14</v>
      </c>
      <c r="C1222" s="11">
        <v>843.41</v>
      </c>
      <c r="D1222" s="11">
        <v>2003</v>
      </c>
    </row>
    <row r="1223" spans="1:4" ht="19.95" customHeight="1" x14ac:dyDescent="0.25">
      <c r="A1223" s="10" t="s">
        <v>26</v>
      </c>
      <c r="B1223" s="11" t="s">
        <v>14</v>
      </c>
      <c r="C1223" s="11">
        <v>4290.3900000000003</v>
      </c>
      <c r="D1223" s="11">
        <v>2003</v>
      </c>
    </row>
    <row r="1224" spans="1:4" ht="19.95" customHeight="1" x14ac:dyDescent="0.25">
      <c r="A1224" s="10" t="s">
        <v>27</v>
      </c>
      <c r="B1224" s="11" t="s">
        <v>14</v>
      </c>
      <c r="C1224" s="11">
        <v>1917.8409999999999</v>
      </c>
      <c r="D1224" s="11">
        <v>2003</v>
      </c>
    </row>
    <row r="1225" spans="1:4" ht="19.95" customHeight="1" x14ac:dyDescent="0.25">
      <c r="A1225" s="10" t="s">
        <v>29</v>
      </c>
      <c r="B1225" s="11" t="s">
        <v>14</v>
      </c>
      <c r="C1225" s="11">
        <v>9845.8950000000004</v>
      </c>
      <c r="D1225" s="11">
        <v>2003</v>
      </c>
    </row>
    <row r="1226" spans="1:4" ht="19.95" customHeight="1" x14ac:dyDescent="0.25">
      <c r="A1226" s="10" t="s">
        <v>30</v>
      </c>
      <c r="B1226" s="11" t="s">
        <v>14</v>
      </c>
      <c r="C1226" s="11">
        <v>2841.9250000000002</v>
      </c>
      <c r="D1226" s="11">
        <v>2003</v>
      </c>
    </row>
    <row r="1227" spans="1:4" ht="19.95" customHeight="1" x14ac:dyDescent="0.25">
      <c r="A1227" s="10" t="s">
        <v>31</v>
      </c>
      <c r="B1227" s="11" t="s">
        <v>14</v>
      </c>
      <c r="C1227" s="11">
        <v>4411.4009999999998</v>
      </c>
      <c r="D1227" s="11">
        <v>2003</v>
      </c>
    </row>
    <row r="1228" spans="1:4" ht="19.95" customHeight="1" x14ac:dyDescent="0.25">
      <c r="A1228" s="10" t="s">
        <v>32</v>
      </c>
      <c r="B1228" s="11" t="s">
        <v>14</v>
      </c>
      <c r="C1228" s="11">
        <v>759.06899999999996</v>
      </c>
      <c r="D1228" s="11">
        <v>2003</v>
      </c>
    </row>
    <row r="1229" spans="1:4" ht="19.95" customHeight="1" x14ac:dyDescent="0.25">
      <c r="A1229" s="10" t="s">
        <v>33</v>
      </c>
      <c r="B1229" s="11" t="s">
        <v>14</v>
      </c>
      <c r="C1229" s="11">
        <v>520.71400000000006</v>
      </c>
      <c r="D1229" s="11">
        <v>2003</v>
      </c>
    </row>
    <row r="1230" spans="1:4" ht="19.95" customHeight="1" x14ac:dyDescent="0.25">
      <c r="A1230" s="10" t="s">
        <v>34</v>
      </c>
      <c r="B1230" s="11" t="s">
        <v>14</v>
      </c>
      <c r="C1230" s="11">
        <v>66.006</v>
      </c>
      <c r="D1230" s="11">
        <v>2003</v>
      </c>
    </row>
    <row r="1231" spans="1:4" ht="19.95" customHeight="1" x14ac:dyDescent="0.25">
      <c r="A1231" s="10" t="s">
        <v>35</v>
      </c>
      <c r="B1231" s="11" t="s">
        <v>14</v>
      </c>
      <c r="C1231" s="11">
        <v>11078.007</v>
      </c>
      <c r="D1231" s="11">
        <v>2003</v>
      </c>
    </row>
    <row r="1232" spans="1:4" ht="19.95" customHeight="1" x14ac:dyDescent="0.25">
      <c r="A1232" s="10" t="s">
        <v>36</v>
      </c>
      <c r="B1232" s="11" t="s">
        <v>14</v>
      </c>
      <c r="C1232" s="11">
        <v>2075.5219999999999</v>
      </c>
      <c r="D1232" s="11">
        <v>2003</v>
      </c>
    </row>
    <row r="1233" spans="1:4" ht="19.95" customHeight="1" x14ac:dyDescent="0.25">
      <c r="A1233" s="10" t="s">
        <v>37</v>
      </c>
      <c r="B1233" s="11" t="s">
        <v>14</v>
      </c>
      <c r="C1233" s="11">
        <v>3806.346</v>
      </c>
      <c r="D1233" s="11">
        <v>2003</v>
      </c>
    </row>
    <row r="1234" spans="1:4" ht="19.95" customHeight="1" x14ac:dyDescent="0.25">
      <c r="A1234" s="10" t="s">
        <v>38</v>
      </c>
      <c r="B1234" s="11" t="s">
        <v>14</v>
      </c>
      <c r="C1234" s="11">
        <v>1598.8119999999999</v>
      </c>
      <c r="D1234" s="11">
        <v>2003</v>
      </c>
    </row>
    <row r="1235" spans="1:4" ht="19.95" customHeight="1" x14ac:dyDescent="0.25">
      <c r="A1235" s="10" t="s">
        <v>39</v>
      </c>
      <c r="B1235" s="11" t="s">
        <v>14</v>
      </c>
      <c r="C1235" s="11">
        <v>2112.192</v>
      </c>
      <c r="D1235" s="11">
        <v>2003</v>
      </c>
    </row>
    <row r="1236" spans="1:4" ht="19.95" customHeight="1" x14ac:dyDescent="0.25">
      <c r="A1236" s="10" t="s">
        <v>40</v>
      </c>
      <c r="B1236" s="11" t="s">
        <v>14</v>
      </c>
      <c r="C1236" s="11">
        <v>10656.302</v>
      </c>
      <c r="D1236" s="11">
        <v>2003</v>
      </c>
    </row>
    <row r="1237" spans="1:4" ht="19.95" customHeight="1" x14ac:dyDescent="0.25">
      <c r="A1237" s="10" t="s">
        <v>10</v>
      </c>
      <c r="B1237" s="11" t="s">
        <v>14</v>
      </c>
      <c r="C1237" s="11">
        <v>198.018</v>
      </c>
      <c r="D1237" s="11">
        <v>2004</v>
      </c>
    </row>
    <row r="1238" spans="1:4" ht="19.95" customHeight="1" x14ac:dyDescent="0.25">
      <c r="A1238" s="10" t="s">
        <v>13</v>
      </c>
      <c r="B1238" s="11" t="s">
        <v>14</v>
      </c>
      <c r="C1238" s="11">
        <v>3956.6930000000002</v>
      </c>
      <c r="D1238" s="11">
        <v>2004</v>
      </c>
    </row>
    <row r="1239" spans="1:4" ht="19.95" customHeight="1" x14ac:dyDescent="0.25">
      <c r="A1239" s="10" t="s">
        <v>15</v>
      </c>
      <c r="B1239" s="11" t="s">
        <v>14</v>
      </c>
      <c r="C1239" s="11">
        <v>377.70100000000002</v>
      </c>
      <c r="D1239" s="11">
        <v>2004</v>
      </c>
    </row>
    <row r="1240" spans="1:4" ht="19.95" customHeight="1" x14ac:dyDescent="0.25">
      <c r="A1240" s="10" t="s">
        <v>16</v>
      </c>
      <c r="B1240" s="11" t="s">
        <v>14</v>
      </c>
      <c r="C1240" s="11">
        <v>143.01300000000001</v>
      </c>
      <c r="D1240" s="11">
        <v>2004</v>
      </c>
    </row>
    <row r="1241" spans="1:4" ht="19.95" customHeight="1" x14ac:dyDescent="0.25">
      <c r="A1241" s="10" t="s">
        <v>17</v>
      </c>
      <c r="B1241" s="11" t="s">
        <v>14</v>
      </c>
      <c r="C1241" s="11">
        <v>407.03699999999998</v>
      </c>
      <c r="D1241" s="11">
        <v>2004</v>
      </c>
    </row>
    <row r="1242" spans="1:4" ht="19.95" customHeight="1" x14ac:dyDescent="0.25">
      <c r="A1242" s="10" t="s">
        <v>2</v>
      </c>
      <c r="B1242" s="11" t="s">
        <v>14</v>
      </c>
      <c r="C1242" s="11">
        <v>5295.1480000000001</v>
      </c>
      <c r="D1242" s="11">
        <v>2004</v>
      </c>
    </row>
    <row r="1243" spans="1:4" ht="19.95" customHeight="1" x14ac:dyDescent="0.25">
      <c r="A1243" s="10" t="s">
        <v>18</v>
      </c>
      <c r="B1243" s="11" t="s">
        <v>14</v>
      </c>
      <c r="C1243" s="11">
        <v>1943.51</v>
      </c>
      <c r="D1243" s="11">
        <v>2004</v>
      </c>
    </row>
    <row r="1244" spans="1:4" ht="19.95" customHeight="1" x14ac:dyDescent="0.25">
      <c r="A1244" s="10" t="s">
        <v>19</v>
      </c>
      <c r="B1244" s="11" t="s">
        <v>14</v>
      </c>
      <c r="C1244" s="11">
        <v>1987.5139999999999</v>
      </c>
      <c r="D1244" s="11">
        <v>2004</v>
      </c>
    </row>
    <row r="1245" spans="1:4" ht="19.95" customHeight="1" x14ac:dyDescent="0.25">
      <c r="A1245" s="10" t="s">
        <v>20</v>
      </c>
      <c r="B1245" s="11" t="s">
        <v>14</v>
      </c>
      <c r="C1245" s="11">
        <v>7623.6930000000002</v>
      </c>
      <c r="D1245" s="11">
        <v>2004</v>
      </c>
    </row>
    <row r="1246" spans="1:4" ht="19.95" customHeight="1" x14ac:dyDescent="0.25">
      <c r="A1246" s="10" t="s">
        <v>21</v>
      </c>
      <c r="B1246" s="11" t="s">
        <v>14</v>
      </c>
      <c r="C1246" s="11"/>
      <c r="D1246" s="11">
        <v>2004</v>
      </c>
    </row>
    <row r="1247" spans="1:4" ht="19.95" customHeight="1" x14ac:dyDescent="0.25">
      <c r="A1247" s="10" t="s">
        <v>22</v>
      </c>
      <c r="B1247" s="11" t="s">
        <v>14</v>
      </c>
      <c r="C1247" s="11">
        <v>616.05600000000004</v>
      </c>
      <c r="D1247" s="11">
        <v>2004</v>
      </c>
    </row>
    <row r="1248" spans="1:4" ht="19.95" customHeight="1" x14ac:dyDescent="0.25">
      <c r="A1248" s="10" t="s">
        <v>23</v>
      </c>
      <c r="B1248" s="11" t="s">
        <v>14</v>
      </c>
      <c r="C1248" s="11">
        <v>1807.8309999999999</v>
      </c>
      <c r="D1248" s="11">
        <v>2004</v>
      </c>
    </row>
    <row r="1249" spans="1:4" ht="19.95" customHeight="1" x14ac:dyDescent="0.25">
      <c r="A1249" s="10" t="s">
        <v>24</v>
      </c>
      <c r="B1249" s="11" t="s">
        <v>14</v>
      </c>
      <c r="C1249" s="11">
        <v>931.41800000000001</v>
      </c>
      <c r="D1249" s="11">
        <v>2004</v>
      </c>
    </row>
    <row r="1250" spans="1:4" ht="19.95" customHeight="1" x14ac:dyDescent="0.25">
      <c r="A1250" s="10" t="s">
        <v>25</v>
      </c>
      <c r="B1250" s="11" t="s">
        <v>14</v>
      </c>
      <c r="C1250" s="11">
        <v>876.41300000000001</v>
      </c>
      <c r="D1250" s="11">
        <v>2004</v>
      </c>
    </row>
    <row r="1251" spans="1:4" ht="19.95" customHeight="1" x14ac:dyDescent="0.25">
      <c r="A1251" s="10" t="s">
        <v>26</v>
      </c>
      <c r="B1251" s="11" t="s">
        <v>14</v>
      </c>
      <c r="C1251" s="11">
        <v>4554.4139999999998</v>
      </c>
      <c r="D1251" s="11">
        <v>2004</v>
      </c>
    </row>
    <row r="1252" spans="1:4" ht="19.95" customHeight="1" x14ac:dyDescent="0.25">
      <c r="A1252" s="10" t="s">
        <v>27</v>
      </c>
      <c r="B1252" s="11" t="s">
        <v>14</v>
      </c>
      <c r="C1252" s="11">
        <v>1921.508</v>
      </c>
      <c r="D1252" s="11">
        <v>2004</v>
      </c>
    </row>
    <row r="1253" spans="1:4" ht="19.95" customHeight="1" x14ac:dyDescent="0.25">
      <c r="A1253" s="10" t="s">
        <v>29</v>
      </c>
      <c r="B1253" s="11" t="s">
        <v>14</v>
      </c>
      <c r="C1253" s="11">
        <v>12434.797</v>
      </c>
      <c r="D1253" s="11">
        <v>2004</v>
      </c>
    </row>
    <row r="1254" spans="1:4" ht="19.95" customHeight="1" x14ac:dyDescent="0.25">
      <c r="A1254" s="10" t="s">
        <v>30</v>
      </c>
      <c r="B1254" s="11" t="s">
        <v>14</v>
      </c>
      <c r="C1254" s="11">
        <v>2669.576</v>
      </c>
      <c r="D1254" s="11">
        <v>2004</v>
      </c>
    </row>
    <row r="1255" spans="1:4" ht="19.95" customHeight="1" x14ac:dyDescent="0.25">
      <c r="A1255" s="10" t="s">
        <v>31</v>
      </c>
      <c r="B1255" s="11" t="s">
        <v>14</v>
      </c>
      <c r="C1255" s="11">
        <v>4426.0690000000004</v>
      </c>
      <c r="D1255" s="11">
        <v>2004</v>
      </c>
    </row>
    <row r="1256" spans="1:4" ht="19.95" customHeight="1" x14ac:dyDescent="0.25">
      <c r="A1256" s="10" t="s">
        <v>32</v>
      </c>
      <c r="B1256" s="11" t="s">
        <v>14</v>
      </c>
      <c r="C1256" s="11">
        <v>814.07399999999996</v>
      </c>
      <c r="D1256" s="11">
        <v>2004</v>
      </c>
    </row>
    <row r="1257" spans="1:4" ht="19.95" customHeight="1" x14ac:dyDescent="0.25">
      <c r="A1257" s="10" t="s">
        <v>33</v>
      </c>
      <c r="B1257" s="11" t="s">
        <v>14</v>
      </c>
      <c r="C1257" s="11">
        <v>528.048</v>
      </c>
      <c r="D1257" s="11">
        <v>2004</v>
      </c>
    </row>
    <row r="1258" spans="1:4" ht="19.95" customHeight="1" x14ac:dyDescent="0.25">
      <c r="A1258" s="10" t="s">
        <v>34</v>
      </c>
      <c r="B1258" s="11" t="s">
        <v>14</v>
      </c>
      <c r="C1258" s="11">
        <v>73.34</v>
      </c>
      <c r="D1258" s="11">
        <v>2004</v>
      </c>
    </row>
    <row r="1259" spans="1:4" ht="19.95" customHeight="1" x14ac:dyDescent="0.25">
      <c r="A1259" s="10" t="s">
        <v>35</v>
      </c>
      <c r="B1259" s="11" t="s">
        <v>14</v>
      </c>
      <c r="C1259" s="11">
        <v>12299.118</v>
      </c>
      <c r="D1259" s="11">
        <v>2004</v>
      </c>
    </row>
    <row r="1260" spans="1:4" ht="19.95" customHeight="1" x14ac:dyDescent="0.25">
      <c r="A1260" s="10" t="s">
        <v>36</v>
      </c>
      <c r="B1260" s="11" t="s">
        <v>14</v>
      </c>
      <c r="C1260" s="11">
        <v>2563.2330000000002</v>
      </c>
      <c r="D1260" s="11">
        <v>2004</v>
      </c>
    </row>
    <row r="1261" spans="1:4" ht="19.95" customHeight="1" x14ac:dyDescent="0.25">
      <c r="A1261" s="10" t="s">
        <v>37</v>
      </c>
      <c r="B1261" s="11" t="s">
        <v>14</v>
      </c>
      <c r="C1261" s="11">
        <v>4363.7299999999996</v>
      </c>
      <c r="D1261" s="11">
        <v>2004</v>
      </c>
    </row>
    <row r="1262" spans="1:4" ht="19.95" customHeight="1" x14ac:dyDescent="0.25">
      <c r="A1262" s="10" t="s">
        <v>38</v>
      </c>
      <c r="B1262" s="11" t="s">
        <v>14</v>
      </c>
      <c r="C1262" s="11">
        <v>1738.1579999999999</v>
      </c>
      <c r="D1262" s="11">
        <v>2004</v>
      </c>
    </row>
    <row r="1263" spans="1:4" ht="19.95" customHeight="1" x14ac:dyDescent="0.25">
      <c r="A1263" s="10" t="s">
        <v>39</v>
      </c>
      <c r="B1263" s="11" t="s">
        <v>14</v>
      </c>
      <c r="C1263" s="11">
        <v>2145.1950000000002</v>
      </c>
      <c r="D1263" s="11">
        <v>2004</v>
      </c>
    </row>
    <row r="1264" spans="1:4" ht="19.95" customHeight="1" x14ac:dyDescent="0.25">
      <c r="A1264" s="10" t="s">
        <v>40</v>
      </c>
      <c r="B1264" s="11" t="s">
        <v>14</v>
      </c>
      <c r="C1264" s="11">
        <v>9486.5290000000005</v>
      </c>
      <c r="D1264" s="11">
        <v>2004</v>
      </c>
    </row>
    <row r="1265" spans="1:4" ht="19.95" customHeight="1" x14ac:dyDescent="0.25">
      <c r="A1265" s="10" t="s">
        <v>10</v>
      </c>
      <c r="B1265" s="11" t="s">
        <v>14</v>
      </c>
      <c r="C1265" s="11">
        <v>154.01400000000001</v>
      </c>
      <c r="D1265" s="11">
        <v>2005</v>
      </c>
    </row>
    <row r="1266" spans="1:4" ht="19.95" customHeight="1" x14ac:dyDescent="0.25">
      <c r="A1266" s="10" t="s">
        <v>13</v>
      </c>
      <c r="B1266" s="11" t="s">
        <v>14</v>
      </c>
      <c r="C1266" s="11">
        <v>3696.3359999999998</v>
      </c>
      <c r="D1266" s="11">
        <v>2005</v>
      </c>
    </row>
    <row r="1267" spans="1:4" ht="19.95" customHeight="1" x14ac:dyDescent="0.25">
      <c r="A1267" s="10" t="s">
        <v>15</v>
      </c>
      <c r="B1267" s="11" t="s">
        <v>14</v>
      </c>
      <c r="C1267" s="11">
        <v>399.70299999999997</v>
      </c>
      <c r="D1267" s="11">
        <v>2005</v>
      </c>
    </row>
    <row r="1268" spans="1:4" ht="19.95" customHeight="1" x14ac:dyDescent="0.25">
      <c r="A1268" s="10" t="s">
        <v>16</v>
      </c>
      <c r="B1268" s="11" t="s">
        <v>14</v>
      </c>
      <c r="C1268" s="11">
        <v>139.346</v>
      </c>
      <c r="D1268" s="11">
        <v>2005</v>
      </c>
    </row>
    <row r="1269" spans="1:4" ht="19.95" customHeight="1" x14ac:dyDescent="0.25">
      <c r="A1269" s="10" t="s">
        <v>17</v>
      </c>
      <c r="B1269" s="11" t="s">
        <v>14</v>
      </c>
      <c r="C1269" s="11">
        <v>414.37099999999998</v>
      </c>
      <c r="D1269" s="11">
        <v>2005</v>
      </c>
    </row>
    <row r="1270" spans="1:4" ht="19.95" customHeight="1" x14ac:dyDescent="0.25">
      <c r="A1270" s="10" t="s">
        <v>2</v>
      </c>
      <c r="B1270" s="11" t="s">
        <v>14</v>
      </c>
      <c r="C1270" s="11">
        <v>5119.1319999999996</v>
      </c>
      <c r="D1270" s="11">
        <v>2005</v>
      </c>
    </row>
    <row r="1271" spans="1:4" ht="19.95" customHeight="1" x14ac:dyDescent="0.25">
      <c r="A1271" s="10" t="s">
        <v>18</v>
      </c>
      <c r="B1271" s="11" t="s">
        <v>14</v>
      </c>
      <c r="C1271" s="11">
        <v>1826.1659999999999</v>
      </c>
      <c r="D1271" s="11">
        <v>2005</v>
      </c>
    </row>
    <row r="1272" spans="1:4" ht="19.95" customHeight="1" x14ac:dyDescent="0.25">
      <c r="A1272" s="10" t="s">
        <v>19</v>
      </c>
      <c r="B1272" s="11" t="s">
        <v>14</v>
      </c>
      <c r="C1272" s="11">
        <v>2075.5219999999999</v>
      </c>
      <c r="D1272" s="11">
        <v>2005</v>
      </c>
    </row>
    <row r="1273" spans="1:4" ht="19.95" customHeight="1" x14ac:dyDescent="0.25">
      <c r="A1273" s="10" t="s">
        <v>20</v>
      </c>
      <c r="B1273" s="11" t="s">
        <v>14</v>
      </c>
      <c r="C1273" s="11">
        <v>8562.4449999999997</v>
      </c>
      <c r="D1273" s="11">
        <v>2005</v>
      </c>
    </row>
    <row r="1274" spans="1:4" ht="19.95" customHeight="1" x14ac:dyDescent="0.25">
      <c r="A1274" s="10" t="s">
        <v>21</v>
      </c>
      <c r="B1274" s="11" t="s">
        <v>14</v>
      </c>
      <c r="C1274" s="11"/>
      <c r="D1274" s="11">
        <v>2005</v>
      </c>
    </row>
    <row r="1275" spans="1:4" ht="19.95" customHeight="1" x14ac:dyDescent="0.25">
      <c r="A1275" s="10" t="s">
        <v>22</v>
      </c>
      <c r="B1275" s="11" t="s">
        <v>14</v>
      </c>
      <c r="C1275" s="11">
        <v>726.06600000000003</v>
      </c>
      <c r="D1275" s="11">
        <v>2005</v>
      </c>
    </row>
    <row r="1276" spans="1:4" ht="19.95" customHeight="1" x14ac:dyDescent="0.25">
      <c r="A1276" s="10" t="s">
        <v>23</v>
      </c>
      <c r="B1276" s="11" t="s">
        <v>14</v>
      </c>
      <c r="C1276" s="11">
        <v>1741.825</v>
      </c>
      <c r="D1276" s="11">
        <v>2005</v>
      </c>
    </row>
    <row r="1277" spans="1:4" ht="19.95" customHeight="1" x14ac:dyDescent="0.25">
      <c r="A1277" s="10" t="s">
        <v>24</v>
      </c>
      <c r="B1277" s="11" t="s">
        <v>14</v>
      </c>
      <c r="C1277" s="11">
        <v>876.41300000000001</v>
      </c>
      <c r="D1277" s="11">
        <v>2005</v>
      </c>
    </row>
    <row r="1278" spans="1:4" ht="19.95" customHeight="1" x14ac:dyDescent="0.25">
      <c r="A1278" s="10" t="s">
        <v>25</v>
      </c>
      <c r="B1278" s="11" t="s">
        <v>14</v>
      </c>
      <c r="C1278" s="11">
        <v>898.41499999999996</v>
      </c>
      <c r="D1278" s="11">
        <v>2005</v>
      </c>
    </row>
    <row r="1279" spans="1:4" ht="19.95" customHeight="1" x14ac:dyDescent="0.25">
      <c r="A1279" s="10" t="s">
        <v>26</v>
      </c>
      <c r="B1279" s="11" t="s">
        <v>14</v>
      </c>
      <c r="C1279" s="11">
        <v>4895.4449999999997</v>
      </c>
      <c r="D1279" s="11">
        <v>2005</v>
      </c>
    </row>
    <row r="1280" spans="1:4" ht="19.95" customHeight="1" x14ac:dyDescent="0.25">
      <c r="A1280" s="10" t="s">
        <v>27</v>
      </c>
      <c r="B1280" s="11" t="s">
        <v>14</v>
      </c>
      <c r="C1280" s="11">
        <v>1822.499</v>
      </c>
      <c r="D1280" s="11">
        <v>2005</v>
      </c>
    </row>
    <row r="1281" spans="1:4" ht="19.95" customHeight="1" x14ac:dyDescent="0.25">
      <c r="A1281" s="10" t="s">
        <v>29</v>
      </c>
      <c r="B1281" s="11" t="s">
        <v>14</v>
      </c>
      <c r="C1281" s="11">
        <v>11598.721</v>
      </c>
      <c r="D1281" s="11">
        <v>2005</v>
      </c>
    </row>
    <row r="1282" spans="1:4" ht="19.95" customHeight="1" x14ac:dyDescent="0.25">
      <c r="A1282" s="10" t="s">
        <v>30</v>
      </c>
      <c r="B1282" s="11" t="s">
        <v>14</v>
      </c>
      <c r="C1282" s="11">
        <v>3083.9470000000001</v>
      </c>
      <c r="D1282" s="11">
        <v>2005</v>
      </c>
    </row>
    <row r="1283" spans="1:4" ht="19.95" customHeight="1" x14ac:dyDescent="0.25">
      <c r="A1283" s="10" t="s">
        <v>31</v>
      </c>
      <c r="B1283" s="11" t="s">
        <v>14</v>
      </c>
      <c r="C1283" s="11">
        <v>4319.7259999999997</v>
      </c>
      <c r="D1283" s="11">
        <v>2005</v>
      </c>
    </row>
    <row r="1284" spans="1:4" ht="19.95" customHeight="1" x14ac:dyDescent="0.25">
      <c r="A1284" s="10" t="s">
        <v>32</v>
      </c>
      <c r="B1284" s="11" t="s">
        <v>14</v>
      </c>
      <c r="C1284" s="11">
        <v>715.06500000000005</v>
      </c>
      <c r="D1284" s="11">
        <v>2005</v>
      </c>
    </row>
    <row r="1285" spans="1:4" ht="19.95" customHeight="1" x14ac:dyDescent="0.25">
      <c r="A1285" s="10" t="s">
        <v>33</v>
      </c>
      <c r="B1285" s="11" t="s">
        <v>14</v>
      </c>
      <c r="C1285" s="11">
        <v>528.048</v>
      </c>
      <c r="D1285" s="11">
        <v>2005</v>
      </c>
    </row>
    <row r="1286" spans="1:4" ht="19.95" customHeight="1" x14ac:dyDescent="0.25">
      <c r="A1286" s="10" t="s">
        <v>34</v>
      </c>
      <c r="B1286" s="11" t="s">
        <v>14</v>
      </c>
      <c r="C1286" s="11">
        <v>77.007000000000005</v>
      </c>
      <c r="D1286" s="11">
        <v>2005</v>
      </c>
    </row>
    <row r="1287" spans="1:4" ht="19.95" customHeight="1" x14ac:dyDescent="0.25">
      <c r="A1287" s="10" t="s">
        <v>35</v>
      </c>
      <c r="B1287" s="11" t="s">
        <v>14</v>
      </c>
      <c r="C1287" s="11">
        <v>12101.1</v>
      </c>
      <c r="D1287" s="11">
        <v>2005</v>
      </c>
    </row>
    <row r="1288" spans="1:4" ht="19.95" customHeight="1" x14ac:dyDescent="0.25">
      <c r="A1288" s="10" t="s">
        <v>36</v>
      </c>
      <c r="B1288" s="11" t="s">
        <v>14</v>
      </c>
      <c r="C1288" s="11">
        <v>2442.2220000000002</v>
      </c>
      <c r="D1288" s="11">
        <v>2005</v>
      </c>
    </row>
    <row r="1289" spans="1:4" ht="19.95" customHeight="1" x14ac:dyDescent="0.25">
      <c r="A1289" s="10" t="s">
        <v>37</v>
      </c>
      <c r="B1289" s="11" t="s">
        <v>14</v>
      </c>
      <c r="C1289" s="11">
        <v>5504.1670000000004</v>
      </c>
      <c r="D1289" s="11">
        <v>2005</v>
      </c>
    </row>
    <row r="1290" spans="1:4" ht="19.95" customHeight="1" x14ac:dyDescent="0.25">
      <c r="A1290" s="10" t="s">
        <v>38</v>
      </c>
      <c r="B1290" s="11" t="s">
        <v>14</v>
      </c>
      <c r="C1290" s="11">
        <v>2170.864</v>
      </c>
      <c r="D1290" s="11">
        <v>2005</v>
      </c>
    </row>
    <row r="1291" spans="1:4" ht="19.95" customHeight="1" x14ac:dyDescent="0.25">
      <c r="A1291" s="10" t="s">
        <v>39</v>
      </c>
      <c r="B1291" s="11" t="s">
        <v>14</v>
      </c>
      <c r="C1291" s="11">
        <v>2288.2080000000001</v>
      </c>
      <c r="D1291" s="11">
        <v>2005</v>
      </c>
    </row>
    <row r="1292" spans="1:4" ht="19.95" customHeight="1" x14ac:dyDescent="0.25">
      <c r="A1292" s="10" t="s">
        <v>40</v>
      </c>
      <c r="B1292" s="11" t="s">
        <v>14</v>
      </c>
      <c r="C1292" s="11">
        <v>10769.978999999999</v>
      </c>
      <c r="D1292" s="11">
        <v>2005</v>
      </c>
    </row>
    <row r="1293" spans="1:4" ht="19.95" customHeight="1" x14ac:dyDescent="0.25">
      <c r="A1293" s="10" t="s">
        <v>10</v>
      </c>
      <c r="B1293" s="11" t="s">
        <v>14</v>
      </c>
      <c r="C1293" s="11">
        <v>187.017</v>
      </c>
      <c r="D1293" s="11">
        <v>2006</v>
      </c>
    </row>
    <row r="1294" spans="1:4" ht="19.95" customHeight="1" x14ac:dyDescent="0.25">
      <c r="A1294" s="10" t="s">
        <v>13</v>
      </c>
      <c r="B1294" s="11" t="s">
        <v>14</v>
      </c>
      <c r="C1294" s="11">
        <v>3861.3510000000001</v>
      </c>
      <c r="D1294" s="11">
        <v>2006</v>
      </c>
    </row>
    <row r="1295" spans="1:4" ht="19.95" customHeight="1" x14ac:dyDescent="0.25">
      <c r="A1295" s="10" t="s">
        <v>15</v>
      </c>
      <c r="B1295" s="11" t="s">
        <v>14</v>
      </c>
      <c r="C1295" s="11">
        <v>407.03699999999998</v>
      </c>
      <c r="D1295" s="11">
        <v>2006</v>
      </c>
    </row>
    <row r="1296" spans="1:4" ht="19.95" customHeight="1" x14ac:dyDescent="0.25">
      <c r="A1296" s="10" t="s">
        <v>16</v>
      </c>
      <c r="B1296" s="11" t="s">
        <v>14</v>
      </c>
      <c r="C1296" s="11">
        <v>161.34800000000001</v>
      </c>
      <c r="D1296" s="11">
        <v>2006</v>
      </c>
    </row>
    <row r="1297" spans="1:4" ht="19.95" customHeight="1" x14ac:dyDescent="0.25">
      <c r="A1297" s="10" t="s">
        <v>17</v>
      </c>
      <c r="B1297" s="11" t="s">
        <v>14</v>
      </c>
      <c r="C1297" s="11">
        <v>410.70400000000001</v>
      </c>
      <c r="D1297" s="11">
        <v>2006</v>
      </c>
    </row>
    <row r="1298" spans="1:4" ht="19.95" customHeight="1" x14ac:dyDescent="0.25">
      <c r="A1298" s="10" t="s">
        <v>2</v>
      </c>
      <c r="B1298" s="11" t="s">
        <v>14</v>
      </c>
      <c r="C1298" s="11">
        <v>5504.1670000000004</v>
      </c>
      <c r="D1298" s="11">
        <v>2006</v>
      </c>
    </row>
    <row r="1299" spans="1:4" ht="19.95" customHeight="1" x14ac:dyDescent="0.25">
      <c r="A1299" s="10" t="s">
        <v>18</v>
      </c>
      <c r="B1299" s="11" t="s">
        <v>14</v>
      </c>
      <c r="C1299" s="11">
        <v>1892.172</v>
      </c>
      <c r="D1299" s="11">
        <v>2006</v>
      </c>
    </row>
    <row r="1300" spans="1:4" ht="19.95" customHeight="1" x14ac:dyDescent="0.25">
      <c r="A1300" s="10" t="s">
        <v>19</v>
      </c>
      <c r="B1300" s="11" t="s">
        <v>14</v>
      </c>
      <c r="C1300" s="11">
        <v>2112.192</v>
      </c>
      <c r="D1300" s="11">
        <v>2006</v>
      </c>
    </row>
    <row r="1301" spans="1:4" ht="19.95" customHeight="1" x14ac:dyDescent="0.25">
      <c r="A1301" s="10" t="s">
        <v>20</v>
      </c>
      <c r="B1301" s="11" t="s">
        <v>14</v>
      </c>
      <c r="C1301" s="11">
        <v>9574.5370000000003</v>
      </c>
      <c r="D1301" s="11">
        <v>2006</v>
      </c>
    </row>
    <row r="1302" spans="1:4" ht="19.95" customHeight="1" x14ac:dyDescent="0.25">
      <c r="A1302" s="10" t="s">
        <v>21</v>
      </c>
      <c r="B1302" s="11" t="s">
        <v>14</v>
      </c>
      <c r="C1302" s="11"/>
      <c r="D1302" s="11">
        <v>2006</v>
      </c>
    </row>
    <row r="1303" spans="1:4" ht="19.95" customHeight="1" x14ac:dyDescent="0.25">
      <c r="A1303" s="10" t="s">
        <v>22</v>
      </c>
      <c r="B1303" s="11" t="s">
        <v>14</v>
      </c>
      <c r="C1303" s="11">
        <v>748.06799999999998</v>
      </c>
      <c r="D1303" s="11">
        <v>2006</v>
      </c>
    </row>
    <row r="1304" spans="1:4" ht="19.95" customHeight="1" x14ac:dyDescent="0.25">
      <c r="A1304" s="10" t="s">
        <v>23</v>
      </c>
      <c r="B1304" s="11" t="s">
        <v>14</v>
      </c>
      <c r="C1304" s="11">
        <v>1683.153</v>
      </c>
      <c r="D1304" s="11">
        <v>2006</v>
      </c>
    </row>
    <row r="1305" spans="1:4" ht="19.95" customHeight="1" x14ac:dyDescent="0.25">
      <c r="A1305" s="10" t="s">
        <v>24</v>
      </c>
      <c r="B1305" s="11" t="s">
        <v>14</v>
      </c>
      <c r="C1305" s="11">
        <v>913.08299999999997</v>
      </c>
      <c r="D1305" s="11">
        <v>2006</v>
      </c>
    </row>
    <row r="1306" spans="1:4" ht="19.95" customHeight="1" x14ac:dyDescent="0.25">
      <c r="A1306" s="10" t="s">
        <v>25</v>
      </c>
      <c r="B1306" s="11" t="s">
        <v>14</v>
      </c>
      <c r="C1306" s="11">
        <v>942.41899999999998</v>
      </c>
      <c r="D1306" s="11">
        <v>2006</v>
      </c>
    </row>
    <row r="1307" spans="1:4" ht="19.95" customHeight="1" x14ac:dyDescent="0.25">
      <c r="A1307" s="10" t="s">
        <v>26</v>
      </c>
      <c r="B1307" s="11" t="s">
        <v>14</v>
      </c>
      <c r="C1307" s="11">
        <v>4994.4539999999997</v>
      </c>
      <c r="D1307" s="11">
        <v>2006</v>
      </c>
    </row>
    <row r="1308" spans="1:4" ht="19.95" customHeight="1" x14ac:dyDescent="0.25">
      <c r="A1308" s="10" t="s">
        <v>27</v>
      </c>
      <c r="B1308" s="11" t="s">
        <v>14</v>
      </c>
      <c r="C1308" s="11">
        <v>1980.18</v>
      </c>
      <c r="D1308" s="11">
        <v>2006</v>
      </c>
    </row>
    <row r="1309" spans="1:4" ht="19.95" customHeight="1" x14ac:dyDescent="0.25">
      <c r="A1309" s="10" t="s">
        <v>29</v>
      </c>
      <c r="B1309" s="11" t="s">
        <v>14</v>
      </c>
      <c r="C1309" s="11">
        <v>12849.168</v>
      </c>
      <c r="D1309" s="11">
        <v>2006</v>
      </c>
    </row>
    <row r="1310" spans="1:4" ht="19.95" customHeight="1" x14ac:dyDescent="0.25">
      <c r="A1310" s="10" t="s">
        <v>30</v>
      </c>
      <c r="B1310" s="11" t="s">
        <v>14</v>
      </c>
      <c r="C1310" s="11">
        <v>2563.2330000000002</v>
      </c>
      <c r="D1310" s="11">
        <v>2006</v>
      </c>
    </row>
    <row r="1311" spans="1:4" ht="19.95" customHeight="1" x14ac:dyDescent="0.25">
      <c r="A1311" s="10" t="s">
        <v>31</v>
      </c>
      <c r="B1311" s="11" t="s">
        <v>14</v>
      </c>
      <c r="C1311" s="11">
        <v>4466.4059999999999</v>
      </c>
      <c r="D1311" s="11">
        <v>2006</v>
      </c>
    </row>
    <row r="1312" spans="1:4" ht="19.95" customHeight="1" x14ac:dyDescent="0.25">
      <c r="A1312" s="10" t="s">
        <v>32</v>
      </c>
      <c r="B1312" s="11" t="s">
        <v>14</v>
      </c>
      <c r="C1312" s="11">
        <v>693.06299999999999</v>
      </c>
      <c r="D1312" s="11">
        <v>2006</v>
      </c>
    </row>
    <row r="1313" spans="1:4" ht="19.95" customHeight="1" x14ac:dyDescent="0.25">
      <c r="A1313" s="10" t="s">
        <v>33</v>
      </c>
      <c r="B1313" s="11" t="s">
        <v>14</v>
      </c>
      <c r="C1313" s="11">
        <v>528.048</v>
      </c>
      <c r="D1313" s="11">
        <v>2006</v>
      </c>
    </row>
    <row r="1314" spans="1:4" ht="19.95" customHeight="1" x14ac:dyDescent="0.25">
      <c r="A1314" s="10" t="s">
        <v>34</v>
      </c>
      <c r="B1314" s="11" t="s">
        <v>14</v>
      </c>
      <c r="C1314" s="11">
        <v>84.340999999999994</v>
      </c>
      <c r="D1314" s="11">
        <v>2006</v>
      </c>
    </row>
    <row r="1315" spans="1:4" ht="19.95" customHeight="1" x14ac:dyDescent="0.25">
      <c r="A1315" s="10" t="s">
        <v>35</v>
      </c>
      <c r="B1315" s="11" t="s">
        <v>14</v>
      </c>
      <c r="C1315" s="11">
        <v>11976.422</v>
      </c>
      <c r="D1315" s="11">
        <v>2006</v>
      </c>
    </row>
    <row r="1316" spans="1:4" ht="19.95" customHeight="1" x14ac:dyDescent="0.25">
      <c r="A1316" s="10" t="s">
        <v>36</v>
      </c>
      <c r="B1316" s="11" t="s">
        <v>14</v>
      </c>
      <c r="C1316" s="11">
        <v>2658.5749999999998</v>
      </c>
      <c r="D1316" s="11">
        <v>2006</v>
      </c>
    </row>
    <row r="1317" spans="1:4" ht="19.95" customHeight="1" x14ac:dyDescent="0.25">
      <c r="A1317" s="10" t="s">
        <v>37</v>
      </c>
      <c r="B1317" s="11" t="s">
        <v>14</v>
      </c>
      <c r="C1317" s="11">
        <v>6028.5479999999998</v>
      </c>
      <c r="D1317" s="11">
        <v>2006</v>
      </c>
    </row>
    <row r="1318" spans="1:4" ht="19.95" customHeight="1" x14ac:dyDescent="0.25">
      <c r="A1318" s="10" t="s">
        <v>38</v>
      </c>
      <c r="B1318" s="11" t="s">
        <v>14</v>
      </c>
      <c r="C1318" s="11">
        <v>2537.5639999999999</v>
      </c>
      <c r="D1318" s="11">
        <v>2006</v>
      </c>
    </row>
    <row r="1319" spans="1:4" ht="19.95" customHeight="1" x14ac:dyDescent="0.25">
      <c r="A1319" s="10" t="s">
        <v>39</v>
      </c>
      <c r="B1319" s="11" t="s">
        <v>14</v>
      </c>
      <c r="C1319" s="11">
        <v>2291.875</v>
      </c>
      <c r="D1319" s="11">
        <v>2006</v>
      </c>
    </row>
    <row r="1320" spans="1:4" ht="19.95" customHeight="1" x14ac:dyDescent="0.25">
      <c r="A1320" s="10" t="s">
        <v>40</v>
      </c>
      <c r="B1320" s="11" t="s">
        <v>14</v>
      </c>
      <c r="C1320" s="11">
        <v>10447.282999999999</v>
      </c>
      <c r="D1320" s="11">
        <v>2006</v>
      </c>
    </row>
    <row r="1321" spans="1:4" ht="19.95" customHeight="1" x14ac:dyDescent="0.25">
      <c r="A1321" s="10" t="s">
        <v>10</v>
      </c>
      <c r="B1321" s="11" t="s">
        <v>14</v>
      </c>
      <c r="C1321" s="11">
        <v>187.017</v>
      </c>
      <c r="D1321" s="11">
        <v>2007</v>
      </c>
    </row>
    <row r="1322" spans="1:4" ht="19.95" customHeight="1" x14ac:dyDescent="0.25">
      <c r="A1322" s="10" t="s">
        <v>13</v>
      </c>
      <c r="B1322" s="11" t="s">
        <v>14</v>
      </c>
      <c r="C1322" s="11">
        <v>5834.1970000000001</v>
      </c>
      <c r="D1322" s="11">
        <v>2007</v>
      </c>
    </row>
    <row r="1323" spans="1:4" ht="19.95" customHeight="1" x14ac:dyDescent="0.25">
      <c r="A1323" s="10" t="s">
        <v>15</v>
      </c>
      <c r="B1323" s="11" t="s">
        <v>14</v>
      </c>
      <c r="C1323" s="11">
        <v>462.04199999999997</v>
      </c>
      <c r="D1323" s="11">
        <v>2007</v>
      </c>
    </row>
    <row r="1324" spans="1:4" ht="19.95" customHeight="1" x14ac:dyDescent="0.25">
      <c r="A1324" s="10" t="s">
        <v>16</v>
      </c>
      <c r="B1324" s="11" t="s">
        <v>14</v>
      </c>
      <c r="C1324" s="11">
        <v>102.676</v>
      </c>
      <c r="D1324" s="11">
        <v>2007</v>
      </c>
    </row>
    <row r="1325" spans="1:4" ht="19.95" customHeight="1" x14ac:dyDescent="0.25">
      <c r="A1325" s="10" t="s">
        <v>17</v>
      </c>
      <c r="B1325" s="11" t="s">
        <v>14</v>
      </c>
      <c r="C1325" s="11">
        <v>462.04199999999997</v>
      </c>
      <c r="D1325" s="11">
        <v>2007</v>
      </c>
    </row>
    <row r="1326" spans="1:4" ht="19.95" customHeight="1" x14ac:dyDescent="0.25">
      <c r="A1326" s="10" t="s">
        <v>2</v>
      </c>
      <c r="B1326" s="11" t="s">
        <v>14</v>
      </c>
      <c r="C1326" s="11">
        <v>6013.88</v>
      </c>
      <c r="D1326" s="11">
        <v>2007</v>
      </c>
    </row>
    <row r="1327" spans="1:4" ht="19.95" customHeight="1" x14ac:dyDescent="0.25">
      <c r="A1327" s="10" t="s">
        <v>18</v>
      </c>
      <c r="B1327" s="11" t="s">
        <v>14</v>
      </c>
      <c r="C1327" s="11">
        <v>1969.1790000000001</v>
      </c>
      <c r="D1327" s="11">
        <v>2007</v>
      </c>
    </row>
    <row r="1328" spans="1:4" ht="19.95" customHeight="1" x14ac:dyDescent="0.25">
      <c r="A1328" s="10" t="s">
        <v>19</v>
      </c>
      <c r="B1328" s="11" t="s">
        <v>14</v>
      </c>
      <c r="C1328" s="11">
        <v>2390.884</v>
      </c>
      <c r="D1328" s="11">
        <v>2007</v>
      </c>
    </row>
    <row r="1329" spans="1:4" ht="19.95" customHeight="1" x14ac:dyDescent="0.25">
      <c r="A1329" s="10" t="s">
        <v>20</v>
      </c>
      <c r="B1329" s="11" t="s">
        <v>14</v>
      </c>
      <c r="C1329" s="11">
        <v>9831.2270000000008</v>
      </c>
      <c r="D1329" s="11">
        <v>2007</v>
      </c>
    </row>
    <row r="1330" spans="1:4" ht="19.95" customHeight="1" x14ac:dyDescent="0.25">
      <c r="A1330" s="10" t="s">
        <v>21</v>
      </c>
      <c r="B1330" s="11" t="s">
        <v>14</v>
      </c>
      <c r="C1330" s="11"/>
      <c r="D1330" s="11">
        <v>2007</v>
      </c>
    </row>
    <row r="1331" spans="1:4" ht="19.95" customHeight="1" x14ac:dyDescent="0.25">
      <c r="A1331" s="10" t="s">
        <v>22</v>
      </c>
      <c r="B1331" s="11" t="s">
        <v>14</v>
      </c>
      <c r="C1331" s="11">
        <v>667.39400000000001</v>
      </c>
      <c r="D1331" s="11">
        <v>2007</v>
      </c>
    </row>
    <row r="1332" spans="1:4" ht="19.95" customHeight="1" x14ac:dyDescent="0.25">
      <c r="A1332" s="10" t="s">
        <v>23</v>
      </c>
      <c r="B1332" s="11" t="s">
        <v>14</v>
      </c>
      <c r="C1332" s="11">
        <v>1815.165</v>
      </c>
      <c r="D1332" s="11">
        <v>2007</v>
      </c>
    </row>
    <row r="1333" spans="1:4" ht="19.95" customHeight="1" x14ac:dyDescent="0.25">
      <c r="A1333" s="10" t="s">
        <v>24</v>
      </c>
      <c r="B1333" s="11" t="s">
        <v>14</v>
      </c>
      <c r="C1333" s="11">
        <v>887.41399999999999</v>
      </c>
      <c r="D1333" s="11">
        <v>2007</v>
      </c>
    </row>
    <row r="1334" spans="1:4" ht="19.95" customHeight="1" x14ac:dyDescent="0.25">
      <c r="A1334" s="10" t="s">
        <v>25</v>
      </c>
      <c r="B1334" s="11" t="s">
        <v>14</v>
      </c>
      <c r="C1334" s="11">
        <v>1008.425</v>
      </c>
      <c r="D1334" s="11">
        <v>2007</v>
      </c>
    </row>
    <row r="1335" spans="1:4" ht="19.95" customHeight="1" x14ac:dyDescent="0.25">
      <c r="A1335" s="10" t="s">
        <v>26</v>
      </c>
      <c r="B1335" s="11" t="s">
        <v>14</v>
      </c>
      <c r="C1335" s="11">
        <v>4679.0919999999996</v>
      </c>
      <c r="D1335" s="11">
        <v>2007</v>
      </c>
    </row>
    <row r="1336" spans="1:4" ht="19.95" customHeight="1" x14ac:dyDescent="0.25">
      <c r="A1336" s="10" t="s">
        <v>27</v>
      </c>
      <c r="B1336" s="11" t="s">
        <v>14</v>
      </c>
      <c r="C1336" s="11">
        <v>2262.5390000000002</v>
      </c>
      <c r="D1336" s="11">
        <v>2007</v>
      </c>
    </row>
    <row r="1337" spans="1:4" ht="19.95" customHeight="1" x14ac:dyDescent="0.25">
      <c r="A1337" s="10" t="s">
        <v>29</v>
      </c>
      <c r="B1337" s="11" t="s">
        <v>14</v>
      </c>
      <c r="C1337" s="11">
        <v>12874.837</v>
      </c>
      <c r="D1337" s="11">
        <v>2007</v>
      </c>
    </row>
    <row r="1338" spans="1:4" ht="19.95" customHeight="1" x14ac:dyDescent="0.25">
      <c r="A1338" s="10" t="s">
        <v>30</v>
      </c>
      <c r="B1338" s="11" t="s">
        <v>14</v>
      </c>
      <c r="C1338" s="11">
        <v>2614.5709999999999</v>
      </c>
      <c r="D1338" s="11">
        <v>2007</v>
      </c>
    </row>
    <row r="1339" spans="1:4" ht="19.95" customHeight="1" x14ac:dyDescent="0.25">
      <c r="A1339" s="10" t="s">
        <v>31</v>
      </c>
      <c r="B1339" s="11" t="s">
        <v>14</v>
      </c>
      <c r="C1339" s="11">
        <v>4605.7520000000004</v>
      </c>
      <c r="D1339" s="11">
        <v>2007</v>
      </c>
    </row>
    <row r="1340" spans="1:4" ht="19.95" customHeight="1" x14ac:dyDescent="0.25">
      <c r="A1340" s="10" t="s">
        <v>32</v>
      </c>
      <c r="B1340" s="11" t="s">
        <v>14</v>
      </c>
      <c r="C1340" s="11">
        <v>722.399</v>
      </c>
      <c r="D1340" s="11">
        <v>2007</v>
      </c>
    </row>
    <row r="1341" spans="1:4" ht="19.95" customHeight="1" x14ac:dyDescent="0.25">
      <c r="A1341" s="10" t="s">
        <v>33</v>
      </c>
      <c r="B1341" s="11" t="s">
        <v>14</v>
      </c>
      <c r="C1341" s="11">
        <v>557.38400000000001</v>
      </c>
      <c r="D1341" s="11">
        <v>2007</v>
      </c>
    </row>
    <row r="1342" spans="1:4" ht="19.95" customHeight="1" x14ac:dyDescent="0.25">
      <c r="A1342" s="10" t="s">
        <v>34</v>
      </c>
      <c r="B1342" s="11" t="s">
        <v>14</v>
      </c>
      <c r="C1342" s="11">
        <v>84.340999999999994</v>
      </c>
      <c r="D1342" s="11">
        <v>2007</v>
      </c>
    </row>
    <row r="1343" spans="1:4" ht="19.95" customHeight="1" x14ac:dyDescent="0.25">
      <c r="A1343" s="10" t="s">
        <v>35</v>
      </c>
      <c r="B1343" s="11" t="s">
        <v>14</v>
      </c>
      <c r="C1343" s="11">
        <v>12354.123</v>
      </c>
      <c r="D1343" s="11">
        <v>2007</v>
      </c>
    </row>
    <row r="1344" spans="1:4" ht="19.95" customHeight="1" x14ac:dyDescent="0.25">
      <c r="A1344" s="10" t="s">
        <v>36</v>
      </c>
      <c r="B1344" s="11" t="s">
        <v>14</v>
      </c>
      <c r="C1344" s="11">
        <v>3234.2939999999999</v>
      </c>
      <c r="D1344" s="11">
        <v>2007</v>
      </c>
    </row>
    <row r="1345" spans="1:4" ht="19.95" customHeight="1" x14ac:dyDescent="0.25">
      <c r="A1345" s="10" t="s">
        <v>37</v>
      </c>
      <c r="B1345" s="11" t="s">
        <v>14</v>
      </c>
      <c r="C1345" s="11">
        <v>5896.5360000000001</v>
      </c>
      <c r="D1345" s="11">
        <v>2007</v>
      </c>
    </row>
    <row r="1346" spans="1:4" ht="19.95" customHeight="1" x14ac:dyDescent="0.25">
      <c r="A1346" s="10" t="s">
        <v>38</v>
      </c>
      <c r="B1346" s="11" t="s">
        <v>14</v>
      </c>
      <c r="C1346" s="11">
        <v>2889.596</v>
      </c>
      <c r="D1346" s="11">
        <v>2007</v>
      </c>
    </row>
    <row r="1347" spans="1:4" ht="19.95" customHeight="1" x14ac:dyDescent="0.25">
      <c r="A1347" s="10" t="s">
        <v>39</v>
      </c>
      <c r="B1347" s="11" t="s">
        <v>14</v>
      </c>
      <c r="C1347" s="11">
        <v>1928.8420000000001</v>
      </c>
      <c r="D1347" s="11">
        <v>2007</v>
      </c>
    </row>
    <row r="1348" spans="1:4" ht="19.95" customHeight="1" x14ac:dyDescent="0.25">
      <c r="A1348" s="10" t="s">
        <v>40</v>
      </c>
      <c r="B1348" s="11" t="s">
        <v>14</v>
      </c>
      <c r="C1348" s="11">
        <v>9886.232</v>
      </c>
      <c r="D1348" s="11">
        <v>2007</v>
      </c>
    </row>
    <row r="1349" spans="1:4" ht="19.95" customHeight="1" x14ac:dyDescent="0.25">
      <c r="A1349" s="10" t="s">
        <v>10</v>
      </c>
      <c r="B1349" s="11" t="s">
        <v>14</v>
      </c>
      <c r="C1349" s="11">
        <v>190.684</v>
      </c>
      <c r="D1349" s="11">
        <v>2008</v>
      </c>
    </row>
    <row r="1350" spans="1:4" ht="19.95" customHeight="1" x14ac:dyDescent="0.25">
      <c r="A1350" s="10" t="s">
        <v>13</v>
      </c>
      <c r="B1350" s="11" t="s">
        <v>14</v>
      </c>
      <c r="C1350" s="11">
        <v>5544.5039999999999</v>
      </c>
      <c r="D1350" s="11">
        <v>2008</v>
      </c>
    </row>
    <row r="1351" spans="1:4" ht="19.95" customHeight="1" x14ac:dyDescent="0.25">
      <c r="A1351" s="10" t="s">
        <v>15</v>
      </c>
      <c r="B1351" s="11" t="s">
        <v>14</v>
      </c>
      <c r="C1351" s="11">
        <v>509.71300000000002</v>
      </c>
      <c r="D1351" s="11">
        <v>2008</v>
      </c>
    </row>
    <row r="1352" spans="1:4" ht="19.95" customHeight="1" x14ac:dyDescent="0.25">
      <c r="A1352" s="10" t="s">
        <v>16</v>
      </c>
      <c r="B1352" s="11" t="s">
        <v>14</v>
      </c>
      <c r="C1352" s="11">
        <v>106.343</v>
      </c>
      <c r="D1352" s="11">
        <v>2008</v>
      </c>
    </row>
    <row r="1353" spans="1:4" ht="19.95" customHeight="1" x14ac:dyDescent="0.25">
      <c r="A1353" s="10" t="s">
        <v>17</v>
      </c>
      <c r="B1353" s="11" t="s">
        <v>14</v>
      </c>
      <c r="C1353" s="11">
        <v>498.71199999999999</v>
      </c>
      <c r="D1353" s="11">
        <v>2008</v>
      </c>
    </row>
    <row r="1354" spans="1:4" ht="19.95" customHeight="1" x14ac:dyDescent="0.25">
      <c r="A1354" s="10" t="s">
        <v>2</v>
      </c>
      <c r="B1354" s="11" t="s">
        <v>14</v>
      </c>
      <c r="C1354" s="11">
        <v>6578.598</v>
      </c>
      <c r="D1354" s="11">
        <v>2008</v>
      </c>
    </row>
    <row r="1355" spans="1:4" ht="19.95" customHeight="1" x14ac:dyDescent="0.25">
      <c r="A1355" s="10" t="s">
        <v>18</v>
      </c>
      <c r="B1355" s="11" t="s">
        <v>14</v>
      </c>
      <c r="C1355" s="11">
        <v>2189.1990000000001</v>
      </c>
      <c r="D1355" s="11">
        <v>2008</v>
      </c>
    </row>
    <row r="1356" spans="1:4" ht="19.95" customHeight="1" x14ac:dyDescent="0.25">
      <c r="A1356" s="10" t="s">
        <v>19</v>
      </c>
      <c r="B1356" s="11" t="s">
        <v>14</v>
      </c>
      <c r="C1356" s="11">
        <v>2398.2179999999998</v>
      </c>
      <c r="D1356" s="11">
        <v>2008</v>
      </c>
    </row>
    <row r="1357" spans="1:4" ht="19.95" customHeight="1" x14ac:dyDescent="0.25">
      <c r="A1357" s="10" t="s">
        <v>20</v>
      </c>
      <c r="B1357" s="11" t="s">
        <v>14</v>
      </c>
      <c r="C1357" s="11">
        <v>10241.931</v>
      </c>
      <c r="D1357" s="11">
        <v>2008</v>
      </c>
    </row>
    <row r="1358" spans="1:4" ht="19.95" customHeight="1" x14ac:dyDescent="0.25">
      <c r="A1358" s="10" t="s">
        <v>21</v>
      </c>
      <c r="B1358" s="11" t="s">
        <v>14</v>
      </c>
      <c r="C1358" s="11"/>
      <c r="D1358" s="11">
        <v>2008</v>
      </c>
    </row>
    <row r="1359" spans="1:4" ht="19.95" customHeight="1" x14ac:dyDescent="0.25">
      <c r="A1359" s="10" t="s">
        <v>22</v>
      </c>
      <c r="B1359" s="11" t="s">
        <v>14</v>
      </c>
      <c r="C1359" s="11">
        <v>564.71799999999996</v>
      </c>
      <c r="D1359" s="11">
        <v>2008</v>
      </c>
    </row>
    <row r="1360" spans="1:4" ht="19.95" customHeight="1" x14ac:dyDescent="0.25">
      <c r="A1360" s="10" t="s">
        <v>23</v>
      </c>
      <c r="B1360" s="11" t="s">
        <v>14</v>
      </c>
      <c r="C1360" s="11">
        <v>1888.5050000000001</v>
      </c>
      <c r="D1360" s="11">
        <v>2008</v>
      </c>
    </row>
    <row r="1361" spans="1:4" ht="19.95" customHeight="1" x14ac:dyDescent="0.25">
      <c r="A1361" s="10" t="s">
        <v>24</v>
      </c>
      <c r="B1361" s="11" t="s">
        <v>14</v>
      </c>
      <c r="C1361" s="11">
        <v>1056.096</v>
      </c>
      <c r="D1361" s="11">
        <v>2008</v>
      </c>
    </row>
    <row r="1362" spans="1:4" ht="19.95" customHeight="1" x14ac:dyDescent="0.25">
      <c r="A1362" s="10" t="s">
        <v>25</v>
      </c>
      <c r="B1362" s="11" t="s">
        <v>14</v>
      </c>
      <c r="C1362" s="11">
        <v>1070.7639999999999</v>
      </c>
      <c r="D1362" s="11">
        <v>2008</v>
      </c>
    </row>
    <row r="1363" spans="1:4" ht="19.95" customHeight="1" x14ac:dyDescent="0.25">
      <c r="A1363" s="10" t="s">
        <v>26</v>
      </c>
      <c r="B1363" s="11" t="s">
        <v>14</v>
      </c>
      <c r="C1363" s="11">
        <v>4778.1009999999997</v>
      </c>
      <c r="D1363" s="11">
        <v>2008</v>
      </c>
    </row>
    <row r="1364" spans="1:4" ht="19.95" customHeight="1" x14ac:dyDescent="0.25">
      <c r="A1364" s="10" t="s">
        <v>27</v>
      </c>
      <c r="B1364" s="11" t="s">
        <v>14</v>
      </c>
      <c r="C1364" s="11">
        <v>2266.2060000000001</v>
      </c>
      <c r="D1364" s="11">
        <v>2008</v>
      </c>
    </row>
    <row r="1365" spans="1:4" ht="19.95" customHeight="1" x14ac:dyDescent="0.25">
      <c r="A1365" s="10" t="s">
        <v>29</v>
      </c>
      <c r="B1365" s="11" t="s">
        <v>14</v>
      </c>
      <c r="C1365" s="11">
        <v>9801.8909999999996</v>
      </c>
      <c r="D1365" s="11">
        <v>2008</v>
      </c>
    </row>
    <row r="1366" spans="1:4" ht="19.95" customHeight="1" x14ac:dyDescent="0.25">
      <c r="A1366" s="10" t="s">
        <v>30</v>
      </c>
      <c r="B1366" s="11" t="s">
        <v>14</v>
      </c>
      <c r="C1366" s="11">
        <v>3421.3110000000001</v>
      </c>
      <c r="D1366" s="11">
        <v>2008</v>
      </c>
    </row>
    <row r="1367" spans="1:4" ht="19.95" customHeight="1" x14ac:dyDescent="0.25">
      <c r="A1367" s="10" t="s">
        <v>31</v>
      </c>
      <c r="B1367" s="11" t="s">
        <v>14</v>
      </c>
      <c r="C1367" s="11">
        <v>4422.402</v>
      </c>
      <c r="D1367" s="11">
        <v>2008</v>
      </c>
    </row>
    <row r="1368" spans="1:4" ht="19.95" customHeight="1" x14ac:dyDescent="0.25">
      <c r="A1368" s="10" t="s">
        <v>32</v>
      </c>
      <c r="B1368" s="11" t="s">
        <v>14</v>
      </c>
      <c r="C1368" s="11">
        <v>810.40700000000004</v>
      </c>
      <c r="D1368" s="11">
        <v>2008</v>
      </c>
    </row>
    <row r="1369" spans="1:4" ht="19.95" customHeight="1" x14ac:dyDescent="0.25">
      <c r="A1369" s="10" t="s">
        <v>33</v>
      </c>
      <c r="B1369" s="11" t="s">
        <v>14</v>
      </c>
      <c r="C1369" s="11">
        <v>542.71600000000001</v>
      </c>
      <c r="D1369" s="11">
        <v>2008</v>
      </c>
    </row>
    <row r="1370" spans="1:4" ht="19.95" customHeight="1" x14ac:dyDescent="0.25">
      <c r="A1370" s="10" t="s">
        <v>34</v>
      </c>
      <c r="B1370" s="11" t="s">
        <v>14</v>
      </c>
      <c r="C1370" s="11">
        <v>84.340999999999994</v>
      </c>
      <c r="D1370" s="11">
        <v>2008</v>
      </c>
    </row>
    <row r="1371" spans="1:4" ht="19.95" customHeight="1" x14ac:dyDescent="0.25">
      <c r="A1371" s="10" t="s">
        <v>35</v>
      </c>
      <c r="B1371" s="11" t="s">
        <v>14</v>
      </c>
      <c r="C1371" s="11">
        <v>12207.442999999999</v>
      </c>
      <c r="D1371" s="11">
        <v>2008</v>
      </c>
    </row>
    <row r="1372" spans="1:4" ht="19.95" customHeight="1" x14ac:dyDescent="0.25">
      <c r="A1372" s="10" t="s">
        <v>36</v>
      </c>
      <c r="B1372" s="11" t="s">
        <v>14</v>
      </c>
      <c r="C1372" s="11">
        <v>2904.2640000000001</v>
      </c>
      <c r="D1372" s="11">
        <v>2008</v>
      </c>
    </row>
    <row r="1373" spans="1:4" ht="19.95" customHeight="1" x14ac:dyDescent="0.25">
      <c r="A1373" s="10" t="s">
        <v>37</v>
      </c>
      <c r="B1373" s="11" t="s">
        <v>14</v>
      </c>
      <c r="C1373" s="11">
        <v>6142.2250000000004</v>
      </c>
      <c r="D1373" s="11">
        <v>2008</v>
      </c>
    </row>
    <row r="1374" spans="1:4" ht="19.95" customHeight="1" x14ac:dyDescent="0.25">
      <c r="A1374" s="10" t="s">
        <v>38</v>
      </c>
      <c r="B1374" s="11" t="s">
        <v>14</v>
      </c>
      <c r="C1374" s="11">
        <v>3190.29</v>
      </c>
      <c r="D1374" s="11">
        <v>2008</v>
      </c>
    </row>
    <row r="1375" spans="1:4" ht="19.95" customHeight="1" x14ac:dyDescent="0.25">
      <c r="A1375" s="10" t="s">
        <v>39</v>
      </c>
      <c r="B1375" s="11" t="s">
        <v>14</v>
      </c>
      <c r="C1375" s="11">
        <v>2170.864</v>
      </c>
      <c r="D1375" s="11">
        <v>2008</v>
      </c>
    </row>
    <row r="1376" spans="1:4" ht="19.95" customHeight="1" x14ac:dyDescent="0.25">
      <c r="A1376" s="10" t="s">
        <v>40</v>
      </c>
      <c r="B1376" s="11" t="s">
        <v>14</v>
      </c>
      <c r="C1376" s="11">
        <v>7770.3729999999996</v>
      </c>
      <c r="D1376" s="11">
        <v>2008</v>
      </c>
    </row>
    <row r="1377" spans="1:4" ht="19.95" customHeight="1" x14ac:dyDescent="0.25">
      <c r="A1377" s="10" t="s">
        <v>10</v>
      </c>
      <c r="B1377" s="11" t="s">
        <v>14</v>
      </c>
      <c r="C1377" s="11">
        <v>190.684</v>
      </c>
      <c r="D1377" s="11">
        <v>2009</v>
      </c>
    </row>
    <row r="1378" spans="1:4" ht="19.95" customHeight="1" x14ac:dyDescent="0.25">
      <c r="A1378" s="10" t="s">
        <v>13</v>
      </c>
      <c r="B1378" s="11" t="s">
        <v>14</v>
      </c>
      <c r="C1378" s="11">
        <v>6725.2780000000002</v>
      </c>
      <c r="D1378" s="11">
        <v>2009</v>
      </c>
    </row>
    <row r="1379" spans="1:4" ht="19.95" customHeight="1" x14ac:dyDescent="0.25">
      <c r="A1379" s="10" t="s">
        <v>15</v>
      </c>
      <c r="B1379" s="11" t="s">
        <v>14</v>
      </c>
      <c r="C1379" s="11">
        <v>491.37799999999999</v>
      </c>
      <c r="D1379" s="11">
        <v>2009</v>
      </c>
    </row>
    <row r="1380" spans="1:4" ht="19.95" customHeight="1" x14ac:dyDescent="0.25">
      <c r="A1380" s="10" t="s">
        <v>16</v>
      </c>
      <c r="B1380" s="11" t="s">
        <v>14</v>
      </c>
      <c r="C1380" s="11">
        <v>132.012</v>
      </c>
      <c r="D1380" s="11">
        <v>2009</v>
      </c>
    </row>
    <row r="1381" spans="1:4" ht="19.95" customHeight="1" x14ac:dyDescent="0.25">
      <c r="A1381" s="10" t="s">
        <v>17</v>
      </c>
      <c r="B1381" s="11" t="s">
        <v>14</v>
      </c>
      <c r="C1381" s="11">
        <v>462.04199999999997</v>
      </c>
      <c r="D1381" s="11">
        <v>2009</v>
      </c>
    </row>
    <row r="1382" spans="1:4" ht="19.95" customHeight="1" x14ac:dyDescent="0.25">
      <c r="A1382" s="10" t="s">
        <v>2</v>
      </c>
      <c r="B1382" s="11" t="s">
        <v>14</v>
      </c>
      <c r="C1382" s="11">
        <v>6629.9359999999997</v>
      </c>
      <c r="D1382" s="11">
        <v>2009</v>
      </c>
    </row>
    <row r="1383" spans="1:4" ht="19.95" customHeight="1" x14ac:dyDescent="0.25">
      <c r="A1383" s="10" t="s">
        <v>18</v>
      </c>
      <c r="B1383" s="11" t="s">
        <v>14</v>
      </c>
      <c r="C1383" s="11">
        <v>2262.5390000000002</v>
      </c>
      <c r="D1383" s="11">
        <v>2009</v>
      </c>
    </row>
    <row r="1384" spans="1:4" ht="19.95" customHeight="1" x14ac:dyDescent="0.25">
      <c r="A1384" s="10" t="s">
        <v>19</v>
      </c>
      <c r="B1384" s="11" t="s">
        <v>14</v>
      </c>
      <c r="C1384" s="11">
        <v>2269.873</v>
      </c>
      <c r="D1384" s="11">
        <v>2009</v>
      </c>
    </row>
    <row r="1385" spans="1:4" ht="19.95" customHeight="1" x14ac:dyDescent="0.25">
      <c r="A1385" s="10" t="s">
        <v>20</v>
      </c>
      <c r="B1385" s="11" t="s">
        <v>14</v>
      </c>
      <c r="C1385" s="11">
        <v>12350.456</v>
      </c>
      <c r="D1385" s="11">
        <v>2009</v>
      </c>
    </row>
    <row r="1386" spans="1:4" ht="19.95" customHeight="1" x14ac:dyDescent="0.25">
      <c r="A1386" s="10" t="s">
        <v>21</v>
      </c>
      <c r="B1386" s="11" t="s">
        <v>14</v>
      </c>
      <c r="C1386" s="11"/>
      <c r="D1386" s="11">
        <v>2009</v>
      </c>
    </row>
    <row r="1387" spans="1:4" ht="19.95" customHeight="1" x14ac:dyDescent="0.25">
      <c r="A1387" s="10" t="s">
        <v>22</v>
      </c>
      <c r="B1387" s="11" t="s">
        <v>14</v>
      </c>
      <c r="C1387" s="11">
        <v>517.04700000000003</v>
      </c>
      <c r="D1387" s="11">
        <v>2009</v>
      </c>
    </row>
    <row r="1388" spans="1:4" ht="19.95" customHeight="1" x14ac:dyDescent="0.25">
      <c r="A1388" s="10" t="s">
        <v>23</v>
      </c>
      <c r="B1388" s="11" t="s">
        <v>14</v>
      </c>
      <c r="C1388" s="11">
        <v>1771.1610000000001</v>
      </c>
      <c r="D1388" s="11">
        <v>2009</v>
      </c>
    </row>
    <row r="1389" spans="1:4" ht="19.95" customHeight="1" x14ac:dyDescent="0.25">
      <c r="A1389" s="10" t="s">
        <v>24</v>
      </c>
      <c r="B1389" s="11" t="s">
        <v>14</v>
      </c>
      <c r="C1389" s="11">
        <v>946.08600000000001</v>
      </c>
      <c r="D1389" s="11">
        <v>2009</v>
      </c>
    </row>
    <row r="1390" spans="1:4" ht="19.95" customHeight="1" x14ac:dyDescent="0.25">
      <c r="A1390" s="10" t="s">
        <v>25</v>
      </c>
      <c r="B1390" s="11" t="s">
        <v>14</v>
      </c>
      <c r="C1390" s="11">
        <v>806.74</v>
      </c>
      <c r="D1390" s="11">
        <v>2009</v>
      </c>
    </row>
    <row r="1391" spans="1:4" ht="19.95" customHeight="1" x14ac:dyDescent="0.25">
      <c r="A1391" s="10" t="s">
        <v>26</v>
      </c>
      <c r="B1391" s="11" t="s">
        <v>14</v>
      </c>
      <c r="C1391" s="11">
        <v>4550.7470000000003</v>
      </c>
      <c r="D1391" s="11">
        <v>2009</v>
      </c>
    </row>
    <row r="1392" spans="1:4" ht="19.95" customHeight="1" x14ac:dyDescent="0.25">
      <c r="A1392" s="10" t="s">
        <v>27</v>
      </c>
      <c r="B1392" s="11" t="s">
        <v>14</v>
      </c>
      <c r="C1392" s="11">
        <v>2530.23</v>
      </c>
      <c r="D1392" s="11">
        <v>2009</v>
      </c>
    </row>
    <row r="1393" spans="1:4" ht="19.95" customHeight="1" x14ac:dyDescent="0.25">
      <c r="A1393" s="10" t="s">
        <v>29</v>
      </c>
      <c r="B1393" s="11" t="s">
        <v>14</v>
      </c>
      <c r="C1393" s="11">
        <v>10230.93</v>
      </c>
      <c r="D1393" s="11">
        <v>2009</v>
      </c>
    </row>
    <row r="1394" spans="1:4" ht="19.95" customHeight="1" x14ac:dyDescent="0.25">
      <c r="A1394" s="10" t="s">
        <v>30</v>
      </c>
      <c r="B1394" s="11" t="s">
        <v>14</v>
      </c>
      <c r="C1394" s="11">
        <v>4334.3940000000002</v>
      </c>
      <c r="D1394" s="11">
        <v>2009</v>
      </c>
    </row>
    <row r="1395" spans="1:4" ht="19.95" customHeight="1" x14ac:dyDescent="0.25">
      <c r="A1395" s="10" t="s">
        <v>31</v>
      </c>
      <c r="B1395" s="11" t="s">
        <v>14</v>
      </c>
      <c r="C1395" s="11">
        <v>4495.7420000000002</v>
      </c>
      <c r="D1395" s="11">
        <v>2009</v>
      </c>
    </row>
    <row r="1396" spans="1:4" ht="19.95" customHeight="1" x14ac:dyDescent="0.25">
      <c r="A1396" s="10" t="s">
        <v>32</v>
      </c>
      <c r="B1396" s="11" t="s">
        <v>14</v>
      </c>
      <c r="C1396" s="11">
        <v>968.08799999999997</v>
      </c>
      <c r="D1396" s="11">
        <v>2009</v>
      </c>
    </row>
    <row r="1397" spans="1:4" ht="19.95" customHeight="1" x14ac:dyDescent="0.25">
      <c r="A1397" s="10" t="s">
        <v>33</v>
      </c>
      <c r="B1397" s="11" t="s">
        <v>14</v>
      </c>
      <c r="C1397" s="11">
        <v>575.71900000000005</v>
      </c>
      <c r="D1397" s="11">
        <v>2009</v>
      </c>
    </row>
    <row r="1398" spans="1:4" ht="19.95" customHeight="1" x14ac:dyDescent="0.25">
      <c r="A1398" s="10" t="s">
        <v>34</v>
      </c>
      <c r="B1398" s="11" t="s">
        <v>14</v>
      </c>
      <c r="C1398" s="11">
        <v>91.674999999999997</v>
      </c>
      <c r="D1398" s="11">
        <v>2009</v>
      </c>
    </row>
    <row r="1399" spans="1:4" ht="19.95" customHeight="1" x14ac:dyDescent="0.25">
      <c r="A1399" s="10" t="s">
        <v>35</v>
      </c>
      <c r="B1399" s="11" t="s">
        <v>14</v>
      </c>
      <c r="C1399" s="11">
        <v>13175.531000000001</v>
      </c>
      <c r="D1399" s="11">
        <v>2009</v>
      </c>
    </row>
    <row r="1400" spans="1:4" ht="19.95" customHeight="1" x14ac:dyDescent="0.25">
      <c r="A1400" s="10" t="s">
        <v>36</v>
      </c>
      <c r="B1400" s="11" t="s">
        <v>14</v>
      </c>
      <c r="C1400" s="11">
        <v>2453.223</v>
      </c>
      <c r="D1400" s="11">
        <v>2009</v>
      </c>
    </row>
    <row r="1401" spans="1:4" ht="19.95" customHeight="1" x14ac:dyDescent="0.25">
      <c r="A1401" s="10" t="s">
        <v>37</v>
      </c>
      <c r="B1401" s="11" t="s">
        <v>14</v>
      </c>
      <c r="C1401" s="11">
        <v>5918.5379999999996</v>
      </c>
      <c r="D1401" s="11">
        <v>2009</v>
      </c>
    </row>
    <row r="1402" spans="1:4" ht="19.95" customHeight="1" x14ac:dyDescent="0.25">
      <c r="A1402" s="10" t="s">
        <v>38</v>
      </c>
      <c r="B1402" s="11" t="s">
        <v>14</v>
      </c>
      <c r="C1402" s="11">
        <v>3380.9740000000002</v>
      </c>
      <c r="D1402" s="11">
        <v>2009</v>
      </c>
    </row>
    <row r="1403" spans="1:4" ht="19.95" customHeight="1" x14ac:dyDescent="0.25">
      <c r="A1403" s="10" t="s">
        <v>39</v>
      </c>
      <c r="B1403" s="11" t="s">
        <v>14</v>
      </c>
      <c r="C1403" s="11">
        <v>2508.2280000000001</v>
      </c>
      <c r="D1403" s="11">
        <v>2009</v>
      </c>
    </row>
    <row r="1404" spans="1:4" ht="19.95" customHeight="1" x14ac:dyDescent="0.25">
      <c r="A1404" s="10" t="s">
        <v>40</v>
      </c>
      <c r="B1404" s="11" t="s">
        <v>14</v>
      </c>
      <c r="C1404" s="11">
        <v>5603.1760000000004</v>
      </c>
      <c r="D1404" s="11">
        <v>2009</v>
      </c>
    </row>
    <row r="1405" spans="1:4" ht="19.95" customHeight="1" x14ac:dyDescent="0.25">
      <c r="A1405" s="10" t="s">
        <v>10</v>
      </c>
      <c r="B1405" s="11" t="s">
        <v>14</v>
      </c>
      <c r="C1405" s="11">
        <v>212.68600000000001</v>
      </c>
      <c r="D1405" s="11">
        <v>2010</v>
      </c>
    </row>
    <row r="1406" spans="1:4" ht="19.95" customHeight="1" x14ac:dyDescent="0.25">
      <c r="A1406" s="10" t="s">
        <v>13</v>
      </c>
      <c r="B1406" s="11" t="s">
        <v>14</v>
      </c>
      <c r="C1406" s="11">
        <v>6780.2830000000004</v>
      </c>
      <c r="D1406" s="11">
        <v>2010</v>
      </c>
    </row>
    <row r="1407" spans="1:4" ht="19.95" customHeight="1" x14ac:dyDescent="0.25">
      <c r="A1407" s="10" t="s">
        <v>15</v>
      </c>
      <c r="B1407" s="11" t="s">
        <v>14</v>
      </c>
      <c r="C1407" s="11">
        <v>517.04700000000003</v>
      </c>
      <c r="D1407" s="11">
        <v>2010</v>
      </c>
    </row>
    <row r="1408" spans="1:4" ht="19.95" customHeight="1" x14ac:dyDescent="0.25">
      <c r="A1408" s="10" t="s">
        <v>16</v>
      </c>
      <c r="B1408" s="11" t="s">
        <v>14</v>
      </c>
      <c r="C1408" s="11">
        <v>161.34800000000001</v>
      </c>
      <c r="D1408" s="11">
        <v>2010</v>
      </c>
    </row>
    <row r="1409" spans="1:4" ht="19.95" customHeight="1" x14ac:dyDescent="0.25">
      <c r="A1409" s="10" t="s">
        <v>17</v>
      </c>
      <c r="B1409" s="11" t="s">
        <v>14</v>
      </c>
      <c r="C1409" s="11">
        <v>517.04700000000003</v>
      </c>
      <c r="D1409" s="11">
        <v>2010</v>
      </c>
    </row>
    <row r="1410" spans="1:4" ht="19.95" customHeight="1" x14ac:dyDescent="0.25">
      <c r="A1410" s="10" t="s">
        <v>2</v>
      </c>
      <c r="B1410" s="11" t="s">
        <v>14</v>
      </c>
      <c r="C1410" s="11">
        <v>6585.9319999999998</v>
      </c>
      <c r="D1410" s="11">
        <v>2010</v>
      </c>
    </row>
    <row r="1411" spans="1:4" ht="19.95" customHeight="1" x14ac:dyDescent="0.25">
      <c r="A1411" s="10" t="s">
        <v>18</v>
      </c>
      <c r="B1411" s="11" t="s">
        <v>14</v>
      </c>
      <c r="C1411" s="11">
        <v>2603.5700000000002</v>
      </c>
      <c r="D1411" s="11">
        <v>2010</v>
      </c>
    </row>
    <row r="1412" spans="1:4" ht="19.95" customHeight="1" x14ac:dyDescent="0.25">
      <c r="A1412" s="10" t="s">
        <v>19</v>
      </c>
      <c r="B1412" s="11" t="s">
        <v>14</v>
      </c>
      <c r="C1412" s="11">
        <v>2126.86</v>
      </c>
      <c r="D1412" s="11">
        <v>2010</v>
      </c>
    </row>
    <row r="1413" spans="1:4" ht="19.95" customHeight="1" x14ac:dyDescent="0.25">
      <c r="A1413" s="10" t="s">
        <v>20</v>
      </c>
      <c r="B1413" s="11" t="s">
        <v>14</v>
      </c>
      <c r="C1413" s="11">
        <v>12174.44</v>
      </c>
      <c r="D1413" s="11">
        <v>2010</v>
      </c>
    </row>
    <row r="1414" spans="1:4" ht="19.95" customHeight="1" x14ac:dyDescent="0.25">
      <c r="A1414" s="10" t="s">
        <v>21</v>
      </c>
      <c r="B1414" s="11" t="s">
        <v>14</v>
      </c>
      <c r="C1414" s="11"/>
      <c r="D1414" s="11">
        <v>2010</v>
      </c>
    </row>
    <row r="1415" spans="1:4" ht="19.95" customHeight="1" x14ac:dyDescent="0.25">
      <c r="A1415" s="10" t="s">
        <v>22</v>
      </c>
      <c r="B1415" s="11" t="s">
        <v>14</v>
      </c>
      <c r="C1415" s="11">
        <v>792.072</v>
      </c>
      <c r="D1415" s="11">
        <v>2010</v>
      </c>
    </row>
    <row r="1416" spans="1:4" ht="19.95" customHeight="1" x14ac:dyDescent="0.25">
      <c r="A1416" s="10" t="s">
        <v>23</v>
      </c>
      <c r="B1416" s="11" t="s">
        <v>14</v>
      </c>
      <c r="C1416" s="11">
        <v>1958.1780000000001</v>
      </c>
      <c r="D1416" s="11">
        <v>2010</v>
      </c>
    </row>
    <row r="1417" spans="1:4" ht="19.95" customHeight="1" x14ac:dyDescent="0.25">
      <c r="A1417" s="10" t="s">
        <v>24</v>
      </c>
      <c r="B1417" s="11" t="s">
        <v>14</v>
      </c>
      <c r="C1417" s="11">
        <v>1144.104</v>
      </c>
      <c r="D1417" s="11">
        <v>2010</v>
      </c>
    </row>
    <row r="1418" spans="1:4" ht="19.95" customHeight="1" x14ac:dyDescent="0.25">
      <c r="A1418" s="10" t="s">
        <v>25</v>
      </c>
      <c r="B1418" s="11" t="s">
        <v>14</v>
      </c>
      <c r="C1418" s="11">
        <v>964.42100000000005</v>
      </c>
      <c r="D1418" s="11">
        <v>2010</v>
      </c>
    </row>
    <row r="1419" spans="1:4" ht="19.95" customHeight="1" x14ac:dyDescent="0.25">
      <c r="A1419" s="10" t="s">
        <v>26</v>
      </c>
      <c r="B1419" s="11" t="s">
        <v>14</v>
      </c>
      <c r="C1419" s="11">
        <v>4932.1149999999998</v>
      </c>
      <c r="D1419" s="11">
        <v>2010</v>
      </c>
    </row>
    <row r="1420" spans="1:4" ht="19.95" customHeight="1" x14ac:dyDescent="0.25">
      <c r="A1420" s="10" t="s">
        <v>27</v>
      </c>
      <c r="B1420" s="11" t="s">
        <v>14</v>
      </c>
      <c r="C1420" s="11">
        <v>2735.5819999999999</v>
      </c>
      <c r="D1420" s="11">
        <v>2010</v>
      </c>
    </row>
    <row r="1421" spans="1:4" ht="19.95" customHeight="1" x14ac:dyDescent="0.25">
      <c r="A1421" s="10" t="s">
        <v>29</v>
      </c>
      <c r="B1421" s="11" t="s">
        <v>14</v>
      </c>
      <c r="C1421" s="11">
        <v>12515.471</v>
      </c>
      <c r="D1421" s="11">
        <v>2010</v>
      </c>
    </row>
    <row r="1422" spans="1:4" ht="19.95" customHeight="1" x14ac:dyDescent="0.25">
      <c r="A1422" s="10" t="s">
        <v>30</v>
      </c>
      <c r="B1422" s="11" t="s">
        <v>14</v>
      </c>
      <c r="C1422" s="11">
        <v>5056.7929999999997</v>
      </c>
      <c r="D1422" s="11">
        <v>2010</v>
      </c>
    </row>
    <row r="1423" spans="1:4" ht="19.95" customHeight="1" x14ac:dyDescent="0.25">
      <c r="A1423" s="10" t="s">
        <v>31</v>
      </c>
      <c r="B1423" s="11" t="s">
        <v>14</v>
      </c>
      <c r="C1423" s="11">
        <v>4536.0789999999997</v>
      </c>
      <c r="D1423" s="11">
        <v>2010</v>
      </c>
    </row>
    <row r="1424" spans="1:4" ht="19.95" customHeight="1" x14ac:dyDescent="0.25">
      <c r="A1424" s="10" t="s">
        <v>32</v>
      </c>
      <c r="B1424" s="11" t="s">
        <v>14</v>
      </c>
      <c r="C1424" s="11">
        <v>1173.44</v>
      </c>
      <c r="D1424" s="11">
        <v>2010</v>
      </c>
    </row>
    <row r="1425" spans="1:4" ht="19.95" customHeight="1" x14ac:dyDescent="0.25">
      <c r="A1425" s="10" t="s">
        <v>33</v>
      </c>
      <c r="B1425" s="11" t="s">
        <v>14</v>
      </c>
      <c r="C1425" s="11">
        <v>590.38699999999994</v>
      </c>
      <c r="D1425" s="11">
        <v>2010</v>
      </c>
    </row>
    <row r="1426" spans="1:4" ht="19.95" customHeight="1" x14ac:dyDescent="0.25">
      <c r="A1426" s="10" t="s">
        <v>34</v>
      </c>
      <c r="B1426" s="11" t="s">
        <v>14</v>
      </c>
      <c r="C1426" s="11">
        <v>99.009</v>
      </c>
      <c r="D1426" s="11">
        <v>2010</v>
      </c>
    </row>
    <row r="1427" spans="1:4" ht="19.95" customHeight="1" x14ac:dyDescent="0.25">
      <c r="A1427" s="10" t="s">
        <v>35</v>
      </c>
      <c r="B1427" s="11" t="s">
        <v>14</v>
      </c>
      <c r="C1427" s="11">
        <v>13263.539000000001</v>
      </c>
      <c r="D1427" s="11">
        <v>2010</v>
      </c>
    </row>
    <row r="1428" spans="1:4" ht="19.95" customHeight="1" x14ac:dyDescent="0.25">
      <c r="A1428" s="10" t="s">
        <v>36</v>
      </c>
      <c r="B1428" s="11" t="s">
        <v>14</v>
      </c>
      <c r="C1428" s="11">
        <v>2544.8980000000001</v>
      </c>
      <c r="D1428" s="11">
        <v>2010</v>
      </c>
    </row>
    <row r="1429" spans="1:4" ht="19.95" customHeight="1" x14ac:dyDescent="0.25">
      <c r="A1429" s="10" t="s">
        <v>37</v>
      </c>
      <c r="B1429" s="11" t="s">
        <v>14</v>
      </c>
      <c r="C1429" s="11">
        <v>7106.6459999999997</v>
      </c>
      <c r="D1429" s="11">
        <v>2010</v>
      </c>
    </row>
    <row r="1430" spans="1:4" ht="19.95" customHeight="1" x14ac:dyDescent="0.25">
      <c r="A1430" s="10" t="s">
        <v>38</v>
      </c>
      <c r="B1430" s="11" t="s">
        <v>14</v>
      </c>
      <c r="C1430" s="11">
        <v>3920.0230000000001</v>
      </c>
      <c r="D1430" s="11">
        <v>2010</v>
      </c>
    </row>
    <row r="1431" spans="1:4" ht="19.95" customHeight="1" x14ac:dyDescent="0.25">
      <c r="A1431" s="10" t="s">
        <v>39</v>
      </c>
      <c r="B1431" s="11" t="s">
        <v>14</v>
      </c>
      <c r="C1431" s="11">
        <v>2691.578</v>
      </c>
      <c r="D1431" s="11">
        <v>2010</v>
      </c>
    </row>
    <row r="1432" spans="1:4" ht="19.95" customHeight="1" x14ac:dyDescent="0.25">
      <c r="A1432" s="10" t="s">
        <v>40</v>
      </c>
      <c r="B1432" s="11" t="s">
        <v>14</v>
      </c>
      <c r="C1432" s="11">
        <v>7777.7070000000003</v>
      </c>
      <c r="D1432" s="11">
        <v>2010</v>
      </c>
    </row>
    <row r="1433" spans="1:4" ht="19.95" customHeight="1" x14ac:dyDescent="0.25">
      <c r="A1433" s="10" t="s">
        <v>10</v>
      </c>
      <c r="B1433" s="11" t="s">
        <v>14</v>
      </c>
      <c r="C1433" s="11">
        <v>242.02199999999999</v>
      </c>
      <c r="D1433" s="11">
        <v>2011</v>
      </c>
    </row>
    <row r="1434" spans="1:4" ht="19.95" customHeight="1" x14ac:dyDescent="0.25">
      <c r="A1434" s="10" t="s">
        <v>13</v>
      </c>
      <c r="B1434" s="11" t="s">
        <v>14</v>
      </c>
      <c r="C1434" s="11">
        <v>5768.1909999999998</v>
      </c>
      <c r="D1434" s="11">
        <v>2011</v>
      </c>
    </row>
    <row r="1435" spans="1:4" ht="19.95" customHeight="1" x14ac:dyDescent="0.25">
      <c r="A1435" s="10" t="s">
        <v>15</v>
      </c>
      <c r="B1435" s="11" t="s">
        <v>14</v>
      </c>
      <c r="C1435" s="11">
        <v>539.04899999999998</v>
      </c>
      <c r="D1435" s="11">
        <v>2011</v>
      </c>
    </row>
    <row r="1436" spans="1:4" ht="19.95" customHeight="1" x14ac:dyDescent="0.25">
      <c r="A1436" s="10" t="s">
        <v>16</v>
      </c>
      <c r="B1436" s="11" t="s">
        <v>14</v>
      </c>
      <c r="C1436" s="11">
        <v>135.679</v>
      </c>
      <c r="D1436" s="11">
        <v>2011</v>
      </c>
    </row>
    <row r="1437" spans="1:4" ht="19.95" customHeight="1" x14ac:dyDescent="0.25">
      <c r="A1437" s="10" t="s">
        <v>17</v>
      </c>
      <c r="B1437" s="11" t="s">
        <v>14</v>
      </c>
      <c r="C1437" s="11">
        <v>473.04300000000001</v>
      </c>
      <c r="D1437" s="11">
        <v>2011</v>
      </c>
    </row>
    <row r="1438" spans="1:4" ht="19.95" customHeight="1" x14ac:dyDescent="0.25">
      <c r="A1438" s="10" t="s">
        <v>2</v>
      </c>
      <c r="B1438" s="11" t="s">
        <v>14</v>
      </c>
      <c r="C1438" s="11">
        <v>7726.3689999999997</v>
      </c>
      <c r="D1438" s="11">
        <v>2011</v>
      </c>
    </row>
    <row r="1439" spans="1:4" ht="19.95" customHeight="1" x14ac:dyDescent="0.25">
      <c r="A1439" s="10" t="s">
        <v>18</v>
      </c>
      <c r="B1439" s="11" t="s">
        <v>14</v>
      </c>
      <c r="C1439" s="11">
        <v>2779.5859999999998</v>
      </c>
      <c r="D1439" s="11">
        <v>2011</v>
      </c>
    </row>
    <row r="1440" spans="1:4" ht="19.95" customHeight="1" x14ac:dyDescent="0.25">
      <c r="A1440" s="10" t="s">
        <v>19</v>
      </c>
      <c r="B1440" s="11" t="s">
        <v>14</v>
      </c>
      <c r="C1440" s="11">
        <v>2218.5349999999999</v>
      </c>
      <c r="D1440" s="11">
        <v>2011</v>
      </c>
    </row>
    <row r="1441" spans="1:4" ht="19.95" customHeight="1" x14ac:dyDescent="0.25">
      <c r="A1441" s="10" t="s">
        <v>20</v>
      </c>
      <c r="B1441" s="11" t="s">
        <v>14</v>
      </c>
      <c r="C1441" s="11">
        <v>13457.89</v>
      </c>
      <c r="D1441" s="11">
        <v>2011</v>
      </c>
    </row>
    <row r="1442" spans="1:4" ht="19.95" customHeight="1" x14ac:dyDescent="0.25">
      <c r="A1442" s="10" t="s">
        <v>21</v>
      </c>
      <c r="B1442" s="11" t="s">
        <v>14</v>
      </c>
      <c r="C1442" s="11"/>
      <c r="D1442" s="11">
        <v>2011</v>
      </c>
    </row>
    <row r="1443" spans="1:4" ht="19.95" customHeight="1" x14ac:dyDescent="0.25">
      <c r="A1443" s="10" t="s">
        <v>22</v>
      </c>
      <c r="B1443" s="11" t="s">
        <v>14</v>
      </c>
      <c r="C1443" s="11">
        <v>891.08100000000002</v>
      </c>
      <c r="D1443" s="11">
        <v>2011</v>
      </c>
    </row>
    <row r="1444" spans="1:4" ht="19.95" customHeight="1" x14ac:dyDescent="0.25">
      <c r="A1444" s="10" t="s">
        <v>23</v>
      </c>
      <c r="B1444" s="11" t="s">
        <v>14</v>
      </c>
      <c r="C1444" s="11">
        <v>2339.5459999999998</v>
      </c>
      <c r="D1444" s="11">
        <v>2011</v>
      </c>
    </row>
    <row r="1445" spans="1:4" ht="19.95" customHeight="1" x14ac:dyDescent="0.25">
      <c r="A1445" s="10" t="s">
        <v>24</v>
      </c>
      <c r="B1445" s="11" t="s">
        <v>14</v>
      </c>
      <c r="C1445" s="11">
        <v>1180.7739999999999</v>
      </c>
      <c r="D1445" s="11">
        <v>2011</v>
      </c>
    </row>
    <row r="1446" spans="1:4" ht="19.95" customHeight="1" x14ac:dyDescent="0.25">
      <c r="A1446" s="10" t="s">
        <v>25</v>
      </c>
      <c r="B1446" s="11" t="s">
        <v>14</v>
      </c>
      <c r="C1446" s="11">
        <v>1045.095</v>
      </c>
      <c r="D1446" s="11">
        <v>2011</v>
      </c>
    </row>
    <row r="1447" spans="1:4" ht="19.95" customHeight="1" x14ac:dyDescent="0.25">
      <c r="A1447" s="10" t="s">
        <v>26</v>
      </c>
      <c r="B1447" s="11" t="s">
        <v>14</v>
      </c>
      <c r="C1447" s="11">
        <v>5038.4579999999996</v>
      </c>
      <c r="D1447" s="11">
        <v>2011</v>
      </c>
    </row>
    <row r="1448" spans="1:4" ht="19.95" customHeight="1" x14ac:dyDescent="0.25">
      <c r="A1448" s="10" t="s">
        <v>27</v>
      </c>
      <c r="B1448" s="11" t="s">
        <v>14</v>
      </c>
      <c r="C1448" s="11">
        <v>3223.2930000000001</v>
      </c>
      <c r="D1448" s="11">
        <v>2011</v>
      </c>
    </row>
    <row r="1449" spans="1:4" ht="19.95" customHeight="1" x14ac:dyDescent="0.25">
      <c r="A1449" s="10" t="s">
        <v>29</v>
      </c>
      <c r="B1449" s="11" t="s">
        <v>14</v>
      </c>
      <c r="C1449" s="11">
        <v>14297.633</v>
      </c>
      <c r="D1449" s="11">
        <v>2011</v>
      </c>
    </row>
    <row r="1450" spans="1:4" ht="19.95" customHeight="1" x14ac:dyDescent="0.25">
      <c r="A1450" s="10" t="s">
        <v>30</v>
      </c>
      <c r="B1450" s="11" t="s">
        <v>14</v>
      </c>
      <c r="C1450" s="11">
        <v>5533.5029999999997</v>
      </c>
      <c r="D1450" s="11">
        <v>2011</v>
      </c>
    </row>
    <row r="1451" spans="1:4" ht="19.95" customHeight="1" x14ac:dyDescent="0.25">
      <c r="A1451" s="10" t="s">
        <v>31</v>
      </c>
      <c r="B1451" s="11" t="s">
        <v>14</v>
      </c>
      <c r="C1451" s="11">
        <v>4880.777</v>
      </c>
      <c r="D1451" s="11">
        <v>2011</v>
      </c>
    </row>
    <row r="1452" spans="1:4" ht="19.95" customHeight="1" x14ac:dyDescent="0.25">
      <c r="A1452" s="10" t="s">
        <v>32</v>
      </c>
      <c r="B1452" s="11" t="s">
        <v>14</v>
      </c>
      <c r="C1452" s="11">
        <v>1327.454</v>
      </c>
      <c r="D1452" s="11">
        <v>2011</v>
      </c>
    </row>
    <row r="1453" spans="1:4" ht="19.95" customHeight="1" x14ac:dyDescent="0.25">
      <c r="A1453" s="10" t="s">
        <v>33</v>
      </c>
      <c r="B1453" s="11" t="s">
        <v>14</v>
      </c>
      <c r="C1453" s="11">
        <v>663.72699999999998</v>
      </c>
      <c r="D1453" s="11">
        <v>2011</v>
      </c>
    </row>
    <row r="1454" spans="1:4" ht="19.95" customHeight="1" x14ac:dyDescent="0.25">
      <c r="A1454" s="10" t="s">
        <v>34</v>
      </c>
      <c r="B1454" s="11" t="s">
        <v>14</v>
      </c>
      <c r="C1454" s="11">
        <v>102.676</v>
      </c>
      <c r="D1454" s="11">
        <v>2011</v>
      </c>
    </row>
    <row r="1455" spans="1:4" ht="19.95" customHeight="1" x14ac:dyDescent="0.25">
      <c r="A1455" s="10" t="s">
        <v>35</v>
      </c>
      <c r="B1455" s="11" t="s">
        <v>14</v>
      </c>
      <c r="C1455" s="11">
        <v>15137.376</v>
      </c>
      <c r="D1455" s="11">
        <v>2011</v>
      </c>
    </row>
    <row r="1456" spans="1:4" ht="19.95" customHeight="1" x14ac:dyDescent="0.25">
      <c r="A1456" s="10" t="s">
        <v>36</v>
      </c>
      <c r="B1456" s="11" t="s">
        <v>14</v>
      </c>
      <c r="C1456" s="11">
        <v>2350.547</v>
      </c>
      <c r="D1456" s="11">
        <v>2011</v>
      </c>
    </row>
    <row r="1457" spans="1:4" ht="19.95" customHeight="1" x14ac:dyDescent="0.25">
      <c r="A1457" s="10" t="s">
        <v>37</v>
      </c>
      <c r="B1457" s="11" t="s">
        <v>14</v>
      </c>
      <c r="C1457" s="11">
        <v>8093.0690000000004</v>
      </c>
      <c r="D1457" s="11">
        <v>2011</v>
      </c>
    </row>
    <row r="1458" spans="1:4" ht="19.95" customHeight="1" x14ac:dyDescent="0.25">
      <c r="A1458" s="10" t="s">
        <v>38</v>
      </c>
      <c r="B1458" s="11" t="s">
        <v>14</v>
      </c>
      <c r="C1458" s="11">
        <v>4264.7209999999995</v>
      </c>
      <c r="D1458" s="11">
        <v>2011</v>
      </c>
    </row>
    <row r="1459" spans="1:4" ht="19.95" customHeight="1" x14ac:dyDescent="0.25">
      <c r="A1459" s="10" t="s">
        <v>39</v>
      </c>
      <c r="B1459" s="11" t="s">
        <v>14</v>
      </c>
      <c r="C1459" s="11">
        <v>2937.2669999999998</v>
      </c>
      <c r="D1459" s="11">
        <v>2011</v>
      </c>
    </row>
    <row r="1460" spans="1:4" ht="19.95" customHeight="1" x14ac:dyDescent="0.25">
      <c r="A1460" s="10" t="s">
        <v>40</v>
      </c>
      <c r="B1460" s="11" t="s">
        <v>14</v>
      </c>
      <c r="C1460" s="11">
        <v>9563.5360000000001</v>
      </c>
      <c r="D1460" s="11">
        <v>2011</v>
      </c>
    </row>
    <row r="1461" spans="1:4" ht="19.95" customHeight="1" x14ac:dyDescent="0.25">
      <c r="A1461" s="10" t="s">
        <v>10</v>
      </c>
      <c r="B1461" s="11" t="s">
        <v>14</v>
      </c>
      <c r="C1461" s="11">
        <v>282.35899999999998</v>
      </c>
      <c r="D1461" s="11">
        <v>2012</v>
      </c>
    </row>
    <row r="1462" spans="1:4" ht="19.95" customHeight="1" x14ac:dyDescent="0.25">
      <c r="A1462" s="10" t="s">
        <v>13</v>
      </c>
      <c r="B1462" s="11" t="s">
        <v>14</v>
      </c>
      <c r="C1462" s="11">
        <v>6127.5569999999998</v>
      </c>
      <c r="D1462" s="11">
        <v>2012</v>
      </c>
    </row>
    <row r="1463" spans="1:4" ht="19.95" customHeight="1" x14ac:dyDescent="0.25">
      <c r="A1463" s="10" t="s">
        <v>15</v>
      </c>
      <c r="B1463" s="11" t="s">
        <v>14</v>
      </c>
      <c r="C1463" s="11">
        <v>612.38900000000001</v>
      </c>
      <c r="D1463" s="11">
        <v>2012</v>
      </c>
    </row>
    <row r="1464" spans="1:4" ht="19.95" customHeight="1" x14ac:dyDescent="0.25">
      <c r="A1464" s="10" t="s">
        <v>16</v>
      </c>
      <c r="B1464" s="11" t="s">
        <v>14</v>
      </c>
      <c r="C1464" s="11">
        <v>143.01300000000001</v>
      </c>
      <c r="D1464" s="11">
        <v>2012</v>
      </c>
    </row>
    <row r="1465" spans="1:4" ht="19.95" customHeight="1" x14ac:dyDescent="0.25">
      <c r="A1465" s="10" t="s">
        <v>17</v>
      </c>
      <c r="B1465" s="11" t="s">
        <v>14</v>
      </c>
      <c r="C1465" s="11">
        <v>517.04700000000003</v>
      </c>
      <c r="D1465" s="11">
        <v>2012</v>
      </c>
    </row>
    <row r="1466" spans="1:4" ht="19.95" customHeight="1" x14ac:dyDescent="0.25">
      <c r="A1466" s="10" t="s">
        <v>2</v>
      </c>
      <c r="B1466" s="11" t="s">
        <v>14</v>
      </c>
      <c r="C1466" s="11">
        <v>8562.4449999999997</v>
      </c>
      <c r="D1466" s="11">
        <v>2012</v>
      </c>
    </row>
    <row r="1467" spans="1:4" ht="19.95" customHeight="1" x14ac:dyDescent="0.25">
      <c r="A1467" s="10" t="s">
        <v>18</v>
      </c>
      <c r="B1467" s="11" t="s">
        <v>14</v>
      </c>
      <c r="C1467" s="11">
        <v>2581.5680000000002</v>
      </c>
      <c r="D1467" s="11">
        <v>2012</v>
      </c>
    </row>
    <row r="1468" spans="1:4" ht="19.95" customHeight="1" x14ac:dyDescent="0.25">
      <c r="A1468" s="10" t="s">
        <v>19</v>
      </c>
      <c r="B1468" s="11" t="s">
        <v>14</v>
      </c>
      <c r="C1468" s="11">
        <v>2313.877</v>
      </c>
      <c r="D1468" s="11">
        <v>2012</v>
      </c>
    </row>
    <row r="1469" spans="1:4" ht="19.95" customHeight="1" x14ac:dyDescent="0.25">
      <c r="A1469" s="10" t="s">
        <v>20</v>
      </c>
      <c r="B1469" s="11" t="s">
        <v>14</v>
      </c>
      <c r="C1469" s="11">
        <v>12515.471</v>
      </c>
      <c r="D1469" s="11">
        <v>2012</v>
      </c>
    </row>
    <row r="1470" spans="1:4" ht="19.95" customHeight="1" x14ac:dyDescent="0.25">
      <c r="A1470" s="10" t="s">
        <v>21</v>
      </c>
      <c r="B1470" s="11" t="s">
        <v>14</v>
      </c>
      <c r="C1470" s="11"/>
      <c r="D1470" s="11">
        <v>2012</v>
      </c>
    </row>
    <row r="1471" spans="1:4" ht="19.95" customHeight="1" x14ac:dyDescent="0.25">
      <c r="A1471" s="10" t="s">
        <v>22</v>
      </c>
      <c r="B1471" s="11" t="s">
        <v>14</v>
      </c>
      <c r="C1471" s="11">
        <v>1026.76</v>
      </c>
      <c r="D1471" s="11">
        <v>2012</v>
      </c>
    </row>
    <row r="1472" spans="1:4" ht="19.95" customHeight="1" x14ac:dyDescent="0.25">
      <c r="A1472" s="10" t="s">
        <v>23</v>
      </c>
      <c r="B1472" s="11" t="s">
        <v>14</v>
      </c>
      <c r="C1472" s="11">
        <v>2706.2460000000001</v>
      </c>
      <c r="D1472" s="11">
        <v>2012</v>
      </c>
    </row>
    <row r="1473" spans="1:4" ht="19.95" customHeight="1" x14ac:dyDescent="0.25">
      <c r="A1473" s="10" t="s">
        <v>24</v>
      </c>
      <c r="B1473" s="11" t="s">
        <v>14</v>
      </c>
      <c r="C1473" s="11">
        <v>1096.433</v>
      </c>
      <c r="D1473" s="11">
        <v>2012</v>
      </c>
    </row>
    <row r="1474" spans="1:4" ht="19.95" customHeight="1" x14ac:dyDescent="0.25">
      <c r="A1474" s="10" t="s">
        <v>25</v>
      </c>
      <c r="B1474" s="11" t="s">
        <v>14</v>
      </c>
      <c r="C1474" s="11">
        <v>993.75699999999995</v>
      </c>
      <c r="D1474" s="11">
        <v>2012</v>
      </c>
    </row>
    <row r="1475" spans="1:4" ht="19.95" customHeight="1" x14ac:dyDescent="0.25">
      <c r="A1475" s="10" t="s">
        <v>26</v>
      </c>
      <c r="B1475" s="11" t="s">
        <v>14</v>
      </c>
      <c r="C1475" s="11">
        <v>4924.7809999999999</v>
      </c>
      <c r="D1475" s="11">
        <v>2012</v>
      </c>
    </row>
    <row r="1476" spans="1:4" ht="19.95" customHeight="1" x14ac:dyDescent="0.25">
      <c r="A1476" s="10" t="s">
        <v>27</v>
      </c>
      <c r="B1476" s="11" t="s">
        <v>14</v>
      </c>
      <c r="C1476" s="11">
        <v>3120.6170000000002</v>
      </c>
      <c r="D1476" s="11">
        <v>2012</v>
      </c>
    </row>
    <row r="1477" spans="1:4" ht="19.95" customHeight="1" x14ac:dyDescent="0.25">
      <c r="A1477" s="10" t="s">
        <v>29</v>
      </c>
      <c r="B1477" s="11" t="s">
        <v>14</v>
      </c>
      <c r="C1477" s="11">
        <v>11070.673000000001</v>
      </c>
      <c r="D1477" s="11">
        <v>2012</v>
      </c>
    </row>
    <row r="1478" spans="1:4" ht="19.95" customHeight="1" x14ac:dyDescent="0.25">
      <c r="A1478" s="10" t="s">
        <v>30</v>
      </c>
      <c r="B1478" s="11" t="s">
        <v>14</v>
      </c>
      <c r="C1478" s="11">
        <v>5856.1989999999996</v>
      </c>
      <c r="D1478" s="11">
        <v>2012</v>
      </c>
    </row>
    <row r="1479" spans="1:4" ht="19.95" customHeight="1" x14ac:dyDescent="0.25">
      <c r="A1479" s="10" t="s">
        <v>31</v>
      </c>
      <c r="B1479" s="11" t="s">
        <v>14</v>
      </c>
      <c r="C1479" s="11">
        <v>4620.42</v>
      </c>
      <c r="D1479" s="11">
        <v>2012</v>
      </c>
    </row>
    <row r="1480" spans="1:4" ht="19.95" customHeight="1" x14ac:dyDescent="0.25">
      <c r="A1480" s="10" t="s">
        <v>32</v>
      </c>
      <c r="B1480" s="11" t="s">
        <v>14</v>
      </c>
      <c r="C1480" s="11">
        <v>1866.5029999999999</v>
      </c>
      <c r="D1480" s="11">
        <v>2012</v>
      </c>
    </row>
    <row r="1481" spans="1:4" ht="19.95" customHeight="1" x14ac:dyDescent="0.25">
      <c r="A1481" s="10" t="s">
        <v>33</v>
      </c>
      <c r="B1481" s="11" t="s">
        <v>14</v>
      </c>
      <c r="C1481" s="11">
        <v>737.06700000000001</v>
      </c>
      <c r="D1481" s="11">
        <v>2012</v>
      </c>
    </row>
    <row r="1482" spans="1:4" ht="19.95" customHeight="1" x14ac:dyDescent="0.25">
      <c r="A1482" s="10" t="s">
        <v>34</v>
      </c>
      <c r="B1482" s="11" t="s">
        <v>14</v>
      </c>
      <c r="C1482" s="11">
        <v>113.67700000000001</v>
      </c>
      <c r="D1482" s="11">
        <v>2012</v>
      </c>
    </row>
    <row r="1483" spans="1:4" ht="19.95" customHeight="1" x14ac:dyDescent="0.25">
      <c r="A1483" s="10" t="s">
        <v>35</v>
      </c>
      <c r="B1483" s="11" t="s">
        <v>14</v>
      </c>
      <c r="C1483" s="11">
        <v>16032.124</v>
      </c>
      <c r="D1483" s="11">
        <v>2012</v>
      </c>
    </row>
    <row r="1484" spans="1:4" ht="19.95" customHeight="1" x14ac:dyDescent="0.25">
      <c r="A1484" s="10" t="s">
        <v>36</v>
      </c>
      <c r="B1484" s="11" t="s">
        <v>14</v>
      </c>
      <c r="C1484" s="11">
        <v>2933.6</v>
      </c>
      <c r="D1484" s="11">
        <v>2012</v>
      </c>
    </row>
    <row r="1485" spans="1:4" ht="19.95" customHeight="1" x14ac:dyDescent="0.25">
      <c r="A1485" s="10" t="s">
        <v>37</v>
      </c>
      <c r="B1485" s="11" t="s">
        <v>14</v>
      </c>
      <c r="C1485" s="11">
        <v>9545.2009999999991</v>
      </c>
      <c r="D1485" s="11">
        <v>2012</v>
      </c>
    </row>
    <row r="1486" spans="1:4" ht="19.95" customHeight="1" x14ac:dyDescent="0.25">
      <c r="A1486" s="10" t="s">
        <v>38</v>
      </c>
      <c r="B1486" s="11" t="s">
        <v>14</v>
      </c>
      <c r="C1486" s="11">
        <v>4070.37</v>
      </c>
      <c r="D1486" s="11">
        <v>2012</v>
      </c>
    </row>
    <row r="1487" spans="1:4" ht="19.95" customHeight="1" x14ac:dyDescent="0.25">
      <c r="A1487" s="10" t="s">
        <v>39</v>
      </c>
      <c r="B1487" s="11" t="s">
        <v>14</v>
      </c>
      <c r="C1487" s="11">
        <v>3667</v>
      </c>
      <c r="D1487" s="11">
        <v>2012</v>
      </c>
    </row>
    <row r="1488" spans="1:4" ht="19.95" customHeight="1" x14ac:dyDescent="0.25">
      <c r="A1488" s="10" t="s">
        <v>40</v>
      </c>
      <c r="B1488" s="11" t="s">
        <v>14</v>
      </c>
      <c r="C1488" s="11">
        <v>7792.375</v>
      </c>
      <c r="D1488" s="11">
        <v>2012</v>
      </c>
    </row>
    <row r="1489" spans="1:4" ht="19.95" customHeight="1" x14ac:dyDescent="0.25">
      <c r="A1489" s="10" t="s">
        <v>10</v>
      </c>
      <c r="B1489" s="11" t="s">
        <v>14</v>
      </c>
      <c r="C1489" s="11">
        <v>289.69299999999998</v>
      </c>
      <c r="D1489" s="11">
        <v>2013</v>
      </c>
    </row>
    <row r="1490" spans="1:4" ht="19.95" customHeight="1" x14ac:dyDescent="0.25">
      <c r="A1490" s="10" t="s">
        <v>13</v>
      </c>
      <c r="B1490" s="11" t="s">
        <v>14</v>
      </c>
      <c r="C1490" s="11">
        <v>6772.9489999999996</v>
      </c>
      <c r="D1490" s="11">
        <v>2013</v>
      </c>
    </row>
    <row r="1491" spans="1:4" ht="19.95" customHeight="1" x14ac:dyDescent="0.25">
      <c r="A1491" s="10" t="s">
        <v>15</v>
      </c>
      <c r="B1491" s="11" t="s">
        <v>14</v>
      </c>
      <c r="C1491" s="11">
        <v>700.39700000000005</v>
      </c>
      <c r="D1491" s="11">
        <v>2013</v>
      </c>
    </row>
    <row r="1492" spans="1:4" ht="19.95" customHeight="1" x14ac:dyDescent="0.25">
      <c r="A1492" s="10" t="s">
        <v>16</v>
      </c>
      <c r="B1492" s="11" t="s">
        <v>14</v>
      </c>
      <c r="C1492" s="11">
        <v>176.01599999999999</v>
      </c>
      <c r="D1492" s="11">
        <v>2013</v>
      </c>
    </row>
    <row r="1493" spans="1:4" ht="19.95" customHeight="1" x14ac:dyDescent="0.25">
      <c r="A1493" s="10" t="s">
        <v>17</v>
      </c>
      <c r="B1493" s="11" t="s">
        <v>14</v>
      </c>
      <c r="C1493" s="11">
        <v>608.72199999999998</v>
      </c>
      <c r="D1493" s="11">
        <v>2013</v>
      </c>
    </row>
    <row r="1494" spans="1:4" ht="19.95" customHeight="1" x14ac:dyDescent="0.25">
      <c r="A1494" s="10" t="s">
        <v>2</v>
      </c>
      <c r="B1494" s="11" t="s">
        <v>14</v>
      </c>
      <c r="C1494" s="11">
        <v>10634.3</v>
      </c>
      <c r="D1494" s="11">
        <v>2013</v>
      </c>
    </row>
    <row r="1495" spans="1:4" ht="19.95" customHeight="1" x14ac:dyDescent="0.25">
      <c r="A1495" s="10" t="s">
        <v>18</v>
      </c>
      <c r="B1495" s="11" t="s">
        <v>14</v>
      </c>
      <c r="C1495" s="11">
        <v>2299.2089999999998</v>
      </c>
      <c r="D1495" s="11">
        <v>2013</v>
      </c>
    </row>
    <row r="1496" spans="1:4" ht="19.95" customHeight="1" x14ac:dyDescent="0.25">
      <c r="A1496" s="10" t="s">
        <v>19</v>
      </c>
      <c r="B1496" s="11" t="s">
        <v>14</v>
      </c>
      <c r="C1496" s="11">
        <v>2405.5520000000001</v>
      </c>
      <c r="D1496" s="11">
        <v>2013</v>
      </c>
    </row>
    <row r="1497" spans="1:4" ht="19.95" customHeight="1" x14ac:dyDescent="0.25">
      <c r="A1497" s="10" t="s">
        <v>20</v>
      </c>
      <c r="B1497" s="11" t="s">
        <v>14</v>
      </c>
      <c r="C1497" s="11">
        <v>13333.212</v>
      </c>
      <c r="D1497" s="11">
        <v>2013</v>
      </c>
    </row>
    <row r="1498" spans="1:4" ht="19.95" customHeight="1" x14ac:dyDescent="0.25">
      <c r="A1498" s="10" t="s">
        <v>21</v>
      </c>
      <c r="B1498" s="11" t="s">
        <v>14</v>
      </c>
      <c r="C1498" s="11"/>
      <c r="D1498" s="11">
        <v>2013</v>
      </c>
    </row>
    <row r="1499" spans="1:4" ht="19.95" customHeight="1" x14ac:dyDescent="0.25">
      <c r="A1499" s="10" t="s">
        <v>22</v>
      </c>
      <c r="B1499" s="11" t="s">
        <v>14</v>
      </c>
      <c r="C1499" s="11">
        <v>957.08699999999999</v>
      </c>
      <c r="D1499" s="11">
        <v>2013</v>
      </c>
    </row>
    <row r="1500" spans="1:4" ht="19.95" customHeight="1" x14ac:dyDescent="0.25">
      <c r="A1500" s="10" t="s">
        <v>23</v>
      </c>
      <c r="B1500" s="11" t="s">
        <v>14</v>
      </c>
      <c r="C1500" s="11">
        <v>3116.95</v>
      </c>
      <c r="D1500" s="11">
        <v>2013</v>
      </c>
    </row>
    <row r="1501" spans="1:4" ht="19.95" customHeight="1" x14ac:dyDescent="0.25">
      <c r="A1501" s="10" t="s">
        <v>24</v>
      </c>
      <c r="B1501" s="11" t="s">
        <v>14</v>
      </c>
      <c r="C1501" s="11">
        <v>1224.778</v>
      </c>
      <c r="D1501" s="11">
        <v>2013</v>
      </c>
    </row>
    <row r="1502" spans="1:4" ht="19.95" customHeight="1" x14ac:dyDescent="0.25">
      <c r="A1502" s="10" t="s">
        <v>25</v>
      </c>
      <c r="B1502" s="11" t="s">
        <v>14</v>
      </c>
      <c r="C1502" s="11">
        <v>1026.76</v>
      </c>
      <c r="D1502" s="11">
        <v>2013</v>
      </c>
    </row>
    <row r="1503" spans="1:4" ht="19.95" customHeight="1" x14ac:dyDescent="0.25">
      <c r="A1503" s="10" t="s">
        <v>26</v>
      </c>
      <c r="B1503" s="11" t="s">
        <v>14</v>
      </c>
      <c r="C1503" s="11">
        <v>4998.1210000000001</v>
      </c>
      <c r="D1503" s="11">
        <v>2013</v>
      </c>
    </row>
    <row r="1504" spans="1:4" ht="19.95" customHeight="1" x14ac:dyDescent="0.25">
      <c r="A1504" s="10" t="s">
        <v>27</v>
      </c>
      <c r="B1504" s="11" t="s">
        <v>14</v>
      </c>
      <c r="C1504" s="11">
        <v>4019.0320000000002</v>
      </c>
      <c r="D1504" s="11">
        <v>2013</v>
      </c>
    </row>
    <row r="1505" spans="1:4" ht="19.95" customHeight="1" x14ac:dyDescent="0.25">
      <c r="A1505" s="10" t="s">
        <v>29</v>
      </c>
      <c r="B1505" s="11" t="s">
        <v>14</v>
      </c>
      <c r="C1505" s="11">
        <v>12860.169</v>
      </c>
      <c r="D1505" s="11">
        <v>2013</v>
      </c>
    </row>
    <row r="1506" spans="1:4" ht="19.95" customHeight="1" x14ac:dyDescent="0.25">
      <c r="A1506" s="10" t="s">
        <v>30</v>
      </c>
      <c r="B1506" s="11" t="s">
        <v>14</v>
      </c>
      <c r="C1506" s="11">
        <v>6637.27</v>
      </c>
      <c r="D1506" s="11">
        <v>2013</v>
      </c>
    </row>
    <row r="1507" spans="1:4" ht="19.95" customHeight="1" x14ac:dyDescent="0.25">
      <c r="A1507" s="10" t="s">
        <v>31</v>
      </c>
      <c r="B1507" s="11" t="s">
        <v>14</v>
      </c>
      <c r="C1507" s="11">
        <v>4550.7470000000003</v>
      </c>
      <c r="D1507" s="11">
        <v>2013</v>
      </c>
    </row>
    <row r="1508" spans="1:4" ht="19.95" customHeight="1" x14ac:dyDescent="0.25">
      <c r="A1508" s="10" t="s">
        <v>32</v>
      </c>
      <c r="B1508" s="11" t="s">
        <v>14</v>
      </c>
      <c r="C1508" s="11">
        <v>1939.8430000000001</v>
      </c>
      <c r="D1508" s="11">
        <v>2013</v>
      </c>
    </row>
    <row r="1509" spans="1:4" ht="19.95" customHeight="1" x14ac:dyDescent="0.25">
      <c r="A1509" s="10" t="s">
        <v>33</v>
      </c>
      <c r="B1509" s="11" t="s">
        <v>14</v>
      </c>
      <c r="C1509" s="11">
        <v>803.07299999999998</v>
      </c>
      <c r="D1509" s="11">
        <v>2013</v>
      </c>
    </row>
    <row r="1510" spans="1:4" ht="19.95" customHeight="1" x14ac:dyDescent="0.25">
      <c r="A1510" s="10" t="s">
        <v>34</v>
      </c>
      <c r="B1510" s="11" t="s">
        <v>14</v>
      </c>
      <c r="C1510" s="11">
        <v>113.67700000000001</v>
      </c>
      <c r="D1510" s="11">
        <v>2013</v>
      </c>
    </row>
    <row r="1511" spans="1:4" ht="19.95" customHeight="1" x14ac:dyDescent="0.25">
      <c r="A1511" s="10" t="s">
        <v>35</v>
      </c>
      <c r="B1511" s="11" t="s">
        <v>14</v>
      </c>
      <c r="C1511" s="11">
        <v>15489.407999999999</v>
      </c>
      <c r="D1511" s="11">
        <v>2013</v>
      </c>
    </row>
    <row r="1512" spans="1:4" ht="19.95" customHeight="1" x14ac:dyDescent="0.25">
      <c r="A1512" s="10" t="s">
        <v>36</v>
      </c>
      <c r="B1512" s="11" t="s">
        <v>14</v>
      </c>
      <c r="C1512" s="11">
        <v>3479.9830000000002</v>
      </c>
      <c r="D1512" s="11">
        <v>2013</v>
      </c>
    </row>
    <row r="1513" spans="1:4" ht="19.95" customHeight="1" x14ac:dyDescent="0.25">
      <c r="A1513" s="10" t="s">
        <v>37</v>
      </c>
      <c r="B1513" s="11" t="s">
        <v>14</v>
      </c>
      <c r="C1513" s="11">
        <v>11177.016</v>
      </c>
      <c r="D1513" s="11">
        <v>2013</v>
      </c>
    </row>
    <row r="1514" spans="1:4" ht="19.95" customHeight="1" x14ac:dyDescent="0.25">
      <c r="A1514" s="10" t="s">
        <v>38</v>
      </c>
      <c r="B1514" s="11" t="s">
        <v>14</v>
      </c>
      <c r="C1514" s="11">
        <v>4869.7759999999998</v>
      </c>
      <c r="D1514" s="11">
        <v>2013</v>
      </c>
    </row>
    <row r="1515" spans="1:4" ht="19.95" customHeight="1" x14ac:dyDescent="0.25">
      <c r="A1515" s="10" t="s">
        <v>39</v>
      </c>
      <c r="B1515" s="11" t="s">
        <v>14</v>
      </c>
      <c r="C1515" s="11">
        <v>3956.6930000000002</v>
      </c>
      <c r="D1515" s="11">
        <v>2013</v>
      </c>
    </row>
    <row r="1516" spans="1:4" ht="19.95" customHeight="1" x14ac:dyDescent="0.25">
      <c r="A1516" s="10" t="s">
        <v>40</v>
      </c>
      <c r="B1516" s="11" t="s">
        <v>14</v>
      </c>
      <c r="C1516" s="11">
        <v>11675.727999999999</v>
      </c>
      <c r="D1516" s="11">
        <v>2013</v>
      </c>
    </row>
    <row r="1517" spans="1:4" ht="19.95" customHeight="1" x14ac:dyDescent="0.25">
      <c r="A1517" s="10" t="s">
        <v>10</v>
      </c>
      <c r="B1517" s="11" t="s">
        <v>14</v>
      </c>
      <c r="C1517" s="11">
        <v>440.04</v>
      </c>
      <c r="D1517" s="11">
        <v>2014</v>
      </c>
    </row>
    <row r="1518" spans="1:4" ht="19.95" customHeight="1" x14ac:dyDescent="0.25">
      <c r="A1518" s="10" t="s">
        <v>13</v>
      </c>
      <c r="B1518" s="11" t="s">
        <v>14</v>
      </c>
      <c r="C1518" s="11">
        <v>7003.97</v>
      </c>
      <c r="D1518" s="11">
        <v>2014</v>
      </c>
    </row>
    <row r="1519" spans="1:4" ht="19.95" customHeight="1" x14ac:dyDescent="0.25">
      <c r="A1519" s="10" t="s">
        <v>15</v>
      </c>
      <c r="B1519" s="11" t="s">
        <v>14</v>
      </c>
      <c r="C1519" s="11">
        <v>729.73299999999995</v>
      </c>
      <c r="D1519" s="11">
        <v>2014</v>
      </c>
    </row>
    <row r="1520" spans="1:4" ht="19.95" customHeight="1" x14ac:dyDescent="0.25">
      <c r="A1520" s="10" t="s">
        <v>16</v>
      </c>
      <c r="B1520" s="11" t="s">
        <v>14</v>
      </c>
      <c r="C1520" s="11">
        <v>154.01400000000001</v>
      </c>
      <c r="D1520" s="11">
        <v>2014</v>
      </c>
    </row>
    <row r="1521" spans="1:4" ht="19.95" customHeight="1" x14ac:dyDescent="0.25">
      <c r="A1521" s="10" t="s">
        <v>17</v>
      </c>
      <c r="B1521" s="11" t="s">
        <v>14</v>
      </c>
      <c r="C1521" s="11">
        <v>722.399</v>
      </c>
      <c r="D1521" s="11">
        <v>2014</v>
      </c>
    </row>
    <row r="1522" spans="1:4" ht="19.95" customHeight="1" x14ac:dyDescent="0.25">
      <c r="A1522" s="10" t="s">
        <v>2</v>
      </c>
      <c r="B1522" s="11" t="s">
        <v>14</v>
      </c>
      <c r="C1522" s="11">
        <v>11598.721</v>
      </c>
      <c r="D1522" s="11">
        <v>2014</v>
      </c>
    </row>
    <row r="1523" spans="1:4" ht="19.95" customHeight="1" x14ac:dyDescent="0.25">
      <c r="A1523" s="10" t="s">
        <v>18</v>
      </c>
      <c r="B1523" s="11" t="s">
        <v>14</v>
      </c>
      <c r="C1523" s="11">
        <v>2449.556</v>
      </c>
      <c r="D1523" s="11">
        <v>2014</v>
      </c>
    </row>
    <row r="1524" spans="1:4" ht="19.95" customHeight="1" x14ac:dyDescent="0.25">
      <c r="A1524" s="10" t="s">
        <v>19</v>
      </c>
      <c r="B1524" s="11" t="s">
        <v>14</v>
      </c>
      <c r="C1524" s="11">
        <v>2860.26</v>
      </c>
      <c r="D1524" s="11">
        <v>2014</v>
      </c>
    </row>
    <row r="1525" spans="1:4" ht="19.95" customHeight="1" x14ac:dyDescent="0.25">
      <c r="A1525" s="10" t="s">
        <v>20</v>
      </c>
      <c r="B1525" s="11" t="s">
        <v>14</v>
      </c>
      <c r="C1525" s="11">
        <v>14286.632</v>
      </c>
      <c r="D1525" s="11">
        <v>2014</v>
      </c>
    </row>
    <row r="1526" spans="1:4" ht="19.95" customHeight="1" x14ac:dyDescent="0.25">
      <c r="A1526" s="10" t="s">
        <v>21</v>
      </c>
      <c r="B1526" s="11" t="s">
        <v>14</v>
      </c>
      <c r="C1526" s="11"/>
      <c r="D1526" s="11">
        <v>2014</v>
      </c>
    </row>
    <row r="1527" spans="1:4" ht="19.95" customHeight="1" x14ac:dyDescent="0.25">
      <c r="A1527" s="10" t="s">
        <v>22</v>
      </c>
      <c r="B1527" s="11" t="s">
        <v>14</v>
      </c>
      <c r="C1527" s="11">
        <v>935.08500000000004</v>
      </c>
      <c r="D1527" s="11">
        <v>2014</v>
      </c>
    </row>
    <row r="1528" spans="1:4" ht="19.95" customHeight="1" x14ac:dyDescent="0.25">
      <c r="A1528" s="10" t="s">
        <v>23</v>
      </c>
      <c r="B1528" s="11" t="s">
        <v>14</v>
      </c>
      <c r="C1528" s="11">
        <v>3076.6129999999998</v>
      </c>
      <c r="D1528" s="11">
        <v>2014</v>
      </c>
    </row>
    <row r="1529" spans="1:4" ht="19.95" customHeight="1" x14ac:dyDescent="0.25">
      <c r="A1529" s="10" t="s">
        <v>24</v>
      </c>
      <c r="B1529" s="11" t="s">
        <v>14</v>
      </c>
      <c r="C1529" s="11">
        <v>1276.116</v>
      </c>
      <c r="D1529" s="11">
        <v>2014</v>
      </c>
    </row>
    <row r="1530" spans="1:4" ht="19.95" customHeight="1" x14ac:dyDescent="0.25">
      <c r="A1530" s="10" t="s">
        <v>25</v>
      </c>
      <c r="B1530" s="11" t="s">
        <v>14</v>
      </c>
      <c r="C1530" s="11">
        <v>1411.7950000000001</v>
      </c>
      <c r="D1530" s="11">
        <v>2014</v>
      </c>
    </row>
    <row r="1531" spans="1:4" ht="19.95" customHeight="1" x14ac:dyDescent="0.25">
      <c r="A1531" s="10" t="s">
        <v>26</v>
      </c>
      <c r="B1531" s="11" t="s">
        <v>14</v>
      </c>
      <c r="C1531" s="11">
        <v>4932.1149999999998</v>
      </c>
      <c r="D1531" s="11">
        <v>2014</v>
      </c>
    </row>
    <row r="1532" spans="1:4" ht="19.95" customHeight="1" x14ac:dyDescent="0.25">
      <c r="A1532" s="10" t="s">
        <v>27</v>
      </c>
      <c r="B1532" s="11" t="s">
        <v>14</v>
      </c>
      <c r="C1532" s="11">
        <v>8426.7659999999996</v>
      </c>
      <c r="D1532" s="11">
        <v>2014</v>
      </c>
    </row>
    <row r="1533" spans="1:4" ht="19.95" customHeight="1" x14ac:dyDescent="0.25">
      <c r="A1533" s="10" t="s">
        <v>29</v>
      </c>
      <c r="B1533" s="11" t="s">
        <v>14</v>
      </c>
      <c r="C1533" s="11">
        <v>21631.633000000002</v>
      </c>
      <c r="D1533" s="11">
        <v>2014</v>
      </c>
    </row>
    <row r="1534" spans="1:4" ht="19.95" customHeight="1" x14ac:dyDescent="0.25">
      <c r="A1534" s="10" t="s">
        <v>30</v>
      </c>
      <c r="B1534" s="11" t="s">
        <v>14</v>
      </c>
      <c r="C1534" s="11">
        <v>8030.73</v>
      </c>
      <c r="D1534" s="11">
        <v>2014</v>
      </c>
    </row>
    <row r="1535" spans="1:4" ht="19.95" customHeight="1" x14ac:dyDescent="0.25">
      <c r="A1535" s="10" t="s">
        <v>31</v>
      </c>
      <c r="B1535" s="11" t="s">
        <v>14</v>
      </c>
      <c r="C1535" s="11">
        <v>4862.442</v>
      </c>
      <c r="D1535" s="11">
        <v>2014</v>
      </c>
    </row>
    <row r="1536" spans="1:4" ht="19.95" customHeight="1" x14ac:dyDescent="0.25">
      <c r="A1536" s="10" t="s">
        <v>32</v>
      </c>
      <c r="B1536" s="11" t="s">
        <v>14</v>
      </c>
      <c r="C1536" s="11">
        <v>2126.86</v>
      </c>
      <c r="D1536" s="11">
        <v>2014</v>
      </c>
    </row>
    <row r="1537" spans="1:4" ht="19.95" customHeight="1" x14ac:dyDescent="0.25">
      <c r="A1537" s="10" t="s">
        <v>33</v>
      </c>
      <c r="B1537" s="11" t="s">
        <v>14</v>
      </c>
      <c r="C1537" s="11">
        <v>839.74300000000005</v>
      </c>
      <c r="D1537" s="11">
        <v>2014</v>
      </c>
    </row>
    <row r="1538" spans="1:4" ht="19.95" customHeight="1" x14ac:dyDescent="0.25">
      <c r="A1538" s="10" t="s">
        <v>34</v>
      </c>
      <c r="B1538" s="11" t="s">
        <v>14</v>
      </c>
      <c r="C1538" s="11">
        <v>113.67700000000001</v>
      </c>
      <c r="D1538" s="11">
        <v>2014</v>
      </c>
    </row>
    <row r="1539" spans="1:4" ht="19.95" customHeight="1" x14ac:dyDescent="0.25">
      <c r="A1539" s="10" t="s">
        <v>35</v>
      </c>
      <c r="B1539" s="11" t="s">
        <v>14</v>
      </c>
      <c r="C1539" s="11">
        <v>18393.671999999999</v>
      </c>
      <c r="D1539" s="11">
        <v>2014</v>
      </c>
    </row>
    <row r="1540" spans="1:4" ht="19.95" customHeight="1" x14ac:dyDescent="0.25">
      <c r="A1540" s="10" t="s">
        <v>36</v>
      </c>
      <c r="B1540" s="11" t="s">
        <v>14</v>
      </c>
      <c r="C1540" s="11">
        <v>5188.8050000000003</v>
      </c>
      <c r="D1540" s="11">
        <v>2014</v>
      </c>
    </row>
    <row r="1541" spans="1:4" ht="19.95" customHeight="1" x14ac:dyDescent="0.25">
      <c r="A1541" s="10" t="s">
        <v>37</v>
      </c>
      <c r="B1541" s="11" t="s">
        <v>14</v>
      </c>
      <c r="C1541" s="11">
        <v>11562.050999999999</v>
      </c>
      <c r="D1541" s="11">
        <v>2014</v>
      </c>
    </row>
    <row r="1542" spans="1:4" ht="19.95" customHeight="1" x14ac:dyDescent="0.25">
      <c r="A1542" s="10" t="s">
        <v>38</v>
      </c>
      <c r="B1542" s="11" t="s">
        <v>14</v>
      </c>
      <c r="C1542" s="11">
        <v>5229.1419999999998</v>
      </c>
      <c r="D1542" s="11">
        <v>2014</v>
      </c>
    </row>
    <row r="1543" spans="1:4" ht="19.95" customHeight="1" x14ac:dyDescent="0.25">
      <c r="A1543" s="10" t="s">
        <v>39</v>
      </c>
      <c r="B1543" s="11" t="s">
        <v>14</v>
      </c>
      <c r="C1543" s="11">
        <v>4503.076</v>
      </c>
      <c r="D1543" s="11">
        <v>2014</v>
      </c>
    </row>
    <row r="1544" spans="1:4" ht="19.95" customHeight="1" x14ac:dyDescent="0.25">
      <c r="A1544" s="10" t="s">
        <v>40</v>
      </c>
      <c r="B1544" s="11" t="s">
        <v>14</v>
      </c>
      <c r="C1544" s="11">
        <v>12020.425999999999</v>
      </c>
      <c r="D1544" s="11">
        <v>2014</v>
      </c>
    </row>
    <row r="1545" spans="1:4" ht="19.95" customHeight="1" x14ac:dyDescent="0.25">
      <c r="A1545" s="10" t="s">
        <v>10</v>
      </c>
      <c r="B1545" s="11" t="s">
        <v>14</v>
      </c>
      <c r="C1545" s="11"/>
      <c r="D1545" s="11">
        <v>2015</v>
      </c>
    </row>
    <row r="1546" spans="1:4" ht="19.95" customHeight="1" x14ac:dyDescent="0.25">
      <c r="A1546" s="10" t="s">
        <v>13</v>
      </c>
      <c r="B1546" s="11" t="s">
        <v>14</v>
      </c>
      <c r="C1546" s="11"/>
      <c r="D1546" s="11">
        <v>2015</v>
      </c>
    </row>
    <row r="1547" spans="1:4" ht="19.95" customHeight="1" x14ac:dyDescent="0.25">
      <c r="A1547" s="10" t="s">
        <v>15</v>
      </c>
      <c r="B1547" s="11" t="s">
        <v>14</v>
      </c>
      <c r="C1547" s="11"/>
      <c r="D1547" s="11">
        <v>2015</v>
      </c>
    </row>
    <row r="1548" spans="1:4" ht="19.95" customHeight="1" x14ac:dyDescent="0.25">
      <c r="A1548" s="10" t="s">
        <v>16</v>
      </c>
      <c r="B1548" s="11" t="s">
        <v>14</v>
      </c>
      <c r="C1548" s="11"/>
      <c r="D1548" s="11">
        <v>2015</v>
      </c>
    </row>
    <row r="1549" spans="1:4" ht="19.95" customHeight="1" x14ac:dyDescent="0.25">
      <c r="A1549" s="10" t="s">
        <v>17</v>
      </c>
      <c r="B1549" s="11" t="s">
        <v>14</v>
      </c>
      <c r="C1549" s="11"/>
      <c r="D1549" s="11">
        <v>2015</v>
      </c>
    </row>
    <row r="1550" spans="1:4" ht="19.95" customHeight="1" x14ac:dyDescent="0.25">
      <c r="A1550" s="10" t="s">
        <v>2</v>
      </c>
      <c r="B1550" s="11" t="s">
        <v>14</v>
      </c>
      <c r="C1550" s="11"/>
      <c r="D1550" s="11">
        <v>2015</v>
      </c>
    </row>
    <row r="1551" spans="1:4" ht="19.95" customHeight="1" x14ac:dyDescent="0.25">
      <c r="A1551" s="10" t="s">
        <v>18</v>
      </c>
      <c r="B1551" s="11" t="s">
        <v>14</v>
      </c>
      <c r="C1551" s="11"/>
      <c r="D1551" s="11">
        <v>2015</v>
      </c>
    </row>
    <row r="1552" spans="1:4" ht="19.95" customHeight="1" x14ac:dyDescent="0.25">
      <c r="A1552" s="10" t="s">
        <v>19</v>
      </c>
      <c r="B1552" s="11" t="s">
        <v>14</v>
      </c>
      <c r="C1552" s="11"/>
      <c r="D1552" s="11">
        <v>2015</v>
      </c>
    </row>
    <row r="1553" spans="1:4" ht="19.95" customHeight="1" x14ac:dyDescent="0.25">
      <c r="A1553" s="10" t="s">
        <v>20</v>
      </c>
      <c r="B1553" s="11" t="s">
        <v>14</v>
      </c>
      <c r="C1553" s="11"/>
      <c r="D1553" s="11">
        <v>2015</v>
      </c>
    </row>
    <row r="1554" spans="1:4" ht="19.95" customHeight="1" x14ac:dyDescent="0.25">
      <c r="A1554" s="10" t="s">
        <v>21</v>
      </c>
      <c r="B1554" s="11" t="s">
        <v>14</v>
      </c>
      <c r="C1554" s="11"/>
      <c r="D1554" s="11">
        <v>2015</v>
      </c>
    </row>
    <row r="1555" spans="1:4" ht="19.95" customHeight="1" x14ac:dyDescent="0.25">
      <c r="A1555" s="10" t="s">
        <v>22</v>
      </c>
      <c r="B1555" s="11" t="s">
        <v>14</v>
      </c>
      <c r="C1555" s="11"/>
      <c r="D1555" s="11">
        <v>2015</v>
      </c>
    </row>
    <row r="1556" spans="1:4" ht="19.95" customHeight="1" x14ac:dyDescent="0.25">
      <c r="A1556" s="10" t="s">
        <v>23</v>
      </c>
      <c r="B1556" s="11" t="s">
        <v>14</v>
      </c>
      <c r="C1556" s="11"/>
      <c r="D1556" s="11">
        <v>2015</v>
      </c>
    </row>
    <row r="1557" spans="1:4" ht="19.95" customHeight="1" x14ac:dyDescent="0.25">
      <c r="A1557" s="10" t="s">
        <v>24</v>
      </c>
      <c r="B1557" s="11" t="s">
        <v>14</v>
      </c>
      <c r="C1557" s="11"/>
      <c r="D1557" s="11">
        <v>2015</v>
      </c>
    </row>
    <row r="1558" spans="1:4" ht="19.95" customHeight="1" x14ac:dyDescent="0.25">
      <c r="A1558" s="10" t="s">
        <v>25</v>
      </c>
      <c r="B1558" s="11" t="s">
        <v>14</v>
      </c>
      <c r="C1558" s="11"/>
      <c r="D1558" s="11">
        <v>2015</v>
      </c>
    </row>
    <row r="1559" spans="1:4" ht="19.95" customHeight="1" x14ac:dyDescent="0.25">
      <c r="A1559" s="10" t="s">
        <v>26</v>
      </c>
      <c r="B1559" s="11" t="s">
        <v>14</v>
      </c>
      <c r="C1559" s="11"/>
      <c r="D1559" s="11">
        <v>2015</v>
      </c>
    </row>
    <row r="1560" spans="1:4" ht="19.95" customHeight="1" x14ac:dyDescent="0.25">
      <c r="A1560" s="10" t="s">
        <v>27</v>
      </c>
      <c r="B1560" s="11" t="s">
        <v>14</v>
      </c>
      <c r="C1560" s="11"/>
      <c r="D1560" s="11">
        <v>2015</v>
      </c>
    </row>
    <row r="1561" spans="1:4" ht="19.95" customHeight="1" x14ac:dyDescent="0.25">
      <c r="A1561" s="10" t="s">
        <v>29</v>
      </c>
      <c r="B1561" s="11" t="s">
        <v>14</v>
      </c>
      <c r="C1561" s="11"/>
      <c r="D1561" s="11">
        <v>2015</v>
      </c>
    </row>
    <row r="1562" spans="1:4" ht="19.95" customHeight="1" x14ac:dyDescent="0.25">
      <c r="A1562" s="10" t="s">
        <v>30</v>
      </c>
      <c r="B1562" s="11" t="s">
        <v>14</v>
      </c>
      <c r="C1562" s="11"/>
      <c r="D1562" s="11">
        <v>2015</v>
      </c>
    </row>
    <row r="1563" spans="1:4" ht="19.95" customHeight="1" x14ac:dyDescent="0.25">
      <c r="A1563" s="10" t="s">
        <v>31</v>
      </c>
      <c r="B1563" s="11" t="s">
        <v>14</v>
      </c>
      <c r="C1563" s="11"/>
      <c r="D1563" s="11">
        <v>2015</v>
      </c>
    </row>
    <row r="1564" spans="1:4" ht="19.95" customHeight="1" x14ac:dyDescent="0.25">
      <c r="A1564" s="10" t="s">
        <v>32</v>
      </c>
      <c r="B1564" s="11" t="s">
        <v>14</v>
      </c>
      <c r="C1564" s="11"/>
      <c r="D1564" s="11">
        <v>2015</v>
      </c>
    </row>
    <row r="1565" spans="1:4" ht="19.95" customHeight="1" x14ac:dyDescent="0.25">
      <c r="A1565" s="10" t="s">
        <v>33</v>
      </c>
      <c r="B1565" s="11" t="s">
        <v>14</v>
      </c>
      <c r="C1565" s="11"/>
      <c r="D1565" s="11">
        <v>2015</v>
      </c>
    </row>
    <row r="1566" spans="1:4" ht="19.95" customHeight="1" x14ac:dyDescent="0.25">
      <c r="A1566" s="10" t="s">
        <v>34</v>
      </c>
      <c r="B1566" s="11" t="s">
        <v>14</v>
      </c>
      <c r="C1566" s="11"/>
      <c r="D1566" s="11">
        <v>2015</v>
      </c>
    </row>
    <row r="1567" spans="1:4" ht="19.95" customHeight="1" x14ac:dyDescent="0.25">
      <c r="A1567" s="10" t="s">
        <v>35</v>
      </c>
      <c r="B1567" s="11" t="s">
        <v>14</v>
      </c>
      <c r="C1567" s="11"/>
      <c r="D1567" s="11">
        <v>2015</v>
      </c>
    </row>
    <row r="1568" spans="1:4" ht="19.95" customHeight="1" x14ac:dyDescent="0.25">
      <c r="A1568" s="10" t="s">
        <v>36</v>
      </c>
      <c r="B1568" s="11" t="s">
        <v>14</v>
      </c>
      <c r="C1568" s="11"/>
      <c r="D1568" s="11">
        <v>2015</v>
      </c>
    </row>
    <row r="1569" spans="1:4" ht="19.95" customHeight="1" x14ac:dyDescent="0.25">
      <c r="A1569" s="10" t="s">
        <v>37</v>
      </c>
      <c r="B1569" s="11" t="s">
        <v>14</v>
      </c>
      <c r="C1569" s="11"/>
      <c r="D1569" s="11">
        <v>2015</v>
      </c>
    </row>
    <row r="1570" spans="1:4" ht="19.95" customHeight="1" x14ac:dyDescent="0.25">
      <c r="A1570" s="10" t="s">
        <v>38</v>
      </c>
      <c r="B1570" s="11" t="s">
        <v>14</v>
      </c>
      <c r="C1570" s="11"/>
      <c r="D1570" s="11">
        <v>2015</v>
      </c>
    </row>
    <row r="1571" spans="1:4" ht="19.95" customHeight="1" x14ac:dyDescent="0.25">
      <c r="A1571" s="10" t="s">
        <v>39</v>
      </c>
      <c r="B1571" s="11" t="s">
        <v>14</v>
      </c>
      <c r="C1571" s="11"/>
      <c r="D1571" s="11">
        <v>2015</v>
      </c>
    </row>
    <row r="1572" spans="1:4" ht="19.95" customHeight="1" x14ac:dyDescent="0.25">
      <c r="A1572" s="10" t="s">
        <v>40</v>
      </c>
      <c r="B1572" s="11" t="s">
        <v>14</v>
      </c>
      <c r="C1572" s="11"/>
      <c r="D1572" s="11">
        <v>2015</v>
      </c>
    </row>
    <row r="1573" spans="1:4" ht="19.95" customHeight="1" x14ac:dyDescent="0.25">
      <c r="A1573" s="10" t="s">
        <v>10</v>
      </c>
      <c r="B1573" s="11" t="s">
        <v>14</v>
      </c>
      <c r="C1573" s="11"/>
      <c r="D1573" s="11">
        <v>2016</v>
      </c>
    </row>
    <row r="1574" spans="1:4" ht="19.95" customHeight="1" x14ac:dyDescent="0.25">
      <c r="A1574" s="10" t="s">
        <v>13</v>
      </c>
      <c r="B1574" s="11" t="s">
        <v>14</v>
      </c>
      <c r="C1574" s="11"/>
      <c r="D1574" s="11">
        <v>2016</v>
      </c>
    </row>
    <row r="1575" spans="1:4" ht="19.95" customHeight="1" x14ac:dyDescent="0.25">
      <c r="A1575" s="10" t="s">
        <v>15</v>
      </c>
      <c r="B1575" s="11" t="s">
        <v>14</v>
      </c>
      <c r="C1575" s="11"/>
      <c r="D1575" s="11">
        <v>2016</v>
      </c>
    </row>
    <row r="1576" spans="1:4" ht="19.95" customHeight="1" x14ac:dyDescent="0.25">
      <c r="A1576" s="10" t="s">
        <v>16</v>
      </c>
      <c r="B1576" s="11" t="s">
        <v>14</v>
      </c>
      <c r="C1576" s="11"/>
      <c r="D1576" s="11">
        <v>2016</v>
      </c>
    </row>
    <row r="1577" spans="1:4" ht="19.95" customHeight="1" x14ac:dyDescent="0.25">
      <c r="A1577" s="10" t="s">
        <v>17</v>
      </c>
      <c r="B1577" s="11" t="s">
        <v>14</v>
      </c>
      <c r="C1577" s="11"/>
      <c r="D1577" s="11">
        <v>2016</v>
      </c>
    </row>
    <row r="1578" spans="1:4" ht="19.95" customHeight="1" x14ac:dyDescent="0.25">
      <c r="A1578" s="10" t="s">
        <v>2</v>
      </c>
      <c r="B1578" s="11" t="s">
        <v>14</v>
      </c>
      <c r="C1578" s="11"/>
      <c r="D1578" s="11">
        <v>2016</v>
      </c>
    </row>
    <row r="1579" spans="1:4" ht="19.95" customHeight="1" x14ac:dyDescent="0.25">
      <c r="A1579" s="10" t="s">
        <v>18</v>
      </c>
      <c r="B1579" s="11" t="s">
        <v>14</v>
      </c>
      <c r="C1579" s="11"/>
      <c r="D1579" s="11">
        <v>2016</v>
      </c>
    </row>
    <row r="1580" spans="1:4" ht="19.95" customHeight="1" x14ac:dyDescent="0.25">
      <c r="A1580" s="10" t="s">
        <v>19</v>
      </c>
      <c r="B1580" s="11" t="s">
        <v>14</v>
      </c>
      <c r="C1580" s="11"/>
      <c r="D1580" s="11">
        <v>2016</v>
      </c>
    </row>
    <row r="1581" spans="1:4" ht="19.95" customHeight="1" x14ac:dyDescent="0.25">
      <c r="A1581" s="10" t="s">
        <v>20</v>
      </c>
      <c r="B1581" s="11" t="s">
        <v>14</v>
      </c>
      <c r="C1581" s="11"/>
      <c r="D1581" s="11">
        <v>2016</v>
      </c>
    </row>
    <row r="1582" spans="1:4" ht="19.95" customHeight="1" x14ac:dyDescent="0.25">
      <c r="A1582" s="10" t="s">
        <v>21</v>
      </c>
      <c r="B1582" s="11" t="s">
        <v>14</v>
      </c>
      <c r="C1582" s="11"/>
      <c r="D1582" s="11">
        <v>2016</v>
      </c>
    </row>
    <row r="1583" spans="1:4" ht="19.95" customHeight="1" x14ac:dyDescent="0.25">
      <c r="A1583" s="10" t="s">
        <v>22</v>
      </c>
      <c r="B1583" s="11" t="s">
        <v>14</v>
      </c>
      <c r="C1583" s="11"/>
      <c r="D1583" s="11">
        <v>2016</v>
      </c>
    </row>
    <row r="1584" spans="1:4" ht="19.95" customHeight="1" x14ac:dyDescent="0.25">
      <c r="A1584" s="10" t="s">
        <v>23</v>
      </c>
      <c r="B1584" s="11" t="s">
        <v>14</v>
      </c>
      <c r="C1584" s="11"/>
      <c r="D1584" s="11">
        <v>2016</v>
      </c>
    </row>
    <row r="1585" spans="1:4" ht="19.95" customHeight="1" x14ac:dyDescent="0.25">
      <c r="A1585" s="10" t="s">
        <v>24</v>
      </c>
      <c r="B1585" s="11" t="s">
        <v>14</v>
      </c>
      <c r="C1585" s="11"/>
      <c r="D1585" s="11">
        <v>2016</v>
      </c>
    </row>
    <row r="1586" spans="1:4" ht="19.95" customHeight="1" x14ac:dyDescent="0.25">
      <c r="A1586" s="10" t="s">
        <v>25</v>
      </c>
      <c r="B1586" s="11" t="s">
        <v>14</v>
      </c>
      <c r="C1586" s="11"/>
      <c r="D1586" s="11">
        <v>2016</v>
      </c>
    </row>
    <row r="1587" spans="1:4" ht="19.95" customHeight="1" x14ac:dyDescent="0.25">
      <c r="A1587" s="10" t="s">
        <v>26</v>
      </c>
      <c r="B1587" s="11" t="s">
        <v>14</v>
      </c>
      <c r="C1587" s="11"/>
      <c r="D1587" s="11">
        <v>2016</v>
      </c>
    </row>
    <row r="1588" spans="1:4" ht="19.95" customHeight="1" x14ac:dyDescent="0.25">
      <c r="A1588" s="10" t="s">
        <v>27</v>
      </c>
      <c r="B1588" s="11" t="s">
        <v>14</v>
      </c>
      <c r="C1588" s="11"/>
      <c r="D1588" s="11">
        <v>2016</v>
      </c>
    </row>
    <row r="1589" spans="1:4" ht="19.95" customHeight="1" x14ac:dyDescent="0.25">
      <c r="A1589" s="10" t="s">
        <v>29</v>
      </c>
      <c r="B1589" s="11" t="s">
        <v>14</v>
      </c>
      <c r="C1589" s="11"/>
      <c r="D1589" s="11">
        <v>2016</v>
      </c>
    </row>
    <row r="1590" spans="1:4" ht="19.95" customHeight="1" x14ac:dyDescent="0.25">
      <c r="A1590" s="10" t="s">
        <v>30</v>
      </c>
      <c r="B1590" s="11" t="s">
        <v>14</v>
      </c>
      <c r="C1590" s="11"/>
      <c r="D1590" s="11">
        <v>2016</v>
      </c>
    </row>
    <row r="1591" spans="1:4" ht="19.95" customHeight="1" x14ac:dyDescent="0.25">
      <c r="A1591" s="10" t="s">
        <v>31</v>
      </c>
      <c r="B1591" s="11" t="s">
        <v>14</v>
      </c>
      <c r="C1591" s="11"/>
      <c r="D1591" s="11">
        <v>2016</v>
      </c>
    </row>
    <row r="1592" spans="1:4" ht="19.95" customHeight="1" x14ac:dyDescent="0.25">
      <c r="A1592" s="10" t="s">
        <v>32</v>
      </c>
      <c r="B1592" s="11" t="s">
        <v>14</v>
      </c>
      <c r="C1592" s="11"/>
      <c r="D1592" s="11">
        <v>2016</v>
      </c>
    </row>
    <row r="1593" spans="1:4" ht="19.95" customHeight="1" x14ac:dyDescent="0.25">
      <c r="A1593" s="10" t="s">
        <v>33</v>
      </c>
      <c r="B1593" s="11" t="s">
        <v>14</v>
      </c>
      <c r="C1593" s="11"/>
      <c r="D1593" s="11">
        <v>2016</v>
      </c>
    </row>
    <row r="1594" spans="1:4" ht="19.95" customHeight="1" x14ac:dyDescent="0.25">
      <c r="A1594" s="10" t="s">
        <v>34</v>
      </c>
      <c r="B1594" s="11" t="s">
        <v>14</v>
      </c>
      <c r="C1594" s="11"/>
      <c r="D1594" s="11">
        <v>2016</v>
      </c>
    </row>
    <row r="1595" spans="1:4" ht="19.95" customHeight="1" x14ac:dyDescent="0.25">
      <c r="A1595" s="10" t="s">
        <v>35</v>
      </c>
      <c r="B1595" s="11" t="s">
        <v>14</v>
      </c>
      <c r="C1595" s="11"/>
      <c r="D1595" s="11">
        <v>2016</v>
      </c>
    </row>
    <row r="1596" spans="1:4" ht="19.95" customHeight="1" x14ac:dyDescent="0.25">
      <c r="A1596" s="10" t="s">
        <v>36</v>
      </c>
      <c r="B1596" s="11" t="s">
        <v>14</v>
      </c>
      <c r="C1596" s="11"/>
      <c r="D1596" s="11">
        <v>2016</v>
      </c>
    </row>
    <row r="1597" spans="1:4" ht="19.95" customHeight="1" x14ac:dyDescent="0.25">
      <c r="A1597" s="10" t="s">
        <v>37</v>
      </c>
      <c r="B1597" s="11" t="s">
        <v>14</v>
      </c>
      <c r="C1597" s="11"/>
      <c r="D1597" s="11">
        <v>2016</v>
      </c>
    </row>
    <row r="1598" spans="1:4" ht="19.95" customHeight="1" x14ac:dyDescent="0.25">
      <c r="A1598" s="10" t="s">
        <v>38</v>
      </c>
      <c r="B1598" s="11" t="s">
        <v>14</v>
      </c>
      <c r="C1598" s="11"/>
      <c r="D1598" s="11">
        <v>2016</v>
      </c>
    </row>
    <row r="1599" spans="1:4" ht="19.95" customHeight="1" x14ac:dyDescent="0.25">
      <c r="A1599" s="10" t="s">
        <v>39</v>
      </c>
      <c r="B1599" s="11" t="s">
        <v>14</v>
      </c>
      <c r="C1599" s="11"/>
      <c r="D1599" s="11">
        <v>2016</v>
      </c>
    </row>
    <row r="1600" spans="1:4" ht="19.95" customHeight="1" x14ac:dyDescent="0.25">
      <c r="A1600" s="10" t="s">
        <v>40</v>
      </c>
      <c r="B1600" s="11" t="s">
        <v>14</v>
      </c>
      <c r="C1600" s="11"/>
      <c r="D1600" s="11">
        <v>2016</v>
      </c>
    </row>
    <row r="1601" spans="1:4" ht="19.95" customHeight="1" x14ac:dyDescent="0.25">
      <c r="A1601" s="10" t="s">
        <v>10</v>
      </c>
      <c r="B1601" s="11" t="s">
        <v>14</v>
      </c>
      <c r="C1601" s="11"/>
      <c r="D1601" s="11">
        <v>2017</v>
      </c>
    </row>
    <row r="1602" spans="1:4" ht="19.95" customHeight="1" x14ac:dyDescent="0.25">
      <c r="A1602" s="10" t="s">
        <v>13</v>
      </c>
      <c r="B1602" s="11" t="s">
        <v>14</v>
      </c>
      <c r="C1602" s="11"/>
      <c r="D1602" s="11">
        <v>2017</v>
      </c>
    </row>
    <row r="1603" spans="1:4" ht="19.95" customHeight="1" x14ac:dyDescent="0.25">
      <c r="A1603" s="10" t="s">
        <v>15</v>
      </c>
      <c r="B1603" s="11" t="s">
        <v>14</v>
      </c>
      <c r="C1603" s="11"/>
      <c r="D1603" s="11">
        <v>2017</v>
      </c>
    </row>
    <row r="1604" spans="1:4" ht="19.95" customHeight="1" x14ac:dyDescent="0.25">
      <c r="A1604" s="10" t="s">
        <v>16</v>
      </c>
      <c r="B1604" s="11" t="s">
        <v>14</v>
      </c>
      <c r="C1604" s="11"/>
      <c r="D1604" s="11">
        <v>2017</v>
      </c>
    </row>
    <row r="1605" spans="1:4" ht="19.95" customHeight="1" x14ac:dyDescent="0.25">
      <c r="A1605" s="10" t="s">
        <v>17</v>
      </c>
      <c r="B1605" s="11" t="s">
        <v>14</v>
      </c>
      <c r="C1605" s="11"/>
      <c r="D1605" s="11">
        <v>2017</v>
      </c>
    </row>
    <row r="1606" spans="1:4" ht="19.95" customHeight="1" x14ac:dyDescent="0.25">
      <c r="A1606" s="10" t="s">
        <v>2</v>
      </c>
      <c r="B1606" s="11" t="s">
        <v>14</v>
      </c>
      <c r="C1606" s="11"/>
      <c r="D1606" s="11">
        <v>2017</v>
      </c>
    </row>
    <row r="1607" spans="1:4" ht="19.95" customHeight="1" x14ac:dyDescent="0.25">
      <c r="A1607" s="10" t="s">
        <v>18</v>
      </c>
      <c r="B1607" s="11" t="s">
        <v>14</v>
      </c>
      <c r="C1607" s="11"/>
      <c r="D1607" s="11">
        <v>2017</v>
      </c>
    </row>
    <row r="1608" spans="1:4" ht="19.95" customHeight="1" x14ac:dyDescent="0.25">
      <c r="A1608" s="10" t="s">
        <v>19</v>
      </c>
      <c r="B1608" s="11" t="s">
        <v>14</v>
      </c>
      <c r="C1608" s="11"/>
      <c r="D1608" s="11">
        <v>2017</v>
      </c>
    </row>
    <row r="1609" spans="1:4" ht="19.95" customHeight="1" x14ac:dyDescent="0.25">
      <c r="A1609" s="10" t="s">
        <v>20</v>
      </c>
      <c r="B1609" s="11" t="s">
        <v>14</v>
      </c>
      <c r="C1609" s="11"/>
      <c r="D1609" s="11">
        <v>2017</v>
      </c>
    </row>
    <row r="1610" spans="1:4" ht="19.95" customHeight="1" x14ac:dyDescent="0.25">
      <c r="A1610" s="10" t="s">
        <v>21</v>
      </c>
      <c r="B1610" s="11" t="s">
        <v>14</v>
      </c>
      <c r="C1610" s="11"/>
      <c r="D1610" s="11">
        <v>2017</v>
      </c>
    </row>
    <row r="1611" spans="1:4" ht="19.95" customHeight="1" x14ac:dyDescent="0.25">
      <c r="A1611" s="10" t="s">
        <v>22</v>
      </c>
      <c r="B1611" s="11" t="s">
        <v>14</v>
      </c>
      <c r="C1611" s="11"/>
      <c r="D1611" s="11">
        <v>2017</v>
      </c>
    </row>
    <row r="1612" spans="1:4" ht="19.95" customHeight="1" x14ac:dyDescent="0.25">
      <c r="A1612" s="10" t="s">
        <v>23</v>
      </c>
      <c r="B1612" s="11" t="s">
        <v>14</v>
      </c>
      <c r="C1612" s="11"/>
      <c r="D1612" s="11">
        <v>2017</v>
      </c>
    </row>
    <row r="1613" spans="1:4" ht="19.95" customHeight="1" x14ac:dyDescent="0.25">
      <c r="A1613" s="10" t="s">
        <v>24</v>
      </c>
      <c r="B1613" s="11" t="s">
        <v>14</v>
      </c>
      <c r="C1613" s="11"/>
      <c r="D1613" s="11">
        <v>2017</v>
      </c>
    </row>
    <row r="1614" spans="1:4" ht="19.95" customHeight="1" x14ac:dyDescent="0.25">
      <c r="A1614" s="10" t="s">
        <v>25</v>
      </c>
      <c r="B1614" s="11" t="s">
        <v>14</v>
      </c>
      <c r="C1614" s="11"/>
      <c r="D1614" s="11">
        <v>2017</v>
      </c>
    </row>
    <row r="1615" spans="1:4" ht="19.95" customHeight="1" x14ac:dyDescent="0.25">
      <c r="A1615" s="10" t="s">
        <v>26</v>
      </c>
      <c r="B1615" s="11" t="s">
        <v>14</v>
      </c>
      <c r="C1615" s="11"/>
      <c r="D1615" s="11">
        <v>2017</v>
      </c>
    </row>
    <row r="1616" spans="1:4" ht="19.95" customHeight="1" x14ac:dyDescent="0.25">
      <c r="A1616" s="10" t="s">
        <v>27</v>
      </c>
      <c r="B1616" s="11" t="s">
        <v>14</v>
      </c>
      <c r="C1616" s="11"/>
      <c r="D1616" s="11">
        <v>2017</v>
      </c>
    </row>
    <row r="1617" spans="1:4" ht="19.95" customHeight="1" x14ac:dyDescent="0.25">
      <c r="A1617" s="10" t="s">
        <v>29</v>
      </c>
      <c r="B1617" s="11" t="s">
        <v>14</v>
      </c>
      <c r="C1617" s="11"/>
      <c r="D1617" s="11">
        <v>2017</v>
      </c>
    </row>
    <row r="1618" spans="1:4" ht="19.95" customHeight="1" x14ac:dyDescent="0.25">
      <c r="A1618" s="10" t="s">
        <v>30</v>
      </c>
      <c r="B1618" s="11" t="s">
        <v>14</v>
      </c>
      <c r="C1618" s="11"/>
      <c r="D1618" s="11">
        <v>2017</v>
      </c>
    </row>
    <row r="1619" spans="1:4" ht="19.95" customHeight="1" x14ac:dyDescent="0.25">
      <c r="A1619" s="10" t="s">
        <v>31</v>
      </c>
      <c r="B1619" s="11" t="s">
        <v>14</v>
      </c>
      <c r="C1619" s="11"/>
      <c r="D1619" s="11">
        <v>2017</v>
      </c>
    </row>
    <row r="1620" spans="1:4" ht="19.95" customHeight="1" x14ac:dyDescent="0.25">
      <c r="A1620" s="10" t="s">
        <v>32</v>
      </c>
      <c r="B1620" s="11" t="s">
        <v>14</v>
      </c>
      <c r="C1620" s="11"/>
      <c r="D1620" s="11">
        <v>2017</v>
      </c>
    </row>
    <row r="1621" spans="1:4" ht="19.95" customHeight="1" x14ac:dyDescent="0.25">
      <c r="A1621" s="10" t="s">
        <v>33</v>
      </c>
      <c r="B1621" s="11" t="s">
        <v>14</v>
      </c>
      <c r="C1621" s="11"/>
      <c r="D1621" s="11">
        <v>2017</v>
      </c>
    </row>
    <row r="1622" spans="1:4" ht="19.95" customHeight="1" x14ac:dyDescent="0.25">
      <c r="A1622" s="10" t="s">
        <v>34</v>
      </c>
      <c r="B1622" s="11" t="s">
        <v>14</v>
      </c>
      <c r="C1622" s="11"/>
      <c r="D1622" s="11">
        <v>2017</v>
      </c>
    </row>
    <row r="1623" spans="1:4" ht="19.95" customHeight="1" x14ac:dyDescent="0.25">
      <c r="A1623" s="10" t="s">
        <v>35</v>
      </c>
      <c r="B1623" s="11" t="s">
        <v>14</v>
      </c>
      <c r="C1623" s="11"/>
      <c r="D1623" s="11">
        <v>2017</v>
      </c>
    </row>
    <row r="1624" spans="1:4" ht="19.95" customHeight="1" x14ac:dyDescent="0.25">
      <c r="A1624" s="10" t="s">
        <v>36</v>
      </c>
      <c r="B1624" s="11" t="s">
        <v>14</v>
      </c>
      <c r="C1624" s="11"/>
      <c r="D1624" s="11">
        <v>2017</v>
      </c>
    </row>
    <row r="1625" spans="1:4" ht="19.95" customHeight="1" x14ac:dyDescent="0.25">
      <c r="A1625" s="10" t="s">
        <v>37</v>
      </c>
      <c r="B1625" s="11" t="s">
        <v>14</v>
      </c>
      <c r="C1625" s="11"/>
      <c r="D1625" s="11">
        <v>2017</v>
      </c>
    </row>
    <row r="1626" spans="1:4" ht="19.95" customHeight="1" x14ac:dyDescent="0.25">
      <c r="A1626" s="10" t="s">
        <v>38</v>
      </c>
      <c r="B1626" s="11" t="s">
        <v>14</v>
      </c>
      <c r="C1626" s="11"/>
      <c r="D1626" s="11">
        <v>2017</v>
      </c>
    </row>
    <row r="1627" spans="1:4" ht="19.95" customHeight="1" x14ac:dyDescent="0.25">
      <c r="A1627" s="10" t="s">
        <v>39</v>
      </c>
      <c r="B1627" s="11" t="s">
        <v>14</v>
      </c>
      <c r="C1627" s="11"/>
      <c r="D1627" s="11">
        <v>2017</v>
      </c>
    </row>
    <row r="1628" spans="1:4" ht="19.95" customHeight="1" x14ac:dyDescent="0.25">
      <c r="A1628" s="10" t="s">
        <v>40</v>
      </c>
      <c r="B1628" s="11" t="s">
        <v>14</v>
      </c>
      <c r="C1628" s="11"/>
      <c r="D1628" s="11">
        <v>2017</v>
      </c>
    </row>
  </sheetData>
  <mergeCells count="4">
    <mergeCell ref="G2:K2"/>
    <mergeCell ref="J4:K4"/>
    <mergeCell ref="J98:S98"/>
    <mergeCell ref="J99:S102"/>
  </mergeCells>
  <phoneticPr fontId="12" type="noConversion"/>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enlever">
                <anchor moveWithCells="1" sizeWithCells="1">
                  <from>
                    <xdr:col>5</xdr:col>
                    <xdr:colOff>0</xdr:colOff>
                    <xdr:row>6</xdr:row>
                    <xdr:rowOff>60960</xdr:rowOff>
                  </from>
                  <to>
                    <xdr:col>5</xdr:col>
                    <xdr:colOff>1013460</xdr:colOff>
                    <xdr:row>7</xdr:row>
                    <xdr:rowOff>152400</xdr:rowOff>
                  </to>
                </anchor>
              </controlPr>
            </control>
          </mc:Choice>
        </mc:AlternateContent>
        <mc:AlternateContent xmlns:mc="http://schemas.openxmlformats.org/markup-compatibility/2006">
          <mc:Choice Requires="x14">
            <control shapeId="2050" r:id="rId6" name="Button 2">
              <controlPr defaultSize="0" print="0" autoFill="0" autoPict="0" macro="[0]!afficher">
                <anchor moveWithCells="1" sizeWithCells="1">
                  <from>
                    <xdr:col>5</xdr:col>
                    <xdr:colOff>0</xdr:colOff>
                    <xdr:row>3</xdr:row>
                    <xdr:rowOff>266700</xdr:rowOff>
                  </from>
                  <to>
                    <xdr:col>5</xdr:col>
                    <xdr:colOff>1013460</xdr:colOff>
                    <xdr:row>5</xdr:row>
                    <xdr:rowOff>152400</xdr:rowOff>
                  </to>
                </anchor>
              </controlPr>
            </control>
          </mc:Choice>
        </mc:AlternateContent>
        <mc:AlternateContent xmlns:mc="http://schemas.openxmlformats.org/markup-compatibility/2006">
          <mc:Choice Requires="x14">
            <control shapeId="2051" r:id="rId7" name="comite 4">
              <controlPr defaultSize="0" print="0" autoFill="0" autoPict="0" macro="[0]!SelectSheet">
                <anchor moveWithCells="1" sizeWithCells="1">
                  <from>
                    <xdr:col>4</xdr:col>
                    <xdr:colOff>822960</xdr:colOff>
                    <xdr:row>8</xdr:row>
                    <xdr:rowOff>114300</xdr:rowOff>
                  </from>
                  <to>
                    <xdr:col>5</xdr:col>
                    <xdr:colOff>998220</xdr:colOff>
                    <xdr:row>9</xdr:row>
                    <xdr:rowOff>220980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2:S1628"/>
  <sheetViews>
    <sheetView showGridLines="0" topLeftCell="E1" zoomScale="80" zoomScaleNormal="80" workbookViewId="0">
      <selection activeCell="G2" sqref="G2:K2"/>
    </sheetView>
  </sheetViews>
  <sheetFormatPr defaultColWidth="8" defaultRowHeight="19.95" customHeight="1" x14ac:dyDescent="0.25"/>
  <cols>
    <col min="1" max="1" width="19" style="1" hidden="1" customWidth="1"/>
    <col min="2" max="2" width="37.3984375" style="1" hidden="1" customWidth="1"/>
    <col min="3" max="3" width="14.8984375" style="1" hidden="1" customWidth="1"/>
    <col min="4" max="4" width="11"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9" width="16.3984375" style="1" customWidth="1"/>
    <col min="20" max="20" width="7.19921875" style="1" bestFit="1" customWidth="1"/>
    <col min="21" max="21" width="6.69921875" style="1" bestFit="1" customWidth="1"/>
    <col min="22" max="22" width="11.09765625" style="1" bestFit="1" customWidth="1"/>
    <col min="23" max="23" width="7.09765625" style="1" bestFit="1" customWidth="1"/>
    <col min="24" max="24" width="6.59765625" style="1" bestFit="1" customWidth="1"/>
    <col min="25" max="25" width="8.5" style="1" bestFit="1" customWidth="1"/>
    <col min="26" max="26" width="12.19921875" style="1" bestFit="1" customWidth="1"/>
    <col min="27" max="27" width="9" style="1" bestFit="1" customWidth="1"/>
    <col min="28" max="28" width="6.59765625" style="1" bestFit="1" customWidth="1"/>
    <col min="29" max="29" width="9.5" style="1" bestFit="1" customWidth="1"/>
    <col min="30" max="30" width="6.59765625" style="1" bestFit="1" customWidth="1"/>
    <col min="31" max="31" width="7.59765625" style="1" bestFit="1" customWidth="1"/>
    <col min="32" max="32" width="21" style="1" bestFit="1" customWidth="1"/>
    <col min="33" max="33" width="8.5" style="1" bestFit="1" customWidth="1"/>
    <col min="34" max="34" width="9" style="1" bestFit="1" customWidth="1"/>
    <col min="35" max="35" width="8.3984375" style="1" bestFit="1" customWidth="1"/>
    <col min="36" max="36" width="7.59765625" style="1" bestFit="1" customWidth="1"/>
    <col min="37" max="37" width="7.19921875" style="1" bestFit="1" customWidth="1"/>
    <col min="38" max="38" width="9.8984375" style="1" bestFit="1" customWidth="1"/>
    <col min="39" max="39" width="10.19921875" style="1" bestFit="1" customWidth="1"/>
    <col min="40" max="65" width="21" style="1" bestFit="1" customWidth="1"/>
    <col min="66" max="66" width="14.5" style="1" bestFit="1" customWidth="1"/>
    <col min="67" max="67" width="14.59765625" style="1" bestFit="1" customWidth="1"/>
    <col min="68" max="16384" width="8" style="1"/>
  </cols>
  <sheetData>
    <row r="2" spans="1:11" ht="25.2" customHeight="1" x14ac:dyDescent="0.25">
      <c r="G2" s="34" t="s">
        <v>47</v>
      </c>
      <c r="H2" s="34"/>
      <c r="I2" s="34"/>
      <c r="J2" s="34"/>
      <c r="K2" s="34"/>
    </row>
    <row r="3" spans="1:11" ht="10.199999999999999" customHeight="1" x14ac:dyDescent="0.25"/>
    <row r="4" spans="1:11" ht="22.2" customHeight="1" thickBot="1" x14ac:dyDescent="0.3">
      <c r="A4" s="5" t="s">
        <v>4</v>
      </c>
      <c r="B4" s="5" t="s">
        <v>5</v>
      </c>
      <c r="C4" s="5" t="s">
        <v>6</v>
      </c>
      <c r="D4" s="5" t="s">
        <v>7</v>
      </c>
      <c r="H4" s="16" t="s">
        <v>8</v>
      </c>
      <c r="J4" s="38" t="s">
        <v>9</v>
      </c>
      <c r="K4" s="38"/>
    </row>
    <row r="5" spans="1:11" ht="14.4" thickTop="1" x14ac:dyDescent="0.25">
      <c r="A5" s="7" t="s">
        <v>10</v>
      </c>
      <c r="B5" s="8" t="s">
        <v>41</v>
      </c>
      <c r="C5" s="8"/>
      <c r="D5" s="8">
        <v>1960</v>
      </c>
      <c r="J5" s="31" t="s">
        <v>12</v>
      </c>
      <c r="K5" s="31" t="s">
        <v>4</v>
      </c>
    </row>
    <row r="6" spans="1:11" ht="13.8" x14ac:dyDescent="0.25">
      <c r="A6" s="7" t="s">
        <v>13</v>
      </c>
      <c r="B6" s="8" t="s">
        <v>42</v>
      </c>
      <c r="C6" s="8"/>
      <c r="D6" s="8">
        <v>1960</v>
      </c>
      <c r="J6" s="32" t="s">
        <v>7</v>
      </c>
      <c r="K6" s="33" t="s">
        <v>29</v>
      </c>
    </row>
    <row r="7" spans="1:11" ht="19.95" customHeight="1" x14ac:dyDescent="0.25">
      <c r="A7" s="7" t="s">
        <v>15</v>
      </c>
      <c r="B7" s="8" t="s">
        <v>42</v>
      </c>
      <c r="C7" s="8"/>
      <c r="D7" s="8">
        <v>1960</v>
      </c>
      <c r="J7" s="22">
        <v>1961</v>
      </c>
      <c r="K7" s="29">
        <v>21.53</v>
      </c>
    </row>
    <row r="8" spans="1:11" ht="19.95" customHeight="1" x14ac:dyDescent="0.25">
      <c r="A8" s="7" t="s">
        <v>16</v>
      </c>
      <c r="B8" s="8" t="s">
        <v>42</v>
      </c>
      <c r="C8" s="8"/>
      <c r="D8" s="8">
        <v>1960</v>
      </c>
      <c r="J8" s="22">
        <v>1962</v>
      </c>
      <c r="K8" s="29">
        <v>24</v>
      </c>
    </row>
    <row r="9" spans="1:11" ht="19.95" customHeight="1" x14ac:dyDescent="0.25">
      <c r="A9" s="7" t="s">
        <v>17</v>
      </c>
      <c r="B9" s="8" t="s">
        <v>42</v>
      </c>
      <c r="C9" s="8"/>
      <c r="D9" s="8">
        <v>1960</v>
      </c>
      <c r="J9" s="22">
        <v>1963</v>
      </c>
      <c r="K9" s="29">
        <v>24.95</v>
      </c>
    </row>
    <row r="10" spans="1:11" ht="19.95" customHeight="1" x14ac:dyDescent="0.25">
      <c r="A10" s="7" t="s">
        <v>2</v>
      </c>
      <c r="B10" s="8" t="s">
        <v>42</v>
      </c>
      <c r="C10" s="8"/>
      <c r="D10" s="8">
        <v>1960</v>
      </c>
      <c r="J10" s="22">
        <v>1964</v>
      </c>
      <c r="K10" s="29">
        <v>26.2</v>
      </c>
    </row>
    <row r="11" spans="1:11" ht="19.95" customHeight="1" x14ac:dyDescent="0.25">
      <c r="A11" s="7" t="s">
        <v>18</v>
      </c>
      <c r="B11" s="8" t="s">
        <v>42</v>
      </c>
      <c r="C11" s="8"/>
      <c r="D11" s="8">
        <v>1960</v>
      </c>
      <c r="J11" s="22">
        <v>1965</v>
      </c>
      <c r="K11" s="29">
        <v>25.46</v>
      </c>
    </row>
    <row r="12" spans="1:11" ht="19.95" customHeight="1" x14ac:dyDescent="0.25">
      <c r="A12" s="7" t="s">
        <v>19</v>
      </c>
      <c r="B12" s="8" t="s">
        <v>42</v>
      </c>
      <c r="C12" s="8"/>
      <c r="D12" s="8">
        <v>1960</v>
      </c>
      <c r="J12" s="22">
        <v>1966</v>
      </c>
      <c r="K12" s="29">
        <v>22.44</v>
      </c>
    </row>
    <row r="13" spans="1:11" ht="19.95" customHeight="1" x14ac:dyDescent="0.25">
      <c r="A13" s="7" t="s">
        <v>20</v>
      </c>
      <c r="B13" s="8" t="s">
        <v>42</v>
      </c>
      <c r="C13" s="8"/>
      <c r="D13" s="8">
        <v>1960</v>
      </c>
      <c r="J13" s="22">
        <v>1967</v>
      </c>
      <c r="K13" s="29">
        <v>24.98</v>
      </c>
    </row>
    <row r="14" spans="1:11" ht="19.95" customHeight="1" x14ac:dyDescent="0.25">
      <c r="A14" s="7" t="s">
        <v>21</v>
      </c>
      <c r="B14" s="8" t="s">
        <v>42</v>
      </c>
      <c r="C14" s="8"/>
      <c r="D14" s="8">
        <v>1960</v>
      </c>
      <c r="J14" s="22">
        <v>1968</v>
      </c>
      <c r="K14" s="29">
        <v>25.31</v>
      </c>
    </row>
    <row r="15" spans="1:11" ht="19.95" customHeight="1" x14ac:dyDescent="0.25">
      <c r="A15" s="7" t="s">
        <v>22</v>
      </c>
      <c r="B15" s="8" t="s">
        <v>42</v>
      </c>
      <c r="C15" s="8"/>
      <c r="D15" s="8">
        <v>1960</v>
      </c>
      <c r="J15" s="22">
        <v>1969</v>
      </c>
      <c r="K15" s="29">
        <v>25.12</v>
      </c>
    </row>
    <row r="16" spans="1:11" ht="19.95" customHeight="1" x14ac:dyDescent="0.25">
      <c r="A16" s="7" t="s">
        <v>23</v>
      </c>
      <c r="B16" s="8" t="s">
        <v>42</v>
      </c>
      <c r="C16" s="8"/>
      <c r="D16" s="8">
        <v>1960</v>
      </c>
      <c r="J16" s="22">
        <v>1970</v>
      </c>
      <c r="K16" s="29">
        <v>26</v>
      </c>
    </row>
    <row r="17" spans="1:11" ht="19.95" customHeight="1" x14ac:dyDescent="0.25">
      <c r="A17" s="7" t="s">
        <v>24</v>
      </c>
      <c r="B17" s="8" t="s">
        <v>42</v>
      </c>
      <c r="C17" s="8"/>
      <c r="D17" s="8">
        <v>1960</v>
      </c>
      <c r="J17" s="22">
        <v>1971</v>
      </c>
      <c r="K17" s="29">
        <v>26.72</v>
      </c>
    </row>
    <row r="18" spans="1:11" ht="19.95" customHeight="1" x14ac:dyDescent="0.25">
      <c r="A18" s="7" t="s">
        <v>25</v>
      </c>
      <c r="B18" s="8" t="s">
        <v>42</v>
      </c>
      <c r="C18" s="8"/>
      <c r="D18" s="8">
        <v>1960</v>
      </c>
      <c r="J18" s="22">
        <v>1972</v>
      </c>
      <c r="K18" s="29">
        <v>25.12</v>
      </c>
    </row>
    <row r="19" spans="1:11" ht="19.95" customHeight="1" x14ac:dyDescent="0.25">
      <c r="A19" s="7" t="s">
        <v>26</v>
      </c>
      <c r="B19" s="8" t="s">
        <v>42</v>
      </c>
      <c r="C19" s="8"/>
      <c r="D19" s="8">
        <v>1960</v>
      </c>
      <c r="J19" s="22">
        <v>1973</v>
      </c>
      <c r="K19" s="29">
        <v>27.45</v>
      </c>
    </row>
    <row r="20" spans="1:11" ht="22.2" customHeight="1" x14ac:dyDescent="0.25">
      <c r="A20" s="7" t="s">
        <v>27</v>
      </c>
      <c r="B20" s="8" t="s">
        <v>42</v>
      </c>
      <c r="C20" s="8"/>
      <c r="D20" s="8">
        <v>1960</v>
      </c>
      <c r="H20" s="4" t="s">
        <v>28</v>
      </c>
      <c r="J20" s="22">
        <v>1974</v>
      </c>
      <c r="K20" s="29">
        <v>27.76</v>
      </c>
    </row>
    <row r="21" spans="1:11" ht="19.95" customHeight="1" x14ac:dyDescent="0.25">
      <c r="A21" s="7" t="s">
        <v>29</v>
      </c>
      <c r="B21" s="8" t="s">
        <v>42</v>
      </c>
      <c r="C21" s="8"/>
      <c r="D21" s="8">
        <v>1960</v>
      </c>
      <c r="J21" s="22">
        <v>1975</v>
      </c>
      <c r="K21" s="29">
        <v>29.13</v>
      </c>
    </row>
    <row r="22" spans="1:11" ht="19.95" customHeight="1" x14ac:dyDescent="0.25">
      <c r="A22" s="7" t="s">
        <v>30</v>
      </c>
      <c r="B22" s="8" t="s">
        <v>42</v>
      </c>
      <c r="C22" s="8"/>
      <c r="D22" s="8">
        <v>1960</v>
      </c>
      <c r="J22" s="22">
        <v>1976</v>
      </c>
      <c r="K22" s="29">
        <v>29.6</v>
      </c>
    </row>
    <row r="23" spans="1:11" ht="19.95" customHeight="1" x14ac:dyDescent="0.25">
      <c r="A23" s="7" t="s">
        <v>31</v>
      </c>
      <c r="B23" s="8" t="s">
        <v>42</v>
      </c>
      <c r="C23" s="8"/>
      <c r="D23" s="8">
        <v>1960</v>
      </c>
      <c r="J23" s="22">
        <v>1977</v>
      </c>
      <c r="K23" s="29">
        <v>30.41</v>
      </c>
    </row>
    <row r="24" spans="1:11" ht="19.95" customHeight="1" x14ac:dyDescent="0.25">
      <c r="A24" s="7" t="s">
        <v>32</v>
      </c>
      <c r="B24" s="8" t="s">
        <v>42</v>
      </c>
      <c r="C24" s="8"/>
      <c r="D24" s="8">
        <v>1960</v>
      </c>
      <c r="J24" s="22">
        <v>1978</v>
      </c>
      <c r="K24" s="29">
        <v>33.31</v>
      </c>
    </row>
    <row r="25" spans="1:11" ht="19.95" customHeight="1" x14ac:dyDescent="0.25">
      <c r="A25" s="7" t="s">
        <v>33</v>
      </c>
      <c r="B25" s="8" t="s">
        <v>42</v>
      </c>
      <c r="C25" s="8"/>
      <c r="D25" s="8">
        <v>1960</v>
      </c>
      <c r="J25" s="22">
        <v>1979</v>
      </c>
      <c r="K25" s="29">
        <v>33.76</v>
      </c>
    </row>
    <row r="26" spans="1:11" ht="19.95" customHeight="1" x14ac:dyDescent="0.25">
      <c r="A26" s="7" t="s">
        <v>34</v>
      </c>
      <c r="B26" s="8" t="s">
        <v>42</v>
      </c>
      <c r="C26" s="8"/>
      <c r="D26" s="8">
        <v>1960</v>
      </c>
      <c r="J26" s="22">
        <v>1980</v>
      </c>
      <c r="K26" s="29">
        <v>39.49</v>
      </c>
    </row>
    <row r="27" spans="1:11" ht="19.95" customHeight="1" x14ac:dyDescent="0.25">
      <c r="A27" s="7" t="s">
        <v>35</v>
      </c>
      <c r="B27" s="8" t="s">
        <v>42</v>
      </c>
      <c r="C27" s="8"/>
      <c r="D27" s="8">
        <v>1960</v>
      </c>
      <c r="J27" s="22">
        <v>1981</v>
      </c>
      <c r="K27" s="29">
        <v>42.82</v>
      </c>
    </row>
    <row r="28" spans="1:11" ht="19.95" customHeight="1" x14ac:dyDescent="0.25">
      <c r="A28" s="7" t="s">
        <v>36</v>
      </c>
      <c r="B28" s="8" t="s">
        <v>42</v>
      </c>
      <c r="C28" s="8"/>
      <c r="D28" s="8">
        <v>1960</v>
      </c>
      <c r="J28" s="22">
        <v>1982</v>
      </c>
      <c r="K28" s="29">
        <v>45.12</v>
      </c>
    </row>
    <row r="29" spans="1:11" ht="19.95" customHeight="1" x14ac:dyDescent="0.25">
      <c r="A29" s="7" t="s">
        <v>37</v>
      </c>
      <c r="B29" s="8" t="s">
        <v>42</v>
      </c>
      <c r="C29" s="8"/>
      <c r="D29" s="8">
        <v>1960</v>
      </c>
      <c r="J29" s="22">
        <v>1983</v>
      </c>
      <c r="K29" s="29">
        <v>46</v>
      </c>
    </row>
    <row r="30" spans="1:11" ht="19.95" customHeight="1" x14ac:dyDescent="0.25">
      <c r="A30" s="7" t="s">
        <v>38</v>
      </c>
      <c r="B30" s="8" t="s">
        <v>42</v>
      </c>
      <c r="C30" s="8"/>
      <c r="D30" s="8">
        <v>1960</v>
      </c>
      <c r="J30" s="22">
        <v>1984</v>
      </c>
      <c r="K30" s="29">
        <v>47.3</v>
      </c>
    </row>
    <row r="31" spans="1:11" ht="19.95" customHeight="1" x14ac:dyDescent="0.25">
      <c r="A31" s="7" t="s">
        <v>39</v>
      </c>
      <c r="B31" s="8" t="s">
        <v>42</v>
      </c>
      <c r="C31" s="8"/>
      <c r="D31" s="8">
        <v>1960</v>
      </c>
      <c r="J31" s="22">
        <v>1985</v>
      </c>
      <c r="K31" s="29">
        <v>48.47</v>
      </c>
    </row>
    <row r="32" spans="1:11" ht="19.95" customHeight="1" x14ac:dyDescent="0.25">
      <c r="A32" s="7" t="s">
        <v>40</v>
      </c>
      <c r="B32" s="8" t="s">
        <v>42</v>
      </c>
      <c r="C32" s="8"/>
      <c r="D32" s="8">
        <v>1960</v>
      </c>
      <c r="J32" s="22">
        <v>1986</v>
      </c>
      <c r="K32" s="29">
        <v>48.64</v>
      </c>
    </row>
    <row r="33" spans="1:11" ht="19.95" customHeight="1" x14ac:dyDescent="0.25">
      <c r="A33" s="10" t="s">
        <v>10</v>
      </c>
      <c r="B33" s="11" t="s">
        <v>42</v>
      </c>
      <c r="C33" s="11">
        <v>63.16</v>
      </c>
      <c r="D33" s="11">
        <v>1961</v>
      </c>
      <c r="J33" s="22">
        <v>1987</v>
      </c>
      <c r="K33" s="29">
        <v>47.52</v>
      </c>
    </row>
    <row r="34" spans="1:11" ht="19.95" customHeight="1" x14ac:dyDescent="0.25">
      <c r="A34" s="10" t="s">
        <v>13</v>
      </c>
      <c r="B34" s="11" t="s">
        <v>42</v>
      </c>
      <c r="C34" s="11">
        <v>25.99</v>
      </c>
      <c r="D34" s="11">
        <v>1961</v>
      </c>
      <c r="J34" s="22">
        <v>1988</v>
      </c>
      <c r="K34" s="29">
        <v>46.29</v>
      </c>
    </row>
    <row r="35" spans="1:11" ht="19.95" customHeight="1" x14ac:dyDescent="0.25">
      <c r="A35" s="10" t="s">
        <v>15</v>
      </c>
      <c r="B35" s="11" t="s">
        <v>42</v>
      </c>
      <c r="C35" s="11">
        <v>35.450000000000003</v>
      </c>
      <c r="D35" s="11">
        <v>1961</v>
      </c>
      <c r="J35" s="22">
        <v>1989</v>
      </c>
      <c r="K35" s="29">
        <v>43.93</v>
      </c>
    </row>
    <row r="36" spans="1:11" ht="22.2" customHeight="1" x14ac:dyDescent="0.25">
      <c r="A36" s="10" t="s">
        <v>16</v>
      </c>
      <c r="B36" s="11" t="s">
        <v>42</v>
      </c>
      <c r="C36" s="11">
        <v>40.909999999999997</v>
      </c>
      <c r="D36" s="11">
        <v>1961</v>
      </c>
      <c r="J36" s="22">
        <v>1990</v>
      </c>
      <c r="K36" s="29">
        <v>43.39</v>
      </c>
    </row>
    <row r="37" spans="1:11" ht="19.95" customHeight="1" x14ac:dyDescent="0.25">
      <c r="A37" s="10" t="s">
        <v>17</v>
      </c>
      <c r="B37" s="11" t="s">
        <v>42</v>
      </c>
      <c r="C37" s="11">
        <v>13.34</v>
      </c>
      <c r="D37" s="11">
        <v>1961</v>
      </c>
      <c r="J37" s="22">
        <v>1991</v>
      </c>
      <c r="K37" s="29">
        <v>42.07</v>
      </c>
    </row>
    <row r="38" spans="1:11" ht="19.95" customHeight="1" x14ac:dyDescent="0.25">
      <c r="A38" s="10" t="s">
        <v>2</v>
      </c>
      <c r="B38" s="11" t="s">
        <v>42</v>
      </c>
      <c r="C38" s="11"/>
      <c r="D38" s="11">
        <v>1961</v>
      </c>
      <c r="J38" s="22">
        <v>1992</v>
      </c>
      <c r="K38" s="29">
        <v>47.59</v>
      </c>
    </row>
    <row r="39" spans="1:11" ht="19.95" customHeight="1" x14ac:dyDescent="0.25">
      <c r="A39" s="10" t="s">
        <v>18</v>
      </c>
      <c r="B39" s="11" t="s">
        <v>42</v>
      </c>
      <c r="C39" s="11">
        <v>36.6</v>
      </c>
      <c r="D39" s="11">
        <v>1961</v>
      </c>
      <c r="J39" s="22">
        <v>1993</v>
      </c>
      <c r="K39" s="29">
        <v>51.69</v>
      </c>
    </row>
    <row r="40" spans="1:11" ht="19.95" customHeight="1" x14ac:dyDescent="0.25">
      <c r="A40" s="10" t="s">
        <v>19</v>
      </c>
      <c r="B40" s="11" t="s">
        <v>42</v>
      </c>
      <c r="C40" s="11">
        <v>63.29</v>
      </c>
      <c r="D40" s="11">
        <v>1961</v>
      </c>
      <c r="J40" s="22">
        <v>1994</v>
      </c>
      <c r="K40" s="29">
        <v>55.72</v>
      </c>
    </row>
    <row r="41" spans="1:11" ht="19.95" customHeight="1" x14ac:dyDescent="0.25">
      <c r="A41" s="10" t="s">
        <v>20</v>
      </c>
      <c r="B41" s="11" t="s">
        <v>42</v>
      </c>
      <c r="C41" s="11">
        <v>23.87</v>
      </c>
      <c r="D41" s="11">
        <v>1961</v>
      </c>
      <c r="J41" s="22">
        <v>1995</v>
      </c>
      <c r="K41" s="29">
        <v>57.55</v>
      </c>
    </row>
    <row r="42" spans="1:11" ht="19.95" customHeight="1" x14ac:dyDescent="0.25">
      <c r="A42" s="10" t="s">
        <v>21</v>
      </c>
      <c r="B42" s="11" t="s">
        <v>42</v>
      </c>
      <c r="C42" s="11"/>
      <c r="D42" s="11">
        <v>1961</v>
      </c>
      <c r="J42" s="22">
        <v>1996</v>
      </c>
      <c r="K42" s="29">
        <v>58.9</v>
      </c>
    </row>
    <row r="43" spans="1:11" ht="19.95" customHeight="1" x14ac:dyDescent="0.25">
      <c r="A43" s="10" t="s">
        <v>22</v>
      </c>
      <c r="B43" s="11" t="s">
        <v>42</v>
      </c>
      <c r="C43" s="11">
        <v>48.4</v>
      </c>
      <c r="D43" s="11">
        <v>1961</v>
      </c>
      <c r="J43" s="22">
        <v>1997</v>
      </c>
      <c r="K43" s="29">
        <v>58.41</v>
      </c>
    </row>
    <row r="44" spans="1:11" ht="19.95" customHeight="1" x14ac:dyDescent="0.25">
      <c r="A44" s="10" t="s">
        <v>23</v>
      </c>
      <c r="B44" s="11" t="s">
        <v>42</v>
      </c>
      <c r="C44" s="11">
        <v>46.02</v>
      </c>
      <c r="D44" s="11">
        <v>1961</v>
      </c>
      <c r="J44" s="22">
        <v>1998</v>
      </c>
      <c r="K44" s="29">
        <v>59.34</v>
      </c>
    </row>
    <row r="45" spans="1:11" ht="19.95" customHeight="1" x14ac:dyDescent="0.25">
      <c r="A45" s="10" t="s">
        <v>24</v>
      </c>
      <c r="B45" s="11" t="s">
        <v>42</v>
      </c>
      <c r="C45" s="11">
        <v>22.8</v>
      </c>
      <c r="D45" s="11">
        <v>1961</v>
      </c>
      <c r="J45" s="22">
        <v>1999</v>
      </c>
      <c r="K45" s="29">
        <v>68</v>
      </c>
    </row>
    <row r="46" spans="1:11" ht="19.95" customHeight="1" x14ac:dyDescent="0.25">
      <c r="A46" s="10" t="s">
        <v>25</v>
      </c>
      <c r="B46" s="11" t="s">
        <v>42</v>
      </c>
      <c r="C46" s="11">
        <v>23.17</v>
      </c>
      <c r="D46" s="11">
        <v>1961</v>
      </c>
      <c r="J46" s="22">
        <v>2000</v>
      </c>
      <c r="K46" s="29">
        <v>75.010000000000005</v>
      </c>
    </row>
    <row r="47" spans="1:11" ht="19.95" customHeight="1" x14ac:dyDescent="0.25">
      <c r="A47" s="10" t="s">
        <v>26</v>
      </c>
      <c r="B47" s="11" t="s">
        <v>42</v>
      </c>
      <c r="C47" s="11"/>
      <c r="D47" s="11">
        <v>1961</v>
      </c>
      <c r="J47" s="22">
        <v>2001</v>
      </c>
      <c r="K47" s="29">
        <v>79.849999999999994</v>
      </c>
    </row>
    <row r="48" spans="1:11" ht="19.95" customHeight="1" x14ac:dyDescent="0.25">
      <c r="A48" s="10" t="s">
        <v>27</v>
      </c>
      <c r="B48" s="11" t="s">
        <v>42</v>
      </c>
      <c r="C48" s="11">
        <v>45.97</v>
      </c>
      <c r="D48" s="11">
        <v>1961</v>
      </c>
      <c r="J48" s="22">
        <v>2002</v>
      </c>
      <c r="K48" s="29">
        <v>82.5</v>
      </c>
    </row>
    <row r="49" spans="1:11" ht="19.95" customHeight="1" x14ac:dyDescent="0.25">
      <c r="A49" s="10" t="s">
        <v>29</v>
      </c>
      <c r="B49" s="11" t="s">
        <v>42</v>
      </c>
      <c r="C49" s="11">
        <v>21.53</v>
      </c>
      <c r="D49" s="11">
        <v>1961</v>
      </c>
      <c r="J49" s="22">
        <v>2003</v>
      </c>
      <c r="K49" s="29">
        <v>87.63</v>
      </c>
    </row>
    <row r="50" spans="1:11" ht="19.95" customHeight="1" x14ac:dyDescent="0.25">
      <c r="A50" s="10" t="s">
        <v>30</v>
      </c>
      <c r="B50" s="11" t="s">
        <v>42</v>
      </c>
      <c r="C50" s="11">
        <v>28.34</v>
      </c>
      <c r="D50" s="11">
        <v>1961</v>
      </c>
      <c r="J50" s="22">
        <v>2004</v>
      </c>
      <c r="K50" s="29">
        <v>91.41</v>
      </c>
    </row>
    <row r="51" spans="1:11" ht="19.95" customHeight="1" x14ac:dyDescent="0.25">
      <c r="A51" s="10" t="s">
        <v>31</v>
      </c>
      <c r="B51" s="11" t="s">
        <v>42</v>
      </c>
      <c r="C51" s="11">
        <v>28.01</v>
      </c>
      <c r="D51" s="11">
        <v>1961</v>
      </c>
      <c r="J51" s="22">
        <v>2005</v>
      </c>
      <c r="K51" s="29">
        <v>98.07</v>
      </c>
    </row>
    <row r="52" spans="1:11" ht="19.95" customHeight="1" x14ac:dyDescent="0.25">
      <c r="A52" s="10" t="s">
        <v>32</v>
      </c>
      <c r="B52" s="11" t="s">
        <v>42</v>
      </c>
      <c r="C52" s="11">
        <v>24.84</v>
      </c>
      <c r="D52" s="11">
        <v>1961</v>
      </c>
      <c r="J52" s="22">
        <v>2006</v>
      </c>
      <c r="K52" s="29">
        <v>110.53</v>
      </c>
    </row>
    <row r="53" spans="1:11" ht="19.95" customHeight="1" x14ac:dyDescent="0.25">
      <c r="A53" s="10" t="s">
        <v>33</v>
      </c>
      <c r="B53" s="11" t="s">
        <v>42</v>
      </c>
      <c r="C53" s="11">
        <v>24.48</v>
      </c>
      <c r="D53" s="11">
        <v>1961</v>
      </c>
      <c r="J53" s="22">
        <v>2007</v>
      </c>
      <c r="K53" s="29">
        <v>117.01</v>
      </c>
    </row>
    <row r="54" spans="1:11" ht="19.95" customHeight="1" x14ac:dyDescent="0.25">
      <c r="A54" s="10" t="s">
        <v>34</v>
      </c>
      <c r="B54" s="11" t="s">
        <v>42</v>
      </c>
      <c r="C54" s="11">
        <v>79.56</v>
      </c>
      <c r="D54" s="11">
        <v>1961</v>
      </c>
      <c r="J54" s="22">
        <v>2008</v>
      </c>
      <c r="K54" s="29">
        <v>126.3</v>
      </c>
    </row>
    <row r="55" spans="1:11" ht="19.95" customHeight="1" x14ac:dyDescent="0.25">
      <c r="A55" s="10" t="s">
        <v>35</v>
      </c>
      <c r="B55" s="11" t="s">
        <v>42</v>
      </c>
      <c r="C55" s="11">
        <v>41.48</v>
      </c>
      <c r="D55" s="11">
        <v>1961</v>
      </c>
      <c r="J55" s="22">
        <v>2009</v>
      </c>
      <c r="K55" s="29">
        <v>129.81</v>
      </c>
    </row>
    <row r="56" spans="1:11" ht="19.95" customHeight="1" x14ac:dyDescent="0.25">
      <c r="A56" s="10" t="s">
        <v>36</v>
      </c>
      <c r="B56" s="11" t="s">
        <v>42</v>
      </c>
      <c r="C56" s="11"/>
      <c r="D56" s="11">
        <v>1961</v>
      </c>
      <c r="J56" s="22">
        <v>2010</v>
      </c>
      <c r="K56" s="29">
        <v>131.81</v>
      </c>
    </row>
    <row r="57" spans="1:11" ht="19.95" customHeight="1" x14ac:dyDescent="0.25">
      <c r="A57" s="10" t="s">
        <v>37</v>
      </c>
      <c r="B57" s="11" t="s">
        <v>42</v>
      </c>
      <c r="C57" s="11">
        <v>25.01</v>
      </c>
      <c r="D57" s="11">
        <v>1961</v>
      </c>
      <c r="J57" s="22">
        <v>2011</v>
      </c>
      <c r="K57" s="29">
        <v>129.44999999999999</v>
      </c>
    </row>
    <row r="58" spans="1:11" ht="19.95" customHeight="1" x14ac:dyDescent="0.25">
      <c r="A58" s="10" t="s">
        <v>38</v>
      </c>
      <c r="B58" s="11" t="s">
        <v>42</v>
      </c>
      <c r="C58" s="11">
        <v>30.99</v>
      </c>
      <c r="D58" s="11">
        <v>1961</v>
      </c>
      <c r="J58" s="22">
        <v>2012</v>
      </c>
      <c r="K58" s="29">
        <v>125.39</v>
      </c>
    </row>
    <row r="59" spans="1:11" ht="19.95" customHeight="1" x14ac:dyDescent="0.25">
      <c r="A59" s="10" t="s">
        <v>39</v>
      </c>
      <c r="B59" s="11" t="s">
        <v>42</v>
      </c>
      <c r="C59" s="11">
        <v>28.15</v>
      </c>
      <c r="D59" s="11">
        <v>1961</v>
      </c>
      <c r="J59" s="22">
        <v>2013</v>
      </c>
      <c r="K59" s="29">
        <v>129.97999999999999</v>
      </c>
    </row>
    <row r="60" spans="1:11" ht="19.95" customHeight="1" x14ac:dyDescent="0.25">
      <c r="A60" s="10" t="s">
        <v>40</v>
      </c>
      <c r="B60" s="11" t="s">
        <v>42</v>
      </c>
      <c r="C60" s="11">
        <v>39.58</v>
      </c>
      <c r="D60" s="11">
        <v>1961</v>
      </c>
      <c r="J60" s="22">
        <v>2014</v>
      </c>
      <c r="K60" s="29">
        <v>132.82</v>
      </c>
    </row>
    <row r="61" spans="1:11" ht="19.95" customHeight="1" x14ac:dyDescent="0.25">
      <c r="A61" s="10" t="s">
        <v>10</v>
      </c>
      <c r="B61" s="11" t="s">
        <v>42</v>
      </c>
      <c r="C61" s="11">
        <v>63.4</v>
      </c>
      <c r="D61" s="11">
        <v>1962</v>
      </c>
      <c r="J61" s="22">
        <v>2015</v>
      </c>
      <c r="K61" s="29">
        <v>135.35</v>
      </c>
    </row>
    <row r="62" spans="1:11" ht="19.95" customHeight="1" x14ac:dyDescent="0.25">
      <c r="A62" s="10" t="s">
        <v>13</v>
      </c>
      <c r="B62" s="11" t="s">
        <v>42</v>
      </c>
      <c r="C62" s="11">
        <v>27.5</v>
      </c>
      <c r="D62" s="11">
        <v>1962</v>
      </c>
      <c r="J62" s="23">
        <v>2016</v>
      </c>
      <c r="K62" s="30">
        <v>135.83000000000001</v>
      </c>
    </row>
    <row r="63" spans="1:11" ht="19.95" customHeight="1" x14ac:dyDescent="0.25">
      <c r="A63" s="10" t="s">
        <v>15</v>
      </c>
      <c r="B63" s="11" t="s">
        <v>42</v>
      </c>
      <c r="C63" s="11">
        <v>37.39</v>
      </c>
      <c r="D63" s="11">
        <v>1962</v>
      </c>
    </row>
    <row r="64" spans="1:11" ht="19.95" customHeight="1" x14ac:dyDescent="0.25">
      <c r="A64" s="10" t="s">
        <v>16</v>
      </c>
      <c r="B64" s="11" t="s">
        <v>42</v>
      </c>
      <c r="C64" s="11">
        <v>40.450000000000003</v>
      </c>
      <c r="D64" s="11">
        <v>1962</v>
      </c>
    </row>
    <row r="65" spans="1:4" ht="19.95" customHeight="1" x14ac:dyDescent="0.25">
      <c r="A65" s="10" t="s">
        <v>17</v>
      </c>
      <c r="B65" s="11" t="s">
        <v>42</v>
      </c>
      <c r="C65" s="11">
        <v>13.7</v>
      </c>
      <c r="D65" s="11">
        <v>1962</v>
      </c>
    </row>
    <row r="66" spans="1:4" ht="19.95" customHeight="1" x14ac:dyDescent="0.25">
      <c r="A66" s="10" t="s">
        <v>2</v>
      </c>
      <c r="B66" s="11" t="s">
        <v>42</v>
      </c>
      <c r="C66" s="11"/>
      <c r="D66" s="11">
        <v>1962</v>
      </c>
    </row>
    <row r="67" spans="1:4" ht="19.95" customHeight="1" x14ac:dyDescent="0.25">
      <c r="A67" s="10" t="s">
        <v>18</v>
      </c>
      <c r="B67" s="11" t="s">
        <v>42</v>
      </c>
      <c r="C67" s="11">
        <v>37.270000000000003</v>
      </c>
      <c r="D67" s="11">
        <v>1962</v>
      </c>
    </row>
    <row r="68" spans="1:4" ht="19.95" customHeight="1" x14ac:dyDescent="0.25">
      <c r="A68" s="10" t="s">
        <v>19</v>
      </c>
      <c r="B68" s="11" t="s">
        <v>42</v>
      </c>
      <c r="C68" s="11">
        <v>64.709999999999994</v>
      </c>
      <c r="D68" s="11">
        <v>1962</v>
      </c>
    </row>
    <row r="69" spans="1:4" ht="19.95" customHeight="1" x14ac:dyDescent="0.25">
      <c r="A69" s="10" t="s">
        <v>20</v>
      </c>
      <c r="B69" s="11" t="s">
        <v>41</v>
      </c>
      <c r="C69" s="11">
        <v>24.39</v>
      </c>
      <c r="D69" s="11">
        <v>1962</v>
      </c>
    </row>
    <row r="70" spans="1:4" ht="19.95" customHeight="1" x14ac:dyDescent="0.25">
      <c r="A70" s="10" t="s">
        <v>21</v>
      </c>
      <c r="B70" s="11" t="s">
        <v>42</v>
      </c>
      <c r="C70" s="11"/>
      <c r="D70" s="11">
        <v>1962</v>
      </c>
    </row>
    <row r="71" spans="1:4" ht="19.95" customHeight="1" x14ac:dyDescent="0.25">
      <c r="A71" s="10" t="s">
        <v>22</v>
      </c>
      <c r="B71" s="11" t="s">
        <v>42</v>
      </c>
      <c r="C71" s="11">
        <v>48.96</v>
      </c>
      <c r="D71" s="11">
        <v>1962</v>
      </c>
    </row>
    <row r="72" spans="1:4" ht="19.95" customHeight="1" x14ac:dyDescent="0.25">
      <c r="A72" s="10" t="s">
        <v>23</v>
      </c>
      <c r="B72" s="11" t="s">
        <v>42</v>
      </c>
      <c r="C72" s="11">
        <v>47.2</v>
      </c>
      <c r="D72" s="11">
        <v>1962</v>
      </c>
    </row>
    <row r="73" spans="1:4" ht="19.95" customHeight="1" x14ac:dyDescent="0.25">
      <c r="A73" s="10" t="s">
        <v>24</v>
      </c>
      <c r="B73" s="11" t="s">
        <v>42</v>
      </c>
      <c r="C73" s="11">
        <v>23.98</v>
      </c>
      <c r="D73" s="11">
        <v>1962</v>
      </c>
    </row>
    <row r="74" spans="1:4" ht="19.95" customHeight="1" x14ac:dyDescent="0.25">
      <c r="A74" s="10" t="s">
        <v>25</v>
      </c>
      <c r="B74" s="11" t="s">
        <v>42</v>
      </c>
      <c r="C74" s="11">
        <v>24.87</v>
      </c>
      <c r="D74" s="11">
        <v>1962</v>
      </c>
    </row>
    <row r="75" spans="1:4" ht="19.95" customHeight="1" x14ac:dyDescent="0.25">
      <c r="A75" s="10" t="s">
        <v>26</v>
      </c>
      <c r="B75" s="11" t="s">
        <v>42</v>
      </c>
      <c r="C75" s="11"/>
      <c r="D75" s="11">
        <v>1962</v>
      </c>
    </row>
    <row r="76" spans="1:4" ht="19.95" customHeight="1" x14ac:dyDescent="0.25">
      <c r="A76" s="10" t="s">
        <v>27</v>
      </c>
      <c r="B76" s="11" t="s">
        <v>42</v>
      </c>
      <c r="C76" s="11">
        <v>47.17</v>
      </c>
      <c r="D76" s="11">
        <v>1962</v>
      </c>
    </row>
    <row r="77" spans="1:4" ht="19.95" customHeight="1" x14ac:dyDescent="0.25">
      <c r="A77" s="10" t="s">
        <v>29</v>
      </c>
      <c r="B77" s="11" t="s">
        <v>42</v>
      </c>
      <c r="C77" s="11">
        <v>24</v>
      </c>
      <c r="D77" s="11">
        <v>1962</v>
      </c>
    </row>
    <row r="78" spans="1:4" ht="19.95" customHeight="1" x14ac:dyDescent="0.25">
      <c r="A78" s="10" t="s">
        <v>30</v>
      </c>
      <c r="B78" s="11" t="s">
        <v>42</v>
      </c>
      <c r="C78" s="11">
        <v>28.59</v>
      </c>
      <c r="D78" s="11">
        <v>1962</v>
      </c>
    </row>
    <row r="79" spans="1:4" ht="19.95" customHeight="1" x14ac:dyDescent="0.25">
      <c r="A79" s="10" t="s">
        <v>31</v>
      </c>
      <c r="B79" s="11" t="s">
        <v>42</v>
      </c>
      <c r="C79" s="11">
        <v>29.54</v>
      </c>
      <c r="D79" s="11">
        <v>1962</v>
      </c>
    </row>
    <row r="80" spans="1:4" ht="19.95" customHeight="1" x14ac:dyDescent="0.25">
      <c r="A80" s="10" t="s">
        <v>32</v>
      </c>
      <c r="B80" s="11" t="s">
        <v>42</v>
      </c>
      <c r="C80" s="11">
        <v>28.05</v>
      </c>
      <c r="D80" s="11">
        <v>1962</v>
      </c>
    </row>
    <row r="81" spans="1:4" ht="19.95" customHeight="1" x14ac:dyDescent="0.25">
      <c r="A81" s="10" t="s">
        <v>33</v>
      </c>
      <c r="B81" s="11" t="s">
        <v>42</v>
      </c>
      <c r="C81" s="11">
        <v>32.71</v>
      </c>
      <c r="D81" s="11">
        <v>1962</v>
      </c>
    </row>
    <row r="82" spans="1:4" ht="19.95" customHeight="1" x14ac:dyDescent="0.25">
      <c r="A82" s="10" t="s">
        <v>34</v>
      </c>
      <c r="B82" s="11" t="s">
        <v>42</v>
      </c>
      <c r="C82" s="11">
        <v>83.43</v>
      </c>
      <c r="D82" s="11">
        <v>1962</v>
      </c>
    </row>
    <row r="83" spans="1:4" ht="19.95" customHeight="1" x14ac:dyDescent="0.25">
      <c r="A83" s="10" t="s">
        <v>35</v>
      </c>
      <c r="B83" s="11" t="s">
        <v>42</v>
      </c>
      <c r="C83" s="11">
        <v>44.39</v>
      </c>
      <c r="D83" s="11">
        <v>1962</v>
      </c>
    </row>
    <row r="84" spans="1:4" ht="19.95" customHeight="1" x14ac:dyDescent="0.25">
      <c r="A84" s="10" t="s">
        <v>36</v>
      </c>
      <c r="B84" s="11" t="s">
        <v>42</v>
      </c>
      <c r="C84" s="11"/>
      <c r="D84" s="11">
        <v>1962</v>
      </c>
    </row>
    <row r="85" spans="1:4" ht="19.95" customHeight="1" x14ac:dyDescent="0.25">
      <c r="A85" s="10" t="s">
        <v>37</v>
      </c>
      <c r="B85" s="11" t="s">
        <v>42</v>
      </c>
      <c r="C85" s="11">
        <v>25.84</v>
      </c>
      <c r="D85" s="11">
        <v>1962</v>
      </c>
    </row>
    <row r="86" spans="1:4" ht="19.95" customHeight="1" x14ac:dyDescent="0.25">
      <c r="A86" s="10" t="s">
        <v>38</v>
      </c>
      <c r="B86" s="11" t="s">
        <v>42</v>
      </c>
      <c r="C86" s="11">
        <v>30.99</v>
      </c>
      <c r="D86" s="11">
        <v>1962</v>
      </c>
    </row>
    <row r="87" spans="1:4" ht="19.95" customHeight="1" x14ac:dyDescent="0.25">
      <c r="A87" s="10" t="s">
        <v>39</v>
      </c>
      <c r="B87" s="11" t="s">
        <v>42</v>
      </c>
      <c r="C87" s="11">
        <v>27.85</v>
      </c>
      <c r="D87" s="11">
        <v>1962</v>
      </c>
    </row>
    <row r="88" spans="1:4" ht="19.95" customHeight="1" x14ac:dyDescent="0.25">
      <c r="A88" s="10" t="s">
        <v>40</v>
      </c>
      <c r="B88" s="11" t="s">
        <v>42</v>
      </c>
      <c r="C88" s="11">
        <v>42.59</v>
      </c>
      <c r="D88" s="11">
        <v>1962</v>
      </c>
    </row>
    <row r="89" spans="1:4" ht="19.95" customHeight="1" x14ac:dyDescent="0.25">
      <c r="A89" s="10" t="s">
        <v>10</v>
      </c>
      <c r="B89" s="11" t="s">
        <v>42</v>
      </c>
      <c r="C89" s="11">
        <v>64.23</v>
      </c>
      <c r="D89" s="11">
        <v>1963</v>
      </c>
    </row>
    <row r="90" spans="1:4" ht="19.95" customHeight="1" x14ac:dyDescent="0.25">
      <c r="A90" s="10" t="s">
        <v>13</v>
      </c>
      <c r="B90" s="11" t="s">
        <v>42</v>
      </c>
      <c r="C90" s="11">
        <v>29.65</v>
      </c>
      <c r="D90" s="11">
        <v>1963</v>
      </c>
    </row>
    <row r="91" spans="1:4" ht="19.95" customHeight="1" x14ac:dyDescent="0.25">
      <c r="A91" s="10" t="s">
        <v>15</v>
      </c>
      <c r="B91" s="11" t="s">
        <v>42</v>
      </c>
      <c r="C91" s="11">
        <v>39.82</v>
      </c>
      <c r="D91" s="11">
        <v>1963</v>
      </c>
    </row>
    <row r="92" spans="1:4" ht="19.95" customHeight="1" x14ac:dyDescent="0.25">
      <c r="A92" s="10" t="s">
        <v>16</v>
      </c>
      <c r="B92" s="11" t="s">
        <v>42</v>
      </c>
      <c r="C92" s="11">
        <v>45.14</v>
      </c>
      <c r="D92" s="11">
        <v>1963</v>
      </c>
    </row>
    <row r="93" spans="1:4" ht="19.95" customHeight="1" x14ac:dyDescent="0.25">
      <c r="A93" s="10" t="s">
        <v>17</v>
      </c>
      <c r="B93" s="11" t="s">
        <v>42</v>
      </c>
      <c r="C93" s="11">
        <v>14.14</v>
      </c>
      <c r="D93" s="11">
        <v>1963</v>
      </c>
    </row>
    <row r="94" spans="1:4" ht="19.95" customHeight="1" x14ac:dyDescent="0.25">
      <c r="A94" s="10" t="s">
        <v>2</v>
      </c>
      <c r="B94" s="11" t="s">
        <v>42</v>
      </c>
      <c r="C94" s="11"/>
      <c r="D94" s="11">
        <v>1963</v>
      </c>
    </row>
    <row r="95" spans="1:4" ht="19.95" customHeight="1" x14ac:dyDescent="0.25">
      <c r="A95" s="10" t="s">
        <v>18</v>
      </c>
      <c r="B95" s="11" t="s">
        <v>42</v>
      </c>
      <c r="C95" s="11">
        <v>35.25</v>
      </c>
      <c r="D95" s="11">
        <v>1963</v>
      </c>
    </row>
    <row r="96" spans="1:4" ht="19.95" customHeight="1" x14ac:dyDescent="0.25">
      <c r="A96" s="10" t="s">
        <v>19</v>
      </c>
      <c r="B96" s="11" t="s">
        <v>42</v>
      </c>
      <c r="C96" s="11">
        <v>66.959999999999994</v>
      </c>
      <c r="D96" s="11">
        <v>1963</v>
      </c>
    </row>
    <row r="97" spans="1:19" ht="19.95" customHeight="1" x14ac:dyDescent="0.25">
      <c r="A97" s="10" t="s">
        <v>20</v>
      </c>
      <c r="B97" s="11" t="s">
        <v>42</v>
      </c>
      <c r="C97" s="11">
        <v>24.39</v>
      </c>
      <c r="D97" s="11">
        <v>1963</v>
      </c>
      <c r="J97" s="38" t="s">
        <v>3</v>
      </c>
      <c r="K97" s="38"/>
      <c r="L97" s="38"/>
      <c r="M97" s="38"/>
      <c r="N97" s="38"/>
      <c r="O97" s="38"/>
      <c r="P97" s="38"/>
      <c r="Q97" s="38"/>
      <c r="R97" s="38"/>
      <c r="S97" s="38"/>
    </row>
    <row r="98" spans="1:19" ht="19.95" customHeight="1" x14ac:dyDescent="0.25">
      <c r="A98" s="10" t="s">
        <v>21</v>
      </c>
      <c r="B98" s="11" t="s">
        <v>42</v>
      </c>
      <c r="C98" s="11"/>
      <c r="D98" s="11">
        <v>1963</v>
      </c>
      <c r="J98" s="39"/>
      <c r="K98" s="39"/>
      <c r="L98" s="39"/>
      <c r="M98" s="39"/>
      <c r="N98" s="39"/>
      <c r="O98" s="39"/>
      <c r="P98" s="39"/>
      <c r="Q98" s="39"/>
      <c r="R98" s="39"/>
      <c r="S98" s="39"/>
    </row>
    <row r="99" spans="1:19" ht="19.95" customHeight="1" x14ac:dyDescent="0.25">
      <c r="A99" s="10" t="s">
        <v>22</v>
      </c>
      <c r="B99" s="11" t="s">
        <v>42</v>
      </c>
      <c r="C99" s="11">
        <v>49.99</v>
      </c>
      <c r="D99" s="11">
        <v>1963</v>
      </c>
      <c r="J99" s="39"/>
      <c r="K99" s="39"/>
      <c r="L99" s="39"/>
      <c r="M99" s="39"/>
      <c r="N99" s="39"/>
      <c r="O99" s="39"/>
      <c r="P99" s="39"/>
      <c r="Q99" s="39"/>
      <c r="R99" s="39"/>
      <c r="S99" s="39"/>
    </row>
    <row r="100" spans="1:19" ht="19.95" customHeight="1" x14ac:dyDescent="0.25">
      <c r="A100" s="10" t="s">
        <v>23</v>
      </c>
      <c r="B100" s="11" t="s">
        <v>42</v>
      </c>
      <c r="C100" s="11">
        <v>48.72</v>
      </c>
      <c r="D100" s="11">
        <v>1963</v>
      </c>
      <c r="J100" s="39"/>
      <c r="K100" s="39"/>
      <c r="L100" s="39"/>
      <c r="M100" s="39"/>
      <c r="N100" s="39"/>
      <c r="O100" s="39"/>
      <c r="P100" s="39"/>
      <c r="Q100" s="39"/>
      <c r="R100" s="39"/>
      <c r="S100" s="39"/>
    </row>
    <row r="101" spans="1:19" ht="19.95" customHeight="1" x14ac:dyDescent="0.25">
      <c r="A101" s="10" t="s">
        <v>24</v>
      </c>
      <c r="B101" s="11" t="s">
        <v>42</v>
      </c>
      <c r="C101" s="11">
        <v>23.67</v>
      </c>
      <c r="D101" s="11">
        <v>1963</v>
      </c>
      <c r="J101" s="39"/>
      <c r="K101" s="39"/>
      <c r="L101" s="39"/>
      <c r="M101" s="39"/>
      <c r="N101" s="39"/>
      <c r="O101" s="39"/>
      <c r="P101" s="39"/>
      <c r="Q101" s="39"/>
      <c r="R101" s="39"/>
      <c r="S101" s="39"/>
    </row>
    <row r="102" spans="1:19" ht="19.95" customHeight="1" x14ac:dyDescent="0.25">
      <c r="A102" s="10" t="s">
        <v>25</v>
      </c>
      <c r="B102" s="11" t="s">
        <v>42</v>
      </c>
      <c r="C102" s="11">
        <v>25.69</v>
      </c>
      <c r="D102" s="11">
        <v>1963</v>
      </c>
    </row>
    <row r="103" spans="1:19" ht="19.95" customHeight="1" x14ac:dyDescent="0.25">
      <c r="A103" s="10" t="s">
        <v>26</v>
      </c>
      <c r="B103" s="11" t="s">
        <v>42</v>
      </c>
      <c r="C103" s="11"/>
      <c r="D103" s="11">
        <v>1963</v>
      </c>
    </row>
    <row r="104" spans="1:19" ht="19.95" customHeight="1" x14ac:dyDescent="0.25">
      <c r="A104" s="10" t="s">
        <v>27</v>
      </c>
      <c r="B104" s="11" t="s">
        <v>42</v>
      </c>
      <c r="C104" s="11">
        <v>48.69</v>
      </c>
      <c r="D104" s="11">
        <v>1963</v>
      </c>
    </row>
    <row r="105" spans="1:19" ht="19.95" customHeight="1" x14ac:dyDescent="0.25">
      <c r="A105" s="10" t="s">
        <v>29</v>
      </c>
      <c r="B105" s="11" t="s">
        <v>42</v>
      </c>
      <c r="C105" s="11">
        <v>24.95</v>
      </c>
      <c r="D105" s="11">
        <v>1963</v>
      </c>
    </row>
    <row r="106" spans="1:19" ht="19.95" customHeight="1" x14ac:dyDescent="0.25">
      <c r="A106" s="10" t="s">
        <v>30</v>
      </c>
      <c r="B106" s="11" t="s">
        <v>42</v>
      </c>
      <c r="C106" s="11">
        <v>29.14</v>
      </c>
      <c r="D106" s="11">
        <v>1963</v>
      </c>
    </row>
    <row r="107" spans="1:19" ht="19.95" customHeight="1" x14ac:dyDescent="0.25">
      <c r="A107" s="10" t="s">
        <v>31</v>
      </c>
      <c r="B107" s="11" t="s">
        <v>42</v>
      </c>
      <c r="C107" s="11">
        <v>32.33</v>
      </c>
      <c r="D107" s="11">
        <v>1963</v>
      </c>
    </row>
    <row r="108" spans="1:19" ht="19.95" customHeight="1" x14ac:dyDescent="0.25">
      <c r="A108" s="10" t="s">
        <v>32</v>
      </c>
      <c r="B108" s="11" t="s">
        <v>42</v>
      </c>
      <c r="C108" s="11">
        <v>29.55</v>
      </c>
      <c r="D108" s="11">
        <v>1963</v>
      </c>
    </row>
    <row r="109" spans="1:19" ht="19.95" customHeight="1" x14ac:dyDescent="0.25">
      <c r="A109" s="10" t="s">
        <v>33</v>
      </c>
      <c r="B109" s="11" t="s">
        <v>42</v>
      </c>
      <c r="C109" s="11">
        <v>23.99</v>
      </c>
      <c r="D109" s="11">
        <v>1963</v>
      </c>
    </row>
    <row r="110" spans="1:19" ht="19.95" customHeight="1" x14ac:dyDescent="0.25">
      <c r="A110" s="10" t="s">
        <v>34</v>
      </c>
      <c r="B110" s="11" t="s">
        <v>42</v>
      </c>
      <c r="C110" s="11">
        <v>71.260000000000005</v>
      </c>
      <c r="D110" s="11">
        <v>1963</v>
      </c>
    </row>
    <row r="111" spans="1:19" ht="19.95" customHeight="1" x14ac:dyDescent="0.25">
      <c r="A111" s="10" t="s">
        <v>35</v>
      </c>
      <c r="B111" s="11" t="s">
        <v>42</v>
      </c>
      <c r="C111" s="11">
        <v>46.3</v>
      </c>
      <c r="D111" s="11">
        <v>1963</v>
      </c>
    </row>
    <row r="112" spans="1:19" ht="19.95" customHeight="1" x14ac:dyDescent="0.25">
      <c r="A112" s="10" t="s">
        <v>36</v>
      </c>
      <c r="B112" s="11" t="s">
        <v>42</v>
      </c>
      <c r="C112" s="11"/>
      <c r="D112" s="11">
        <v>1963</v>
      </c>
    </row>
    <row r="113" spans="1:4" ht="19.95" customHeight="1" x14ac:dyDescent="0.25">
      <c r="A113" s="10" t="s">
        <v>37</v>
      </c>
      <c r="B113" s="11" t="s">
        <v>42</v>
      </c>
      <c r="C113" s="11">
        <v>28.18</v>
      </c>
      <c r="D113" s="11">
        <v>1963</v>
      </c>
    </row>
    <row r="114" spans="1:4" ht="19.95" customHeight="1" x14ac:dyDescent="0.25">
      <c r="A114" s="10" t="s">
        <v>38</v>
      </c>
      <c r="B114" s="11" t="s">
        <v>42</v>
      </c>
      <c r="C114" s="11">
        <v>33.33</v>
      </c>
      <c r="D114" s="11">
        <v>1963</v>
      </c>
    </row>
    <row r="115" spans="1:4" ht="19.95" customHeight="1" x14ac:dyDescent="0.25">
      <c r="A115" s="10" t="s">
        <v>39</v>
      </c>
      <c r="B115" s="11" t="s">
        <v>42</v>
      </c>
      <c r="C115" s="11">
        <v>27.59</v>
      </c>
      <c r="D115" s="11">
        <v>1963</v>
      </c>
    </row>
    <row r="116" spans="1:4" ht="19.95" customHeight="1" x14ac:dyDescent="0.25">
      <c r="A116" s="10" t="s">
        <v>40</v>
      </c>
      <c r="B116" s="11" t="s">
        <v>42</v>
      </c>
      <c r="C116" s="11">
        <v>40.659999999999997</v>
      </c>
      <c r="D116" s="11">
        <v>1963</v>
      </c>
    </row>
    <row r="117" spans="1:4" ht="19.95" customHeight="1" x14ac:dyDescent="0.25">
      <c r="A117" s="10" t="s">
        <v>10</v>
      </c>
      <c r="B117" s="11" t="s">
        <v>42</v>
      </c>
      <c r="C117" s="11">
        <v>69.37</v>
      </c>
      <c r="D117" s="11">
        <v>1964</v>
      </c>
    </row>
    <row r="118" spans="1:4" ht="19.95" customHeight="1" x14ac:dyDescent="0.25">
      <c r="A118" s="10" t="s">
        <v>13</v>
      </c>
      <c r="B118" s="11" t="s">
        <v>42</v>
      </c>
      <c r="C118" s="11">
        <v>30.56</v>
      </c>
      <c r="D118" s="11">
        <v>1964</v>
      </c>
    </row>
    <row r="119" spans="1:4" ht="19.95" customHeight="1" x14ac:dyDescent="0.25">
      <c r="A119" s="10" t="s">
        <v>15</v>
      </c>
      <c r="B119" s="11" t="s">
        <v>42</v>
      </c>
      <c r="C119" s="11">
        <v>38.909999999999997</v>
      </c>
      <c r="D119" s="11">
        <v>1964</v>
      </c>
    </row>
    <row r="120" spans="1:4" ht="19.95" customHeight="1" x14ac:dyDescent="0.25">
      <c r="A120" s="10" t="s">
        <v>16</v>
      </c>
      <c r="B120" s="11" t="s">
        <v>42</v>
      </c>
      <c r="C120" s="11">
        <v>45.83</v>
      </c>
      <c r="D120" s="11">
        <v>1964</v>
      </c>
    </row>
    <row r="121" spans="1:4" ht="19.95" customHeight="1" x14ac:dyDescent="0.25">
      <c r="A121" s="10" t="s">
        <v>17</v>
      </c>
      <c r="B121" s="11" t="s">
        <v>42</v>
      </c>
      <c r="C121" s="11">
        <v>14.45</v>
      </c>
      <c r="D121" s="11">
        <v>1964</v>
      </c>
    </row>
    <row r="122" spans="1:4" ht="19.95" customHeight="1" x14ac:dyDescent="0.25">
      <c r="A122" s="10" t="s">
        <v>2</v>
      </c>
      <c r="B122" s="11" t="s">
        <v>42</v>
      </c>
      <c r="C122" s="11"/>
      <c r="D122" s="11">
        <v>1964</v>
      </c>
    </row>
    <row r="123" spans="1:4" ht="19.95" customHeight="1" x14ac:dyDescent="0.25">
      <c r="A123" s="10" t="s">
        <v>18</v>
      </c>
      <c r="B123" s="11" t="s">
        <v>42</v>
      </c>
      <c r="C123" s="11">
        <v>37.090000000000003</v>
      </c>
      <c r="D123" s="11">
        <v>1964</v>
      </c>
    </row>
    <row r="124" spans="1:4" ht="19.95" customHeight="1" x14ac:dyDescent="0.25">
      <c r="A124" s="10" t="s">
        <v>19</v>
      </c>
      <c r="B124" s="11" t="s">
        <v>42</v>
      </c>
      <c r="C124" s="11">
        <v>68.34</v>
      </c>
      <c r="D124" s="11">
        <v>1964</v>
      </c>
    </row>
    <row r="125" spans="1:4" ht="19.95" customHeight="1" x14ac:dyDescent="0.25">
      <c r="A125" s="10" t="s">
        <v>20</v>
      </c>
      <c r="B125" s="11" t="s">
        <v>42</v>
      </c>
      <c r="C125" s="11">
        <v>25.57</v>
      </c>
      <c r="D125" s="11">
        <v>1964</v>
      </c>
    </row>
    <row r="126" spans="1:4" ht="19.95" customHeight="1" x14ac:dyDescent="0.25">
      <c r="A126" s="10" t="s">
        <v>21</v>
      </c>
      <c r="B126" s="11" t="s">
        <v>42</v>
      </c>
      <c r="C126" s="11"/>
      <c r="D126" s="11">
        <v>1964</v>
      </c>
    </row>
    <row r="127" spans="1:4" ht="19.95" customHeight="1" x14ac:dyDescent="0.25">
      <c r="A127" s="10" t="s">
        <v>22</v>
      </c>
      <c r="B127" s="11" t="s">
        <v>42</v>
      </c>
      <c r="C127" s="11">
        <v>50.92</v>
      </c>
      <c r="D127" s="11">
        <v>1964</v>
      </c>
    </row>
    <row r="128" spans="1:4" ht="19.95" customHeight="1" x14ac:dyDescent="0.25">
      <c r="A128" s="10" t="s">
        <v>23</v>
      </c>
      <c r="B128" s="11" t="s">
        <v>42</v>
      </c>
      <c r="C128" s="11">
        <v>50.77</v>
      </c>
      <c r="D128" s="11">
        <v>1964</v>
      </c>
    </row>
    <row r="129" spans="1:4" ht="19.95" customHeight="1" x14ac:dyDescent="0.25">
      <c r="A129" s="10" t="s">
        <v>24</v>
      </c>
      <c r="B129" s="11" t="s">
        <v>42</v>
      </c>
      <c r="C129" s="11">
        <v>25.36</v>
      </c>
      <c r="D129" s="11">
        <v>1964</v>
      </c>
    </row>
    <row r="130" spans="1:4" ht="19.95" customHeight="1" x14ac:dyDescent="0.25">
      <c r="A130" s="10" t="s">
        <v>25</v>
      </c>
      <c r="B130" s="11" t="s">
        <v>42</v>
      </c>
      <c r="C130" s="11">
        <v>25.78</v>
      </c>
      <c r="D130" s="11">
        <v>1964</v>
      </c>
    </row>
    <row r="131" spans="1:4" ht="19.95" customHeight="1" x14ac:dyDescent="0.25">
      <c r="A131" s="10" t="s">
        <v>26</v>
      </c>
      <c r="B131" s="11" t="s">
        <v>42</v>
      </c>
      <c r="C131" s="11"/>
      <c r="D131" s="11">
        <v>1964</v>
      </c>
    </row>
    <row r="132" spans="1:4" ht="19.95" customHeight="1" x14ac:dyDescent="0.25">
      <c r="A132" s="10" t="s">
        <v>27</v>
      </c>
      <c r="B132" s="11" t="s">
        <v>42</v>
      </c>
      <c r="C132" s="11">
        <v>50.61</v>
      </c>
      <c r="D132" s="11">
        <v>1964</v>
      </c>
    </row>
    <row r="133" spans="1:4" ht="19.95" customHeight="1" x14ac:dyDescent="0.25">
      <c r="A133" s="10" t="s">
        <v>29</v>
      </c>
      <c r="B133" s="11" t="s">
        <v>42</v>
      </c>
      <c r="C133" s="11">
        <v>26.2</v>
      </c>
      <c r="D133" s="11">
        <v>1964</v>
      </c>
    </row>
    <row r="134" spans="1:4" ht="19.95" customHeight="1" x14ac:dyDescent="0.25">
      <c r="A134" s="10" t="s">
        <v>30</v>
      </c>
      <c r="B134" s="11" t="s">
        <v>42</v>
      </c>
      <c r="C134" s="11">
        <v>29.64</v>
      </c>
      <c r="D134" s="11">
        <v>1964</v>
      </c>
    </row>
    <row r="135" spans="1:4" ht="19.95" customHeight="1" x14ac:dyDescent="0.25">
      <c r="A135" s="10" t="s">
        <v>31</v>
      </c>
      <c r="B135" s="11" t="s">
        <v>42</v>
      </c>
      <c r="C135" s="11">
        <v>34.71</v>
      </c>
      <c r="D135" s="11">
        <v>1964</v>
      </c>
    </row>
    <row r="136" spans="1:4" ht="19.95" customHeight="1" x14ac:dyDescent="0.25">
      <c r="A136" s="10" t="s">
        <v>32</v>
      </c>
      <c r="B136" s="11" t="s">
        <v>42</v>
      </c>
      <c r="C136" s="11">
        <v>29.46</v>
      </c>
      <c r="D136" s="11">
        <v>1964</v>
      </c>
    </row>
    <row r="137" spans="1:4" ht="19.95" customHeight="1" x14ac:dyDescent="0.25">
      <c r="A137" s="10" t="s">
        <v>33</v>
      </c>
      <c r="B137" s="11" t="s">
        <v>42</v>
      </c>
      <c r="C137" s="11">
        <v>23.84</v>
      </c>
      <c r="D137" s="11">
        <v>1964</v>
      </c>
    </row>
    <row r="138" spans="1:4" ht="19.95" customHeight="1" x14ac:dyDescent="0.25">
      <c r="A138" s="10" t="s">
        <v>34</v>
      </c>
      <c r="B138" s="11" t="s">
        <v>42</v>
      </c>
      <c r="C138" s="11">
        <v>86.37</v>
      </c>
      <c r="D138" s="11">
        <v>1964</v>
      </c>
    </row>
    <row r="139" spans="1:4" ht="19.95" customHeight="1" x14ac:dyDescent="0.25">
      <c r="A139" s="10" t="s">
        <v>35</v>
      </c>
      <c r="B139" s="11" t="s">
        <v>42</v>
      </c>
      <c r="C139" s="11">
        <v>49.21</v>
      </c>
      <c r="D139" s="11">
        <v>1964</v>
      </c>
    </row>
    <row r="140" spans="1:4" ht="19.95" customHeight="1" x14ac:dyDescent="0.25">
      <c r="A140" s="10" t="s">
        <v>36</v>
      </c>
      <c r="B140" s="11" t="s">
        <v>42</v>
      </c>
      <c r="C140" s="11"/>
      <c r="D140" s="11">
        <v>1964</v>
      </c>
    </row>
    <row r="141" spans="1:4" ht="19.95" customHeight="1" x14ac:dyDescent="0.25">
      <c r="A141" s="10" t="s">
        <v>37</v>
      </c>
      <c r="B141" s="11" t="s">
        <v>42</v>
      </c>
      <c r="C141" s="11">
        <v>28.2</v>
      </c>
      <c r="D141" s="11">
        <v>1964</v>
      </c>
    </row>
    <row r="142" spans="1:4" ht="19.95" customHeight="1" x14ac:dyDescent="0.25">
      <c r="A142" s="10" t="s">
        <v>38</v>
      </c>
      <c r="B142" s="11" t="s">
        <v>42</v>
      </c>
      <c r="C142" s="11">
        <v>33.94</v>
      </c>
      <c r="D142" s="11">
        <v>1964</v>
      </c>
    </row>
    <row r="143" spans="1:4" ht="19.95" customHeight="1" x14ac:dyDescent="0.25">
      <c r="A143" s="10" t="s">
        <v>39</v>
      </c>
      <c r="B143" s="11" t="s">
        <v>42</v>
      </c>
      <c r="C143" s="11">
        <v>29.21</v>
      </c>
      <c r="D143" s="11">
        <v>1964</v>
      </c>
    </row>
    <row r="144" spans="1:4" ht="19.95" customHeight="1" x14ac:dyDescent="0.25">
      <c r="A144" s="10" t="s">
        <v>40</v>
      </c>
      <c r="B144" s="11" t="s">
        <v>42</v>
      </c>
      <c r="C144" s="11">
        <v>39.61</v>
      </c>
      <c r="D144" s="11">
        <v>1964</v>
      </c>
    </row>
    <row r="145" spans="1:4" ht="19.95" customHeight="1" x14ac:dyDescent="0.25">
      <c r="A145" s="10" t="s">
        <v>10</v>
      </c>
      <c r="B145" s="11" t="s">
        <v>42</v>
      </c>
      <c r="C145" s="11">
        <v>69.739999999999995</v>
      </c>
      <c r="D145" s="11">
        <v>1965</v>
      </c>
    </row>
    <row r="146" spans="1:4" ht="19.95" customHeight="1" x14ac:dyDescent="0.25">
      <c r="A146" s="10" t="s">
        <v>13</v>
      </c>
      <c r="B146" s="11" t="s">
        <v>42</v>
      </c>
      <c r="C146" s="11">
        <v>28.15</v>
      </c>
      <c r="D146" s="11">
        <v>1965</v>
      </c>
    </row>
    <row r="147" spans="1:4" ht="19.95" customHeight="1" x14ac:dyDescent="0.25">
      <c r="A147" s="10" t="s">
        <v>15</v>
      </c>
      <c r="B147" s="11" t="s">
        <v>42</v>
      </c>
      <c r="C147" s="11">
        <v>38.32</v>
      </c>
      <c r="D147" s="11">
        <v>1965</v>
      </c>
    </row>
    <row r="148" spans="1:4" ht="19.95" customHeight="1" x14ac:dyDescent="0.25">
      <c r="A148" s="10" t="s">
        <v>16</v>
      </c>
      <c r="B148" s="11" t="s">
        <v>42</v>
      </c>
      <c r="C148" s="11">
        <v>46.76</v>
      </c>
      <c r="D148" s="11">
        <v>1965</v>
      </c>
    </row>
    <row r="149" spans="1:4" ht="19.95" customHeight="1" x14ac:dyDescent="0.25">
      <c r="A149" s="10" t="s">
        <v>17</v>
      </c>
      <c r="B149" s="11" t="s">
        <v>42</v>
      </c>
      <c r="C149" s="11">
        <v>14.73</v>
      </c>
      <c r="D149" s="11">
        <v>1965</v>
      </c>
    </row>
    <row r="150" spans="1:4" ht="19.95" customHeight="1" x14ac:dyDescent="0.25">
      <c r="A150" s="10" t="s">
        <v>2</v>
      </c>
      <c r="B150" s="11" t="s">
        <v>42</v>
      </c>
      <c r="C150" s="11"/>
      <c r="D150" s="11">
        <v>1965</v>
      </c>
    </row>
    <row r="151" spans="1:4" ht="19.95" customHeight="1" x14ac:dyDescent="0.25">
      <c r="A151" s="10" t="s">
        <v>18</v>
      </c>
      <c r="B151" s="11" t="s">
        <v>42</v>
      </c>
      <c r="C151" s="11">
        <v>36.409999999999997</v>
      </c>
      <c r="D151" s="11">
        <v>1965</v>
      </c>
    </row>
    <row r="152" spans="1:4" ht="19.95" customHeight="1" x14ac:dyDescent="0.25">
      <c r="A152" s="10" t="s">
        <v>19</v>
      </c>
      <c r="B152" s="11" t="s">
        <v>42</v>
      </c>
      <c r="C152" s="11">
        <v>70.290000000000006</v>
      </c>
      <c r="D152" s="11">
        <v>1965</v>
      </c>
    </row>
    <row r="153" spans="1:4" ht="19.95" customHeight="1" x14ac:dyDescent="0.25">
      <c r="A153" s="10" t="s">
        <v>20</v>
      </c>
      <c r="B153" s="11" t="s">
        <v>42</v>
      </c>
      <c r="C153" s="11">
        <v>26.1</v>
      </c>
      <c r="D153" s="11">
        <v>1965</v>
      </c>
    </row>
    <row r="154" spans="1:4" ht="19.95" customHeight="1" x14ac:dyDescent="0.25">
      <c r="A154" s="10" t="s">
        <v>21</v>
      </c>
      <c r="B154" s="11" t="s">
        <v>42</v>
      </c>
      <c r="C154" s="11"/>
      <c r="D154" s="11">
        <v>1965</v>
      </c>
    </row>
    <row r="155" spans="1:4" ht="19.95" customHeight="1" x14ac:dyDescent="0.25">
      <c r="A155" s="10" t="s">
        <v>22</v>
      </c>
      <c r="B155" s="11" t="s">
        <v>42</v>
      </c>
      <c r="C155" s="11">
        <v>53.43</v>
      </c>
      <c r="D155" s="11">
        <v>1965</v>
      </c>
    </row>
    <row r="156" spans="1:4" ht="19.95" customHeight="1" x14ac:dyDescent="0.25">
      <c r="A156" s="10" t="s">
        <v>23</v>
      </c>
      <c r="B156" s="11" t="s">
        <v>42</v>
      </c>
      <c r="C156" s="11">
        <v>49.69</v>
      </c>
      <c r="D156" s="11">
        <v>1965</v>
      </c>
    </row>
    <row r="157" spans="1:4" ht="19.95" customHeight="1" x14ac:dyDescent="0.25">
      <c r="A157" s="10" t="s">
        <v>24</v>
      </c>
      <c r="B157" s="11" t="s">
        <v>42</v>
      </c>
      <c r="C157" s="11">
        <v>26.15</v>
      </c>
      <c r="D157" s="11">
        <v>1965</v>
      </c>
    </row>
    <row r="158" spans="1:4" ht="19.95" customHeight="1" x14ac:dyDescent="0.25">
      <c r="A158" s="10" t="s">
        <v>25</v>
      </c>
      <c r="B158" s="11" t="s">
        <v>42</v>
      </c>
      <c r="C158" s="11">
        <v>27.55</v>
      </c>
      <c r="D158" s="11">
        <v>1965</v>
      </c>
    </row>
    <row r="159" spans="1:4" ht="19.95" customHeight="1" x14ac:dyDescent="0.25">
      <c r="A159" s="10" t="s">
        <v>26</v>
      </c>
      <c r="B159" s="11" t="s">
        <v>42</v>
      </c>
      <c r="C159" s="11"/>
      <c r="D159" s="11">
        <v>1965</v>
      </c>
    </row>
    <row r="160" spans="1:4" ht="19.95" customHeight="1" x14ac:dyDescent="0.25">
      <c r="A160" s="10" t="s">
        <v>27</v>
      </c>
      <c r="B160" s="11" t="s">
        <v>42</v>
      </c>
      <c r="C160" s="11">
        <v>49.71</v>
      </c>
      <c r="D160" s="11">
        <v>1965</v>
      </c>
    </row>
    <row r="161" spans="1:4" ht="19.95" customHeight="1" x14ac:dyDescent="0.25">
      <c r="A161" s="10" t="s">
        <v>29</v>
      </c>
      <c r="B161" s="11" t="s">
        <v>42</v>
      </c>
      <c r="C161" s="11">
        <v>25.46</v>
      </c>
      <c r="D161" s="11">
        <v>1965</v>
      </c>
    </row>
    <row r="162" spans="1:4" ht="19.95" customHeight="1" x14ac:dyDescent="0.25">
      <c r="A162" s="10" t="s">
        <v>30</v>
      </c>
      <c r="B162" s="11" t="s">
        <v>42</v>
      </c>
      <c r="C162" s="11">
        <v>30.49</v>
      </c>
      <c r="D162" s="11">
        <v>1965</v>
      </c>
    </row>
    <row r="163" spans="1:4" ht="19.95" customHeight="1" x14ac:dyDescent="0.25">
      <c r="A163" s="10" t="s">
        <v>31</v>
      </c>
      <c r="B163" s="11" t="s">
        <v>42</v>
      </c>
      <c r="C163" s="11">
        <v>35.68</v>
      </c>
      <c r="D163" s="11">
        <v>1965</v>
      </c>
    </row>
    <row r="164" spans="1:4" ht="19.95" customHeight="1" x14ac:dyDescent="0.25">
      <c r="A164" s="10" t="s">
        <v>32</v>
      </c>
      <c r="B164" s="11" t="s">
        <v>42</v>
      </c>
      <c r="C164" s="11">
        <v>29.75</v>
      </c>
      <c r="D164" s="11">
        <v>1965</v>
      </c>
    </row>
    <row r="165" spans="1:4" ht="19.95" customHeight="1" x14ac:dyDescent="0.25">
      <c r="A165" s="10" t="s">
        <v>33</v>
      </c>
      <c r="B165" s="11" t="s">
        <v>42</v>
      </c>
      <c r="C165" s="11">
        <v>26.79</v>
      </c>
      <c r="D165" s="11">
        <v>1965</v>
      </c>
    </row>
    <row r="166" spans="1:4" ht="19.95" customHeight="1" x14ac:dyDescent="0.25">
      <c r="A166" s="10" t="s">
        <v>34</v>
      </c>
      <c r="B166" s="11" t="s">
        <v>42</v>
      </c>
      <c r="C166" s="11">
        <v>79.98</v>
      </c>
      <c r="D166" s="11">
        <v>1965</v>
      </c>
    </row>
    <row r="167" spans="1:4" ht="19.95" customHeight="1" x14ac:dyDescent="0.25">
      <c r="A167" s="10" t="s">
        <v>35</v>
      </c>
      <c r="B167" s="11" t="s">
        <v>42</v>
      </c>
      <c r="C167" s="11">
        <v>44.53</v>
      </c>
      <c r="D167" s="11">
        <v>1965</v>
      </c>
    </row>
    <row r="168" spans="1:4" ht="19.95" customHeight="1" x14ac:dyDescent="0.25">
      <c r="A168" s="10" t="s">
        <v>36</v>
      </c>
      <c r="B168" s="11" t="s">
        <v>42</v>
      </c>
      <c r="C168" s="11"/>
      <c r="D168" s="11">
        <v>1965</v>
      </c>
    </row>
    <row r="169" spans="1:4" ht="19.95" customHeight="1" x14ac:dyDescent="0.25">
      <c r="A169" s="10" t="s">
        <v>37</v>
      </c>
      <c r="B169" s="11" t="s">
        <v>42</v>
      </c>
      <c r="C169" s="11">
        <v>28.58</v>
      </c>
      <c r="D169" s="11">
        <v>1965</v>
      </c>
    </row>
    <row r="170" spans="1:4" ht="19.95" customHeight="1" x14ac:dyDescent="0.25">
      <c r="A170" s="10" t="s">
        <v>38</v>
      </c>
      <c r="B170" s="11" t="s">
        <v>42</v>
      </c>
      <c r="C170" s="11">
        <v>30.76</v>
      </c>
      <c r="D170" s="11">
        <v>1965</v>
      </c>
    </row>
    <row r="171" spans="1:4" ht="19.95" customHeight="1" x14ac:dyDescent="0.25">
      <c r="A171" s="10" t="s">
        <v>39</v>
      </c>
      <c r="B171" s="11" t="s">
        <v>42</v>
      </c>
      <c r="C171" s="11">
        <v>30.5</v>
      </c>
      <c r="D171" s="11">
        <v>1965</v>
      </c>
    </row>
    <row r="172" spans="1:4" ht="19.95" customHeight="1" x14ac:dyDescent="0.25">
      <c r="A172" s="10" t="s">
        <v>40</v>
      </c>
      <c r="B172" s="11" t="s">
        <v>42</v>
      </c>
      <c r="C172" s="11">
        <v>39.880000000000003</v>
      </c>
      <c r="D172" s="11">
        <v>1965</v>
      </c>
    </row>
    <row r="173" spans="1:4" ht="19.95" customHeight="1" x14ac:dyDescent="0.25">
      <c r="A173" s="10" t="s">
        <v>10</v>
      </c>
      <c r="B173" s="11" t="s">
        <v>42</v>
      </c>
      <c r="C173" s="11">
        <v>70.010000000000005</v>
      </c>
      <c r="D173" s="11">
        <v>1966</v>
      </c>
    </row>
    <row r="174" spans="1:4" ht="19.95" customHeight="1" x14ac:dyDescent="0.25">
      <c r="A174" s="10" t="s">
        <v>13</v>
      </c>
      <c r="B174" s="11" t="s">
        <v>42</v>
      </c>
      <c r="C174" s="11">
        <v>29.71</v>
      </c>
      <c r="D174" s="11">
        <v>1966</v>
      </c>
    </row>
    <row r="175" spans="1:4" ht="19.95" customHeight="1" x14ac:dyDescent="0.25">
      <c r="A175" s="10" t="s">
        <v>15</v>
      </c>
      <c r="B175" s="11" t="s">
        <v>42</v>
      </c>
      <c r="C175" s="11">
        <v>38.82</v>
      </c>
      <c r="D175" s="11">
        <v>1966</v>
      </c>
    </row>
    <row r="176" spans="1:4" ht="19.95" customHeight="1" x14ac:dyDescent="0.25">
      <c r="A176" s="10" t="s">
        <v>16</v>
      </c>
      <c r="B176" s="11" t="s">
        <v>42</v>
      </c>
      <c r="C176" s="11">
        <v>47.85</v>
      </c>
      <c r="D176" s="11">
        <v>1966</v>
      </c>
    </row>
    <row r="177" spans="1:4" ht="19.95" customHeight="1" x14ac:dyDescent="0.25">
      <c r="A177" s="10" t="s">
        <v>17</v>
      </c>
      <c r="B177" s="11" t="s">
        <v>42</v>
      </c>
      <c r="C177" s="11">
        <v>15.95</v>
      </c>
      <c r="D177" s="11">
        <v>1966</v>
      </c>
    </row>
    <row r="178" spans="1:4" ht="19.95" customHeight="1" x14ac:dyDescent="0.25">
      <c r="A178" s="10" t="s">
        <v>2</v>
      </c>
      <c r="B178" s="11" t="s">
        <v>42</v>
      </c>
      <c r="C178" s="11"/>
      <c r="D178" s="11">
        <v>1966</v>
      </c>
    </row>
    <row r="179" spans="1:4" ht="19.95" customHeight="1" x14ac:dyDescent="0.25">
      <c r="A179" s="10" t="s">
        <v>18</v>
      </c>
      <c r="B179" s="11" t="s">
        <v>42</v>
      </c>
      <c r="C179" s="11">
        <v>39.21</v>
      </c>
      <c r="D179" s="11">
        <v>1966</v>
      </c>
    </row>
    <row r="180" spans="1:4" ht="19.95" customHeight="1" x14ac:dyDescent="0.25">
      <c r="A180" s="10" t="s">
        <v>19</v>
      </c>
      <c r="B180" s="11" t="s">
        <v>42</v>
      </c>
      <c r="C180" s="11">
        <v>71.739999999999995</v>
      </c>
      <c r="D180" s="11">
        <v>1966</v>
      </c>
    </row>
    <row r="181" spans="1:4" ht="19.95" customHeight="1" x14ac:dyDescent="0.25">
      <c r="A181" s="10" t="s">
        <v>20</v>
      </c>
      <c r="B181" s="11" t="s">
        <v>42</v>
      </c>
      <c r="C181" s="11">
        <v>25.79</v>
      </c>
      <c r="D181" s="11">
        <v>1966</v>
      </c>
    </row>
    <row r="182" spans="1:4" ht="19.95" customHeight="1" x14ac:dyDescent="0.25">
      <c r="A182" s="10" t="s">
        <v>21</v>
      </c>
      <c r="B182" s="11" t="s">
        <v>42</v>
      </c>
      <c r="C182" s="11"/>
      <c r="D182" s="11">
        <v>1966</v>
      </c>
    </row>
    <row r="183" spans="1:4" ht="19.95" customHeight="1" x14ac:dyDescent="0.25">
      <c r="A183" s="10" t="s">
        <v>22</v>
      </c>
      <c r="B183" s="11" t="s">
        <v>42</v>
      </c>
      <c r="C183" s="11">
        <v>54.69</v>
      </c>
      <c r="D183" s="11">
        <v>1966</v>
      </c>
    </row>
    <row r="184" spans="1:4" ht="19.95" customHeight="1" x14ac:dyDescent="0.25">
      <c r="A184" s="10" t="s">
        <v>23</v>
      </c>
      <c r="B184" s="11" t="s">
        <v>42</v>
      </c>
      <c r="C184" s="11">
        <v>53.1</v>
      </c>
      <c r="D184" s="11">
        <v>1966</v>
      </c>
    </row>
    <row r="185" spans="1:4" ht="19.95" customHeight="1" x14ac:dyDescent="0.25">
      <c r="A185" s="10" t="s">
        <v>24</v>
      </c>
      <c r="B185" s="11" t="s">
        <v>42</v>
      </c>
      <c r="C185" s="11">
        <v>27.05</v>
      </c>
      <c r="D185" s="11">
        <v>1966</v>
      </c>
    </row>
    <row r="186" spans="1:4" ht="19.95" customHeight="1" x14ac:dyDescent="0.25">
      <c r="A186" s="10" t="s">
        <v>25</v>
      </c>
      <c r="B186" s="11" t="s">
        <v>42</v>
      </c>
      <c r="C186" s="11">
        <v>27.73</v>
      </c>
      <c r="D186" s="11">
        <v>1966</v>
      </c>
    </row>
    <row r="187" spans="1:4" ht="19.95" customHeight="1" x14ac:dyDescent="0.25">
      <c r="A187" s="10" t="s">
        <v>26</v>
      </c>
      <c r="B187" s="11" t="s">
        <v>42</v>
      </c>
      <c r="C187" s="11"/>
      <c r="D187" s="11">
        <v>1966</v>
      </c>
    </row>
    <row r="188" spans="1:4" ht="19.95" customHeight="1" x14ac:dyDescent="0.25">
      <c r="A188" s="10" t="s">
        <v>27</v>
      </c>
      <c r="B188" s="11" t="s">
        <v>42</v>
      </c>
      <c r="C188" s="11">
        <v>49.69</v>
      </c>
      <c r="D188" s="11">
        <v>1966</v>
      </c>
    </row>
    <row r="189" spans="1:4" ht="19.95" customHeight="1" x14ac:dyDescent="0.25">
      <c r="A189" s="10" t="s">
        <v>29</v>
      </c>
      <c r="B189" s="11" t="s">
        <v>42</v>
      </c>
      <c r="C189" s="11">
        <v>22.44</v>
      </c>
      <c r="D189" s="11">
        <v>1966</v>
      </c>
    </row>
    <row r="190" spans="1:4" ht="19.95" customHeight="1" x14ac:dyDescent="0.25">
      <c r="A190" s="10" t="s">
        <v>30</v>
      </c>
      <c r="B190" s="11" t="s">
        <v>42</v>
      </c>
      <c r="C190" s="11">
        <v>29.23</v>
      </c>
      <c r="D190" s="11">
        <v>1966</v>
      </c>
    </row>
    <row r="191" spans="1:4" ht="19.95" customHeight="1" x14ac:dyDescent="0.25">
      <c r="A191" s="10" t="s">
        <v>31</v>
      </c>
      <c r="B191" s="11" t="s">
        <v>42</v>
      </c>
      <c r="C191" s="11">
        <v>36.979999999999997</v>
      </c>
      <c r="D191" s="11">
        <v>1966</v>
      </c>
    </row>
    <row r="192" spans="1:4" ht="19.95" customHeight="1" x14ac:dyDescent="0.25">
      <c r="A192" s="10" t="s">
        <v>32</v>
      </c>
      <c r="B192" s="11" t="s">
        <v>42</v>
      </c>
      <c r="C192" s="11">
        <v>31.65</v>
      </c>
      <c r="D192" s="11">
        <v>1966</v>
      </c>
    </row>
    <row r="193" spans="1:4" ht="19.95" customHeight="1" x14ac:dyDescent="0.25">
      <c r="A193" s="10" t="s">
        <v>33</v>
      </c>
      <c r="B193" s="11" t="s">
        <v>42</v>
      </c>
      <c r="C193" s="11">
        <v>29.35</v>
      </c>
      <c r="D193" s="11">
        <v>1966</v>
      </c>
    </row>
    <row r="194" spans="1:4" ht="19.95" customHeight="1" x14ac:dyDescent="0.25">
      <c r="A194" s="10" t="s">
        <v>34</v>
      </c>
      <c r="B194" s="11" t="s">
        <v>42</v>
      </c>
      <c r="C194" s="11">
        <v>83.25</v>
      </c>
      <c r="D194" s="11">
        <v>1966</v>
      </c>
    </row>
    <row r="195" spans="1:4" ht="19.95" customHeight="1" x14ac:dyDescent="0.25">
      <c r="A195" s="10" t="s">
        <v>35</v>
      </c>
      <c r="B195" s="11" t="s">
        <v>42</v>
      </c>
      <c r="C195" s="11">
        <v>45.13</v>
      </c>
      <c r="D195" s="11">
        <v>1966</v>
      </c>
    </row>
    <row r="196" spans="1:4" ht="19.95" customHeight="1" x14ac:dyDescent="0.25">
      <c r="A196" s="10" t="s">
        <v>36</v>
      </c>
      <c r="B196" s="11" t="s">
        <v>42</v>
      </c>
      <c r="C196" s="11"/>
      <c r="D196" s="11">
        <v>1966</v>
      </c>
    </row>
    <row r="197" spans="1:4" ht="19.95" customHeight="1" x14ac:dyDescent="0.25">
      <c r="A197" s="10" t="s">
        <v>37</v>
      </c>
      <c r="B197" s="11" t="s">
        <v>42</v>
      </c>
      <c r="C197" s="11">
        <v>31.89</v>
      </c>
      <c r="D197" s="11">
        <v>1966</v>
      </c>
    </row>
    <row r="198" spans="1:4" ht="19.95" customHeight="1" x14ac:dyDescent="0.25">
      <c r="A198" s="10" t="s">
        <v>38</v>
      </c>
      <c r="B198" s="11" t="s">
        <v>42</v>
      </c>
      <c r="C198" s="11">
        <v>31.7</v>
      </c>
      <c r="D198" s="11">
        <v>1966</v>
      </c>
    </row>
    <row r="199" spans="1:4" ht="19.95" customHeight="1" x14ac:dyDescent="0.25">
      <c r="A199" s="10" t="s">
        <v>39</v>
      </c>
      <c r="B199" s="11" t="s">
        <v>42</v>
      </c>
      <c r="C199" s="11">
        <v>33.61</v>
      </c>
      <c r="D199" s="11">
        <v>1966</v>
      </c>
    </row>
    <row r="200" spans="1:4" ht="19.95" customHeight="1" x14ac:dyDescent="0.25">
      <c r="A200" s="10" t="s">
        <v>40</v>
      </c>
      <c r="B200" s="11" t="s">
        <v>42</v>
      </c>
      <c r="C200" s="11">
        <v>46.98</v>
      </c>
      <c r="D200" s="11">
        <v>1966</v>
      </c>
    </row>
    <row r="201" spans="1:4" ht="19.95" customHeight="1" x14ac:dyDescent="0.25">
      <c r="A201" s="10" t="s">
        <v>10</v>
      </c>
      <c r="B201" s="11" t="s">
        <v>42</v>
      </c>
      <c r="C201" s="11">
        <v>72.709999999999994</v>
      </c>
      <c r="D201" s="11">
        <v>1967</v>
      </c>
    </row>
    <row r="202" spans="1:4" ht="19.95" customHeight="1" x14ac:dyDescent="0.25">
      <c r="A202" s="10" t="s">
        <v>13</v>
      </c>
      <c r="B202" s="11" t="s">
        <v>42</v>
      </c>
      <c r="C202" s="11">
        <v>32.72</v>
      </c>
      <c r="D202" s="11">
        <v>1967</v>
      </c>
    </row>
    <row r="203" spans="1:4" ht="19.95" customHeight="1" x14ac:dyDescent="0.25">
      <c r="A203" s="10" t="s">
        <v>15</v>
      </c>
      <c r="B203" s="11" t="s">
        <v>42</v>
      </c>
      <c r="C203" s="11">
        <v>38.26</v>
      </c>
      <c r="D203" s="11">
        <v>1967</v>
      </c>
    </row>
    <row r="204" spans="1:4" ht="19.95" customHeight="1" x14ac:dyDescent="0.25">
      <c r="A204" s="10" t="s">
        <v>16</v>
      </c>
      <c r="B204" s="11" t="s">
        <v>42</v>
      </c>
      <c r="C204" s="11">
        <v>48.37</v>
      </c>
      <c r="D204" s="11">
        <v>1967</v>
      </c>
    </row>
    <row r="205" spans="1:4" ht="19.95" customHeight="1" x14ac:dyDescent="0.25">
      <c r="A205" s="10" t="s">
        <v>17</v>
      </c>
      <c r="B205" s="11" t="s">
        <v>42</v>
      </c>
      <c r="C205" s="11">
        <v>16.649999999999999</v>
      </c>
      <c r="D205" s="11">
        <v>1967</v>
      </c>
    </row>
    <row r="206" spans="1:4" ht="19.95" customHeight="1" x14ac:dyDescent="0.25">
      <c r="A206" s="10" t="s">
        <v>2</v>
      </c>
      <c r="B206" s="11" t="s">
        <v>42</v>
      </c>
      <c r="C206" s="11"/>
      <c r="D206" s="11">
        <v>1967</v>
      </c>
    </row>
    <row r="207" spans="1:4" ht="19.95" customHeight="1" x14ac:dyDescent="0.25">
      <c r="A207" s="10" t="s">
        <v>18</v>
      </c>
      <c r="B207" s="11" t="s">
        <v>42</v>
      </c>
      <c r="C207" s="11">
        <v>40.85</v>
      </c>
      <c r="D207" s="11">
        <v>1967</v>
      </c>
    </row>
    <row r="208" spans="1:4" ht="19.95" customHeight="1" x14ac:dyDescent="0.25">
      <c r="A208" s="10" t="s">
        <v>19</v>
      </c>
      <c r="B208" s="11" t="s">
        <v>42</v>
      </c>
      <c r="C208" s="11">
        <v>74.23</v>
      </c>
      <c r="D208" s="11">
        <v>1967</v>
      </c>
    </row>
    <row r="209" spans="1:4" ht="19.95" customHeight="1" x14ac:dyDescent="0.25">
      <c r="A209" s="10" t="s">
        <v>20</v>
      </c>
      <c r="B209" s="11" t="s">
        <v>42</v>
      </c>
      <c r="C209" s="11">
        <v>26.97</v>
      </c>
      <c r="D209" s="11">
        <v>1967</v>
      </c>
    </row>
    <row r="210" spans="1:4" ht="19.95" customHeight="1" x14ac:dyDescent="0.25">
      <c r="A210" s="10" t="s">
        <v>21</v>
      </c>
      <c r="B210" s="11" t="s">
        <v>42</v>
      </c>
      <c r="C210" s="11"/>
      <c r="D210" s="11">
        <v>1967</v>
      </c>
    </row>
    <row r="211" spans="1:4" ht="19.95" customHeight="1" x14ac:dyDescent="0.25">
      <c r="A211" s="10" t="s">
        <v>22</v>
      </c>
      <c r="B211" s="11" t="s">
        <v>42</v>
      </c>
      <c r="C211" s="11">
        <v>55.54</v>
      </c>
      <c r="D211" s="11">
        <v>1967</v>
      </c>
    </row>
    <row r="212" spans="1:4" ht="19.95" customHeight="1" x14ac:dyDescent="0.25">
      <c r="A212" s="10" t="s">
        <v>23</v>
      </c>
      <c r="B212" s="11" t="s">
        <v>42</v>
      </c>
      <c r="C212" s="11">
        <v>55.34</v>
      </c>
      <c r="D212" s="11">
        <v>1967</v>
      </c>
    </row>
    <row r="213" spans="1:4" ht="19.95" customHeight="1" x14ac:dyDescent="0.25">
      <c r="A213" s="10" t="s">
        <v>24</v>
      </c>
      <c r="B213" s="11" t="s">
        <v>42</v>
      </c>
      <c r="C213" s="11">
        <v>31.6</v>
      </c>
      <c r="D213" s="11">
        <v>1967</v>
      </c>
    </row>
    <row r="214" spans="1:4" ht="19.95" customHeight="1" x14ac:dyDescent="0.25">
      <c r="A214" s="10" t="s">
        <v>25</v>
      </c>
      <c r="B214" s="11" t="s">
        <v>42</v>
      </c>
      <c r="C214" s="11">
        <v>29.37</v>
      </c>
      <c r="D214" s="11">
        <v>1967</v>
      </c>
    </row>
    <row r="215" spans="1:4" ht="19.95" customHeight="1" x14ac:dyDescent="0.25">
      <c r="A215" s="10" t="s">
        <v>26</v>
      </c>
      <c r="B215" s="11" t="s">
        <v>42</v>
      </c>
      <c r="C215" s="11"/>
      <c r="D215" s="11">
        <v>1967</v>
      </c>
    </row>
    <row r="216" spans="1:4" ht="19.95" customHeight="1" x14ac:dyDescent="0.25">
      <c r="A216" s="10" t="s">
        <v>27</v>
      </c>
      <c r="B216" s="11" t="s">
        <v>42</v>
      </c>
      <c r="C216" s="11">
        <v>51.71</v>
      </c>
      <c r="D216" s="11">
        <v>1967</v>
      </c>
    </row>
    <row r="217" spans="1:4" ht="19.95" customHeight="1" x14ac:dyDescent="0.25">
      <c r="A217" s="10" t="s">
        <v>29</v>
      </c>
      <c r="B217" s="11" t="s">
        <v>42</v>
      </c>
      <c r="C217" s="11">
        <v>24.98</v>
      </c>
      <c r="D217" s="11">
        <v>1967</v>
      </c>
    </row>
    <row r="218" spans="1:4" ht="19.95" customHeight="1" x14ac:dyDescent="0.25">
      <c r="A218" s="10" t="s">
        <v>30</v>
      </c>
      <c r="B218" s="11" t="s">
        <v>42</v>
      </c>
      <c r="C218" s="11">
        <v>30.24</v>
      </c>
      <c r="D218" s="11">
        <v>1967</v>
      </c>
    </row>
    <row r="219" spans="1:4" ht="19.95" customHeight="1" x14ac:dyDescent="0.25">
      <c r="A219" s="10" t="s">
        <v>31</v>
      </c>
      <c r="B219" s="11" t="s">
        <v>42</v>
      </c>
      <c r="C219" s="11">
        <v>40.299999999999997</v>
      </c>
      <c r="D219" s="11">
        <v>1967</v>
      </c>
    </row>
    <row r="220" spans="1:4" ht="19.95" customHeight="1" x14ac:dyDescent="0.25">
      <c r="A220" s="10" t="s">
        <v>32</v>
      </c>
      <c r="B220" s="11" t="s">
        <v>42</v>
      </c>
      <c r="C220" s="11">
        <v>34.42</v>
      </c>
      <c r="D220" s="11">
        <v>1967</v>
      </c>
    </row>
    <row r="221" spans="1:4" ht="19.95" customHeight="1" x14ac:dyDescent="0.25">
      <c r="A221" s="10" t="s">
        <v>33</v>
      </c>
      <c r="B221" s="11" t="s">
        <v>42</v>
      </c>
      <c r="C221" s="11">
        <v>35.549999999999997</v>
      </c>
      <c r="D221" s="11">
        <v>1967</v>
      </c>
    </row>
    <row r="222" spans="1:4" ht="19.95" customHeight="1" x14ac:dyDescent="0.25">
      <c r="A222" s="10" t="s">
        <v>34</v>
      </c>
      <c r="B222" s="11" t="s">
        <v>42</v>
      </c>
      <c r="C222" s="11">
        <v>83.62</v>
      </c>
      <c r="D222" s="11">
        <v>1967</v>
      </c>
    </row>
    <row r="223" spans="1:4" ht="19.95" customHeight="1" x14ac:dyDescent="0.25">
      <c r="A223" s="10" t="s">
        <v>35</v>
      </c>
      <c r="B223" s="11" t="s">
        <v>42</v>
      </c>
      <c r="C223" s="11">
        <v>50.38</v>
      </c>
      <c r="D223" s="11">
        <v>1967</v>
      </c>
    </row>
    <row r="224" spans="1:4" ht="19.95" customHeight="1" x14ac:dyDescent="0.25">
      <c r="A224" s="10" t="s">
        <v>36</v>
      </c>
      <c r="B224" s="11" t="s">
        <v>42</v>
      </c>
      <c r="C224" s="11"/>
      <c r="D224" s="11">
        <v>1967</v>
      </c>
    </row>
    <row r="225" spans="1:4" ht="19.95" customHeight="1" x14ac:dyDescent="0.25">
      <c r="A225" s="10" t="s">
        <v>37</v>
      </c>
      <c r="B225" s="11" t="s">
        <v>42</v>
      </c>
      <c r="C225" s="11">
        <v>31.81</v>
      </c>
      <c r="D225" s="11">
        <v>1967</v>
      </c>
    </row>
    <row r="226" spans="1:4" ht="19.95" customHeight="1" x14ac:dyDescent="0.25">
      <c r="A226" s="10" t="s">
        <v>38</v>
      </c>
      <c r="B226" s="11" t="s">
        <v>42</v>
      </c>
      <c r="C226" s="11">
        <v>36.81</v>
      </c>
      <c r="D226" s="11">
        <v>1967</v>
      </c>
    </row>
    <row r="227" spans="1:4" ht="19.95" customHeight="1" x14ac:dyDescent="0.25">
      <c r="A227" s="10" t="s">
        <v>39</v>
      </c>
      <c r="B227" s="11" t="s">
        <v>42</v>
      </c>
      <c r="C227" s="11">
        <v>34.409999999999997</v>
      </c>
      <c r="D227" s="11">
        <v>1967</v>
      </c>
    </row>
    <row r="228" spans="1:4" ht="19.95" customHeight="1" x14ac:dyDescent="0.25">
      <c r="A228" s="10" t="s">
        <v>40</v>
      </c>
      <c r="B228" s="11" t="s">
        <v>42</v>
      </c>
      <c r="C228" s="11">
        <v>51.82</v>
      </c>
      <c r="D228" s="11">
        <v>1967</v>
      </c>
    </row>
    <row r="229" spans="1:4" ht="19.95" customHeight="1" x14ac:dyDescent="0.25">
      <c r="A229" s="10" t="s">
        <v>10</v>
      </c>
      <c r="B229" s="11" t="s">
        <v>42</v>
      </c>
      <c r="C229" s="11">
        <v>74.89</v>
      </c>
      <c r="D229" s="11">
        <v>1968</v>
      </c>
    </row>
    <row r="230" spans="1:4" ht="19.95" customHeight="1" x14ac:dyDescent="0.25">
      <c r="A230" s="10" t="s">
        <v>13</v>
      </c>
      <c r="B230" s="11" t="s">
        <v>42</v>
      </c>
      <c r="C230" s="11">
        <v>34.130000000000003</v>
      </c>
      <c r="D230" s="11">
        <v>1968</v>
      </c>
    </row>
    <row r="231" spans="1:4" ht="19.95" customHeight="1" x14ac:dyDescent="0.25">
      <c r="A231" s="10" t="s">
        <v>15</v>
      </c>
      <c r="B231" s="11" t="s">
        <v>42</v>
      </c>
      <c r="C231" s="11">
        <v>40.119999999999997</v>
      </c>
      <c r="D231" s="11">
        <v>1968</v>
      </c>
    </row>
    <row r="232" spans="1:4" ht="19.95" customHeight="1" x14ac:dyDescent="0.25">
      <c r="A232" s="10" t="s">
        <v>16</v>
      </c>
      <c r="B232" s="11" t="s">
        <v>42</v>
      </c>
      <c r="C232" s="11">
        <v>49.05</v>
      </c>
      <c r="D232" s="11">
        <v>1968</v>
      </c>
    </row>
    <row r="233" spans="1:4" ht="19.95" customHeight="1" x14ac:dyDescent="0.25">
      <c r="A233" s="10" t="s">
        <v>17</v>
      </c>
      <c r="B233" s="11" t="s">
        <v>42</v>
      </c>
      <c r="C233" s="11">
        <v>17.91</v>
      </c>
      <c r="D233" s="11">
        <v>1968</v>
      </c>
    </row>
    <row r="234" spans="1:4" ht="19.95" customHeight="1" x14ac:dyDescent="0.25">
      <c r="A234" s="10" t="s">
        <v>2</v>
      </c>
      <c r="B234" s="11" t="s">
        <v>42</v>
      </c>
      <c r="C234" s="11"/>
      <c r="D234" s="11">
        <v>1968</v>
      </c>
    </row>
    <row r="235" spans="1:4" ht="19.95" customHeight="1" x14ac:dyDescent="0.25">
      <c r="A235" s="10" t="s">
        <v>18</v>
      </c>
      <c r="B235" s="11" t="s">
        <v>42</v>
      </c>
      <c r="C235" s="11">
        <v>41.88</v>
      </c>
      <c r="D235" s="11">
        <v>1968</v>
      </c>
    </row>
    <row r="236" spans="1:4" ht="19.95" customHeight="1" x14ac:dyDescent="0.25">
      <c r="A236" s="10" t="s">
        <v>19</v>
      </c>
      <c r="B236" s="11" t="s">
        <v>42</v>
      </c>
      <c r="C236" s="11">
        <v>75.42</v>
      </c>
      <c r="D236" s="11">
        <v>1968</v>
      </c>
    </row>
    <row r="237" spans="1:4" ht="19.95" customHeight="1" x14ac:dyDescent="0.25">
      <c r="A237" s="10" t="s">
        <v>20</v>
      </c>
      <c r="B237" s="11" t="s">
        <v>42</v>
      </c>
      <c r="C237" s="11">
        <v>29.09</v>
      </c>
      <c r="D237" s="11">
        <v>1968</v>
      </c>
    </row>
    <row r="238" spans="1:4" ht="19.95" customHeight="1" x14ac:dyDescent="0.25">
      <c r="A238" s="10" t="s">
        <v>21</v>
      </c>
      <c r="B238" s="11" t="s">
        <v>42</v>
      </c>
      <c r="C238" s="11"/>
      <c r="D238" s="11">
        <v>1968</v>
      </c>
    </row>
    <row r="239" spans="1:4" ht="19.95" customHeight="1" x14ac:dyDescent="0.25">
      <c r="A239" s="10" t="s">
        <v>22</v>
      </c>
      <c r="B239" s="11" t="s">
        <v>42</v>
      </c>
      <c r="C239" s="11">
        <v>57.85</v>
      </c>
      <c r="D239" s="11">
        <v>1968</v>
      </c>
    </row>
    <row r="240" spans="1:4" ht="19.95" customHeight="1" x14ac:dyDescent="0.25">
      <c r="A240" s="10" t="s">
        <v>23</v>
      </c>
      <c r="B240" s="11" t="s">
        <v>42</v>
      </c>
      <c r="C240" s="11">
        <v>56.39</v>
      </c>
      <c r="D240" s="11">
        <v>1968</v>
      </c>
    </row>
    <row r="241" spans="1:4" ht="19.95" customHeight="1" x14ac:dyDescent="0.25">
      <c r="A241" s="10" t="s">
        <v>24</v>
      </c>
      <c r="B241" s="11" t="s">
        <v>42</v>
      </c>
      <c r="C241" s="11">
        <v>29.99</v>
      </c>
      <c r="D241" s="11">
        <v>1968</v>
      </c>
    </row>
    <row r="242" spans="1:4" ht="19.95" customHeight="1" x14ac:dyDescent="0.25">
      <c r="A242" s="10" t="s">
        <v>25</v>
      </c>
      <c r="B242" s="11" t="s">
        <v>42</v>
      </c>
      <c r="C242" s="11">
        <v>28.7</v>
      </c>
      <c r="D242" s="11">
        <v>1968</v>
      </c>
    </row>
    <row r="243" spans="1:4" ht="19.95" customHeight="1" x14ac:dyDescent="0.25">
      <c r="A243" s="10" t="s">
        <v>26</v>
      </c>
      <c r="B243" s="11" t="s">
        <v>42</v>
      </c>
      <c r="C243" s="11"/>
      <c r="D243" s="11">
        <v>1968</v>
      </c>
    </row>
    <row r="244" spans="1:4" ht="19.95" customHeight="1" x14ac:dyDescent="0.25">
      <c r="A244" s="10" t="s">
        <v>27</v>
      </c>
      <c r="B244" s="11" t="s">
        <v>42</v>
      </c>
      <c r="C244" s="11">
        <v>57.22</v>
      </c>
      <c r="D244" s="11">
        <v>1968</v>
      </c>
    </row>
    <row r="245" spans="1:4" ht="19.95" customHeight="1" x14ac:dyDescent="0.25">
      <c r="A245" s="10" t="s">
        <v>29</v>
      </c>
      <c r="B245" s="11" t="s">
        <v>42</v>
      </c>
      <c r="C245" s="11">
        <v>25.31</v>
      </c>
      <c r="D245" s="11">
        <v>1968</v>
      </c>
    </row>
    <row r="246" spans="1:4" ht="19.95" customHeight="1" x14ac:dyDescent="0.25">
      <c r="A246" s="10" t="s">
        <v>30</v>
      </c>
      <c r="B246" s="11" t="s">
        <v>42</v>
      </c>
      <c r="C246" s="11">
        <v>31.03</v>
      </c>
      <c r="D246" s="11">
        <v>1968</v>
      </c>
    </row>
    <row r="247" spans="1:4" ht="19.95" customHeight="1" x14ac:dyDescent="0.25">
      <c r="A247" s="10" t="s">
        <v>31</v>
      </c>
      <c r="B247" s="11" t="s">
        <v>42</v>
      </c>
      <c r="C247" s="11">
        <v>43.15</v>
      </c>
      <c r="D247" s="11">
        <v>1968</v>
      </c>
    </row>
    <row r="248" spans="1:4" ht="19.95" customHeight="1" x14ac:dyDescent="0.25">
      <c r="A248" s="10" t="s">
        <v>32</v>
      </c>
      <c r="B248" s="11" t="s">
        <v>42</v>
      </c>
      <c r="C248" s="11">
        <v>32.049999999999997</v>
      </c>
      <c r="D248" s="11">
        <v>1968</v>
      </c>
    </row>
    <row r="249" spans="1:4" ht="19.95" customHeight="1" x14ac:dyDescent="0.25">
      <c r="A249" s="10" t="s">
        <v>33</v>
      </c>
      <c r="B249" s="11" t="s">
        <v>42</v>
      </c>
      <c r="C249" s="11">
        <v>34.81</v>
      </c>
      <c r="D249" s="11">
        <v>1968</v>
      </c>
    </row>
    <row r="250" spans="1:4" ht="19.95" customHeight="1" x14ac:dyDescent="0.25">
      <c r="A250" s="10" t="s">
        <v>34</v>
      </c>
      <c r="B250" s="11" t="s">
        <v>42</v>
      </c>
      <c r="C250" s="11">
        <v>80.7</v>
      </c>
      <c r="D250" s="11">
        <v>1968</v>
      </c>
    </row>
    <row r="251" spans="1:4" ht="19.95" customHeight="1" x14ac:dyDescent="0.25">
      <c r="A251" s="10" t="s">
        <v>35</v>
      </c>
      <c r="B251" s="11" t="s">
        <v>42</v>
      </c>
      <c r="C251" s="11">
        <v>53.04</v>
      </c>
      <c r="D251" s="11">
        <v>1968</v>
      </c>
    </row>
    <row r="252" spans="1:4" ht="19.95" customHeight="1" x14ac:dyDescent="0.25">
      <c r="A252" s="10" t="s">
        <v>36</v>
      </c>
      <c r="B252" s="11" t="s">
        <v>42</v>
      </c>
      <c r="C252" s="11"/>
      <c r="D252" s="11">
        <v>1968</v>
      </c>
    </row>
    <row r="253" spans="1:4" ht="19.95" customHeight="1" x14ac:dyDescent="0.25">
      <c r="A253" s="10" t="s">
        <v>37</v>
      </c>
      <c r="B253" s="11" t="s">
        <v>42</v>
      </c>
      <c r="C253" s="11">
        <v>31.36</v>
      </c>
      <c r="D253" s="11">
        <v>1968</v>
      </c>
    </row>
    <row r="254" spans="1:4" ht="19.95" customHeight="1" x14ac:dyDescent="0.25">
      <c r="A254" s="10" t="s">
        <v>38</v>
      </c>
      <c r="B254" s="11" t="s">
        <v>42</v>
      </c>
      <c r="C254" s="11">
        <v>39.78</v>
      </c>
      <c r="D254" s="11">
        <v>1968</v>
      </c>
    </row>
    <row r="255" spans="1:4" ht="19.95" customHeight="1" x14ac:dyDescent="0.25">
      <c r="A255" s="10" t="s">
        <v>39</v>
      </c>
      <c r="B255" s="11" t="s">
        <v>42</v>
      </c>
      <c r="C255" s="11">
        <v>35.08</v>
      </c>
      <c r="D255" s="11">
        <v>1968</v>
      </c>
    </row>
    <row r="256" spans="1:4" ht="19.95" customHeight="1" x14ac:dyDescent="0.25">
      <c r="A256" s="10" t="s">
        <v>40</v>
      </c>
      <c r="B256" s="11" t="s">
        <v>42</v>
      </c>
      <c r="C256" s="11">
        <v>44.43</v>
      </c>
      <c r="D256" s="11">
        <v>1968</v>
      </c>
    </row>
    <row r="257" spans="1:4" ht="19.95" customHeight="1" x14ac:dyDescent="0.25">
      <c r="A257" s="10" t="s">
        <v>10</v>
      </c>
      <c r="B257" s="11" t="s">
        <v>42</v>
      </c>
      <c r="C257" s="11">
        <v>74.66</v>
      </c>
      <c r="D257" s="11">
        <v>1969</v>
      </c>
    </row>
    <row r="258" spans="1:4" ht="19.95" customHeight="1" x14ac:dyDescent="0.25">
      <c r="A258" s="10" t="s">
        <v>13</v>
      </c>
      <c r="B258" s="11" t="s">
        <v>42</v>
      </c>
      <c r="C258" s="11">
        <v>33.67</v>
      </c>
      <c r="D258" s="11">
        <v>1969</v>
      </c>
    </row>
    <row r="259" spans="1:4" ht="19.95" customHeight="1" x14ac:dyDescent="0.25">
      <c r="A259" s="10" t="s">
        <v>15</v>
      </c>
      <c r="B259" s="11" t="s">
        <v>42</v>
      </c>
      <c r="C259" s="11">
        <v>39.51</v>
      </c>
      <c r="D259" s="11">
        <v>1969</v>
      </c>
    </row>
    <row r="260" spans="1:4" ht="19.95" customHeight="1" x14ac:dyDescent="0.25">
      <c r="A260" s="10" t="s">
        <v>16</v>
      </c>
      <c r="B260" s="11" t="s">
        <v>42</v>
      </c>
      <c r="C260" s="11">
        <v>51.57</v>
      </c>
      <c r="D260" s="11">
        <v>1969</v>
      </c>
    </row>
    <row r="261" spans="1:4" ht="19.95" customHeight="1" x14ac:dyDescent="0.25">
      <c r="A261" s="10" t="s">
        <v>17</v>
      </c>
      <c r="B261" s="11" t="s">
        <v>42</v>
      </c>
      <c r="C261" s="11">
        <v>19.260000000000002</v>
      </c>
      <c r="D261" s="11">
        <v>1969</v>
      </c>
    </row>
    <row r="262" spans="1:4" ht="19.95" customHeight="1" x14ac:dyDescent="0.25">
      <c r="A262" s="10" t="s">
        <v>2</v>
      </c>
      <c r="B262" s="11" t="s">
        <v>42</v>
      </c>
      <c r="C262" s="11"/>
      <c r="D262" s="11">
        <v>1969</v>
      </c>
    </row>
    <row r="263" spans="1:4" ht="19.95" customHeight="1" x14ac:dyDescent="0.25">
      <c r="A263" s="10" t="s">
        <v>18</v>
      </c>
      <c r="B263" s="11" t="s">
        <v>42</v>
      </c>
      <c r="C263" s="11">
        <v>41.62</v>
      </c>
      <c r="D263" s="11">
        <v>1969</v>
      </c>
    </row>
    <row r="264" spans="1:4" ht="19.95" customHeight="1" x14ac:dyDescent="0.25">
      <c r="A264" s="10" t="s">
        <v>19</v>
      </c>
      <c r="B264" s="11" t="s">
        <v>42</v>
      </c>
      <c r="C264" s="11">
        <v>77.64</v>
      </c>
      <c r="D264" s="11">
        <v>1969</v>
      </c>
    </row>
    <row r="265" spans="1:4" ht="19.95" customHeight="1" x14ac:dyDescent="0.25">
      <c r="A265" s="10" t="s">
        <v>20</v>
      </c>
      <c r="B265" s="11" t="s">
        <v>42</v>
      </c>
      <c r="C265" s="11">
        <v>29.83</v>
      </c>
      <c r="D265" s="11">
        <v>1969</v>
      </c>
    </row>
    <row r="266" spans="1:4" ht="19.95" customHeight="1" x14ac:dyDescent="0.25">
      <c r="A266" s="10" t="s">
        <v>21</v>
      </c>
      <c r="B266" s="11" t="s">
        <v>42</v>
      </c>
      <c r="C266" s="11"/>
      <c r="D266" s="11">
        <v>1969</v>
      </c>
    </row>
    <row r="267" spans="1:4" ht="19.95" customHeight="1" x14ac:dyDescent="0.25">
      <c r="A267" s="10" t="s">
        <v>22</v>
      </c>
      <c r="B267" s="11" t="s">
        <v>42</v>
      </c>
      <c r="C267" s="11">
        <v>59.52</v>
      </c>
      <c r="D267" s="11">
        <v>1969</v>
      </c>
    </row>
    <row r="268" spans="1:4" ht="19.95" customHeight="1" x14ac:dyDescent="0.25">
      <c r="A268" s="10" t="s">
        <v>23</v>
      </c>
      <c r="B268" s="11" t="s">
        <v>42</v>
      </c>
      <c r="C268" s="11">
        <v>58.68</v>
      </c>
      <c r="D268" s="11">
        <v>1969</v>
      </c>
    </row>
    <row r="269" spans="1:4" ht="19.95" customHeight="1" x14ac:dyDescent="0.25">
      <c r="A269" s="10" t="s">
        <v>24</v>
      </c>
      <c r="B269" s="11" t="s">
        <v>42</v>
      </c>
      <c r="C269" s="11">
        <v>31.1</v>
      </c>
      <c r="D269" s="11">
        <v>1969</v>
      </c>
    </row>
    <row r="270" spans="1:4" ht="19.95" customHeight="1" x14ac:dyDescent="0.25">
      <c r="A270" s="10" t="s">
        <v>25</v>
      </c>
      <c r="B270" s="11" t="s">
        <v>42</v>
      </c>
      <c r="C270" s="11">
        <v>31.49</v>
      </c>
      <c r="D270" s="11">
        <v>1969</v>
      </c>
    </row>
    <row r="271" spans="1:4" ht="19.95" customHeight="1" x14ac:dyDescent="0.25">
      <c r="A271" s="10" t="s">
        <v>26</v>
      </c>
      <c r="B271" s="11" t="s">
        <v>42</v>
      </c>
      <c r="C271" s="11"/>
      <c r="D271" s="11">
        <v>1969</v>
      </c>
    </row>
    <row r="272" spans="1:4" ht="19.95" customHeight="1" x14ac:dyDescent="0.25">
      <c r="A272" s="10" t="s">
        <v>27</v>
      </c>
      <c r="B272" s="11" t="s">
        <v>42</v>
      </c>
      <c r="C272" s="11">
        <v>56.88</v>
      </c>
      <c r="D272" s="11">
        <v>1969</v>
      </c>
    </row>
    <row r="273" spans="1:4" ht="19.95" customHeight="1" x14ac:dyDescent="0.25">
      <c r="A273" s="10" t="s">
        <v>29</v>
      </c>
      <c r="B273" s="11" t="s">
        <v>42</v>
      </c>
      <c r="C273" s="11">
        <v>25.12</v>
      </c>
      <c r="D273" s="11">
        <v>1969</v>
      </c>
    </row>
    <row r="274" spans="1:4" ht="19.95" customHeight="1" x14ac:dyDescent="0.25">
      <c r="A274" s="10" t="s">
        <v>30</v>
      </c>
      <c r="B274" s="11" t="s">
        <v>42</v>
      </c>
      <c r="C274" s="11">
        <v>32.1</v>
      </c>
      <c r="D274" s="11">
        <v>1969</v>
      </c>
    </row>
    <row r="275" spans="1:4" ht="19.95" customHeight="1" x14ac:dyDescent="0.25">
      <c r="A275" s="10" t="s">
        <v>31</v>
      </c>
      <c r="B275" s="11" t="s">
        <v>42</v>
      </c>
      <c r="C275" s="11">
        <v>45.06</v>
      </c>
      <c r="D275" s="11">
        <v>1969</v>
      </c>
    </row>
    <row r="276" spans="1:4" ht="19.95" customHeight="1" x14ac:dyDescent="0.25">
      <c r="A276" s="10" t="s">
        <v>32</v>
      </c>
      <c r="B276" s="11" t="s">
        <v>42</v>
      </c>
      <c r="C276" s="11">
        <v>34.69</v>
      </c>
      <c r="D276" s="11">
        <v>1969</v>
      </c>
    </row>
    <row r="277" spans="1:4" ht="19.95" customHeight="1" x14ac:dyDescent="0.25">
      <c r="A277" s="10" t="s">
        <v>33</v>
      </c>
      <c r="B277" s="11" t="s">
        <v>42</v>
      </c>
      <c r="C277" s="11">
        <v>37.49</v>
      </c>
      <c r="D277" s="11">
        <v>1969</v>
      </c>
    </row>
    <row r="278" spans="1:4" ht="19.95" customHeight="1" x14ac:dyDescent="0.25">
      <c r="A278" s="10" t="s">
        <v>34</v>
      </c>
      <c r="B278" s="11" t="s">
        <v>42</v>
      </c>
      <c r="C278" s="11">
        <v>74.8</v>
      </c>
      <c r="D278" s="11">
        <v>1969</v>
      </c>
    </row>
    <row r="279" spans="1:4" ht="19.95" customHeight="1" x14ac:dyDescent="0.25">
      <c r="A279" s="10" t="s">
        <v>35</v>
      </c>
      <c r="B279" s="11" t="s">
        <v>42</v>
      </c>
      <c r="C279" s="11">
        <v>52.7</v>
      </c>
      <c r="D279" s="11">
        <v>1969</v>
      </c>
    </row>
    <row r="280" spans="1:4" ht="19.95" customHeight="1" x14ac:dyDescent="0.25">
      <c r="A280" s="10" t="s">
        <v>36</v>
      </c>
      <c r="B280" s="11" t="s">
        <v>42</v>
      </c>
      <c r="C280" s="11"/>
      <c r="D280" s="11">
        <v>1969</v>
      </c>
    </row>
    <row r="281" spans="1:4" ht="19.95" customHeight="1" x14ac:dyDescent="0.25">
      <c r="A281" s="10" t="s">
        <v>37</v>
      </c>
      <c r="B281" s="11" t="s">
        <v>42</v>
      </c>
      <c r="C281" s="11">
        <v>32.28</v>
      </c>
      <c r="D281" s="11">
        <v>1969</v>
      </c>
    </row>
    <row r="282" spans="1:4" ht="19.95" customHeight="1" x14ac:dyDescent="0.25">
      <c r="A282" s="10" t="s">
        <v>38</v>
      </c>
      <c r="B282" s="11" t="s">
        <v>42</v>
      </c>
      <c r="C282" s="11">
        <v>43.36</v>
      </c>
      <c r="D282" s="11">
        <v>1969</v>
      </c>
    </row>
    <row r="283" spans="1:4" ht="19.95" customHeight="1" x14ac:dyDescent="0.25">
      <c r="A283" s="10" t="s">
        <v>39</v>
      </c>
      <c r="B283" s="11" t="s">
        <v>42</v>
      </c>
      <c r="C283" s="11">
        <v>35.83</v>
      </c>
      <c r="D283" s="11">
        <v>1969</v>
      </c>
    </row>
    <row r="284" spans="1:4" ht="19.95" customHeight="1" x14ac:dyDescent="0.25">
      <c r="A284" s="10" t="s">
        <v>40</v>
      </c>
      <c r="B284" s="11" t="s">
        <v>42</v>
      </c>
      <c r="C284" s="11">
        <v>56.38</v>
      </c>
      <c r="D284" s="11">
        <v>1969</v>
      </c>
    </row>
    <row r="285" spans="1:4" ht="19.95" customHeight="1" x14ac:dyDescent="0.25">
      <c r="A285" s="10" t="s">
        <v>10</v>
      </c>
      <c r="B285" s="11" t="s">
        <v>42</v>
      </c>
      <c r="C285" s="11">
        <v>75.41</v>
      </c>
      <c r="D285" s="11">
        <v>1970</v>
      </c>
    </row>
    <row r="286" spans="1:4" ht="19.95" customHeight="1" x14ac:dyDescent="0.25">
      <c r="A286" s="10" t="s">
        <v>13</v>
      </c>
      <c r="B286" s="11" t="s">
        <v>42</v>
      </c>
      <c r="C286" s="11">
        <v>37</v>
      </c>
      <c r="D286" s="11">
        <v>1970</v>
      </c>
    </row>
    <row r="287" spans="1:4" ht="19.95" customHeight="1" x14ac:dyDescent="0.25">
      <c r="A287" s="10" t="s">
        <v>15</v>
      </c>
      <c r="B287" s="11" t="s">
        <v>42</v>
      </c>
      <c r="C287" s="11">
        <v>38.19</v>
      </c>
      <c r="D287" s="11">
        <v>1970</v>
      </c>
    </row>
    <row r="288" spans="1:4" ht="19.95" customHeight="1" x14ac:dyDescent="0.25">
      <c r="A288" s="10" t="s">
        <v>16</v>
      </c>
      <c r="B288" s="11" t="s">
        <v>42</v>
      </c>
      <c r="C288" s="11">
        <v>49.93</v>
      </c>
      <c r="D288" s="11">
        <v>1970</v>
      </c>
    </row>
    <row r="289" spans="1:4" ht="19.95" customHeight="1" x14ac:dyDescent="0.25">
      <c r="A289" s="10" t="s">
        <v>17</v>
      </c>
      <c r="B289" s="11" t="s">
        <v>42</v>
      </c>
      <c r="C289" s="11">
        <v>20</v>
      </c>
      <c r="D289" s="11">
        <v>1970</v>
      </c>
    </row>
    <row r="290" spans="1:4" ht="19.95" customHeight="1" x14ac:dyDescent="0.25">
      <c r="A290" s="10" t="s">
        <v>2</v>
      </c>
      <c r="B290" s="11" t="s">
        <v>42</v>
      </c>
      <c r="C290" s="11"/>
      <c r="D290" s="11">
        <v>1970</v>
      </c>
    </row>
    <row r="291" spans="1:4" ht="19.95" customHeight="1" x14ac:dyDescent="0.25">
      <c r="A291" s="10" t="s">
        <v>18</v>
      </c>
      <c r="B291" s="11" t="s">
        <v>42</v>
      </c>
      <c r="C291" s="11">
        <v>43.07</v>
      </c>
      <c r="D291" s="11">
        <v>1970</v>
      </c>
    </row>
    <row r="292" spans="1:4" ht="19.95" customHeight="1" x14ac:dyDescent="0.25">
      <c r="A292" s="10" t="s">
        <v>19</v>
      </c>
      <c r="B292" s="11" t="s">
        <v>42</v>
      </c>
      <c r="C292" s="11">
        <v>79.92</v>
      </c>
      <c r="D292" s="11">
        <v>1970</v>
      </c>
    </row>
    <row r="293" spans="1:4" ht="19.95" customHeight="1" x14ac:dyDescent="0.25">
      <c r="A293" s="10" t="s">
        <v>20</v>
      </c>
      <c r="B293" s="11" t="s">
        <v>42</v>
      </c>
      <c r="C293" s="11">
        <v>31.17</v>
      </c>
      <c r="D293" s="11">
        <v>1970</v>
      </c>
    </row>
    <row r="294" spans="1:4" ht="19.95" customHeight="1" x14ac:dyDescent="0.25">
      <c r="A294" s="10" t="s">
        <v>21</v>
      </c>
      <c r="B294" s="11" t="s">
        <v>42</v>
      </c>
      <c r="C294" s="11"/>
      <c r="D294" s="11">
        <v>1970</v>
      </c>
    </row>
    <row r="295" spans="1:4" ht="19.95" customHeight="1" x14ac:dyDescent="0.25">
      <c r="A295" s="10" t="s">
        <v>22</v>
      </c>
      <c r="B295" s="11" t="s">
        <v>42</v>
      </c>
      <c r="C295" s="11">
        <v>63.58</v>
      </c>
      <c r="D295" s="11">
        <v>1970</v>
      </c>
    </row>
    <row r="296" spans="1:4" ht="19.95" customHeight="1" x14ac:dyDescent="0.25">
      <c r="A296" s="10" t="s">
        <v>23</v>
      </c>
      <c r="B296" s="11" t="s">
        <v>42</v>
      </c>
      <c r="C296" s="11">
        <v>59.86</v>
      </c>
      <c r="D296" s="11">
        <v>1970</v>
      </c>
    </row>
    <row r="297" spans="1:4" ht="19.95" customHeight="1" x14ac:dyDescent="0.25">
      <c r="A297" s="10" t="s">
        <v>24</v>
      </c>
      <c r="B297" s="11" t="s">
        <v>42</v>
      </c>
      <c r="C297" s="11">
        <v>29</v>
      </c>
      <c r="D297" s="11">
        <v>1970</v>
      </c>
    </row>
    <row r="298" spans="1:4" ht="19.95" customHeight="1" x14ac:dyDescent="0.25">
      <c r="A298" s="10" t="s">
        <v>25</v>
      </c>
      <c r="B298" s="11" t="s">
        <v>42</v>
      </c>
      <c r="C298" s="11">
        <v>31.62</v>
      </c>
      <c r="D298" s="11">
        <v>1970</v>
      </c>
    </row>
    <row r="299" spans="1:4" ht="19.95" customHeight="1" x14ac:dyDescent="0.25">
      <c r="A299" s="10" t="s">
        <v>26</v>
      </c>
      <c r="B299" s="11" t="s">
        <v>42</v>
      </c>
      <c r="C299" s="11"/>
      <c r="D299" s="11">
        <v>1970</v>
      </c>
    </row>
    <row r="300" spans="1:4" ht="19.95" customHeight="1" x14ac:dyDescent="0.25">
      <c r="A300" s="10" t="s">
        <v>27</v>
      </c>
      <c r="B300" s="11" t="s">
        <v>42</v>
      </c>
      <c r="C300" s="11">
        <v>59.74</v>
      </c>
      <c r="D300" s="11">
        <v>1970</v>
      </c>
    </row>
    <row r="301" spans="1:4" ht="19.95" customHeight="1" x14ac:dyDescent="0.25">
      <c r="A301" s="10" t="s">
        <v>29</v>
      </c>
      <c r="B301" s="11" t="s">
        <v>42</v>
      </c>
      <c r="C301" s="11">
        <v>26</v>
      </c>
      <c r="D301" s="11">
        <v>1970</v>
      </c>
    </row>
    <row r="302" spans="1:4" ht="19.95" customHeight="1" x14ac:dyDescent="0.25">
      <c r="A302" s="10" t="s">
        <v>30</v>
      </c>
      <c r="B302" s="11" t="s">
        <v>42</v>
      </c>
      <c r="C302" s="11">
        <v>33.119999999999997</v>
      </c>
      <c r="D302" s="11">
        <v>1970</v>
      </c>
    </row>
    <row r="303" spans="1:4" ht="19.95" customHeight="1" x14ac:dyDescent="0.25">
      <c r="A303" s="10" t="s">
        <v>31</v>
      </c>
      <c r="B303" s="11" t="s">
        <v>42</v>
      </c>
      <c r="C303" s="11">
        <v>46.57</v>
      </c>
      <c r="D303" s="11">
        <v>1970</v>
      </c>
    </row>
    <row r="304" spans="1:4" ht="19.95" customHeight="1" x14ac:dyDescent="0.25">
      <c r="A304" s="10" t="s">
        <v>32</v>
      </c>
      <c r="B304" s="11" t="s">
        <v>42</v>
      </c>
      <c r="C304" s="11">
        <v>33.03</v>
      </c>
      <c r="D304" s="11">
        <v>1970</v>
      </c>
    </row>
    <row r="305" spans="1:4" ht="19.95" customHeight="1" x14ac:dyDescent="0.25">
      <c r="A305" s="10" t="s">
        <v>33</v>
      </c>
      <c r="B305" s="11" t="s">
        <v>42</v>
      </c>
      <c r="C305" s="11">
        <v>39.14</v>
      </c>
      <c r="D305" s="11">
        <v>1970</v>
      </c>
    </row>
    <row r="306" spans="1:4" ht="19.95" customHeight="1" x14ac:dyDescent="0.25">
      <c r="A306" s="10" t="s">
        <v>34</v>
      </c>
      <c r="B306" s="11" t="s">
        <v>42</v>
      </c>
      <c r="C306" s="11">
        <v>74.930000000000007</v>
      </c>
      <c r="D306" s="11">
        <v>1970</v>
      </c>
    </row>
    <row r="307" spans="1:4" ht="19.95" customHeight="1" x14ac:dyDescent="0.25">
      <c r="A307" s="10" t="s">
        <v>35</v>
      </c>
      <c r="B307" s="11" t="s">
        <v>42</v>
      </c>
      <c r="C307" s="11">
        <v>56.67</v>
      </c>
      <c r="D307" s="11">
        <v>1970</v>
      </c>
    </row>
    <row r="308" spans="1:4" ht="19.95" customHeight="1" x14ac:dyDescent="0.25">
      <c r="A308" s="10" t="s">
        <v>36</v>
      </c>
      <c r="B308" s="11" t="s">
        <v>42</v>
      </c>
      <c r="C308" s="11"/>
      <c r="D308" s="11">
        <v>1970</v>
      </c>
    </row>
    <row r="309" spans="1:4" ht="19.95" customHeight="1" x14ac:dyDescent="0.25">
      <c r="A309" s="10" t="s">
        <v>37</v>
      </c>
      <c r="B309" s="11" t="s">
        <v>42</v>
      </c>
      <c r="C309" s="11">
        <v>34</v>
      </c>
      <c r="D309" s="11">
        <v>1970</v>
      </c>
    </row>
    <row r="310" spans="1:4" ht="19.95" customHeight="1" x14ac:dyDescent="0.25">
      <c r="A310" s="10" t="s">
        <v>38</v>
      </c>
      <c r="B310" s="11" t="s">
        <v>42</v>
      </c>
      <c r="C310" s="11">
        <v>55.41</v>
      </c>
      <c r="D310" s="11">
        <v>1970</v>
      </c>
    </row>
    <row r="311" spans="1:4" ht="19.95" customHeight="1" x14ac:dyDescent="0.25">
      <c r="A311" s="10" t="s">
        <v>39</v>
      </c>
      <c r="B311" s="11" t="s">
        <v>42</v>
      </c>
      <c r="C311" s="11">
        <v>34.97</v>
      </c>
      <c r="D311" s="11">
        <v>1970</v>
      </c>
    </row>
    <row r="312" spans="1:4" ht="19.95" customHeight="1" x14ac:dyDescent="0.25">
      <c r="A312" s="10" t="s">
        <v>40</v>
      </c>
      <c r="B312" s="11" t="s">
        <v>42</v>
      </c>
      <c r="C312" s="11">
        <v>53.82</v>
      </c>
      <c r="D312" s="11">
        <v>1970</v>
      </c>
    </row>
    <row r="313" spans="1:4" ht="19.95" customHeight="1" x14ac:dyDescent="0.25">
      <c r="A313" s="10" t="s">
        <v>10</v>
      </c>
      <c r="B313" s="11" t="s">
        <v>42</v>
      </c>
      <c r="C313" s="11">
        <v>77.34</v>
      </c>
      <c r="D313" s="11">
        <v>1971</v>
      </c>
    </row>
    <row r="314" spans="1:4" ht="19.95" customHeight="1" x14ac:dyDescent="0.25">
      <c r="A314" s="10" t="s">
        <v>13</v>
      </c>
      <c r="B314" s="11" t="s">
        <v>42</v>
      </c>
      <c r="C314" s="11">
        <v>38.6</v>
      </c>
      <c r="D314" s="11">
        <v>1971</v>
      </c>
    </row>
    <row r="315" spans="1:4" ht="19.95" customHeight="1" x14ac:dyDescent="0.25">
      <c r="A315" s="10" t="s">
        <v>15</v>
      </c>
      <c r="B315" s="11" t="s">
        <v>42</v>
      </c>
      <c r="C315" s="11">
        <v>37.840000000000003</v>
      </c>
      <c r="D315" s="11">
        <v>1971</v>
      </c>
    </row>
    <row r="316" spans="1:4" ht="19.95" customHeight="1" x14ac:dyDescent="0.25">
      <c r="A316" s="10" t="s">
        <v>16</v>
      </c>
      <c r="B316" s="11" t="s">
        <v>42</v>
      </c>
      <c r="C316" s="11">
        <v>51.64</v>
      </c>
      <c r="D316" s="11">
        <v>1971</v>
      </c>
    </row>
    <row r="317" spans="1:4" ht="19.95" customHeight="1" x14ac:dyDescent="0.25">
      <c r="A317" s="10" t="s">
        <v>17</v>
      </c>
      <c r="B317" s="11" t="s">
        <v>42</v>
      </c>
      <c r="C317" s="11">
        <v>20.92</v>
      </c>
      <c r="D317" s="11">
        <v>1971</v>
      </c>
    </row>
    <row r="318" spans="1:4" ht="19.95" customHeight="1" x14ac:dyDescent="0.25">
      <c r="A318" s="10" t="s">
        <v>2</v>
      </c>
      <c r="B318" s="11" t="s">
        <v>42</v>
      </c>
      <c r="C318" s="11"/>
      <c r="D318" s="11">
        <v>1971</v>
      </c>
    </row>
    <row r="319" spans="1:4" ht="19.95" customHeight="1" x14ac:dyDescent="0.25">
      <c r="A319" s="10" t="s">
        <v>18</v>
      </c>
      <c r="B319" s="11" t="s">
        <v>42</v>
      </c>
      <c r="C319" s="11">
        <v>44.39</v>
      </c>
      <c r="D319" s="11">
        <v>1971</v>
      </c>
    </row>
    <row r="320" spans="1:4" ht="19.95" customHeight="1" x14ac:dyDescent="0.25">
      <c r="A320" s="10" t="s">
        <v>19</v>
      </c>
      <c r="B320" s="11" t="s">
        <v>42</v>
      </c>
      <c r="C320" s="11">
        <v>82.21</v>
      </c>
      <c r="D320" s="11">
        <v>1971</v>
      </c>
    </row>
    <row r="321" spans="1:4" ht="19.95" customHeight="1" x14ac:dyDescent="0.25">
      <c r="A321" s="10" t="s">
        <v>20</v>
      </c>
      <c r="B321" s="11" t="s">
        <v>42</v>
      </c>
      <c r="C321" s="11">
        <v>31.88</v>
      </c>
      <c r="D321" s="11">
        <v>1971</v>
      </c>
    </row>
    <row r="322" spans="1:4" ht="19.95" customHeight="1" x14ac:dyDescent="0.25">
      <c r="A322" s="10" t="s">
        <v>21</v>
      </c>
      <c r="B322" s="11" t="s">
        <v>42</v>
      </c>
      <c r="C322" s="11"/>
      <c r="D322" s="11">
        <v>1971</v>
      </c>
    </row>
    <row r="323" spans="1:4" ht="19.95" customHeight="1" x14ac:dyDescent="0.25">
      <c r="A323" s="10" t="s">
        <v>22</v>
      </c>
      <c r="B323" s="11" t="s">
        <v>42</v>
      </c>
      <c r="C323" s="11">
        <v>66.48</v>
      </c>
      <c r="D323" s="11">
        <v>1971</v>
      </c>
    </row>
    <row r="324" spans="1:4" ht="19.95" customHeight="1" x14ac:dyDescent="0.25">
      <c r="A324" s="10" t="s">
        <v>23</v>
      </c>
      <c r="B324" s="11" t="s">
        <v>42</v>
      </c>
      <c r="C324" s="11">
        <v>59.31</v>
      </c>
      <c r="D324" s="11">
        <v>1971</v>
      </c>
    </row>
    <row r="325" spans="1:4" ht="19.95" customHeight="1" x14ac:dyDescent="0.25">
      <c r="A325" s="10" t="s">
        <v>24</v>
      </c>
      <c r="B325" s="11" t="s">
        <v>42</v>
      </c>
      <c r="C325" s="11">
        <v>34.51</v>
      </c>
      <c r="D325" s="11">
        <v>1971</v>
      </c>
    </row>
    <row r="326" spans="1:4" ht="19.95" customHeight="1" x14ac:dyDescent="0.25">
      <c r="A326" s="10" t="s">
        <v>25</v>
      </c>
      <c r="B326" s="11" t="s">
        <v>42</v>
      </c>
      <c r="C326" s="11">
        <v>31.07</v>
      </c>
      <c r="D326" s="11">
        <v>1971</v>
      </c>
    </row>
    <row r="327" spans="1:4" ht="19.95" customHeight="1" x14ac:dyDescent="0.25">
      <c r="A327" s="10" t="s">
        <v>26</v>
      </c>
      <c r="B327" s="11" t="s">
        <v>42</v>
      </c>
      <c r="C327" s="11"/>
      <c r="D327" s="11">
        <v>1971</v>
      </c>
    </row>
    <row r="328" spans="1:4" ht="19.95" customHeight="1" x14ac:dyDescent="0.25">
      <c r="A328" s="10" t="s">
        <v>27</v>
      </c>
      <c r="B328" s="11" t="s">
        <v>42</v>
      </c>
      <c r="C328" s="11">
        <v>63.03</v>
      </c>
      <c r="D328" s="11">
        <v>1971</v>
      </c>
    </row>
    <row r="329" spans="1:4" ht="19.95" customHeight="1" x14ac:dyDescent="0.25">
      <c r="A329" s="10" t="s">
        <v>29</v>
      </c>
      <c r="B329" s="11" t="s">
        <v>42</v>
      </c>
      <c r="C329" s="11">
        <v>26.72</v>
      </c>
      <c r="D329" s="11">
        <v>1971</v>
      </c>
    </row>
    <row r="330" spans="1:4" ht="19.95" customHeight="1" x14ac:dyDescent="0.25">
      <c r="A330" s="10" t="s">
        <v>30</v>
      </c>
      <c r="B330" s="11" t="s">
        <v>42</v>
      </c>
      <c r="C330" s="11">
        <v>33.450000000000003</v>
      </c>
      <c r="D330" s="11">
        <v>1971</v>
      </c>
    </row>
    <row r="331" spans="1:4" ht="19.95" customHeight="1" x14ac:dyDescent="0.25">
      <c r="A331" s="10" t="s">
        <v>31</v>
      </c>
      <c r="B331" s="11" t="s">
        <v>42</v>
      </c>
      <c r="C331" s="11">
        <v>47.97</v>
      </c>
      <c r="D331" s="11">
        <v>1971</v>
      </c>
    </row>
    <row r="332" spans="1:4" ht="19.95" customHeight="1" x14ac:dyDescent="0.25">
      <c r="A332" s="10" t="s">
        <v>32</v>
      </c>
      <c r="B332" s="11" t="s">
        <v>42</v>
      </c>
      <c r="C332" s="11">
        <v>33.57</v>
      </c>
      <c r="D332" s="11">
        <v>1971</v>
      </c>
    </row>
    <row r="333" spans="1:4" ht="19.95" customHeight="1" x14ac:dyDescent="0.25">
      <c r="A333" s="10" t="s">
        <v>33</v>
      </c>
      <c r="B333" s="11" t="s">
        <v>42</v>
      </c>
      <c r="C333" s="11">
        <v>39.99</v>
      </c>
      <c r="D333" s="11">
        <v>1971</v>
      </c>
    </row>
    <row r="334" spans="1:4" ht="19.95" customHeight="1" x14ac:dyDescent="0.25">
      <c r="A334" s="10" t="s">
        <v>34</v>
      </c>
      <c r="B334" s="11" t="s">
        <v>42</v>
      </c>
      <c r="C334" s="11">
        <v>81.150000000000006</v>
      </c>
      <c r="D334" s="11">
        <v>1971</v>
      </c>
    </row>
    <row r="335" spans="1:4" ht="19.95" customHeight="1" x14ac:dyDescent="0.25">
      <c r="A335" s="10" t="s">
        <v>35</v>
      </c>
      <c r="B335" s="11" t="s">
        <v>42</v>
      </c>
      <c r="C335" s="11">
        <v>56.29</v>
      </c>
      <c r="D335" s="11">
        <v>1971</v>
      </c>
    </row>
    <row r="336" spans="1:4" ht="19.95" customHeight="1" x14ac:dyDescent="0.25">
      <c r="A336" s="10" t="s">
        <v>36</v>
      </c>
      <c r="B336" s="11" t="s">
        <v>42</v>
      </c>
      <c r="C336" s="11"/>
      <c r="D336" s="11">
        <v>1971</v>
      </c>
    </row>
    <row r="337" spans="1:4" ht="19.95" customHeight="1" x14ac:dyDescent="0.25">
      <c r="A337" s="10" t="s">
        <v>37</v>
      </c>
      <c r="B337" s="11" t="s">
        <v>42</v>
      </c>
      <c r="C337" s="11">
        <v>34.25</v>
      </c>
      <c r="D337" s="11">
        <v>1971</v>
      </c>
    </row>
    <row r="338" spans="1:4" ht="19.95" customHeight="1" x14ac:dyDescent="0.25">
      <c r="A338" s="10" t="s">
        <v>38</v>
      </c>
      <c r="B338" s="11" t="s">
        <v>42</v>
      </c>
      <c r="C338" s="11">
        <v>54.38</v>
      </c>
      <c r="D338" s="11">
        <v>1971</v>
      </c>
    </row>
    <row r="339" spans="1:4" ht="19.95" customHeight="1" x14ac:dyDescent="0.25">
      <c r="A339" s="10" t="s">
        <v>39</v>
      </c>
      <c r="B339" s="11" t="s">
        <v>42</v>
      </c>
      <c r="C339" s="11">
        <v>40.200000000000003</v>
      </c>
      <c r="D339" s="11">
        <v>1971</v>
      </c>
    </row>
    <row r="340" spans="1:4" ht="19.95" customHeight="1" x14ac:dyDescent="0.25">
      <c r="A340" s="10" t="s">
        <v>40</v>
      </c>
      <c r="B340" s="11" t="s">
        <v>42</v>
      </c>
      <c r="C340" s="11">
        <v>68.459999999999994</v>
      </c>
      <c r="D340" s="11">
        <v>1971</v>
      </c>
    </row>
    <row r="341" spans="1:4" ht="19.95" customHeight="1" x14ac:dyDescent="0.25">
      <c r="A341" s="10" t="s">
        <v>10</v>
      </c>
      <c r="B341" s="11" t="s">
        <v>42</v>
      </c>
      <c r="C341" s="11">
        <v>70.680000000000007</v>
      </c>
      <c r="D341" s="11">
        <v>1972</v>
      </c>
    </row>
    <row r="342" spans="1:4" ht="19.95" customHeight="1" x14ac:dyDescent="0.25">
      <c r="A342" s="10" t="s">
        <v>13</v>
      </c>
      <c r="B342" s="11" t="s">
        <v>42</v>
      </c>
      <c r="C342" s="11">
        <v>40.4</v>
      </c>
      <c r="D342" s="11">
        <v>1972</v>
      </c>
    </row>
    <row r="343" spans="1:4" ht="19.95" customHeight="1" x14ac:dyDescent="0.25">
      <c r="A343" s="10" t="s">
        <v>15</v>
      </c>
      <c r="B343" s="11" t="s">
        <v>42</v>
      </c>
      <c r="C343" s="11">
        <v>36.020000000000003</v>
      </c>
      <c r="D343" s="11">
        <v>1972</v>
      </c>
    </row>
    <row r="344" spans="1:4" ht="19.95" customHeight="1" x14ac:dyDescent="0.25">
      <c r="A344" s="10" t="s">
        <v>16</v>
      </c>
      <c r="B344" s="11" t="s">
        <v>42</v>
      </c>
      <c r="C344" s="11">
        <v>51.29</v>
      </c>
      <c r="D344" s="11">
        <v>1972</v>
      </c>
    </row>
    <row r="345" spans="1:4" ht="19.95" customHeight="1" x14ac:dyDescent="0.25">
      <c r="A345" s="10" t="s">
        <v>17</v>
      </c>
      <c r="B345" s="11" t="s">
        <v>42</v>
      </c>
      <c r="C345" s="11">
        <v>22.03</v>
      </c>
      <c r="D345" s="11">
        <v>1972</v>
      </c>
    </row>
    <row r="346" spans="1:4" ht="19.95" customHeight="1" x14ac:dyDescent="0.25">
      <c r="A346" s="10" t="s">
        <v>2</v>
      </c>
      <c r="B346" s="11" t="s">
        <v>42</v>
      </c>
      <c r="C346" s="11"/>
      <c r="D346" s="11">
        <v>1972</v>
      </c>
    </row>
    <row r="347" spans="1:4" ht="19.95" customHeight="1" x14ac:dyDescent="0.25">
      <c r="A347" s="10" t="s">
        <v>18</v>
      </c>
      <c r="B347" s="11" t="s">
        <v>42</v>
      </c>
      <c r="C347" s="11">
        <v>42.45</v>
      </c>
      <c r="D347" s="11">
        <v>1972</v>
      </c>
    </row>
    <row r="348" spans="1:4" ht="19.95" customHeight="1" x14ac:dyDescent="0.25">
      <c r="A348" s="10" t="s">
        <v>19</v>
      </c>
      <c r="B348" s="11" t="s">
        <v>42</v>
      </c>
      <c r="C348" s="11">
        <v>85.17</v>
      </c>
      <c r="D348" s="11">
        <v>1972</v>
      </c>
    </row>
    <row r="349" spans="1:4" ht="19.95" customHeight="1" x14ac:dyDescent="0.25">
      <c r="A349" s="10" t="s">
        <v>20</v>
      </c>
      <c r="B349" s="11" t="s">
        <v>42</v>
      </c>
      <c r="C349" s="11">
        <v>33.200000000000003</v>
      </c>
      <c r="D349" s="11">
        <v>1972</v>
      </c>
    </row>
    <row r="350" spans="1:4" ht="19.95" customHeight="1" x14ac:dyDescent="0.25">
      <c r="A350" s="10" t="s">
        <v>21</v>
      </c>
      <c r="B350" s="11" t="s">
        <v>42</v>
      </c>
      <c r="C350" s="11"/>
      <c r="D350" s="11">
        <v>1972</v>
      </c>
    </row>
    <row r="351" spans="1:4" ht="19.95" customHeight="1" x14ac:dyDescent="0.25">
      <c r="A351" s="10" t="s">
        <v>22</v>
      </c>
      <c r="B351" s="11" t="s">
        <v>42</v>
      </c>
      <c r="C351" s="11">
        <v>67.5</v>
      </c>
      <c r="D351" s="11">
        <v>1972</v>
      </c>
    </row>
    <row r="352" spans="1:4" ht="19.95" customHeight="1" x14ac:dyDescent="0.25">
      <c r="A352" s="10" t="s">
        <v>23</v>
      </c>
      <c r="B352" s="11" t="s">
        <v>42</v>
      </c>
      <c r="C352" s="11">
        <v>60.93</v>
      </c>
      <c r="D352" s="11">
        <v>1972</v>
      </c>
    </row>
    <row r="353" spans="1:4" ht="19.95" customHeight="1" x14ac:dyDescent="0.25">
      <c r="A353" s="10" t="s">
        <v>24</v>
      </c>
      <c r="B353" s="11" t="s">
        <v>42</v>
      </c>
      <c r="C353" s="11">
        <v>36</v>
      </c>
      <c r="D353" s="11">
        <v>1972</v>
      </c>
    </row>
    <row r="354" spans="1:4" ht="19.95" customHeight="1" x14ac:dyDescent="0.25">
      <c r="A354" s="10" t="s">
        <v>25</v>
      </c>
      <c r="B354" s="11" t="s">
        <v>42</v>
      </c>
      <c r="C354" s="11">
        <v>27.42</v>
      </c>
      <c r="D354" s="11">
        <v>1972</v>
      </c>
    </row>
    <row r="355" spans="1:4" ht="19.95" customHeight="1" x14ac:dyDescent="0.25">
      <c r="A355" s="10" t="s">
        <v>26</v>
      </c>
      <c r="B355" s="11" t="s">
        <v>42</v>
      </c>
      <c r="C355" s="11"/>
      <c r="D355" s="11">
        <v>1972</v>
      </c>
    </row>
    <row r="356" spans="1:4" ht="19.95" customHeight="1" x14ac:dyDescent="0.25">
      <c r="A356" s="10" t="s">
        <v>27</v>
      </c>
      <c r="B356" s="11" t="s">
        <v>42</v>
      </c>
      <c r="C356" s="11">
        <v>64.63</v>
      </c>
      <c r="D356" s="11">
        <v>1972</v>
      </c>
    </row>
    <row r="357" spans="1:4" ht="19.95" customHeight="1" x14ac:dyDescent="0.25">
      <c r="A357" s="10" t="s">
        <v>29</v>
      </c>
      <c r="B357" s="11" t="s">
        <v>42</v>
      </c>
      <c r="C357" s="11">
        <v>25.12</v>
      </c>
      <c r="D357" s="11">
        <v>1972</v>
      </c>
    </row>
    <row r="358" spans="1:4" ht="19.95" customHeight="1" x14ac:dyDescent="0.25">
      <c r="A358" s="10" t="s">
        <v>30</v>
      </c>
      <c r="B358" s="11" t="s">
        <v>42</v>
      </c>
      <c r="C358" s="11">
        <v>32.119999999999997</v>
      </c>
      <c r="D358" s="11">
        <v>1972</v>
      </c>
    </row>
    <row r="359" spans="1:4" ht="19.95" customHeight="1" x14ac:dyDescent="0.25">
      <c r="A359" s="10" t="s">
        <v>31</v>
      </c>
      <c r="B359" s="11" t="s">
        <v>42</v>
      </c>
      <c r="C359" s="11">
        <v>49.57</v>
      </c>
      <c r="D359" s="11">
        <v>1972</v>
      </c>
    </row>
    <row r="360" spans="1:4" ht="19.95" customHeight="1" x14ac:dyDescent="0.25">
      <c r="A360" s="10" t="s">
        <v>32</v>
      </c>
      <c r="B360" s="11" t="s">
        <v>42</v>
      </c>
      <c r="C360" s="11">
        <v>33.5</v>
      </c>
      <c r="D360" s="11">
        <v>1972</v>
      </c>
    </row>
    <row r="361" spans="1:4" ht="19.95" customHeight="1" x14ac:dyDescent="0.25">
      <c r="A361" s="10" t="s">
        <v>33</v>
      </c>
      <c r="B361" s="11" t="s">
        <v>42</v>
      </c>
      <c r="C361" s="11">
        <v>39.35</v>
      </c>
      <c r="D361" s="11">
        <v>1972</v>
      </c>
    </row>
    <row r="362" spans="1:4" ht="19.95" customHeight="1" x14ac:dyDescent="0.25">
      <c r="A362" s="10" t="s">
        <v>34</v>
      </c>
      <c r="B362" s="11" t="s">
        <v>42</v>
      </c>
      <c r="C362" s="11">
        <v>78.52</v>
      </c>
      <c r="D362" s="11">
        <v>1972</v>
      </c>
    </row>
    <row r="363" spans="1:4" ht="19.95" customHeight="1" x14ac:dyDescent="0.25">
      <c r="A363" s="10" t="s">
        <v>35</v>
      </c>
      <c r="B363" s="11" t="s">
        <v>42</v>
      </c>
      <c r="C363" s="11">
        <v>55.46</v>
      </c>
      <c r="D363" s="11">
        <v>1972</v>
      </c>
    </row>
    <row r="364" spans="1:4" ht="19.95" customHeight="1" x14ac:dyDescent="0.25">
      <c r="A364" s="10" t="s">
        <v>36</v>
      </c>
      <c r="B364" s="11" t="s">
        <v>42</v>
      </c>
      <c r="C364" s="11"/>
      <c r="D364" s="11">
        <v>1972</v>
      </c>
    </row>
    <row r="365" spans="1:4" ht="19.95" customHeight="1" x14ac:dyDescent="0.25">
      <c r="A365" s="10" t="s">
        <v>37</v>
      </c>
      <c r="B365" s="11" t="s">
        <v>42</v>
      </c>
      <c r="C365" s="11">
        <v>34.42</v>
      </c>
      <c r="D365" s="11">
        <v>1972</v>
      </c>
    </row>
    <row r="366" spans="1:4" ht="19.95" customHeight="1" x14ac:dyDescent="0.25">
      <c r="A366" s="10" t="s">
        <v>38</v>
      </c>
      <c r="B366" s="11" t="s">
        <v>42</v>
      </c>
      <c r="C366" s="11">
        <v>55.71</v>
      </c>
      <c r="D366" s="11">
        <v>1972</v>
      </c>
    </row>
    <row r="367" spans="1:4" ht="19.95" customHeight="1" x14ac:dyDescent="0.25">
      <c r="A367" s="10" t="s">
        <v>39</v>
      </c>
      <c r="B367" s="11" t="s">
        <v>42</v>
      </c>
      <c r="C367" s="11">
        <v>46.57</v>
      </c>
      <c r="D367" s="11">
        <v>1972</v>
      </c>
    </row>
    <row r="368" spans="1:4" ht="19.95" customHeight="1" x14ac:dyDescent="0.25">
      <c r="A368" s="10" t="s">
        <v>40</v>
      </c>
      <c r="B368" s="11" t="s">
        <v>42</v>
      </c>
      <c r="C368" s="11">
        <v>78.53</v>
      </c>
      <c r="D368" s="11">
        <v>1972</v>
      </c>
    </row>
    <row r="369" spans="1:4" ht="19.95" customHeight="1" x14ac:dyDescent="0.25">
      <c r="A369" s="10" t="s">
        <v>10</v>
      </c>
      <c r="B369" s="11" t="s">
        <v>42</v>
      </c>
      <c r="C369" s="11">
        <v>79.680000000000007</v>
      </c>
      <c r="D369" s="11">
        <v>1973</v>
      </c>
    </row>
    <row r="370" spans="1:4" ht="19.95" customHeight="1" x14ac:dyDescent="0.25">
      <c r="A370" s="10" t="s">
        <v>13</v>
      </c>
      <c r="B370" s="11" t="s">
        <v>42</v>
      </c>
      <c r="C370" s="11">
        <v>41.53</v>
      </c>
      <c r="D370" s="11">
        <v>1973</v>
      </c>
    </row>
    <row r="371" spans="1:4" ht="19.95" customHeight="1" x14ac:dyDescent="0.25">
      <c r="A371" s="10" t="s">
        <v>15</v>
      </c>
      <c r="B371" s="11" t="s">
        <v>42</v>
      </c>
      <c r="C371" s="11">
        <v>33.340000000000003</v>
      </c>
      <c r="D371" s="11">
        <v>1973</v>
      </c>
    </row>
    <row r="372" spans="1:4" ht="19.95" customHeight="1" x14ac:dyDescent="0.25">
      <c r="A372" s="10" t="s">
        <v>16</v>
      </c>
      <c r="B372" s="11" t="s">
        <v>42</v>
      </c>
      <c r="C372" s="11">
        <v>51.28</v>
      </c>
      <c r="D372" s="11">
        <v>1973</v>
      </c>
    </row>
    <row r="373" spans="1:4" ht="19.95" customHeight="1" x14ac:dyDescent="0.25">
      <c r="A373" s="10" t="s">
        <v>17</v>
      </c>
      <c r="B373" s="11" t="s">
        <v>42</v>
      </c>
      <c r="C373" s="11">
        <v>22.02</v>
      </c>
      <c r="D373" s="11">
        <v>1973</v>
      </c>
    </row>
    <row r="374" spans="1:4" ht="19.95" customHeight="1" x14ac:dyDescent="0.25">
      <c r="A374" s="10" t="s">
        <v>2</v>
      </c>
      <c r="B374" s="11" t="s">
        <v>42</v>
      </c>
      <c r="C374" s="11"/>
      <c r="D374" s="11">
        <v>1973</v>
      </c>
    </row>
    <row r="375" spans="1:4" ht="19.95" customHeight="1" x14ac:dyDescent="0.25">
      <c r="A375" s="10" t="s">
        <v>18</v>
      </c>
      <c r="B375" s="11" t="s">
        <v>42</v>
      </c>
      <c r="C375" s="11">
        <v>43</v>
      </c>
      <c r="D375" s="11">
        <v>1973</v>
      </c>
    </row>
    <row r="376" spans="1:4" ht="19.95" customHeight="1" x14ac:dyDescent="0.25">
      <c r="A376" s="10" t="s">
        <v>19</v>
      </c>
      <c r="B376" s="11" t="s">
        <v>42</v>
      </c>
      <c r="C376" s="11">
        <v>86.21</v>
      </c>
      <c r="D376" s="11">
        <v>1973</v>
      </c>
    </row>
    <row r="377" spans="1:4" ht="19.95" customHeight="1" x14ac:dyDescent="0.25">
      <c r="A377" s="10" t="s">
        <v>20</v>
      </c>
      <c r="B377" s="11" t="s">
        <v>42</v>
      </c>
      <c r="C377" s="11">
        <v>34.479999999999997</v>
      </c>
      <c r="D377" s="11">
        <v>1973</v>
      </c>
    </row>
    <row r="378" spans="1:4" ht="19.95" customHeight="1" x14ac:dyDescent="0.25">
      <c r="A378" s="10" t="s">
        <v>21</v>
      </c>
      <c r="B378" s="11" t="s">
        <v>42</v>
      </c>
      <c r="C378" s="11"/>
      <c r="D378" s="11">
        <v>1973</v>
      </c>
    </row>
    <row r="379" spans="1:4" ht="19.95" customHeight="1" x14ac:dyDescent="0.25">
      <c r="A379" s="10" t="s">
        <v>22</v>
      </c>
      <c r="B379" s="11" t="s">
        <v>42</v>
      </c>
      <c r="C379" s="11">
        <v>68.58</v>
      </c>
      <c r="D379" s="11">
        <v>1973</v>
      </c>
    </row>
    <row r="380" spans="1:4" ht="19.95" customHeight="1" x14ac:dyDescent="0.25">
      <c r="A380" s="10" t="s">
        <v>23</v>
      </c>
      <c r="B380" s="11" t="s">
        <v>42</v>
      </c>
      <c r="C380" s="11">
        <v>61.28</v>
      </c>
      <c r="D380" s="11">
        <v>1973</v>
      </c>
    </row>
    <row r="381" spans="1:4" ht="19.95" customHeight="1" x14ac:dyDescent="0.25">
      <c r="A381" s="10" t="s">
        <v>24</v>
      </c>
      <c r="B381" s="11" t="s">
        <v>42</v>
      </c>
      <c r="C381" s="11">
        <v>38.42</v>
      </c>
      <c r="D381" s="11">
        <v>1973</v>
      </c>
    </row>
    <row r="382" spans="1:4" ht="19.95" customHeight="1" x14ac:dyDescent="0.25">
      <c r="A382" s="10" t="s">
        <v>25</v>
      </c>
      <c r="B382" s="11" t="s">
        <v>42</v>
      </c>
      <c r="C382" s="11">
        <v>25.11</v>
      </c>
      <c r="D382" s="11">
        <v>1973</v>
      </c>
    </row>
    <row r="383" spans="1:4" ht="19.95" customHeight="1" x14ac:dyDescent="0.25">
      <c r="A383" s="10" t="s">
        <v>26</v>
      </c>
      <c r="B383" s="11" t="s">
        <v>42</v>
      </c>
      <c r="C383" s="11"/>
      <c r="D383" s="11">
        <v>1973</v>
      </c>
    </row>
    <row r="384" spans="1:4" ht="19.95" customHeight="1" x14ac:dyDescent="0.25">
      <c r="A384" s="10" t="s">
        <v>27</v>
      </c>
      <c r="B384" s="11" t="s">
        <v>42</v>
      </c>
      <c r="C384" s="11">
        <v>68.400000000000006</v>
      </c>
      <c r="D384" s="11">
        <v>1973</v>
      </c>
    </row>
    <row r="385" spans="1:4" ht="19.95" customHeight="1" x14ac:dyDescent="0.25">
      <c r="A385" s="10" t="s">
        <v>29</v>
      </c>
      <c r="B385" s="11" t="s">
        <v>42</v>
      </c>
      <c r="C385" s="11">
        <v>27.45</v>
      </c>
      <c r="D385" s="11">
        <v>1973</v>
      </c>
    </row>
    <row r="386" spans="1:4" ht="19.95" customHeight="1" x14ac:dyDescent="0.25">
      <c r="A386" s="10" t="s">
        <v>30</v>
      </c>
      <c r="B386" s="11" t="s">
        <v>42</v>
      </c>
      <c r="C386" s="11">
        <v>35.44</v>
      </c>
      <c r="D386" s="11">
        <v>1973</v>
      </c>
    </row>
    <row r="387" spans="1:4" ht="19.95" customHeight="1" x14ac:dyDescent="0.25">
      <c r="A387" s="10" t="s">
        <v>31</v>
      </c>
      <c r="B387" s="11" t="s">
        <v>42</v>
      </c>
      <c r="C387" s="11">
        <v>49.91</v>
      </c>
      <c r="D387" s="11">
        <v>1973</v>
      </c>
    </row>
    <row r="388" spans="1:4" ht="19.95" customHeight="1" x14ac:dyDescent="0.25">
      <c r="A388" s="10" t="s">
        <v>32</v>
      </c>
      <c r="B388" s="11" t="s">
        <v>42</v>
      </c>
      <c r="C388" s="11">
        <v>24.63</v>
      </c>
      <c r="D388" s="11">
        <v>1973</v>
      </c>
    </row>
    <row r="389" spans="1:4" ht="19.95" customHeight="1" x14ac:dyDescent="0.25">
      <c r="A389" s="10" t="s">
        <v>33</v>
      </c>
      <c r="B389" s="11" t="s">
        <v>42</v>
      </c>
      <c r="C389" s="11">
        <v>41.02</v>
      </c>
      <c r="D389" s="11">
        <v>1973</v>
      </c>
    </row>
    <row r="390" spans="1:4" ht="19.95" customHeight="1" x14ac:dyDescent="0.25">
      <c r="A390" s="10" t="s">
        <v>34</v>
      </c>
      <c r="B390" s="11" t="s">
        <v>42</v>
      </c>
      <c r="C390" s="11">
        <v>82.15</v>
      </c>
      <c r="D390" s="11">
        <v>1973</v>
      </c>
    </row>
    <row r="391" spans="1:4" ht="19.95" customHeight="1" x14ac:dyDescent="0.25">
      <c r="A391" s="10" t="s">
        <v>35</v>
      </c>
      <c r="B391" s="11" t="s">
        <v>42</v>
      </c>
      <c r="C391" s="11">
        <v>54.14</v>
      </c>
      <c r="D391" s="11">
        <v>1973</v>
      </c>
    </row>
    <row r="392" spans="1:4" ht="19.95" customHeight="1" x14ac:dyDescent="0.25">
      <c r="A392" s="10" t="s">
        <v>36</v>
      </c>
      <c r="B392" s="11" t="s">
        <v>42</v>
      </c>
      <c r="C392" s="11"/>
      <c r="D392" s="11">
        <v>1973</v>
      </c>
    </row>
    <row r="393" spans="1:4" ht="19.95" customHeight="1" x14ac:dyDescent="0.25">
      <c r="A393" s="10" t="s">
        <v>37</v>
      </c>
      <c r="B393" s="11" t="s">
        <v>42</v>
      </c>
      <c r="C393" s="11">
        <v>36.369999999999997</v>
      </c>
      <c r="D393" s="11">
        <v>1973</v>
      </c>
    </row>
    <row r="394" spans="1:4" ht="19.95" customHeight="1" x14ac:dyDescent="0.25">
      <c r="A394" s="10" t="s">
        <v>38</v>
      </c>
      <c r="B394" s="11" t="s">
        <v>42</v>
      </c>
      <c r="C394" s="11">
        <v>54.96</v>
      </c>
      <c r="D394" s="11">
        <v>1973</v>
      </c>
    </row>
    <row r="395" spans="1:4" ht="19.95" customHeight="1" x14ac:dyDescent="0.25">
      <c r="A395" s="10" t="s">
        <v>39</v>
      </c>
      <c r="B395" s="11" t="s">
        <v>42</v>
      </c>
      <c r="C395" s="11">
        <v>42.07</v>
      </c>
      <c r="D395" s="11">
        <v>1973</v>
      </c>
    </row>
    <row r="396" spans="1:4" ht="19.95" customHeight="1" x14ac:dyDescent="0.25">
      <c r="A396" s="10" t="s">
        <v>40</v>
      </c>
      <c r="B396" s="11" t="s">
        <v>42</v>
      </c>
      <c r="C396" s="11">
        <v>63.91</v>
      </c>
      <c r="D396" s="11">
        <v>1973</v>
      </c>
    </row>
    <row r="397" spans="1:4" ht="19.95" customHeight="1" x14ac:dyDescent="0.25">
      <c r="A397" s="10" t="s">
        <v>10</v>
      </c>
      <c r="B397" s="11" t="s">
        <v>42</v>
      </c>
      <c r="C397" s="11">
        <v>73.89</v>
      </c>
      <c r="D397" s="11">
        <v>1974</v>
      </c>
    </row>
    <row r="398" spans="1:4" ht="19.95" customHeight="1" x14ac:dyDescent="0.25">
      <c r="A398" s="10" t="s">
        <v>13</v>
      </c>
      <c r="B398" s="11" t="s">
        <v>42</v>
      </c>
      <c r="C398" s="11">
        <v>44.75</v>
      </c>
      <c r="D398" s="11">
        <v>1974</v>
      </c>
    </row>
    <row r="399" spans="1:4" ht="19.95" customHeight="1" x14ac:dyDescent="0.25">
      <c r="A399" s="10" t="s">
        <v>15</v>
      </c>
      <c r="B399" s="11" t="s">
        <v>42</v>
      </c>
      <c r="C399" s="11">
        <v>34.08</v>
      </c>
      <c r="D399" s="11">
        <v>1974</v>
      </c>
    </row>
    <row r="400" spans="1:4" ht="19.95" customHeight="1" x14ac:dyDescent="0.25">
      <c r="A400" s="10" t="s">
        <v>16</v>
      </c>
      <c r="B400" s="11" t="s">
        <v>42</v>
      </c>
      <c r="C400" s="11">
        <v>54.98</v>
      </c>
      <c r="D400" s="11">
        <v>1974</v>
      </c>
    </row>
    <row r="401" spans="1:4" ht="19.95" customHeight="1" x14ac:dyDescent="0.25">
      <c r="A401" s="10" t="s">
        <v>17</v>
      </c>
      <c r="B401" s="11" t="s">
        <v>42</v>
      </c>
      <c r="C401" s="11">
        <v>23.5</v>
      </c>
      <c r="D401" s="11">
        <v>1974</v>
      </c>
    </row>
    <row r="402" spans="1:4" ht="19.95" customHeight="1" x14ac:dyDescent="0.25">
      <c r="A402" s="10" t="s">
        <v>2</v>
      </c>
      <c r="B402" s="11" t="s">
        <v>42</v>
      </c>
      <c r="C402" s="11"/>
      <c r="D402" s="11">
        <v>1974</v>
      </c>
    </row>
    <row r="403" spans="1:4" ht="19.95" customHeight="1" x14ac:dyDescent="0.25">
      <c r="A403" s="10" t="s">
        <v>18</v>
      </c>
      <c r="B403" s="11" t="s">
        <v>42</v>
      </c>
      <c r="C403" s="11">
        <v>43.47</v>
      </c>
      <c r="D403" s="11">
        <v>1974</v>
      </c>
    </row>
    <row r="404" spans="1:4" ht="19.95" customHeight="1" x14ac:dyDescent="0.25">
      <c r="A404" s="10" t="s">
        <v>19</v>
      </c>
      <c r="B404" s="11" t="s">
        <v>42</v>
      </c>
      <c r="C404" s="11">
        <v>88.2</v>
      </c>
      <c r="D404" s="11">
        <v>1974</v>
      </c>
    </row>
    <row r="405" spans="1:4" ht="19.95" customHeight="1" x14ac:dyDescent="0.25">
      <c r="A405" s="10" t="s">
        <v>20</v>
      </c>
      <c r="B405" s="11" t="s">
        <v>42</v>
      </c>
      <c r="C405" s="11">
        <v>35.17</v>
      </c>
      <c r="D405" s="11">
        <v>1974</v>
      </c>
    </row>
    <row r="406" spans="1:4" ht="19.95" customHeight="1" x14ac:dyDescent="0.25">
      <c r="A406" s="10" t="s">
        <v>21</v>
      </c>
      <c r="B406" s="11" t="s">
        <v>42</v>
      </c>
      <c r="C406" s="11"/>
      <c r="D406" s="11">
        <v>1974</v>
      </c>
    </row>
    <row r="407" spans="1:4" ht="19.95" customHeight="1" x14ac:dyDescent="0.25">
      <c r="A407" s="10" t="s">
        <v>22</v>
      </c>
      <c r="B407" s="11" t="s">
        <v>42</v>
      </c>
      <c r="C407" s="11">
        <v>74.760000000000005</v>
      </c>
      <c r="D407" s="11">
        <v>1974</v>
      </c>
    </row>
    <row r="408" spans="1:4" ht="19.95" customHeight="1" x14ac:dyDescent="0.25">
      <c r="A408" s="10" t="s">
        <v>23</v>
      </c>
      <c r="B408" s="11" t="s">
        <v>42</v>
      </c>
      <c r="C408" s="11">
        <v>68.72</v>
      </c>
      <c r="D408" s="11">
        <v>1974</v>
      </c>
    </row>
    <row r="409" spans="1:4" ht="19.95" customHeight="1" x14ac:dyDescent="0.25">
      <c r="A409" s="10" t="s">
        <v>24</v>
      </c>
      <c r="B409" s="11" t="s">
        <v>42</v>
      </c>
      <c r="C409" s="11">
        <v>38.64</v>
      </c>
      <c r="D409" s="11">
        <v>1974</v>
      </c>
    </row>
    <row r="410" spans="1:4" ht="19.95" customHeight="1" x14ac:dyDescent="0.25">
      <c r="A410" s="10" t="s">
        <v>25</v>
      </c>
      <c r="B410" s="11" t="s">
        <v>42</v>
      </c>
      <c r="C410" s="11">
        <v>28.59</v>
      </c>
      <c r="D410" s="11">
        <v>1974</v>
      </c>
    </row>
    <row r="411" spans="1:4" ht="19.95" customHeight="1" x14ac:dyDescent="0.25">
      <c r="A411" s="10" t="s">
        <v>26</v>
      </c>
      <c r="B411" s="11" t="s">
        <v>42</v>
      </c>
      <c r="C411" s="11"/>
      <c r="D411" s="11">
        <v>1974</v>
      </c>
    </row>
    <row r="412" spans="1:4" ht="19.95" customHeight="1" x14ac:dyDescent="0.25">
      <c r="A412" s="10" t="s">
        <v>27</v>
      </c>
      <c r="B412" s="11" t="s">
        <v>42</v>
      </c>
      <c r="C412" s="11">
        <v>66.209999999999994</v>
      </c>
      <c r="D412" s="11">
        <v>1974</v>
      </c>
    </row>
    <row r="413" spans="1:4" ht="19.95" customHeight="1" x14ac:dyDescent="0.25">
      <c r="A413" s="10" t="s">
        <v>29</v>
      </c>
      <c r="B413" s="11" t="s">
        <v>42</v>
      </c>
      <c r="C413" s="11">
        <v>27.76</v>
      </c>
      <c r="D413" s="11">
        <v>1974</v>
      </c>
    </row>
    <row r="414" spans="1:4" ht="19.95" customHeight="1" x14ac:dyDescent="0.25">
      <c r="A414" s="10" t="s">
        <v>30</v>
      </c>
      <c r="B414" s="11" t="s">
        <v>42</v>
      </c>
      <c r="C414" s="11">
        <v>36.51</v>
      </c>
      <c r="D414" s="11">
        <v>1974</v>
      </c>
    </row>
    <row r="415" spans="1:4" ht="19.95" customHeight="1" x14ac:dyDescent="0.25">
      <c r="A415" s="10" t="s">
        <v>31</v>
      </c>
      <c r="B415" s="11" t="s">
        <v>42</v>
      </c>
      <c r="C415" s="11">
        <v>52.16</v>
      </c>
      <c r="D415" s="11">
        <v>1974</v>
      </c>
    </row>
    <row r="416" spans="1:4" ht="19.95" customHeight="1" x14ac:dyDescent="0.25">
      <c r="A416" s="10" t="s">
        <v>32</v>
      </c>
      <c r="B416" s="11" t="s">
        <v>42</v>
      </c>
      <c r="C416" s="11">
        <v>28.98</v>
      </c>
      <c r="D416" s="11">
        <v>1974</v>
      </c>
    </row>
    <row r="417" spans="1:4" ht="19.95" customHeight="1" x14ac:dyDescent="0.25">
      <c r="A417" s="10" t="s">
        <v>33</v>
      </c>
      <c r="B417" s="11" t="s">
        <v>42</v>
      </c>
      <c r="C417" s="11">
        <v>39.24</v>
      </c>
      <c r="D417" s="11">
        <v>1974</v>
      </c>
    </row>
    <row r="418" spans="1:4" ht="19.95" customHeight="1" x14ac:dyDescent="0.25">
      <c r="A418" s="10" t="s">
        <v>34</v>
      </c>
      <c r="B418" s="11" t="s">
        <v>42</v>
      </c>
      <c r="C418" s="11">
        <v>77.78</v>
      </c>
      <c r="D418" s="11">
        <v>1974</v>
      </c>
    </row>
    <row r="419" spans="1:4" ht="19.95" customHeight="1" x14ac:dyDescent="0.25">
      <c r="A419" s="10" t="s">
        <v>35</v>
      </c>
      <c r="B419" s="11" t="s">
        <v>42</v>
      </c>
      <c r="C419" s="11">
        <v>60.88</v>
      </c>
      <c r="D419" s="11">
        <v>1974</v>
      </c>
    </row>
    <row r="420" spans="1:4" ht="19.95" customHeight="1" x14ac:dyDescent="0.25">
      <c r="A420" s="10" t="s">
        <v>36</v>
      </c>
      <c r="B420" s="11" t="s">
        <v>42</v>
      </c>
      <c r="C420" s="11"/>
      <c r="D420" s="11">
        <v>1974</v>
      </c>
    </row>
    <row r="421" spans="1:4" ht="19.95" customHeight="1" x14ac:dyDescent="0.25">
      <c r="A421" s="10" t="s">
        <v>37</v>
      </c>
      <c r="B421" s="11" t="s">
        <v>42</v>
      </c>
      <c r="C421" s="11">
        <v>36.44</v>
      </c>
      <c r="D421" s="11">
        <v>1974</v>
      </c>
    </row>
    <row r="422" spans="1:4" ht="19.95" customHeight="1" x14ac:dyDescent="0.25">
      <c r="A422" s="10" t="s">
        <v>38</v>
      </c>
      <c r="B422" s="11" t="s">
        <v>42</v>
      </c>
      <c r="C422" s="11">
        <v>58.53</v>
      </c>
      <c r="D422" s="11">
        <v>1974</v>
      </c>
    </row>
    <row r="423" spans="1:4" ht="19.95" customHeight="1" x14ac:dyDescent="0.25">
      <c r="A423" s="10" t="s">
        <v>39</v>
      </c>
      <c r="B423" s="11" t="s">
        <v>42</v>
      </c>
      <c r="C423" s="11">
        <v>44.83</v>
      </c>
      <c r="D423" s="11">
        <v>1974</v>
      </c>
    </row>
    <row r="424" spans="1:4" ht="19.95" customHeight="1" x14ac:dyDescent="0.25">
      <c r="A424" s="10" t="s">
        <v>40</v>
      </c>
      <c r="B424" s="11" t="s">
        <v>42</v>
      </c>
      <c r="C424" s="11">
        <v>77.260000000000005</v>
      </c>
      <c r="D424" s="11">
        <v>1974</v>
      </c>
    </row>
    <row r="425" spans="1:4" ht="19.95" customHeight="1" x14ac:dyDescent="0.25">
      <c r="A425" s="10" t="s">
        <v>10</v>
      </c>
      <c r="B425" s="11" t="s">
        <v>42</v>
      </c>
      <c r="C425" s="11">
        <v>81.12</v>
      </c>
      <c r="D425" s="11">
        <v>1975</v>
      </c>
    </row>
    <row r="426" spans="1:4" ht="19.95" customHeight="1" x14ac:dyDescent="0.25">
      <c r="A426" s="10" t="s">
        <v>13</v>
      </c>
      <c r="B426" s="11" t="s">
        <v>42</v>
      </c>
      <c r="C426" s="11">
        <v>44.89</v>
      </c>
      <c r="D426" s="11">
        <v>1975</v>
      </c>
    </row>
    <row r="427" spans="1:4" ht="19.95" customHeight="1" x14ac:dyDescent="0.25">
      <c r="A427" s="10" t="s">
        <v>15</v>
      </c>
      <c r="B427" s="11" t="s">
        <v>42</v>
      </c>
      <c r="C427" s="11">
        <v>36.39</v>
      </c>
      <c r="D427" s="11">
        <v>1975</v>
      </c>
    </row>
    <row r="428" spans="1:4" ht="19.95" customHeight="1" x14ac:dyDescent="0.25">
      <c r="A428" s="10" t="s">
        <v>16</v>
      </c>
      <c r="B428" s="11" t="s">
        <v>42</v>
      </c>
      <c r="C428" s="11">
        <v>55.22</v>
      </c>
      <c r="D428" s="11">
        <v>1975</v>
      </c>
    </row>
    <row r="429" spans="1:4" ht="19.95" customHeight="1" x14ac:dyDescent="0.25">
      <c r="A429" s="10" t="s">
        <v>17</v>
      </c>
      <c r="B429" s="11" t="s">
        <v>42</v>
      </c>
      <c r="C429" s="11">
        <v>23.89</v>
      </c>
      <c r="D429" s="11">
        <v>1975</v>
      </c>
    </row>
    <row r="430" spans="1:4" ht="19.95" customHeight="1" x14ac:dyDescent="0.25">
      <c r="A430" s="10" t="s">
        <v>2</v>
      </c>
      <c r="B430" s="11" t="s">
        <v>42</v>
      </c>
      <c r="C430" s="11"/>
      <c r="D430" s="11">
        <v>1975</v>
      </c>
    </row>
    <row r="431" spans="1:4" ht="19.95" customHeight="1" x14ac:dyDescent="0.25">
      <c r="A431" s="10" t="s">
        <v>18</v>
      </c>
      <c r="B431" s="11" t="s">
        <v>42</v>
      </c>
      <c r="C431" s="11">
        <v>44.39</v>
      </c>
      <c r="D431" s="11">
        <v>1975</v>
      </c>
    </row>
    <row r="432" spans="1:4" ht="19.95" customHeight="1" x14ac:dyDescent="0.25">
      <c r="A432" s="10" t="s">
        <v>19</v>
      </c>
      <c r="B432" s="11" t="s">
        <v>42</v>
      </c>
      <c r="C432" s="11">
        <v>89.25</v>
      </c>
      <c r="D432" s="11">
        <v>1975</v>
      </c>
    </row>
    <row r="433" spans="1:4" ht="19.95" customHeight="1" x14ac:dyDescent="0.25">
      <c r="A433" s="10" t="s">
        <v>20</v>
      </c>
      <c r="B433" s="11" t="s">
        <v>42</v>
      </c>
      <c r="C433" s="11">
        <v>35.58</v>
      </c>
      <c r="D433" s="11">
        <v>1975</v>
      </c>
    </row>
    <row r="434" spans="1:4" ht="19.95" customHeight="1" x14ac:dyDescent="0.25">
      <c r="A434" s="10" t="s">
        <v>21</v>
      </c>
      <c r="B434" s="11" t="s">
        <v>42</v>
      </c>
      <c r="C434" s="11"/>
      <c r="D434" s="11">
        <v>1975</v>
      </c>
    </row>
    <row r="435" spans="1:4" ht="19.95" customHeight="1" x14ac:dyDescent="0.25">
      <c r="A435" s="10" t="s">
        <v>22</v>
      </c>
      <c r="B435" s="11" t="s">
        <v>42</v>
      </c>
      <c r="C435" s="11">
        <v>73.7</v>
      </c>
      <c r="D435" s="11">
        <v>1975</v>
      </c>
    </row>
    <row r="436" spans="1:4" ht="19.95" customHeight="1" x14ac:dyDescent="0.25">
      <c r="A436" s="10" t="s">
        <v>23</v>
      </c>
      <c r="B436" s="11" t="s">
        <v>42</v>
      </c>
      <c r="C436" s="11">
        <v>67.510000000000005</v>
      </c>
      <c r="D436" s="11">
        <v>1975</v>
      </c>
    </row>
    <row r="437" spans="1:4" ht="19.95" customHeight="1" x14ac:dyDescent="0.25">
      <c r="A437" s="10" t="s">
        <v>24</v>
      </c>
      <c r="B437" s="11" t="s">
        <v>42</v>
      </c>
      <c r="C437" s="11">
        <v>37.51</v>
      </c>
      <c r="D437" s="11">
        <v>1975</v>
      </c>
    </row>
    <row r="438" spans="1:4" ht="19.95" customHeight="1" x14ac:dyDescent="0.25">
      <c r="A438" s="10" t="s">
        <v>25</v>
      </c>
      <c r="B438" s="11" t="s">
        <v>42</v>
      </c>
      <c r="C438" s="11">
        <v>32.47</v>
      </c>
      <c r="D438" s="11">
        <v>1975</v>
      </c>
    </row>
    <row r="439" spans="1:4" ht="19.95" customHeight="1" x14ac:dyDescent="0.25">
      <c r="A439" s="10" t="s">
        <v>26</v>
      </c>
      <c r="B439" s="11" t="s">
        <v>42</v>
      </c>
      <c r="C439" s="11"/>
      <c r="D439" s="11">
        <v>1975</v>
      </c>
    </row>
    <row r="440" spans="1:4" ht="19.95" customHeight="1" x14ac:dyDescent="0.25">
      <c r="A440" s="10" t="s">
        <v>27</v>
      </c>
      <c r="B440" s="11" t="s">
        <v>42</v>
      </c>
      <c r="C440" s="11">
        <v>61.14</v>
      </c>
      <c r="D440" s="11">
        <v>1975</v>
      </c>
    </row>
    <row r="441" spans="1:4" ht="19.95" customHeight="1" x14ac:dyDescent="0.25">
      <c r="A441" s="10" t="s">
        <v>29</v>
      </c>
      <c r="B441" s="11" t="s">
        <v>42</v>
      </c>
      <c r="C441" s="11">
        <v>29.13</v>
      </c>
      <c r="D441" s="11">
        <v>1975</v>
      </c>
    </row>
    <row r="442" spans="1:4" ht="19.95" customHeight="1" x14ac:dyDescent="0.25">
      <c r="A442" s="10" t="s">
        <v>30</v>
      </c>
      <c r="B442" s="11" t="s">
        <v>42</v>
      </c>
      <c r="C442" s="11">
        <v>38.200000000000003</v>
      </c>
      <c r="D442" s="11">
        <v>1975</v>
      </c>
    </row>
    <row r="443" spans="1:4" ht="19.95" customHeight="1" x14ac:dyDescent="0.25">
      <c r="A443" s="10" t="s">
        <v>31</v>
      </c>
      <c r="B443" s="11" t="s">
        <v>42</v>
      </c>
      <c r="C443" s="11">
        <v>57.58</v>
      </c>
      <c r="D443" s="11">
        <v>1975</v>
      </c>
    </row>
    <row r="444" spans="1:4" ht="19.95" customHeight="1" x14ac:dyDescent="0.25">
      <c r="A444" s="10" t="s">
        <v>32</v>
      </c>
      <c r="B444" s="11" t="s">
        <v>42</v>
      </c>
      <c r="C444" s="11">
        <v>27.58</v>
      </c>
      <c r="D444" s="11">
        <v>1975</v>
      </c>
    </row>
    <row r="445" spans="1:4" ht="19.95" customHeight="1" x14ac:dyDescent="0.25">
      <c r="A445" s="10" t="s">
        <v>33</v>
      </c>
      <c r="B445" s="11" t="s">
        <v>42</v>
      </c>
      <c r="C445" s="11">
        <v>44.02</v>
      </c>
      <c r="D445" s="11">
        <v>1975</v>
      </c>
    </row>
    <row r="446" spans="1:4" ht="19.95" customHeight="1" x14ac:dyDescent="0.25">
      <c r="A446" s="10" t="s">
        <v>34</v>
      </c>
      <c r="B446" s="11" t="s">
        <v>42</v>
      </c>
      <c r="C446" s="11">
        <v>65.22</v>
      </c>
      <c r="D446" s="11">
        <v>1975</v>
      </c>
    </row>
    <row r="447" spans="1:4" ht="19.95" customHeight="1" x14ac:dyDescent="0.25">
      <c r="A447" s="10" t="s">
        <v>35</v>
      </c>
      <c r="B447" s="11" t="s">
        <v>42</v>
      </c>
      <c r="C447" s="11">
        <v>62.73</v>
      </c>
      <c r="D447" s="11">
        <v>1975</v>
      </c>
    </row>
    <row r="448" spans="1:4" ht="19.95" customHeight="1" x14ac:dyDescent="0.25">
      <c r="A448" s="10" t="s">
        <v>36</v>
      </c>
      <c r="B448" s="11" t="s">
        <v>42</v>
      </c>
      <c r="C448" s="11"/>
      <c r="D448" s="11">
        <v>1975</v>
      </c>
    </row>
    <row r="449" spans="1:4" ht="19.95" customHeight="1" x14ac:dyDescent="0.25">
      <c r="A449" s="10" t="s">
        <v>37</v>
      </c>
      <c r="B449" s="11" t="s">
        <v>42</v>
      </c>
      <c r="C449" s="11">
        <v>41.34</v>
      </c>
      <c r="D449" s="11">
        <v>1975</v>
      </c>
    </row>
    <row r="450" spans="1:4" ht="19.95" customHeight="1" x14ac:dyDescent="0.25">
      <c r="A450" s="10" t="s">
        <v>38</v>
      </c>
      <c r="B450" s="11" t="s">
        <v>42</v>
      </c>
      <c r="C450" s="11">
        <v>63.35</v>
      </c>
      <c r="D450" s="11">
        <v>1975</v>
      </c>
    </row>
    <row r="451" spans="1:4" ht="19.95" customHeight="1" x14ac:dyDescent="0.25">
      <c r="A451" s="10" t="s">
        <v>39</v>
      </c>
      <c r="B451" s="11" t="s">
        <v>42</v>
      </c>
      <c r="C451" s="11">
        <v>52.9</v>
      </c>
      <c r="D451" s="11">
        <v>1975</v>
      </c>
    </row>
    <row r="452" spans="1:4" ht="19.95" customHeight="1" x14ac:dyDescent="0.25">
      <c r="A452" s="10" t="s">
        <v>40</v>
      </c>
      <c r="B452" s="11" t="s">
        <v>42</v>
      </c>
      <c r="C452" s="11">
        <v>71.39</v>
      </c>
      <c r="D452" s="11">
        <v>1975</v>
      </c>
    </row>
    <row r="453" spans="1:4" ht="19.95" customHeight="1" x14ac:dyDescent="0.25">
      <c r="A453" s="10" t="s">
        <v>10</v>
      </c>
      <c r="B453" s="11" t="s">
        <v>42</v>
      </c>
      <c r="C453" s="11">
        <v>82.79</v>
      </c>
      <c r="D453" s="11">
        <v>1976</v>
      </c>
    </row>
    <row r="454" spans="1:4" ht="19.95" customHeight="1" x14ac:dyDescent="0.25">
      <c r="A454" s="10" t="s">
        <v>13</v>
      </c>
      <c r="B454" s="11" t="s">
        <v>42</v>
      </c>
      <c r="C454" s="11">
        <v>43.36</v>
      </c>
      <c r="D454" s="11">
        <v>1976</v>
      </c>
    </row>
    <row r="455" spans="1:4" ht="19.95" customHeight="1" x14ac:dyDescent="0.25">
      <c r="A455" s="10" t="s">
        <v>15</v>
      </c>
      <c r="B455" s="11" t="s">
        <v>42</v>
      </c>
      <c r="C455" s="11">
        <v>37.659999999999997</v>
      </c>
      <c r="D455" s="11">
        <v>1976</v>
      </c>
    </row>
    <row r="456" spans="1:4" ht="19.95" customHeight="1" x14ac:dyDescent="0.25">
      <c r="A456" s="10" t="s">
        <v>16</v>
      </c>
      <c r="B456" s="11" t="s">
        <v>42</v>
      </c>
      <c r="C456" s="11">
        <v>55.08</v>
      </c>
      <c r="D456" s="11">
        <v>1976</v>
      </c>
    </row>
    <row r="457" spans="1:4" ht="19.95" customHeight="1" x14ac:dyDescent="0.25">
      <c r="A457" s="10" t="s">
        <v>17</v>
      </c>
      <c r="B457" s="11" t="s">
        <v>42</v>
      </c>
      <c r="C457" s="11">
        <v>26.81</v>
      </c>
      <c r="D457" s="11">
        <v>1976</v>
      </c>
    </row>
    <row r="458" spans="1:4" ht="19.95" customHeight="1" x14ac:dyDescent="0.25">
      <c r="A458" s="10" t="s">
        <v>2</v>
      </c>
      <c r="B458" s="11" t="s">
        <v>42</v>
      </c>
      <c r="C458" s="11"/>
      <c r="D458" s="11">
        <v>1976</v>
      </c>
    </row>
    <row r="459" spans="1:4" ht="19.95" customHeight="1" x14ac:dyDescent="0.25">
      <c r="A459" s="10" t="s">
        <v>18</v>
      </c>
      <c r="B459" s="11" t="s">
        <v>42</v>
      </c>
      <c r="C459" s="11">
        <v>46.21</v>
      </c>
      <c r="D459" s="11">
        <v>1976</v>
      </c>
    </row>
    <row r="460" spans="1:4" ht="19.95" customHeight="1" x14ac:dyDescent="0.25">
      <c r="A460" s="10" t="s">
        <v>19</v>
      </c>
      <c r="B460" s="11" t="s">
        <v>42</v>
      </c>
      <c r="C460" s="11">
        <v>91.67</v>
      </c>
      <c r="D460" s="11">
        <v>1976</v>
      </c>
    </row>
    <row r="461" spans="1:4" ht="19.95" customHeight="1" x14ac:dyDescent="0.25">
      <c r="A461" s="10" t="s">
        <v>20</v>
      </c>
      <c r="B461" s="11" t="s">
        <v>42</v>
      </c>
      <c r="C461" s="11">
        <v>38.299999999999997</v>
      </c>
      <c r="D461" s="11">
        <v>1976</v>
      </c>
    </row>
    <row r="462" spans="1:4" ht="19.95" customHeight="1" x14ac:dyDescent="0.25">
      <c r="A462" s="10" t="s">
        <v>21</v>
      </c>
      <c r="B462" s="11" t="s">
        <v>42</v>
      </c>
      <c r="C462" s="11"/>
      <c r="D462" s="11">
        <v>1976</v>
      </c>
    </row>
    <row r="463" spans="1:4" ht="19.95" customHeight="1" x14ac:dyDescent="0.25">
      <c r="A463" s="10" t="s">
        <v>22</v>
      </c>
      <c r="B463" s="11" t="s">
        <v>42</v>
      </c>
      <c r="C463" s="11">
        <v>77.5</v>
      </c>
      <c r="D463" s="11">
        <v>1976</v>
      </c>
    </row>
    <row r="464" spans="1:4" ht="19.95" customHeight="1" x14ac:dyDescent="0.25">
      <c r="A464" s="10" t="s">
        <v>23</v>
      </c>
      <c r="B464" s="11" t="s">
        <v>42</v>
      </c>
      <c r="C464" s="11">
        <v>68.81</v>
      </c>
      <c r="D464" s="11">
        <v>1976</v>
      </c>
    </row>
    <row r="465" spans="1:4" ht="19.95" customHeight="1" x14ac:dyDescent="0.25">
      <c r="A465" s="10" t="s">
        <v>24</v>
      </c>
      <c r="B465" s="11" t="s">
        <v>42</v>
      </c>
      <c r="C465" s="11">
        <v>40.21</v>
      </c>
      <c r="D465" s="11">
        <v>1976</v>
      </c>
    </row>
    <row r="466" spans="1:4" ht="19.95" customHeight="1" x14ac:dyDescent="0.25">
      <c r="A466" s="10" t="s">
        <v>25</v>
      </c>
      <c r="B466" s="11" t="s">
        <v>42</v>
      </c>
      <c r="C466" s="11">
        <v>33.520000000000003</v>
      </c>
      <c r="D466" s="11">
        <v>1976</v>
      </c>
    </row>
    <row r="467" spans="1:4" ht="19.95" customHeight="1" x14ac:dyDescent="0.25">
      <c r="A467" s="10" t="s">
        <v>26</v>
      </c>
      <c r="B467" s="11" t="s">
        <v>42</v>
      </c>
      <c r="C467" s="11"/>
      <c r="D467" s="11">
        <v>1976</v>
      </c>
    </row>
    <row r="468" spans="1:4" ht="19.95" customHeight="1" x14ac:dyDescent="0.25">
      <c r="A468" s="10" t="s">
        <v>27</v>
      </c>
      <c r="B468" s="11" t="s">
        <v>42</v>
      </c>
      <c r="C468" s="11">
        <v>57.92</v>
      </c>
      <c r="D468" s="11">
        <v>1976</v>
      </c>
    </row>
    <row r="469" spans="1:4" ht="19.95" customHeight="1" x14ac:dyDescent="0.25">
      <c r="A469" s="10" t="s">
        <v>29</v>
      </c>
      <c r="B469" s="11" t="s">
        <v>42</v>
      </c>
      <c r="C469" s="11">
        <v>29.6</v>
      </c>
      <c r="D469" s="11">
        <v>1976</v>
      </c>
    </row>
    <row r="470" spans="1:4" ht="19.95" customHeight="1" x14ac:dyDescent="0.25">
      <c r="A470" s="10" t="s">
        <v>30</v>
      </c>
      <c r="B470" s="11" t="s">
        <v>42</v>
      </c>
      <c r="C470" s="11">
        <v>37.54</v>
      </c>
      <c r="D470" s="11">
        <v>1976</v>
      </c>
    </row>
    <row r="471" spans="1:4" ht="19.95" customHeight="1" x14ac:dyDescent="0.25">
      <c r="A471" s="10" t="s">
        <v>31</v>
      </c>
      <c r="B471" s="11" t="s">
        <v>42</v>
      </c>
      <c r="C471" s="11">
        <v>60.25</v>
      </c>
      <c r="D471" s="11">
        <v>1976</v>
      </c>
    </row>
    <row r="472" spans="1:4" ht="19.95" customHeight="1" x14ac:dyDescent="0.25">
      <c r="A472" s="10" t="s">
        <v>32</v>
      </c>
      <c r="B472" s="11" t="s">
        <v>42</v>
      </c>
      <c r="C472" s="11">
        <v>32.67</v>
      </c>
      <c r="D472" s="11">
        <v>1976</v>
      </c>
    </row>
    <row r="473" spans="1:4" ht="19.95" customHeight="1" x14ac:dyDescent="0.25">
      <c r="A473" s="10" t="s">
        <v>33</v>
      </c>
      <c r="B473" s="11" t="s">
        <v>42</v>
      </c>
      <c r="C473" s="11">
        <v>46.59</v>
      </c>
      <c r="D473" s="11">
        <v>1976</v>
      </c>
    </row>
    <row r="474" spans="1:4" ht="19.95" customHeight="1" x14ac:dyDescent="0.25">
      <c r="A474" s="10" t="s">
        <v>34</v>
      </c>
      <c r="B474" s="11" t="s">
        <v>42</v>
      </c>
      <c r="C474" s="11">
        <v>62.32</v>
      </c>
      <c r="D474" s="11">
        <v>1976</v>
      </c>
    </row>
    <row r="475" spans="1:4" ht="19.95" customHeight="1" x14ac:dyDescent="0.25">
      <c r="A475" s="10" t="s">
        <v>35</v>
      </c>
      <c r="B475" s="11" t="s">
        <v>42</v>
      </c>
      <c r="C475" s="11">
        <v>63.84</v>
      </c>
      <c r="D475" s="11">
        <v>1976</v>
      </c>
    </row>
    <row r="476" spans="1:4" ht="19.95" customHeight="1" x14ac:dyDescent="0.25">
      <c r="A476" s="10" t="s">
        <v>36</v>
      </c>
      <c r="B476" s="11" t="s">
        <v>42</v>
      </c>
      <c r="C476" s="11"/>
      <c r="D476" s="11">
        <v>1976</v>
      </c>
    </row>
    <row r="477" spans="1:4" ht="19.95" customHeight="1" x14ac:dyDescent="0.25">
      <c r="A477" s="10" t="s">
        <v>37</v>
      </c>
      <c r="B477" s="11" t="s">
        <v>42</v>
      </c>
      <c r="C477" s="11">
        <v>42.82</v>
      </c>
      <c r="D477" s="11">
        <v>1976</v>
      </c>
    </row>
    <row r="478" spans="1:4" ht="19.95" customHeight="1" x14ac:dyDescent="0.25">
      <c r="A478" s="10" t="s">
        <v>38</v>
      </c>
      <c r="B478" s="11" t="s">
        <v>42</v>
      </c>
      <c r="C478" s="11">
        <v>60.44</v>
      </c>
      <c r="D478" s="11">
        <v>1976</v>
      </c>
    </row>
    <row r="479" spans="1:4" ht="19.95" customHeight="1" x14ac:dyDescent="0.25">
      <c r="A479" s="10" t="s">
        <v>39</v>
      </c>
      <c r="B479" s="11" t="s">
        <v>42</v>
      </c>
      <c r="C479" s="11">
        <v>59.98</v>
      </c>
      <c r="D479" s="11">
        <v>1976</v>
      </c>
    </row>
    <row r="480" spans="1:4" ht="19.95" customHeight="1" x14ac:dyDescent="0.25">
      <c r="A480" s="10" t="s">
        <v>40</v>
      </c>
      <c r="B480" s="11" t="s">
        <v>42</v>
      </c>
      <c r="C480" s="11">
        <v>77.819999999999993</v>
      </c>
      <c r="D480" s="11">
        <v>1976</v>
      </c>
    </row>
    <row r="481" spans="1:4" ht="19.95" customHeight="1" x14ac:dyDescent="0.25">
      <c r="A481" s="10" t="s">
        <v>10</v>
      </c>
      <c r="B481" s="11" t="s">
        <v>42</v>
      </c>
      <c r="C481" s="11">
        <v>84.92</v>
      </c>
      <c r="D481" s="11">
        <v>1977</v>
      </c>
    </row>
    <row r="482" spans="1:4" ht="19.95" customHeight="1" x14ac:dyDescent="0.25">
      <c r="A482" s="10" t="s">
        <v>13</v>
      </c>
      <c r="B482" s="11" t="s">
        <v>42</v>
      </c>
      <c r="C482" s="11">
        <v>44.52</v>
      </c>
      <c r="D482" s="11">
        <v>1977</v>
      </c>
    </row>
    <row r="483" spans="1:4" ht="19.95" customHeight="1" x14ac:dyDescent="0.25">
      <c r="A483" s="10" t="s">
        <v>15</v>
      </c>
      <c r="B483" s="11" t="s">
        <v>42</v>
      </c>
      <c r="C483" s="11">
        <v>38.68</v>
      </c>
      <c r="D483" s="11">
        <v>1977</v>
      </c>
    </row>
    <row r="484" spans="1:4" ht="19.95" customHeight="1" x14ac:dyDescent="0.25">
      <c r="A484" s="10" t="s">
        <v>16</v>
      </c>
      <c r="B484" s="11" t="s">
        <v>42</v>
      </c>
      <c r="C484" s="11">
        <v>58.39</v>
      </c>
      <c r="D484" s="11">
        <v>1977</v>
      </c>
    </row>
    <row r="485" spans="1:4" ht="19.95" customHeight="1" x14ac:dyDescent="0.25">
      <c r="A485" s="10" t="s">
        <v>17</v>
      </c>
      <c r="B485" s="11" t="s">
        <v>42</v>
      </c>
      <c r="C485" s="11">
        <v>26.24</v>
      </c>
      <c r="D485" s="11">
        <v>1977</v>
      </c>
    </row>
    <row r="486" spans="1:4" ht="19.95" customHeight="1" x14ac:dyDescent="0.25">
      <c r="A486" s="10" t="s">
        <v>2</v>
      </c>
      <c r="B486" s="11" t="s">
        <v>42</v>
      </c>
      <c r="C486" s="11"/>
      <c r="D486" s="11">
        <v>1977</v>
      </c>
    </row>
    <row r="487" spans="1:4" ht="19.95" customHeight="1" x14ac:dyDescent="0.25">
      <c r="A487" s="10" t="s">
        <v>18</v>
      </c>
      <c r="B487" s="11" t="s">
        <v>42</v>
      </c>
      <c r="C487" s="11">
        <v>46.67</v>
      </c>
      <c r="D487" s="11">
        <v>1977</v>
      </c>
    </row>
    <row r="488" spans="1:4" ht="19.95" customHeight="1" x14ac:dyDescent="0.25">
      <c r="A488" s="10" t="s">
        <v>19</v>
      </c>
      <c r="B488" s="11" t="s">
        <v>42</v>
      </c>
      <c r="C488" s="11">
        <v>89.66</v>
      </c>
      <c r="D488" s="11">
        <v>1977</v>
      </c>
    </row>
    <row r="489" spans="1:4" ht="19.95" customHeight="1" x14ac:dyDescent="0.25">
      <c r="A489" s="10" t="s">
        <v>20</v>
      </c>
      <c r="B489" s="11" t="s">
        <v>42</v>
      </c>
      <c r="C489" s="11">
        <v>41.64</v>
      </c>
      <c r="D489" s="11">
        <v>1977</v>
      </c>
    </row>
    <row r="490" spans="1:4" ht="19.95" customHeight="1" x14ac:dyDescent="0.25">
      <c r="A490" s="10" t="s">
        <v>21</v>
      </c>
      <c r="B490" s="11" t="s">
        <v>42</v>
      </c>
      <c r="C490" s="11"/>
      <c r="D490" s="11">
        <v>1977</v>
      </c>
    </row>
    <row r="491" spans="1:4" ht="19.95" customHeight="1" x14ac:dyDescent="0.25">
      <c r="A491" s="10" t="s">
        <v>22</v>
      </c>
      <c r="B491" s="11" t="s">
        <v>42</v>
      </c>
      <c r="C491" s="11">
        <v>80.33</v>
      </c>
      <c r="D491" s="11">
        <v>1977</v>
      </c>
    </row>
    <row r="492" spans="1:4" ht="19.95" customHeight="1" x14ac:dyDescent="0.25">
      <c r="A492" s="10" t="s">
        <v>23</v>
      </c>
      <c r="B492" s="11" t="s">
        <v>42</v>
      </c>
      <c r="C492" s="11">
        <v>63.21</v>
      </c>
      <c r="D492" s="11">
        <v>1977</v>
      </c>
    </row>
    <row r="493" spans="1:4" ht="19.95" customHeight="1" x14ac:dyDescent="0.25">
      <c r="A493" s="10" t="s">
        <v>24</v>
      </c>
      <c r="B493" s="11" t="s">
        <v>42</v>
      </c>
      <c r="C493" s="11">
        <v>43.2</v>
      </c>
      <c r="D493" s="11">
        <v>1977</v>
      </c>
    </row>
    <row r="494" spans="1:4" ht="19.95" customHeight="1" x14ac:dyDescent="0.25">
      <c r="A494" s="10" t="s">
        <v>25</v>
      </c>
      <c r="B494" s="11" t="s">
        <v>42</v>
      </c>
      <c r="C494" s="11">
        <v>33.82</v>
      </c>
      <c r="D494" s="11">
        <v>1977</v>
      </c>
    </row>
    <row r="495" spans="1:4" ht="19.95" customHeight="1" x14ac:dyDescent="0.25">
      <c r="A495" s="10" t="s">
        <v>26</v>
      </c>
      <c r="B495" s="11" t="s">
        <v>42</v>
      </c>
      <c r="C495" s="11"/>
      <c r="D495" s="11">
        <v>1977</v>
      </c>
    </row>
    <row r="496" spans="1:4" ht="19.95" customHeight="1" x14ac:dyDescent="0.25">
      <c r="A496" s="10" t="s">
        <v>27</v>
      </c>
      <c r="B496" s="11" t="s">
        <v>42</v>
      </c>
      <c r="C496" s="11">
        <v>57.04</v>
      </c>
      <c r="D496" s="11">
        <v>1977</v>
      </c>
    </row>
    <row r="497" spans="1:4" ht="19.95" customHeight="1" x14ac:dyDescent="0.25">
      <c r="A497" s="10" t="s">
        <v>29</v>
      </c>
      <c r="B497" s="11" t="s">
        <v>42</v>
      </c>
      <c r="C497" s="11">
        <v>30.41</v>
      </c>
      <c r="D497" s="11">
        <v>1977</v>
      </c>
    </row>
    <row r="498" spans="1:4" ht="19.95" customHeight="1" x14ac:dyDescent="0.25">
      <c r="A498" s="10" t="s">
        <v>30</v>
      </c>
      <c r="B498" s="11" t="s">
        <v>42</v>
      </c>
      <c r="C498" s="11">
        <v>37.24</v>
      </c>
      <c r="D498" s="11">
        <v>1977</v>
      </c>
    </row>
    <row r="499" spans="1:4" ht="19.95" customHeight="1" x14ac:dyDescent="0.25">
      <c r="A499" s="10" t="s">
        <v>31</v>
      </c>
      <c r="B499" s="11" t="s">
        <v>42</v>
      </c>
      <c r="C499" s="11">
        <v>63.09</v>
      </c>
      <c r="D499" s="11">
        <v>1977</v>
      </c>
    </row>
    <row r="500" spans="1:4" ht="19.95" customHeight="1" x14ac:dyDescent="0.25">
      <c r="A500" s="10" t="s">
        <v>32</v>
      </c>
      <c r="B500" s="11" t="s">
        <v>42</v>
      </c>
      <c r="C500" s="11">
        <v>38.99</v>
      </c>
      <c r="D500" s="11">
        <v>1977</v>
      </c>
    </row>
    <row r="501" spans="1:4" ht="19.95" customHeight="1" x14ac:dyDescent="0.25">
      <c r="A501" s="10" t="s">
        <v>33</v>
      </c>
      <c r="B501" s="11" t="s">
        <v>42</v>
      </c>
      <c r="C501" s="11">
        <v>48.59</v>
      </c>
      <c r="D501" s="11">
        <v>1977</v>
      </c>
    </row>
    <row r="502" spans="1:4" ht="19.95" customHeight="1" x14ac:dyDescent="0.25">
      <c r="A502" s="10" t="s">
        <v>34</v>
      </c>
      <c r="B502" s="11" t="s">
        <v>42</v>
      </c>
      <c r="C502" s="11">
        <v>61.09</v>
      </c>
      <c r="D502" s="11">
        <v>1977</v>
      </c>
    </row>
    <row r="503" spans="1:4" ht="19.95" customHeight="1" x14ac:dyDescent="0.25">
      <c r="A503" s="10" t="s">
        <v>35</v>
      </c>
      <c r="B503" s="11" t="s">
        <v>42</v>
      </c>
      <c r="C503" s="11">
        <v>65.78</v>
      </c>
      <c r="D503" s="11">
        <v>1977</v>
      </c>
    </row>
    <row r="504" spans="1:4" ht="19.95" customHeight="1" x14ac:dyDescent="0.25">
      <c r="A504" s="10" t="s">
        <v>36</v>
      </c>
      <c r="B504" s="11" t="s">
        <v>42</v>
      </c>
      <c r="C504" s="11"/>
      <c r="D504" s="11">
        <v>1977</v>
      </c>
    </row>
    <row r="505" spans="1:4" ht="19.95" customHeight="1" x14ac:dyDescent="0.25">
      <c r="A505" s="10" t="s">
        <v>37</v>
      </c>
      <c r="B505" s="11" t="s">
        <v>42</v>
      </c>
      <c r="C505" s="11">
        <v>45.88</v>
      </c>
      <c r="D505" s="11">
        <v>1977</v>
      </c>
    </row>
    <row r="506" spans="1:4" ht="19.95" customHeight="1" x14ac:dyDescent="0.25">
      <c r="A506" s="10" t="s">
        <v>38</v>
      </c>
      <c r="B506" s="11" t="s">
        <v>42</v>
      </c>
      <c r="C506" s="11">
        <v>60.34</v>
      </c>
      <c r="D506" s="11">
        <v>1977</v>
      </c>
    </row>
    <row r="507" spans="1:4" ht="19.95" customHeight="1" x14ac:dyDescent="0.25">
      <c r="A507" s="10" t="s">
        <v>39</v>
      </c>
      <c r="B507" s="11" t="s">
        <v>42</v>
      </c>
      <c r="C507" s="11">
        <v>57.36</v>
      </c>
      <c r="D507" s="11">
        <v>1977</v>
      </c>
    </row>
    <row r="508" spans="1:4" ht="19.95" customHeight="1" x14ac:dyDescent="0.25">
      <c r="A508" s="10" t="s">
        <v>40</v>
      </c>
      <c r="B508" s="11" t="s">
        <v>42</v>
      </c>
      <c r="C508" s="11">
        <v>79.33</v>
      </c>
      <c r="D508" s="11">
        <v>1977</v>
      </c>
    </row>
    <row r="509" spans="1:4" ht="19.95" customHeight="1" x14ac:dyDescent="0.25">
      <c r="A509" s="10" t="s">
        <v>10</v>
      </c>
      <c r="B509" s="11" t="s">
        <v>42</v>
      </c>
      <c r="C509" s="11">
        <v>78.66</v>
      </c>
      <c r="D509" s="11">
        <v>1978</v>
      </c>
    </row>
    <row r="510" spans="1:4" ht="19.95" customHeight="1" x14ac:dyDescent="0.25">
      <c r="A510" s="10" t="s">
        <v>13</v>
      </c>
      <c r="B510" s="11" t="s">
        <v>42</v>
      </c>
      <c r="C510" s="11">
        <v>43.61</v>
      </c>
      <c r="D510" s="11">
        <v>1978</v>
      </c>
    </row>
    <row r="511" spans="1:4" ht="19.95" customHeight="1" x14ac:dyDescent="0.25">
      <c r="A511" s="10" t="s">
        <v>15</v>
      </c>
      <c r="B511" s="11" t="s">
        <v>42</v>
      </c>
      <c r="C511" s="11">
        <v>40.869999999999997</v>
      </c>
      <c r="D511" s="11">
        <v>1978</v>
      </c>
    </row>
    <row r="512" spans="1:4" ht="19.95" customHeight="1" x14ac:dyDescent="0.25">
      <c r="A512" s="10" t="s">
        <v>16</v>
      </c>
      <c r="B512" s="11" t="s">
        <v>42</v>
      </c>
      <c r="C512" s="11">
        <v>58.82</v>
      </c>
      <c r="D512" s="11">
        <v>1978</v>
      </c>
    </row>
    <row r="513" spans="1:4" ht="19.95" customHeight="1" x14ac:dyDescent="0.25">
      <c r="A513" s="10" t="s">
        <v>17</v>
      </c>
      <c r="B513" s="11" t="s">
        <v>42</v>
      </c>
      <c r="C513" s="11">
        <v>27.69</v>
      </c>
      <c r="D513" s="11">
        <v>1978</v>
      </c>
    </row>
    <row r="514" spans="1:4" ht="19.95" customHeight="1" x14ac:dyDescent="0.25">
      <c r="A514" s="10" t="s">
        <v>2</v>
      </c>
      <c r="B514" s="11" t="s">
        <v>42</v>
      </c>
      <c r="C514" s="11"/>
      <c r="D514" s="11">
        <v>1978</v>
      </c>
    </row>
    <row r="515" spans="1:4" ht="19.95" customHeight="1" x14ac:dyDescent="0.25">
      <c r="A515" s="10" t="s">
        <v>18</v>
      </c>
      <c r="B515" s="11" t="s">
        <v>42</v>
      </c>
      <c r="C515" s="11">
        <v>46.89</v>
      </c>
      <c r="D515" s="11">
        <v>1978</v>
      </c>
    </row>
    <row r="516" spans="1:4" ht="19.95" customHeight="1" x14ac:dyDescent="0.25">
      <c r="A516" s="10" t="s">
        <v>19</v>
      </c>
      <c r="B516" s="11" t="s">
        <v>42</v>
      </c>
      <c r="C516" s="11">
        <v>94.08</v>
      </c>
      <c r="D516" s="11">
        <v>1978</v>
      </c>
    </row>
    <row r="517" spans="1:4" ht="19.95" customHeight="1" x14ac:dyDescent="0.25">
      <c r="A517" s="10" t="s">
        <v>20</v>
      </c>
      <c r="B517" s="11" t="s">
        <v>42</v>
      </c>
      <c r="C517" s="11">
        <v>42.21</v>
      </c>
      <c r="D517" s="11">
        <v>1978</v>
      </c>
    </row>
    <row r="518" spans="1:4" ht="19.95" customHeight="1" x14ac:dyDescent="0.25">
      <c r="A518" s="10" t="s">
        <v>21</v>
      </c>
      <c r="B518" s="11" t="s">
        <v>42</v>
      </c>
      <c r="C518" s="11"/>
      <c r="D518" s="11">
        <v>1978</v>
      </c>
    </row>
    <row r="519" spans="1:4" ht="19.95" customHeight="1" x14ac:dyDescent="0.25">
      <c r="A519" s="10" t="s">
        <v>22</v>
      </c>
      <c r="B519" s="11" t="s">
        <v>42</v>
      </c>
      <c r="C519" s="11">
        <v>80.88</v>
      </c>
      <c r="D519" s="11">
        <v>1978</v>
      </c>
    </row>
    <row r="520" spans="1:4" ht="19.95" customHeight="1" x14ac:dyDescent="0.25">
      <c r="A520" s="10" t="s">
        <v>23</v>
      </c>
      <c r="B520" s="11" t="s">
        <v>42</v>
      </c>
      <c r="C520" s="11">
        <v>69.73</v>
      </c>
      <c r="D520" s="11">
        <v>1978</v>
      </c>
    </row>
    <row r="521" spans="1:4" ht="19.95" customHeight="1" x14ac:dyDescent="0.25">
      <c r="A521" s="10" t="s">
        <v>24</v>
      </c>
      <c r="B521" s="11" t="s">
        <v>42</v>
      </c>
      <c r="C521" s="11">
        <v>44.18</v>
      </c>
      <c r="D521" s="11">
        <v>1978</v>
      </c>
    </row>
    <row r="522" spans="1:4" ht="19.95" customHeight="1" x14ac:dyDescent="0.25">
      <c r="A522" s="10" t="s">
        <v>25</v>
      </c>
      <c r="B522" s="11" t="s">
        <v>42</v>
      </c>
      <c r="C522" s="11">
        <v>35.380000000000003</v>
      </c>
      <c r="D522" s="11">
        <v>1978</v>
      </c>
    </row>
    <row r="523" spans="1:4" ht="19.95" customHeight="1" x14ac:dyDescent="0.25">
      <c r="A523" s="10" t="s">
        <v>26</v>
      </c>
      <c r="B523" s="11" t="s">
        <v>42</v>
      </c>
      <c r="C523" s="11"/>
      <c r="D523" s="11">
        <v>1978</v>
      </c>
    </row>
    <row r="524" spans="1:4" ht="19.95" customHeight="1" x14ac:dyDescent="0.25">
      <c r="A524" s="10" t="s">
        <v>27</v>
      </c>
      <c r="B524" s="11" t="s">
        <v>42</v>
      </c>
      <c r="C524" s="11">
        <v>55.47</v>
      </c>
      <c r="D524" s="11">
        <v>1978</v>
      </c>
    </row>
    <row r="525" spans="1:4" ht="19.95" customHeight="1" x14ac:dyDescent="0.25">
      <c r="A525" s="10" t="s">
        <v>29</v>
      </c>
      <c r="B525" s="11" t="s">
        <v>42</v>
      </c>
      <c r="C525" s="11">
        <v>33.31</v>
      </c>
      <c r="D525" s="11">
        <v>1978</v>
      </c>
    </row>
    <row r="526" spans="1:4" ht="19.95" customHeight="1" x14ac:dyDescent="0.25">
      <c r="A526" s="10" t="s">
        <v>30</v>
      </c>
      <c r="B526" s="11" t="s">
        <v>42</v>
      </c>
      <c r="C526" s="11">
        <v>38.369999999999997</v>
      </c>
      <c r="D526" s="11">
        <v>1978</v>
      </c>
    </row>
    <row r="527" spans="1:4" ht="19.95" customHeight="1" x14ac:dyDescent="0.25">
      <c r="A527" s="10" t="s">
        <v>31</v>
      </c>
      <c r="B527" s="11" t="s">
        <v>42</v>
      </c>
      <c r="C527" s="11">
        <v>67.78</v>
      </c>
      <c r="D527" s="11">
        <v>1978</v>
      </c>
    </row>
    <row r="528" spans="1:4" ht="19.95" customHeight="1" x14ac:dyDescent="0.25">
      <c r="A528" s="10" t="s">
        <v>32</v>
      </c>
      <c r="B528" s="11" t="s">
        <v>42</v>
      </c>
      <c r="C528" s="11">
        <v>40.47</v>
      </c>
      <c r="D528" s="11">
        <v>1978</v>
      </c>
    </row>
    <row r="529" spans="1:4" ht="19.95" customHeight="1" x14ac:dyDescent="0.25">
      <c r="A529" s="10" t="s">
        <v>33</v>
      </c>
      <c r="B529" s="11" t="s">
        <v>42</v>
      </c>
      <c r="C529" s="11">
        <v>49.27</v>
      </c>
      <c r="D529" s="11">
        <v>1978</v>
      </c>
    </row>
    <row r="530" spans="1:4" ht="19.95" customHeight="1" x14ac:dyDescent="0.25">
      <c r="A530" s="10" t="s">
        <v>34</v>
      </c>
      <c r="B530" s="11" t="s">
        <v>42</v>
      </c>
      <c r="C530" s="11">
        <v>63.57</v>
      </c>
      <c r="D530" s="11">
        <v>1978</v>
      </c>
    </row>
    <row r="531" spans="1:4" ht="19.95" customHeight="1" x14ac:dyDescent="0.25">
      <c r="A531" s="10" t="s">
        <v>35</v>
      </c>
      <c r="B531" s="11" t="s">
        <v>42</v>
      </c>
      <c r="C531" s="11">
        <v>69.75</v>
      </c>
      <c r="D531" s="11">
        <v>1978</v>
      </c>
    </row>
    <row r="532" spans="1:4" ht="19.95" customHeight="1" x14ac:dyDescent="0.25">
      <c r="A532" s="10" t="s">
        <v>36</v>
      </c>
      <c r="B532" s="11" t="s">
        <v>42</v>
      </c>
      <c r="C532" s="11"/>
      <c r="D532" s="11">
        <v>1978</v>
      </c>
    </row>
    <row r="533" spans="1:4" ht="19.95" customHeight="1" x14ac:dyDescent="0.25">
      <c r="A533" s="10" t="s">
        <v>37</v>
      </c>
      <c r="B533" s="11" t="s">
        <v>42</v>
      </c>
      <c r="C533" s="11">
        <v>46.64</v>
      </c>
      <c r="D533" s="11">
        <v>1978</v>
      </c>
    </row>
    <row r="534" spans="1:4" ht="19.95" customHeight="1" x14ac:dyDescent="0.25">
      <c r="A534" s="10" t="s">
        <v>38</v>
      </c>
      <c r="B534" s="11" t="s">
        <v>42</v>
      </c>
      <c r="C534" s="11">
        <v>61.27</v>
      </c>
      <c r="D534" s="11">
        <v>1978</v>
      </c>
    </row>
    <row r="535" spans="1:4" ht="19.95" customHeight="1" x14ac:dyDescent="0.25">
      <c r="A535" s="10" t="s">
        <v>39</v>
      </c>
      <c r="B535" s="11" t="s">
        <v>42</v>
      </c>
      <c r="C535" s="11">
        <v>53.35</v>
      </c>
      <c r="D535" s="11">
        <v>1978</v>
      </c>
    </row>
    <row r="536" spans="1:4" ht="19.95" customHeight="1" x14ac:dyDescent="0.25">
      <c r="A536" s="10" t="s">
        <v>40</v>
      </c>
      <c r="B536" s="11" t="s">
        <v>42</v>
      </c>
      <c r="C536" s="11">
        <v>78.61</v>
      </c>
      <c r="D536" s="11">
        <v>1978</v>
      </c>
    </row>
    <row r="537" spans="1:4" ht="19.95" customHeight="1" x14ac:dyDescent="0.25">
      <c r="A537" s="10" t="s">
        <v>10</v>
      </c>
      <c r="B537" s="11" t="s">
        <v>42</v>
      </c>
      <c r="C537" s="11">
        <v>79.209999999999994</v>
      </c>
      <c r="D537" s="11">
        <v>1979</v>
      </c>
    </row>
    <row r="538" spans="1:4" ht="19.95" customHeight="1" x14ac:dyDescent="0.25">
      <c r="A538" s="10" t="s">
        <v>13</v>
      </c>
      <c r="B538" s="11" t="s">
        <v>42</v>
      </c>
      <c r="C538" s="11">
        <v>44.77</v>
      </c>
      <c r="D538" s="11">
        <v>1979</v>
      </c>
    </row>
    <row r="539" spans="1:4" ht="19.95" customHeight="1" x14ac:dyDescent="0.25">
      <c r="A539" s="10" t="s">
        <v>15</v>
      </c>
      <c r="B539" s="11" t="s">
        <v>42</v>
      </c>
      <c r="C539" s="11">
        <v>41.2</v>
      </c>
      <c r="D539" s="11">
        <v>1979</v>
      </c>
    </row>
    <row r="540" spans="1:4" ht="19.95" customHeight="1" x14ac:dyDescent="0.25">
      <c r="A540" s="10" t="s">
        <v>16</v>
      </c>
      <c r="B540" s="11" t="s">
        <v>42</v>
      </c>
      <c r="C540" s="11">
        <v>58.73</v>
      </c>
      <c r="D540" s="11">
        <v>1979</v>
      </c>
    </row>
    <row r="541" spans="1:4" ht="19.95" customHeight="1" x14ac:dyDescent="0.25">
      <c r="A541" s="10" t="s">
        <v>17</v>
      </c>
      <c r="B541" s="11" t="s">
        <v>42</v>
      </c>
      <c r="C541" s="11">
        <v>36.36</v>
      </c>
      <c r="D541" s="11">
        <v>1979</v>
      </c>
    </row>
    <row r="542" spans="1:4" ht="19.95" customHeight="1" x14ac:dyDescent="0.25">
      <c r="A542" s="10" t="s">
        <v>2</v>
      </c>
      <c r="B542" s="11" t="s">
        <v>42</v>
      </c>
      <c r="C542" s="11"/>
      <c r="D542" s="11">
        <v>1979</v>
      </c>
    </row>
    <row r="543" spans="1:4" ht="19.95" customHeight="1" x14ac:dyDescent="0.25">
      <c r="A543" s="10" t="s">
        <v>18</v>
      </c>
      <c r="B543" s="11" t="s">
        <v>42</v>
      </c>
      <c r="C543" s="11">
        <v>48.26</v>
      </c>
      <c r="D543" s="11">
        <v>1979</v>
      </c>
    </row>
    <row r="544" spans="1:4" ht="19.95" customHeight="1" x14ac:dyDescent="0.25">
      <c r="A544" s="10" t="s">
        <v>19</v>
      </c>
      <c r="B544" s="11" t="s">
        <v>42</v>
      </c>
      <c r="C544" s="11">
        <v>96.44</v>
      </c>
      <c r="D544" s="11">
        <v>1979</v>
      </c>
    </row>
    <row r="545" spans="1:4" ht="19.95" customHeight="1" x14ac:dyDescent="0.25">
      <c r="A545" s="10" t="s">
        <v>20</v>
      </c>
      <c r="B545" s="11" t="s">
        <v>42</v>
      </c>
      <c r="C545" s="11">
        <v>45.19</v>
      </c>
      <c r="D545" s="11">
        <v>1979</v>
      </c>
    </row>
    <row r="546" spans="1:4" ht="19.95" customHeight="1" x14ac:dyDescent="0.25">
      <c r="A546" s="10" t="s">
        <v>21</v>
      </c>
      <c r="B546" s="11" t="s">
        <v>42</v>
      </c>
      <c r="C546" s="11"/>
      <c r="D546" s="11">
        <v>1979</v>
      </c>
    </row>
    <row r="547" spans="1:4" ht="19.95" customHeight="1" x14ac:dyDescent="0.25">
      <c r="A547" s="10" t="s">
        <v>22</v>
      </c>
      <c r="B547" s="11" t="s">
        <v>42</v>
      </c>
      <c r="C547" s="11">
        <v>81.8</v>
      </c>
      <c r="D547" s="11">
        <v>1979</v>
      </c>
    </row>
    <row r="548" spans="1:4" ht="19.95" customHeight="1" x14ac:dyDescent="0.25">
      <c r="A548" s="10" t="s">
        <v>23</v>
      </c>
      <c r="B548" s="11" t="s">
        <v>42</v>
      </c>
      <c r="C548" s="11">
        <v>65.78</v>
      </c>
      <c r="D548" s="11">
        <v>1979</v>
      </c>
    </row>
    <row r="549" spans="1:4" ht="19.95" customHeight="1" x14ac:dyDescent="0.25">
      <c r="A549" s="10" t="s">
        <v>24</v>
      </c>
      <c r="B549" s="11" t="s">
        <v>42</v>
      </c>
      <c r="C549" s="11">
        <v>43.33</v>
      </c>
      <c r="D549" s="11">
        <v>1979</v>
      </c>
    </row>
    <row r="550" spans="1:4" ht="19.95" customHeight="1" x14ac:dyDescent="0.25">
      <c r="A550" s="10" t="s">
        <v>25</v>
      </c>
      <c r="B550" s="11" t="s">
        <v>42</v>
      </c>
      <c r="C550" s="11">
        <v>35.97</v>
      </c>
      <c r="D550" s="11">
        <v>1979</v>
      </c>
    </row>
    <row r="551" spans="1:4" ht="19.95" customHeight="1" x14ac:dyDescent="0.25">
      <c r="A551" s="10" t="s">
        <v>26</v>
      </c>
      <c r="B551" s="11" t="s">
        <v>42</v>
      </c>
      <c r="C551" s="11"/>
      <c r="D551" s="11">
        <v>1979</v>
      </c>
    </row>
    <row r="552" spans="1:4" ht="19.95" customHeight="1" x14ac:dyDescent="0.25">
      <c r="A552" s="10" t="s">
        <v>27</v>
      </c>
      <c r="B552" s="11" t="s">
        <v>42</v>
      </c>
      <c r="C552" s="11">
        <v>56.2</v>
      </c>
      <c r="D552" s="11">
        <v>1979</v>
      </c>
    </row>
    <row r="553" spans="1:4" ht="19.95" customHeight="1" x14ac:dyDescent="0.25">
      <c r="A553" s="10" t="s">
        <v>29</v>
      </c>
      <c r="B553" s="11" t="s">
        <v>42</v>
      </c>
      <c r="C553" s="11">
        <v>33.76</v>
      </c>
      <c r="D553" s="11">
        <v>1979</v>
      </c>
    </row>
    <row r="554" spans="1:4" ht="19.95" customHeight="1" x14ac:dyDescent="0.25">
      <c r="A554" s="10" t="s">
        <v>30</v>
      </c>
      <c r="B554" s="11" t="s">
        <v>42</v>
      </c>
      <c r="C554" s="11">
        <v>37.06</v>
      </c>
      <c r="D554" s="11">
        <v>1979</v>
      </c>
    </row>
    <row r="555" spans="1:4" ht="19.95" customHeight="1" x14ac:dyDescent="0.25">
      <c r="A555" s="10" t="s">
        <v>31</v>
      </c>
      <c r="B555" s="11" t="s">
        <v>42</v>
      </c>
      <c r="C555" s="11">
        <v>72.650000000000006</v>
      </c>
      <c r="D555" s="11">
        <v>1979</v>
      </c>
    </row>
    <row r="556" spans="1:4" ht="19.95" customHeight="1" x14ac:dyDescent="0.25">
      <c r="A556" s="10" t="s">
        <v>32</v>
      </c>
      <c r="B556" s="11" t="s">
        <v>42</v>
      </c>
      <c r="C556" s="11">
        <v>40.53</v>
      </c>
      <c r="D556" s="11">
        <v>1979</v>
      </c>
    </row>
    <row r="557" spans="1:4" ht="19.95" customHeight="1" x14ac:dyDescent="0.25">
      <c r="A557" s="10" t="s">
        <v>33</v>
      </c>
      <c r="B557" s="11" t="s">
        <v>42</v>
      </c>
      <c r="C557" s="11">
        <v>52.94</v>
      </c>
      <c r="D557" s="11">
        <v>1979</v>
      </c>
    </row>
    <row r="558" spans="1:4" ht="19.95" customHeight="1" x14ac:dyDescent="0.25">
      <c r="A558" s="10" t="s">
        <v>34</v>
      </c>
      <c r="B558" s="11" t="s">
        <v>42</v>
      </c>
      <c r="C558" s="11">
        <v>69.52</v>
      </c>
      <c r="D558" s="11">
        <v>1979</v>
      </c>
    </row>
    <row r="559" spans="1:4" ht="19.95" customHeight="1" x14ac:dyDescent="0.25">
      <c r="A559" s="10" t="s">
        <v>35</v>
      </c>
      <c r="B559" s="11" t="s">
        <v>42</v>
      </c>
      <c r="C559" s="11">
        <v>80.069999999999993</v>
      </c>
      <c r="D559" s="11">
        <v>1979</v>
      </c>
    </row>
    <row r="560" spans="1:4" ht="19.95" customHeight="1" x14ac:dyDescent="0.25">
      <c r="A560" s="10" t="s">
        <v>36</v>
      </c>
      <c r="B560" s="11" t="s">
        <v>42</v>
      </c>
      <c r="C560" s="11"/>
      <c r="D560" s="11">
        <v>1979</v>
      </c>
    </row>
    <row r="561" spans="1:4" ht="19.95" customHeight="1" x14ac:dyDescent="0.25">
      <c r="A561" s="10" t="s">
        <v>37</v>
      </c>
      <c r="B561" s="11" t="s">
        <v>42</v>
      </c>
      <c r="C561" s="11">
        <v>49.27</v>
      </c>
      <c r="D561" s="11">
        <v>1979</v>
      </c>
    </row>
    <row r="562" spans="1:4" ht="19.95" customHeight="1" x14ac:dyDescent="0.25">
      <c r="A562" s="10" t="s">
        <v>38</v>
      </c>
      <c r="B562" s="11" t="s">
        <v>42</v>
      </c>
      <c r="C562" s="11">
        <v>45.68</v>
      </c>
      <c r="D562" s="11">
        <v>1979</v>
      </c>
    </row>
    <row r="563" spans="1:4" ht="19.95" customHeight="1" x14ac:dyDescent="0.25">
      <c r="A563" s="10" t="s">
        <v>39</v>
      </c>
      <c r="B563" s="11" t="s">
        <v>42</v>
      </c>
      <c r="C563" s="11">
        <v>46.7</v>
      </c>
      <c r="D563" s="11">
        <v>1979</v>
      </c>
    </row>
    <row r="564" spans="1:4" ht="19.95" customHeight="1" x14ac:dyDescent="0.25">
      <c r="A564" s="10" t="s">
        <v>40</v>
      </c>
      <c r="B564" s="11" t="s">
        <v>42</v>
      </c>
      <c r="C564" s="11">
        <v>66.88</v>
      </c>
      <c r="D564" s="11">
        <v>1979</v>
      </c>
    </row>
    <row r="565" spans="1:4" ht="19.95" customHeight="1" x14ac:dyDescent="0.25">
      <c r="A565" s="10" t="s">
        <v>10</v>
      </c>
      <c r="B565" s="11" t="s">
        <v>42</v>
      </c>
      <c r="C565" s="11">
        <v>77.989999999999995</v>
      </c>
      <c r="D565" s="11">
        <v>1980</v>
      </c>
    </row>
    <row r="566" spans="1:4" ht="19.95" customHeight="1" x14ac:dyDescent="0.25">
      <c r="A566" s="10" t="s">
        <v>13</v>
      </c>
      <c r="B566" s="11" t="s">
        <v>42</v>
      </c>
      <c r="C566" s="11">
        <v>45.55</v>
      </c>
      <c r="D566" s="11">
        <v>1980</v>
      </c>
    </row>
    <row r="567" spans="1:4" ht="19.95" customHeight="1" x14ac:dyDescent="0.25">
      <c r="A567" s="10" t="s">
        <v>15</v>
      </c>
      <c r="B567" s="11" t="s">
        <v>42</v>
      </c>
      <c r="C567" s="11">
        <v>42.65</v>
      </c>
      <c r="D567" s="11">
        <v>1980</v>
      </c>
    </row>
    <row r="568" spans="1:4" ht="19.95" customHeight="1" x14ac:dyDescent="0.25">
      <c r="A568" s="10" t="s">
        <v>16</v>
      </c>
      <c r="B568" s="11" t="s">
        <v>42</v>
      </c>
      <c r="C568" s="11">
        <v>59.99</v>
      </c>
      <c r="D568" s="11">
        <v>1980</v>
      </c>
    </row>
    <row r="569" spans="1:4" ht="19.95" customHeight="1" x14ac:dyDescent="0.25">
      <c r="A569" s="10" t="s">
        <v>17</v>
      </c>
      <c r="B569" s="11" t="s">
        <v>42</v>
      </c>
      <c r="C569" s="11">
        <v>46.51</v>
      </c>
      <c r="D569" s="11">
        <v>1980</v>
      </c>
    </row>
    <row r="570" spans="1:4" ht="19.95" customHeight="1" x14ac:dyDescent="0.25">
      <c r="A570" s="10" t="s">
        <v>2</v>
      </c>
      <c r="B570" s="11" t="s">
        <v>42</v>
      </c>
      <c r="C570" s="11"/>
      <c r="D570" s="11">
        <v>1980</v>
      </c>
    </row>
    <row r="571" spans="1:4" ht="19.95" customHeight="1" x14ac:dyDescent="0.25">
      <c r="A571" s="10" t="s">
        <v>18</v>
      </c>
      <c r="B571" s="11" t="s">
        <v>42</v>
      </c>
      <c r="C571" s="11">
        <v>48.74</v>
      </c>
      <c r="D571" s="11">
        <v>1980</v>
      </c>
    </row>
    <row r="572" spans="1:4" ht="19.95" customHeight="1" x14ac:dyDescent="0.25">
      <c r="A572" s="10" t="s">
        <v>19</v>
      </c>
      <c r="B572" s="11" t="s">
        <v>42</v>
      </c>
      <c r="C572" s="11">
        <v>95.99</v>
      </c>
      <c r="D572" s="11">
        <v>1980</v>
      </c>
    </row>
    <row r="573" spans="1:4" ht="19.95" customHeight="1" x14ac:dyDescent="0.25">
      <c r="A573" s="10" t="s">
        <v>20</v>
      </c>
      <c r="B573" s="11" t="s">
        <v>42</v>
      </c>
      <c r="C573" s="11">
        <v>42.88</v>
      </c>
      <c r="D573" s="11">
        <v>1980</v>
      </c>
    </row>
    <row r="574" spans="1:4" ht="19.95" customHeight="1" x14ac:dyDescent="0.25">
      <c r="A574" s="10" t="s">
        <v>21</v>
      </c>
      <c r="B574" s="11" t="s">
        <v>42</v>
      </c>
      <c r="C574" s="11"/>
      <c r="D574" s="11">
        <v>1980</v>
      </c>
    </row>
    <row r="575" spans="1:4" ht="19.95" customHeight="1" x14ac:dyDescent="0.25">
      <c r="A575" s="10" t="s">
        <v>22</v>
      </c>
      <c r="B575" s="11" t="s">
        <v>42</v>
      </c>
      <c r="C575" s="11">
        <v>81.95</v>
      </c>
      <c r="D575" s="11">
        <v>1980</v>
      </c>
    </row>
    <row r="576" spans="1:4" ht="19.95" customHeight="1" x14ac:dyDescent="0.25">
      <c r="A576" s="10" t="s">
        <v>23</v>
      </c>
      <c r="B576" s="11" t="s">
        <v>42</v>
      </c>
      <c r="C576" s="11">
        <v>69.27</v>
      </c>
      <c r="D576" s="11">
        <v>1980</v>
      </c>
    </row>
    <row r="577" spans="1:4" ht="19.95" customHeight="1" x14ac:dyDescent="0.25">
      <c r="A577" s="10" t="s">
        <v>24</v>
      </c>
      <c r="B577" s="11" t="s">
        <v>42</v>
      </c>
      <c r="C577" s="11">
        <v>43.09</v>
      </c>
      <c r="D577" s="11">
        <v>1980</v>
      </c>
    </row>
    <row r="578" spans="1:4" ht="19.95" customHeight="1" x14ac:dyDescent="0.25">
      <c r="A578" s="10" t="s">
        <v>25</v>
      </c>
      <c r="B578" s="11" t="s">
        <v>42</v>
      </c>
      <c r="C578" s="11">
        <v>36.81</v>
      </c>
      <c r="D578" s="11">
        <v>1980</v>
      </c>
    </row>
    <row r="579" spans="1:4" ht="19.95" customHeight="1" x14ac:dyDescent="0.25">
      <c r="A579" s="10" t="s">
        <v>26</v>
      </c>
      <c r="B579" s="11" t="s">
        <v>42</v>
      </c>
      <c r="C579" s="11"/>
      <c r="D579" s="11">
        <v>1980</v>
      </c>
    </row>
    <row r="580" spans="1:4" ht="19.95" customHeight="1" x14ac:dyDescent="0.25">
      <c r="A580" s="10" t="s">
        <v>27</v>
      </c>
      <c r="B580" s="11" t="s">
        <v>42</v>
      </c>
      <c r="C580" s="11">
        <v>57.67</v>
      </c>
      <c r="D580" s="11">
        <v>1980</v>
      </c>
    </row>
    <row r="581" spans="1:4" ht="19.95" customHeight="1" x14ac:dyDescent="0.25">
      <c r="A581" s="10" t="s">
        <v>29</v>
      </c>
      <c r="B581" s="11" t="s">
        <v>42</v>
      </c>
      <c r="C581" s="11">
        <v>39.49</v>
      </c>
      <c r="D581" s="11">
        <v>1980</v>
      </c>
    </row>
    <row r="582" spans="1:4" ht="19.95" customHeight="1" x14ac:dyDescent="0.25">
      <c r="A582" s="10" t="s">
        <v>30</v>
      </c>
      <c r="B582" s="11" t="s">
        <v>42</v>
      </c>
      <c r="C582" s="11">
        <v>40.61</v>
      </c>
      <c r="D582" s="11">
        <v>1980</v>
      </c>
    </row>
    <row r="583" spans="1:4" ht="19.95" customHeight="1" x14ac:dyDescent="0.25">
      <c r="A583" s="10" t="s">
        <v>31</v>
      </c>
      <c r="B583" s="11" t="s">
        <v>42</v>
      </c>
      <c r="C583" s="11">
        <v>48.99</v>
      </c>
      <c r="D583" s="11">
        <v>1980</v>
      </c>
    </row>
    <row r="584" spans="1:4" ht="19.95" customHeight="1" x14ac:dyDescent="0.25">
      <c r="A584" s="10" t="s">
        <v>32</v>
      </c>
      <c r="B584" s="11" t="s">
        <v>42</v>
      </c>
      <c r="C584" s="11">
        <v>43.69</v>
      </c>
      <c r="D584" s="11">
        <v>1980</v>
      </c>
    </row>
    <row r="585" spans="1:4" ht="19.95" customHeight="1" x14ac:dyDescent="0.25">
      <c r="A585" s="10" t="s">
        <v>33</v>
      </c>
      <c r="B585" s="11" t="s">
        <v>42</v>
      </c>
      <c r="C585" s="11">
        <v>53.41</v>
      </c>
      <c r="D585" s="11">
        <v>1980</v>
      </c>
    </row>
    <row r="586" spans="1:4" ht="19.95" customHeight="1" x14ac:dyDescent="0.25">
      <c r="A586" s="10" t="s">
        <v>34</v>
      </c>
      <c r="B586" s="11" t="s">
        <v>42</v>
      </c>
      <c r="C586" s="11">
        <v>56.9</v>
      </c>
      <c r="D586" s="11">
        <v>1980</v>
      </c>
    </row>
    <row r="587" spans="1:4" ht="19.95" customHeight="1" x14ac:dyDescent="0.25">
      <c r="A587" s="10" t="s">
        <v>35</v>
      </c>
      <c r="B587" s="11" t="s">
        <v>42</v>
      </c>
      <c r="C587" s="11">
        <v>86.72</v>
      </c>
      <c r="D587" s="11">
        <v>1980</v>
      </c>
    </row>
    <row r="588" spans="1:4" ht="19.95" customHeight="1" x14ac:dyDescent="0.25">
      <c r="A588" s="10" t="s">
        <v>36</v>
      </c>
      <c r="B588" s="11" t="s">
        <v>42</v>
      </c>
      <c r="C588" s="11"/>
      <c r="D588" s="11">
        <v>1980</v>
      </c>
    </row>
    <row r="589" spans="1:4" ht="19.95" customHeight="1" x14ac:dyDescent="0.25">
      <c r="A589" s="10" t="s">
        <v>37</v>
      </c>
      <c r="B589" s="11" t="s">
        <v>42</v>
      </c>
      <c r="C589" s="11">
        <v>46.42</v>
      </c>
      <c r="D589" s="11">
        <v>1980</v>
      </c>
    </row>
    <row r="590" spans="1:4" ht="19.95" customHeight="1" x14ac:dyDescent="0.25">
      <c r="A590" s="10" t="s">
        <v>38</v>
      </c>
      <c r="B590" s="11" t="s">
        <v>42</v>
      </c>
      <c r="C590" s="11">
        <v>44.37</v>
      </c>
      <c r="D590" s="11">
        <v>1980</v>
      </c>
    </row>
    <row r="591" spans="1:4" ht="19.95" customHeight="1" x14ac:dyDescent="0.25">
      <c r="A591" s="10" t="s">
        <v>39</v>
      </c>
      <c r="B591" s="11" t="s">
        <v>42</v>
      </c>
      <c r="C591" s="11">
        <v>48.86</v>
      </c>
      <c r="D591" s="11">
        <v>1980</v>
      </c>
    </row>
    <row r="592" spans="1:4" ht="19.95" customHeight="1" x14ac:dyDescent="0.25">
      <c r="A592" s="10" t="s">
        <v>40</v>
      </c>
      <c r="B592" s="11" t="s">
        <v>42</v>
      </c>
      <c r="C592" s="11">
        <v>67.040000000000006</v>
      </c>
      <c r="D592" s="11">
        <v>1980</v>
      </c>
    </row>
    <row r="593" spans="1:4" ht="19.95" customHeight="1" x14ac:dyDescent="0.25">
      <c r="A593" s="10" t="s">
        <v>10</v>
      </c>
      <c r="B593" s="11" t="s">
        <v>42</v>
      </c>
      <c r="C593" s="11">
        <v>82.76</v>
      </c>
      <c r="D593" s="11">
        <v>1981</v>
      </c>
    </row>
    <row r="594" spans="1:4" ht="19.95" customHeight="1" x14ac:dyDescent="0.25">
      <c r="A594" s="10" t="s">
        <v>13</v>
      </c>
      <c r="B594" s="11" t="s">
        <v>42</v>
      </c>
      <c r="C594" s="11">
        <v>46.39</v>
      </c>
      <c r="D594" s="11">
        <v>1981</v>
      </c>
    </row>
    <row r="595" spans="1:4" ht="19.95" customHeight="1" x14ac:dyDescent="0.25">
      <c r="A595" s="10" t="s">
        <v>15</v>
      </c>
      <c r="B595" s="11" t="s">
        <v>42</v>
      </c>
      <c r="C595" s="11">
        <v>41.29</v>
      </c>
      <c r="D595" s="11">
        <v>1981</v>
      </c>
    </row>
    <row r="596" spans="1:4" ht="19.95" customHeight="1" x14ac:dyDescent="0.25">
      <c r="A596" s="10" t="s">
        <v>16</v>
      </c>
      <c r="B596" s="11" t="s">
        <v>42</v>
      </c>
      <c r="C596" s="11">
        <v>56.08</v>
      </c>
      <c r="D596" s="11">
        <v>1981</v>
      </c>
    </row>
    <row r="597" spans="1:4" ht="19.95" customHeight="1" x14ac:dyDescent="0.25">
      <c r="A597" s="10" t="s">
        <v>17</v>
      </c>
      <c r="B597" s="11" t="s">
        <v>42</v>
      </c>
      <c r="C597" s="11">
        <v>44.98</v>
      </c>
      <c r="D597" s="11">
        <v>1981</v>
      </c>
    </row>
    <row r="598" spans="1:4" ht="19.95" customHeight="1" x14ac:dyDescent="0.25">
      <c r="A598" s="10" t="s">
        <v>2</v>
      </c>
      <c r="B598" s="11" t="s">
        <v>42</v>
      </c>
      <c r="C598" s="11"/>
      <c r="D598" s="11">
        <v>1981</v>
      </c>
    </row>
    <row r="599" spans="1:4" ht="19.95" customHeight="1" x14ac:dyDescent="0.25">
      <c r="A599" s="10" t="s">
        <v>18</v>
      </c>
      <c r="B599" s="11" t="s">
        <v>42</v>
      </c>
      <c r="C599" s="11">
        <v>49.08</v>
      </c>
      <c r="D599" s="11">
        <v>1981</v>
      </c>
    </row>
    <row r="600" spans="1:4" ht="19.95" customHeight="1" x14ac:dyDescent="0.25">
      <c r="A600" s="10" t="s">
        <v>19</v>
      </c>
      <c r="B600" s="11" t="s">
        <v>42</v>
      </c>
      <c r="C600" s="11">
        <v>97.4</v>
      </c>
      <c r="D600" s="11">
        <v>1981</v>
      </c>
    </row>
    <row r="601" spans="1:4" ht="19.95" customHeight="1" x14ac:dyDescent="0.25">
      <c r="A601" s="10" t="s">
        <v>20</v>
      </c>
      <c r="B601" s="11" t="s">
        <v>42</v>
      </c>
      <c r="C601" s="11">
        <v>42.95</v>
      </c>
      <c r="D601" s="11">
        <v>1981</v>
      </c>
    </row>
    <row r="602" spans="1:4" ht="19.95" customHeight="1" x14ac:dyDescent="0.25">
      <c r="A602" s="10" t="s">
        <v>21</v>
      </c>
      <c r="B602" s="11" t="s">
        <v>42</v>
      </c>
      <c r="C602" s="11"/>
      <c r="D602" s="11">
        <v>1981</v>
      </c>
    </row>
    <row r="603" spans="1:4" ht="19.95" customHeight="1" x14ac:dyDescent="0.25">
      <c r="A603" s="10" t="s">
        <v>22</v>
      </c>
      <c r="B603" s="11" t="s">
        <v>42</v>
      </c>
      <c r="C603" s="11">
        <v>86.33</v>
      </c>
      <c r="D603" s="11">
        <v>1981</v>
      </c>
    </row>
    <row r="604" spans="1:4" ht="19.95" customHeight="1" x14ac:dyDescent="0.25">
      <c r="A604" s="10" t="s">
        <v>23</v>
      </c>
      <c r="B604" s="11" t="s">
        <v>42</v>
      </c>
      <c r="C604" s="11">
        <v>69.34</v>
      </c>
      <c r="D604" s="11">
        <v>1981</v>
      </c>
    </row>
    <row r="605" spans="1:4" ht="19.95" customHeight="1" x14ac:dyDescent="0.25">
      <c r="A605" s="10" t="s">
        <v>24</v>
      </c>
      <c r="B605" s="11" t="s">
        <v>42</v>
      </c>
      <c r="C605" s="11">
        <v>45.9</v>
      </c>
      <c r="D605" s="11">
        <v>1981</v>
      </c>
    </row>
    <row r="606" spans="1:4" ht="19.95" customHeight="1" x14ac:dyDescent="0.25">
      <c r="A606" s="10" t="s">
        <v>25</v>
      </c>
      <c r="B606" s="11" t="s">
        <v>42</v>
      </c>
      <c r="C606" s="11">
        <v>40.840000000000003</v>
      </c>
      <c r="D606" s="11">
        <v>1981</v>
      </c>
    </row>
    <row r="607" spans="1:4" ht="19.95" customHeight="1" x14ac:dyDescent="0.25">
      <c r="A607" s="10" t="s">
        <v>26</v>
      </c>
      <c r="B607" s="11" t="s">
        <v>42</v>
      </c>
      <c r="C607" s="11"/>
      <c r="D607" s="11">
        <v>1981</v>
      </c>
    </row>
    <row r="608" spans="1:4" ht="19.95" customHeight="1" x14ac:dyDescent="0.25">
      <c r="A608" s="10" t="s">
        <v>27</v>
      </c>
      <c r="B608" s="11" t="s">
        <v>42</v>
      </c>
      <c r="C608" s="11">
        <v>58.07</v>
      </c>
      <c r="D608" s="11">
        <v>1981</v>
      </c>
    </row>
    <row r="609" spans="1:4" ht="19.95" customHeight="1" x14ac:dyDescent="0.25">
      <c r="A609" s="10" t="s">
        <v>29</v>
      </c>
      <c r="B609" s="11" t="s">
        <v>42</v>
      </c>
      <c r="C609" s="11">
        <v>42.82</v>
      </c>
      <c r="D609" s="11">
        <v>1981</v>
      </c>
    </row>
    <row r="610" spans="1:4" ht="19.95" customHeight="1" x14ac:dyDescent="0.25">
      <c r="A610" s="10" t="s">
        <v>30</v>
      </c>
      <c r="B610" s="11" t="s">
        <v>42</v>
      </c>
      <c r="C610" s="11">
        <v>42.74</v>
      </c>
      <c r="D610" s="11">
        <v>1981</v>
      </c>
    </row>
    <row r="611" spans="1:4" ht="19.95" customHeight="1" x14ac:dyDescent="0.25">
      <c r="A611" s="10" t="s">
        <v>31</v>
      </c>
      <c r="B611" s="11" t="s">
        <v>42</v>
      </c>
      <c r="C611" s="11">
        <v>47.79</v>
      </c>
      <c r="D611" s="11">
        <v>1981</v>
      </c>
    </row>
    <row r="612" spans="1:4" ht="19.95" customHeight="1" x14ac:dyDescent="0.25">
      <c r="A612" s="10" t="s">
        <v>32</v>
      </c>
      <c r="B612" s="11" t="s">
        <v>42</v>
      </c>
      <c r="C612" s="11">
        <v>43.02</v>
      </c>
      <c r="D612" s="11">
        <v>1981</v>
      </c>
    </row>
    <row r="613" spans="1:4" ht="19.95" customHeight="1" x14ac:dyDescent="0.25">
      <c r="A613" s="10" t="s">
        <v>33</v>
      </c>
      <c r="B613" s="11" t="s">
        <v>42</v>
      </c>
      <c r="C613" s="11">
        <v>58.37</v>
      </c>
      <c r="D613" s="11">
        <v>1981</v>
      </c>
    </row>
    <row r="614" spans="1:4" ht="19.95" customHeight="1" x14ac:dyDescent="0.25">
      <c r="A614" s="10" t="s">
        <v>34</v>
      </c>
      <c r="B614" s="11" t="s">
        <v>42</v>
      </c>
      <c r="C614" s="11">
        <v>60.52</v>
      </c>
      <c r="D614" s="11">
        <v>1981</v>
      </c>
    </row>
    <row r="615" spans="1:4" ht="19.95" customHeight="1" x14ac:dyDescent="0.25">
      <c r="A615" s="10" t="s">
        <v>35</v>
      </c>
      <c r="B615" s="11" t="s">
        <v>42</v>
      </c>
      <c r="C615" s="11">
        <v>83.64</v>
      </c>
      <c r="D615" s="11">
        <v>1981</v>
      </c>
    </row>
    <row r="616" spans="1:4" ht="19.95" customHeight="1" x14ac:dyDescent="0.25">
      <c r="A616" s="10" t="s">
        <v>36</v>
      </c>
      <c r="B616" s="11" t="s">
        <v>42</v>
      </c>
      <c r="C616" s="11"/>
      <c r="D616" s="11">
        <v>1981</v>
      </c>
    </row>
    <row r="617" spans="1:4" ht="19.95" customHeight="1" x14ac:dyDescent="0.25">
      <c r="A617" s="10" t="s">
        <v>37</v>
      </c>
      <c r="B617" s="11" t="s">
        <v>42</v>
      </c>
      <c r="C617" s="11">
        <v>48.76</v>
      </c>
      <c r="D617" s="11">
        <v>1981</v>
      </c>
    </row>
    <row r="618" spans="1:4" ht="19.95" customHeight="1" x14ac:dyDescent="0.25">
      <c r="A618" s="10" t="s">
        <v>38</v>
      </c>
      <c r="B618" s="11" t="s">
        <v>42</v>
      </c>
      <c r="C618" s="11">
        <v>49.17</v>
      </c>
      <c r="D618" s="11">
        <v>1981</v>
      </c>
    </row>
    <row r="619" spans="1:4" ht="19.95" customHeight="1" x14ac:dyDescent="0.25">
      <c r="A619" s="10" t="s">
        <v>39</v>
      </c>
      <c r="B619" s="11" t="s">
        <v>42</v>
      </c>
      <c r="C619" s="11">
        <v>49.61</v>
      </c>
      <c r="D619" s="11">
        <v>1981</v>
      </c>
    </row>
    <row r="620" spans="1:4" ht="19.95" customHeight="1" x14ac:dyDescent="0.25">
      <c r="A620" s="10" t="s">
        <v>40</v>
      </c>
      <c r="B620" s="11" t="s">
        <v>42</v>
      </c>
      <c r="C620" s="11">
        <v>82.04</v>
      </c>
      <c r="D620" s="11">
        <v>1981</v>
      </c>
    </row>
    <row r="621" spans="1:4" ht="19.95" customHeight="1" x14ac:dyDescent="0.25">
      <c r="A621" s="10" t="s">
        <v>10</v>
      </c>
      <c r="B621" s="11" t="s">
        <v>42</v>
      </c>
      <c r="C621" s="11">
        <v>81.5</v>
      </c>
      <c r="D621" s="11">
        <v>1982</v>
      </c>
    </row>
    <row r="622" spans="1:4" ht="19.95" customHeight="1" x14ac:dyDescent="0.25">
      <c r="A622" s="10" t="s">
        <v>13</v>
      </c>
      <c r="B622" s="11" t="s">
        <v>42</v>
      </c>
      <c r="C622" s="11">
        <v>48</v>
      </c>
      <c r="D622" s="11">
        <v>1982</v>
      </c>
    </row>
    <row r="623" spans="1:4" ht="19.95" customHeight="1" x14ac:dyDescent="0.25">
      <c r="A623" s="10" t="s">
        <v>15</v>
      </c>
      <c r="B623" s="11" t="s">
        <v>42</v>
      </c>
      <c r="C623" s="11">
        <v>42.12</v>
      </c>
      <c r="D623" s="11">
        <v>1982</v>
      </c>
    </row>
    <row r="624" spans="1:4" ht="19.95" customHeight="1" x14ac:dyDescent="0.25">
      <c r="A624" s="10" t="s">
        <v>16</v>
      </c>
      <c r="B624" s="11" t="s">
        <v>42</v>
      </c>
      <c r="C624" s="11">
        <v>60.58</v>
      </c>
      <c r="D624" s="11">
        <v>1982</v>
      </c>
    </row>
    <row r="625" spans="1:4" ht="19.95" customHeight="1" x14ac:dyDescent="0.25">
      <c r="A625" s="10" t="s">
        <v>17</v>
      </c>
      <c r="B625" s="11" t="s">
        <v>42</v>
      </c>
      <c r="C625" s="11">
        <v>45.29</v>
      </c>
      <c r="D625" s="11">
        <v>1982</v>
      </c>
    </row>
    <row r="626" spans="1:4" ht="19.95" customHeight="1" x14ac:dyDescent="0.25">
      <c r="A626" s="10" t="s">
        <v>2</v>
      </c>
      <c r="B626" s="11" t="s">
        <v>42</v>
      </c>
      <c r="C626" s="11"/>
      <c r="D626" s="11">
        <v>1982</v>
      </c>
    </row>
    <row r="627" spans="1:4" ht="19.95" customHeight="1" x14ac:dyDescent="0.25">
      <c r="A627" s="10" t="s">
        <v>18</v>
      </c>
      <c r="B627" s="11" t="s">
        <v>42</v>
      </c>
      <c r="C627" s="11">
        <v>49.63</v>
      </c>
      <c r="D627" s="11">
        <v>1982</v>
      </c>
    </row>
    <row r="628" spans="1:4" ht="19.95" customHeight="1" x14ac:dyDescent="0.25">
      <c r="A628" s="10" t="s">
        <v>19</v>
      </c>
      <c r="B628" s="11" t="s">
        <v>42</v>
      </c>
      <c r="C628" s="11">
        <v>99.52</v>
      </c>
      <c r="D628" s="11">
        <v>1982</v>
      </c>
    </row>
    <row r="629" spans="1:4" ht="19.95" customHeight="1" x14ac:dyDescent="0.25">
      <c r="A629" s="10" t="s">
        <v>20</v>
      </c>
      <c r="B629" s="11" t="s">
        <v>42</v>
      </c>
      <c r="C629" s="11">
        <v>48.5</v>
      </c>
      <c r="D629" s="11">
        <v>1982</v>
      </c>
    </row>
    <row r="630" spans="1:4" ht="19.95" customHeight="1" x14ac:dyDescent="0.25">
      <c r="A630" s="10" t="s">
        <v>21</v>
      </c>
      <c r="B630" s="11" t="s">
        <v>42</v>
      </c>
      <c r="C630" s="11"/>
      <c r="D630" s="11">
        <v>1982</v>
      </c>
    </row>
    <row r="631" spans="1:4" ht="19.95" customHeight="1" x14ac:dyDescent="0.25">
      <c r="A631" s="10" t="s">
        <v>22</v>
      </c>
      <c r="B631" s="11" t="s">
        <v>42</v>
      </c>
      <c r="C631" s="11">
        <v>89.09</v>
      </c>
      <c r="D631" s="11">
        <v>1982</v>
      </c>
    </row>
    <row r="632" spans="1:4" ht="19.95" customHeight="1" x14ac:dyDescent="0.25">
      <c r="A632" s="10" t="s">
        <v>23</v>
      </c>
      <c r="B632" s="11" t="s">
        <v>42</v>
      </c>
      <c r="C632" s="11">
        <v>70.13</v>
      </c>
      <c r="D632" s="11">
        <v>1982</v>
      </c>
    </row>
    <row r="633" spans="1:4" ht="19.95" customHeight="1" x14ac:dyDescent="0.25">
      <c r="A633" s="10" t="s">
        <v>24</v>
      </c>
      <c r="B633" s="11" t="s">
        <v>42</v>
      </c>
      <c r="C633" s="11">
        <v>48.27</v>
      </c>
      <c r="D633" s="11">
        <v>1982</v>
      </c>
    </row>
    <row r="634" spans="1:4" ht="19.95" customHeight="1" x14ac:dyDescent="0.25">
      <c r="A634" s="10" t="s">
        <v>25</v>
      </c>
      <c r="B634" s="11" t="s">
        <v>42</v>
      </c>
      <c r="C634" s="11">
        <v>42.33</v>
      </c>
      <c r="D634" s="11">
        <v>1982</v>
      </c>
    </row>
    <row r="635" spans="1:4" ht="19.95" customHeight="1" x14ac:dyDescent="0.25">
      <c r="A635" s="10" t="s">
        <v>26</v>
      </c>
      <c r="B635" s="11" t="s">
        <v>42</v>
      </c>
      <c r="C635" s="11"/>
      <c r="D635" s="11">
        <v>1982</v>
      </c>
    </row>
    <row r="636" spans="1:4" ht="19.95" customHeight="1" x14ac:dyDescent="0.25">
      <c r="A636" s="10" t="s">
        <v>27</v>
      </c>
      <c r="B636" s="11" t="s">
        <v>42</v>
      </c>
      <c r="C636" s="11">
        <v>56.36</v>
      </c>
      <c r="D636" s="11">
        <v>1982</v>
      </c>
    </row>
    <row r="637" spans="1:4" ht="19.95" customHeight="1" x14ac:dyDescent="0.25">
      <c r="A637" s="10" t="s">
        <v>29</v>
      </c>
      <c r="B637" s="11" t="s">
        <v>42</v>
      </c>
      <c r="C637" s="11">
        <v>45.12</v>
      </c>
      <c r="D637" s="11">
        <v>1982</v>
      </c>
    </row>
    <row r="638" spans="1:4" ht="19.95" customHeight="1" x14ac:dyDescent="0.25">
      <c r="A638" s="10" t="s">
        <v>30</v>
      </c>
      <c r="B638" s="11" t="s">
        <v>42</v>
      </c>
      <c r="C638" s="11">
        <v>39.71</v>
      </c>
      <c r="D638" s="11">
        <v>1982</v>
      </c>
    </row>
    <row r="639" spans="1:4" ht="19.95" customHeight="1" x14ac:dyDescent="0.25">
      <c r="A639" s="10" t="s">
        <v>31</v>
      </c>
      <c r="B639" s="11" t="s">
        <v>42</v>
      </c>
      <c r="C639" s="11">
        <v>50.34</v>
      </c>
      <c r="D639" s="11">
        <v>1982</v>
      </c>
    </row>
    <row r="640" spans="1:4" ht="19.95" customHeight="1" x14ac:dyDescent="0.25">
      <c r="A640" s="10" t="s">
        <v>32</v>
      </c>
      <c r="B640" s="11" t="s">
        <v>42</v>
      </c>
      <c r="C640" s="11">
        <v>43.04</v>
      </c>
      <c r="D640" s="11">
        <v>1982</v>
      </c>
    </row>
    <row r="641" spans="1:4" ht="19.95" customHeight="1" x14ac:dyDescent="0.25">
      <c r="A641" s="10" t="s">
        <v>33</v>
      </c>
      <c r="B641" s="11" t="s">
        <v>42</v>
      </c>
      <c r="C641" s="11">
        <v>61.28</v>
      </c>
      <c r="D641" s="11">
        <v>1982</v>
      </c>
    </row>
    <row r="642" spans="1:4" ht="19.95" customHeight="1" x14ac:dyDescent="0.25">
      <c r="A642" s="10" t="s">
        <v>34</v>
      </c>
      <c r="B642" s="11" t="s">
        <v>42</v>
      </c>
      <c r="C642" s="11">
        <v>58.16</v>
      </c>
      <c r="D642" s="11">
        <v>1982</v>
      </c>
    </row>
    <row r="643" spans="1:4" ht="19.95" customHeight="1" x14ac:dyDescent="0.25">
      <c r="A643" s="10" t="s">
        <v>35</v>
      </c>
      <c r="B643" s="11" t="s">
        <v>42</v>
      </c>
      <c r="C643" s="11">
        <v>79.41</v>
      </c>
      <c r="D643" s="11">
        <v>1982</v>
      </c>
    </row>
    <row r="644" spans="1:4" ht="19.95" customHeight="1" x14ac:dyDescent="0.25">
      <c r="A644" s="10" t="s">
        <v>36</v>
      </c>
      <c r="B644" s="11" t="s">
        <v>42</v>
      </c>
      <c r="C644" s="11"/>
      <c r="D644" s="11">
        <v>1982</v>
      </c>
    </row>
    <row r="645" spans="1:4" ht="19.95" customHeight="1" x14ac:dyDescent="0.25">
      <c r="A645" s="10" t="s">
        <v>37</v>
      </c>
      <c r="B645" s="11" t="s">
        <v>42</v>
      </c>
      <c r="C645" s="11">
        <v>51.27</v>
      </c>
      <c r="D645" s="11">
        <v>1982</v>
      </c>
    </row>
    <row r="646" spans="1:4" ht="19.95" customHeight="1" x14ac:dyDescent="0.25">
      <c r="A646" s="10" t="s">
        <v>38</v>
      </c>
      <c r="B646" s="11" t="s">
        <v>42</v>
      </c>
      <c r="C646" s="11">
        <v>52.3</v>
      </c>
      <c r="D646" s="11">
        <v>1982</v>
      </c>
    </row>
    <row r="647" spans="1:4" ht="19.95" customHeight="1" x14ac:dyDescent="0.25">
      <c r="A647" s="10" t="s">
        <v>39</v>
      </c>
      <c r="B647" s="11" t="s">
        <v>42</v>
      </c>
      <c r="C647" s="11">
        <v>47.8</v>
      </c>
      <c r="D647" s="11">
        <v>1982</v>
      </c>
    </row>
    <row r="648" spans="1:4" ht="19.95" customHeight="1" x14ac:dyDescent="0.25">
      <c r="A648" s="10" t="s">
        <v>40</v>
      </c>
      <c r="B648" s="11" t="s">
        <v>42</v>
      </c>
      <c r="C648" s="11">
        <v>74.33</v>
      </c>
      <c r="D648" s="11">
        <v>1982</v>
      </c>
    </row>
    <row r="649" spans="1:4" ht="19.95" customHeight="1" x14ac:dyDescent="0.25">
      <c r="A649" s="10" t="s">
        <v>10</v>
      </c>
      <c r="B649" s="11" t="s">
        <v>42</v>
      </c>
      <c r="C649" s="11">
        <v>80.11</v>
      </c>
      <c r="D649" s="11">
        <v>1983</v>
      </c>
    </row>
    <row r="650" spans="1:4" ht="19.95" customHeight="1" x14ac:dyDescent="0.25">
      <c r="A650" s="10" t="s">
        <v>13</v>
      </c>
      <c r="B650" s="11" t="s">
        <v>42</v>
      </c>
      <c r="C650" s="11">
        <v>49.34</v>
      </c>
      <c r="D650" s="11">
        <v>1983</v>
      </c>
    </row>
    <row r="651" spans="1:4" ht="19.95" customHeight="1" x14ac:dyDescent="0.25">
      <c r="A651" s="10" t="s">
        <v>15</v>
      </c>
      <c r="B651" s="11" t="s">
        <v>42</v>
      </c>
      <c r="C651" s="11">
        <v>43.51</v>
      </c>
      <c r="D651" s="11">
        <v>1983</v>
      </c>
    </row>
    <row r="652" spans="1:4" ht="19.95" customHeight="1" x14ac:dyDescent="0.25">
      <c r="A652" s="10" t="s">
        <v>16</v>
      </c>
      <c r="B652" s="11" t="s">
        <v>42</v>
      </c>
      <c r="C652" s="11">
        <v>61.86</v>
      </c>
      <c r="D652" s="11">
        <v>1983</v>
      </c>
    </row>
    <row r="653" spans="1:4" ht="19.95" customHeight="1" x14ac:dyDescent="0.25">
      <c r="A653" s="10" t="s">
        <v>17</v>
      </c>
      <c r="B653" s="11" t="s">
        <v>42</v>
      </c>
      <c r="C653" s="11">
        <v>52.88</v>
      </c>
      <c r="D653" s="11">
        <v>1983</v>
      </c>
    </row>
    <row r="654" spans="1:4" ht="19.95" customHeight="1" x14ac:dyDescent="0.25">
      <c r="A654" s="10" t="s">
        <v>2</v>
      </c>
      <c r="B654" s="11" t="s">
        <v>42</v>
      </c>
      <c r="C654" s="11"/>
      <c r="D654" s="11">
        <v>1983</v>
      </c>
    </row>
    <row r="655" spans="1:4" ht="19.95" customHeight="1" x14ac:dyDescent="0.25">
      <c r="A655" s="10" t="s">
        <v>18</v>
      </c>
      <c r="B655" s="11" t="s">
        <v>42</v>
      </c>
      <c r="C655" s="11">
        <v>50.06</v>
      </c>
      <c r="D655" s="11">
        <v>1983</v>
      </c>
    </row>
    <row r="656" spans="1:4" ht="19.95" customHeight="1" x14ac:dyDescent="0.25">
      <c r="A656" s="10" t="s">
        <v>19</v>
      </c>
      <c r="B656" s="11" t="s">
        <v>42</v>
      </c>
      <c r="C656" s="11">
        <v>102</v>
      </c>
      <c r="D656" s="11">
        <v>1983</v>
      </c>
    </row>
    <row r="657" spans="1:4" ht="19.95" customHeight="1" x14ac:dyDescent="0.25">
      <c r="A657" s="10" t="s">
        <v>20</v>
      </c>
      <c r="B657" s="11" t="s">
        <v>42</v>
      </c>
      <c r="C657" s="11">
        <v>49.88</v>
      </c>
      <c r="D657" s="11">
        <v>1983</v>
      </c>
    </row>
    <row r="658" spans="1:4" ht="19.95" customHeight="1" x14ac:dyDescent="0.25">
      <c r="A658" s="10" t="s">
        <v>21</v>
      </c>
      <c r="B658" s="11" t="s">
        <v>42</v>
      </c>
      <c r="C658" s="11"/>
      <c r="D658" s="11">
        <v>1983</v>
      </c>
    </row>
    <row r="659" spans="1:4" ht="19.95" customHeight="1" x14ac:dyDescent="0.25">
      <c r="A659" s="10" t="s">
        <v>22</v>
      </c>
      <c r="B659" s="11" t="s">
        <v>42</v>
      </c>
      <c r="C659" s="11">
        <v>90.07</v>
      </c>
      <c r="D659" s="11">
        <v>1983</v>
      </c>
    </row>
    <row r="660" spans="1:4" ht="19.95" customHeight="1" x14ac:dyDescent="0.25">
      <c r="A660" s="10" t="s">
        <v>23</v>
      </c>
      <c r="B660" s="11" t="s">
        <v>42</v>
      </c>
      <c r="C660" s="11">
        <v>73.83</v>
      </c>
      <c r="D660" s="11">
        <v>1983</v>
      </c>
    </row>
    <row r="661" spans="1:4" ht="19.95" customHeight="1" x14ac:dyDescent="0.25">
      <c r="A661" s="10" t="s">
        <v>24</v>
      </c>
      <c r="B661" s="11" t="s">
        <v>42</v>
      </c>
      <c r="C661" s="11">
        <v>44.67</v>
      </c>
      <c r="D661" s="11">
        <v>1983</v>
      </c>
    </row>
    <row r="662" spans="1:4" ht="19.95" customHeight="1" x14ac:dyDescent="0.25">
      <c r="A662" s="10" t="s">
        <v>25</v>
      </c>
      <c r="B662" s="11" t="s">
        <v>42</v>
      </c>
      <c r="C662" s="11">
        <v>41.66</v>
      </c>
      <c r="D662" s="11">
        <v>1983</v>
      </c>
    </row>
    <row r="663" spans="1:4" ht="19.95" customHeight="1" x14ac:dyDescent="0.25">
      <c r="A663" s="10" t="s">
        <v>26</v>
      </c>
      <c r="B663" s="11" t="s">
        <v>42</v>
      </c>
      <c r="C663" s="11"/>
      <c r="D663" s="11">
        <v>1983</v>
      </c>
    </row>
    <row r="664" spans="1:4" ht="19.95" customHeight="1" x14ac:dyDescent="0.25">
      <c r="A664" s="10" t="s">
        <v>27</v>
      </c>
      <c r="B664" s="11" t="s">
        <v>42</v>
      </c>
      <c r="C664" s="11">
        <v>53.88</v>
      </c>
      <c r="D664" s="11">
        <v>1983</v>
      </c>
    </row>
    <row r="665" spans="1:4" ht="19.95" customHeight="1" x14ac:dyDescent="0.25">
      <c r="A665" s="10" t="s">
        <v>29</v>
      </c>
      <c r="B665" s="11" t="s">
        <v>42</v>
      </c>
      <c r="C665" s="11">
        <v>46</v>
      </c>
      <c r="D665" s="11">
        <v>1983</v>
      </c>
    </row>
    <row r="666" spans="1:4" ht="19.95" customHeight="1" x14ac:dyDescent="0.25">
      <c r="A666" s="10" t="s">
        <v>30</v>
      </c>
      <c r="B666" s="11" t="s">
        <v>42</v>
      </c>
      <c r="C666" s="11">
        <v>48.98</v>
      </c>
      <c r="D666" s="11">
        <v>1983</v>
      </c>
    </row>
    <row r="667" spans="1:4" ht="19.95" customHeight="1" x14ac:dyDescent="0.25">
      <c r="A667" s="10" t="s">
        <v>31</v>
      </c>
      <c r="B667" s="11" t="s">
        <v>42</v>
      </c>
      <c r="C667" s="11">
        <v>49.65</v>
      </c>
      <c r="D667" s="11">
        <v>1983</v>
      </c>
    </row>
    <row r="668" spans="1:4" ht="19.95" customHeight="1" x14ac:dyDescent="0.25">
      <c r="A668" s="10" t="s">
        <v>32</v>
      </c>
      <c r="B668" s="11" t="s">
        <v>42</v>
      </c>
      <c r="C668" s="11">
        <v>42.92</v>
      </c>
      <c r="D668" s="11">
        <v>1983</v>
      </c>
    </row>
    <row r="669" spans="1:4" ht="19.95" customHeight="1" x14ac:dyDescent="0.25">
      <c r="A669" s="10" t="s">
        <v>33</v>
      </c>
      <c r="B669" s="11" t="s">
        <v>42</v>
      </c>
      <c r="C669" s="11">
        <v>60.98</v>
      </c>
      <c r="D669" s="11">
        <v>1983</v>
      </c>
    </row>
    <row r="670" spans="1:4" ht="19.95" customHeight="1" x14ac:dyDescent="0.25">
      <c r="A670" s="10" t="s">
        <v>34</v>
      </c>
      <c r="B670" s="11" t="s">
        <v>42</v>
      </c>
      <c r="C670" s="11">
        <v>58.2</v>
      </c>
      <c r="D670" s="11">
        <v>1983</v>
      </c>
    </row>
    <row r="671" spans="1:4" ht="19.95" customHeight="1" x14ac:dyDescent="0.25">
      <c r="A671" s="10" t="s">
        <v>35</v>
      </c>
      <c r="B671" s="11" t="s">
        <v>42</v>
      </c>
      <c r="C671" s="11">
        <v>90.76</v>
      </c>
      <c r="D671" s="11">
        <v>1983</v>
      </c>
    </row>
    <row r="672" spans="1:4" ht="19.95" customHeight="1" x14ac:dyDescent="0.25">
      <c r="A672" s="10" t="s">
        <v>36</v>
      </c>
      <c r="B672" s="11" t="s">
        <v>42</v>
      </c>
      <c r="C672" s="11"/>
      <c r="D672" s="11">
        <v>1983</v>
      </c>
    </row>
    <row r="673" spans="1:4" ht="19.95" customHeight="1" x14ac:dyDescent="0.25">
      <c r="A673" s="10" t="s">
        <v>37</v>
      </c>
      <c r="B673" s="11" t="s">
        <v>42</v>
      </c>
      <c r="C673" s="11">
        <v>54.1</v>
      </c>
      <c r="D673" s="11">
        <v>1983</v>
      </c>
    </row>
    <row r="674" spans="1:4" ht="19.95" customHeight="1" x14ac:dyDescent="0.25">
      <c r="A674" s="10" t="s">
        <v>38</v>
      </c>
      <c r="B674" s="11" t="s">
        <v>42</v>
      </c>
      <c r="C674" s="11">
        <v>55.46</v>
      </c>
      <c r="D674" s="11">
        <v>1983</v>
      </c>
    </row>
    <row r="675" spans="1:4" ht="19.95" customHeight="1" x14ac:dyDescent="0.25">
      <c r="A675" s="10" t="s">
        <v>39</v>
      </c>
      <c r="B675" s="11" t="s">
        <v>42</v>
      </c>
      <c r="C675" s="11">
        <v>50.12</v>
      </c>
      <c r="D675" s="11">
        <v>1983</v>
      </c>
    </row>
    <row r="676" spans="1:4" ht="19.95" customHeight="1" x14ac:dyDescent="0.25">
      <c r="A676" s="10" t="s">
        <v>40</v>
      </c>
      <c r="B676" s="11" t="s">
        <v>42</v>
      </c>
      <c r="C676" s="11">
        <v>61.61</v>
      </c>
      <c r="D676" s="11">
        <v>1983</v>
      </c>
    </row>
    <row r="677" spans="1:4" ht="19.95" customHeight="1" x14ac:dyDescent="0.25">
      <c r="A677" s="10" t="s">
        <v>10</v>
      </c>
      <c r="B677" s="11" t="s">
        <v>42</v>
      </c>
      <c r="C677" s="11">
        <v>79.8</v>
      </c>
      <c r="D677" s="11">
        <v>1984</v>
      </c>
    </row>
    <row r="678" spans="1:4" ht="19.95" customHeight="1" x14ac:dyDescent="0.25">
      <c r="A678" s="10" t="s">
        <v>13</v>
      </c>
      <c r="B678" s="11" t="s">
        <v>42</v>
      </c>
      <c r="C678" s="11">
        <v>48.39</v>
      </c>
      <c r="D678" s="11">
        <v>1984</v>
      </c>
    </row>
    <row r="679" spans="1:4" ht="19.95" customHeight="1" x14ac:dyDescent="0.25">
      <c r="A679" s="10" t="s">
        <v>15</v>
      </c>
      <c r="B679" s="11" t="s">
        <v>42</v>
      </c>
      <c r="C679" s="11">
        <v>36.619999999999997</v>
      </c>
      <c r="D679" s="11">
        <v>1984</v>
      </c>
    </row>
    <row r="680" spans="1:4" ht="19.95" customHeight="1" x14ac:dyDescent="0.25">
      <c r="A680" s="10" t="s">
        <v>16</v>
      </c>
      <c r="B680" s="11" t="s">
        <v>42</v>
      </c>
      <c r="C680" s="11">
        <v>58.7</v>
      </c>
      <c r="D680" s="11">
        <v>1984</v>
      </c>
    </row>
    <row r="681" spans="1:4" ht="19.95" customHeight="1" x14ac:dyDescent="0.25">
      <c r="A681" s="10" t="s">
        <v>17</v>
      </c>
      <c r="B681" s="11" t="s">
        <v>42</v>
      </c>
      <c r="C681" s="11">
        <v>58.06</v>
      </c>
      <c r="D681" s="11">
        <v>1984</v>
      </c>
    </row>
    <row r="682" spans="1:4" ht="19.95" customHeight="1" x14ac:dyDescent="0.25">
      <c r="A682" s="10" t="s">
        <v>2</v>
      </c>
      <c r="B682" s="11" t="s">
        <v>42</v>
      </c>
      <c r="C682" s="11"/>
      <c r="D682" s="11">
        <v>1984</v>
      </c>
    </row>
    <row r="683" spans="1:4" ht="19.95" customHeight="1" x14ac:dyDescent="0.25">
      <c r="A683" s="10" t="s">
        <v>18</v>
      </c>
      <c r="B683" s="11" t="s">
        <v>42</v>
      </c>
      <c r="C683" s="11">
        <v>52.32</v>
      </c>
      <c r="D683" s="11">
        <v>1984</v>
      </c>
    </row>
    <row r="684" spans="1:4" ht="19.95" customHeight="1" x14ac:dyDescent="0.25">
      <c r="A684" s="10" t="s">
        <v>19</v>
      </c>
      <c r="B684" s="11" t="s">
        <v>42</v>
      </c>
      <c r="C684" s="11">
        <v>103</v>
      </c>
      <c r="D684" s="11">
        <v>1984</v>
      </c>
    </row>
    <row r="685" spans="1:4" ht="19.95" customHeight="1" x14ac:dyDescent="0.25">
      <c r="A685" s="10" t="s">
        <v>20</v>
      </c>
      <c r="B685" s="11" t="s">
        <v>42</v>
      </c>
      <c r="C685" s="11">
        <v>44.93</v>
      </c>
      <c r="D685" s="11">
        <v>1984</v>
      </c>
    </row>
    <row r="686" spans="1:4" ht="19.95" customHeight="1" x14ac:dyDescent="0.25">
      <c r="A686" s="10" t="s">
        <v>21</v>
      </c>
      <c r="B686" s="11" t="s">
        <v>42</v>
      </c>
      <c r="C686" s="11"/>
      <c r="D686" s="11">
        <v>1984</v>
      </c>
    </row>
    <row r="687" spans="1:4" ht="19.95" customHeight="1" x14ac:dyDescent="0.25">
      <c r="A687" s="10" t="s">
        <v>22</v>
      </c>
      <c r="B687" s="11" t="s">
        <v>42</v>
      </c>
      <c r="C687" s="11">
        <v>90.44</v>
      </c>
      <c r="D687" s="11">
        <v>1984</v>
      </c>
    </row>
    <row r="688" spans="1:4" ht="19.95" customHeight="1" x14ac:dyDescent="0.25">
      <c r="A688" s="10" t="s">
        <v>23</v>
      </c>
      <c r="B688" s="11" t="s">
        <v>42</v>
      </c>
      <c r="C688" s="11">
        <v>76.23</v>
      </c>
      <c r="D688" s="11">
        <v>1984</v>
      </c>
    </row>
    <row r="689" spans="1:4" ht="19.95" customHeight="1" x14ac:dyDescent="0.25">
      <c r="A689" s="10" t="s">
        <v>24</v>
      </c>
      <c r="B689" s="11" t="s">
        <v>42</v>
      </c>
      <c r="C689" s="11">
        <v>45.9</v>
      </c>
      <c r="D689" s="11">
        <v>1984</v>
      </c>
    </row>
    <row r="690" spans="1:4" ht="19.95" customHeight="1" x14ac:dyDescent="0.25">
      <c r="A690" s="10" t="s">
        <v>25</v>
      </c>
      <c r="B690" s="11" t="s">
        <v>42</v>
      </c>
      <c r="C690" s="11">
        <v>37.26</v>
      </c>
      <c r="D690" s="11">
        <v>1984</v>
      </c>
    </row>
    <row r="691" spans="1:4" ht="19.95" customHeight="1" x14ac:dyDescent="0.25">
      <c r="A691" s="10" t="s">
        <v>26</v>
      </c>
      <c r="B691" s="11" t="s">
        <v>42</v>
      </c>
      <c r="C691" s="11"/>
      <c r="D691" s="11">
        <v>1984</v>
      </c>
    </row>
    <row r="692" spans="1:4" ht="19.95" customHeight="1" x14ac:dyDescent="0.25">
      <c r="A692" s="10" t="s">
        <v>27</v>
      </c>
      <c r="B692" s="11" t="s">
        <v>42</v>
      </c>
      <c r="C692" s="11">
        <v>52.81</v>
      </c>
      <c r="D692" s="11">
        <v>1984</v>
      </c>
    </row>
    <row r="693" spans="1:4" ht="19.95" customHeight="1" x14ac:dyDescent="0.25">
      <c r="A693" s="10" t="s">
        <v>29</v>
      </c>
      <c r="B693" s="11" t="s">
        <v>42</v>
      </c>
      <c r="C693" s="11">
        <v>47.3</v>
      </c>
      <c r="D693" s="11">
        <v>1984</v>
      </c>
    </row>
    <row r="694" spans="1:4" ht="19.95" customHeight="1" x14ac:dyDescent="0.25">
      <c r="A694" s="10" t="s">
        <v>30</v>
      </c>
      <c r="B694" s="11" t="s">
        <v>42</v>
      </c>
      <c r="C694" s="11">
        <v>49.29</v>
      </c>
      <c r="D694" s="11">
        <v>1984</v>
      </c>
    </row>
    <row r="695" spans="1:4" ht="19.95" customHeight="1" x14ac:dyDescent="0.25">
      <c r="A695" s="10" t="s">
        <v>31</v>
      </c>
      <c r="B695" s="11" t="s">
        <v>42</v>
      </c>
      <c r="C695" s="11">
        <v>51.51</v>
      </c>
      <c r="D695" s="11">
        <v>1984</v>
      </c>
    </row>
    <row r="696" spans="1:4" ht="19.95" customHeight="1" x14ac:dyDescent="0.25">
      <c r="A696" s="10" t="s">
        <v>32</v>
      </c>
      <c r="B696" s="11" t="s">
        <v>42</v>
      </c>
      <c r="C696" s="11">
        <v>32.97</v>
      </c>
      <c r="D696" s="11">
        <v>1984</v>
      </c>
    </row>
    <row r="697" spans="1:4" ht="19.95" customHeight="1" x14ac:dyDescent="0.25">
      <c r="A697" s="10" t="s">
        <v>33</v>
      </c>
      <c r="B697" s="11" t="s">
        <v>42</v>
      </c>
      <c r="C697" s="11">
        <v>55.57</v>
      </c>
      <c r="D697" s="11">
        <v>1984</v>
      </c>
    </row>
    <row r="698" spans="1:4" ht="19.95" customHeight="1" x14ac:dyDescent="0.25">
      <c r="A698" s="10" t="s">
        <v>34</v>
      </c>
      <c r="B698" s="11" t="s">
        <v>42</v>
      </c>
      <c r="C698" s="11">
        <v>51.56</v>
      </c>
      <c r="D698" s="11">
        <v>1984</v>
      </c>
    </row>
    <row r="699" spans="1:4" ht="19.95" customHeight="1" x14ac:dyDescent="0.25">
      <c r="A699" s="10" t="s">
        <v>35</v>
      </c>
      <c r="B699" s="11" t="s">
        <v>42</v>
      </c>
      <c r="C699" s="11">
        <v>84.74</v>
      </c>
      <c r="D699" s="11">
        <v>1984</v>
      </c>
    </row>
    <row r="700" spans="1:4" ht="19.95" customHeight="1" x14ac:dyDescent="0.25">
      <c r="A700" s="10" t="s">
        <v>36</v>
      </c>
      <c r="B700" s="11" t="s">
        <v>42</v>
      </c>
      <c r="C700" s="11"/>
      <c r="D700" s="11">
        <v>1984</v>
      </c>
    </row>
    <row r="701" spans="1:4" ht="19.95" customHeight="1" x14ac:dyDescent="0.25">
      <c r="A701" s="10" t="s">
        <v>37</v>
      </c>
      <c r="B701" s="11" t="s">
        <v>42</v>
      </c>
      <c r="C701" s="11">
        <v>55.4</v>
      </c>
      <c r="D701" s="11">
        <v>1984</v>
      </c>
    </row>
    <row r="702" spans="1:4" ht="19.95" customHeight="1" x14ac:dyDescent="0.25">
      <c r="A702" s="10" t="s">
        <v>38</v>
      </c>
      <c r="B702" s="11" t="s">
        <v>42</v>
      </c>
      <c r="C702" s="11">
        <v>52.04</v>
      </c>
      <c r="D702" s="11">
        <v>1984</v>
      </c>
    </row>
    <row r="703" spans="1:4" ht="19.95" customHeight="1" x14ac:dyDescent="0.25">
      <c r="A703" s="10" t="s">
        <v>39</v>
      </c>
      <c r="B703" s="11" t="s">
        <v>42</v>
      </c>
      <c r="C703" s="11">
        <v>49.6</v>
      </c>
      <c r="D703" s="11">
        <v>1984</v>
      </c>
    </row>
    <row r="704" spans="1:4" ht="19.95" customHeight="1" x14ac:dyDescent="0.25">
      <c r="A704" s="10" t="s">
        <v>40</v>
      </c>
      <c r="B704" s="11" t="s">
        <v>42</v>
      </c>
      <c r="C704" s="11">
        <v>67.569999999999993</v>
      </c>
      <c r="D704" s="11">
        <v>1984</v>
      </c>
    </row>
    <row r="705" spans="1:4" ht="19.95" customHeight="1" x14ac:dyDescent="0.25">
      <c r="A705" s="10" t="s">
        <v>10</v>
      </c>
      <c r="B705" s="11" t="s">
        <v>42</v>
      </c>
      <c r="C705" s="11">
        <v>90.46</v>
      </c>
      <c r="D705" s="11">
        <v>1985</v>
      </c>
    </row>
    <row r="706" spans="1:4" ht="19.95" customHeight="1" x14ac:dyDescent="0.25">
      <c r="A706" s="10" t="s">
        <v>13</v>
      </c>
      <c r="B706" s="11" t="s">
        <v>42</v>
      </c>
      <c r="C706" s="11">
        <v>52.5</v>
      </c>
      <c r="D706" s="11">
        <v>1985</v>
      </c>
    </row>
    <row r="707" spans="1:4" ht="19.95" customHeight="1" x14ac:dyDescent="0.25">
      <c r="A707" s="10" t="s">
        <v>15</v>
      </c>
      <c r="B707" s="11" t="s">
        <v>42</v>
      </c>
      <c r="C707" s="11">
        <v>43.9</v>
      </c>
      <c r="D707" s="11">
        <v>1985</v>
      </c>
    </row>
    <row r="708" spans="1:4" ht="19.95" customHeight="1" x14ac:dyDescent="0.25">
      <c r="A708" s="10" t="s">
        <v>16</v>
      </c>
      <c r="B708" s="11" t="s">
        <v>42</v>
      </c>
      <c r="C708" s="11">
        <v>61.26</v>
      </c>
      <c r="D708" s="11">
        <v>1985</v>
      </c>
    </row>
    <row r="709" spans="1:4" ht="19.95" customHeight="1" x14ac:dyDescent="0.25">
      <c r="A709" s="10" t="s">
        <v>17</v>
      </c>
      <c r="B709" s="11" t="s">
        <v>42</v>
      </c>
      <c r="C709" s="11">
        <v>68.239999999999995</v>
      </c>
      <c r="D709" s="11">
        <v>1985</v>
      </c>
    </row>
    <row r="710" spans="1:4" ht="19.95" customHeight="1" x14ac:dyDescent="0.25">
      <c r="A710" s="10" t="s">
        <v>2</v>
      </c>
      <c r="B710" s="11" t="s">
        <v>42</v>
      </c>
      <c r="C710" s="11"/>
      <c r="D710" s="11">
        <v>1985</v>
      </c>
    </row>
    <row r="711" spans="1:4" ht="19.95" customHeight="1" x14ac:dyDescent="0.25">
      <c r="A711" s="10" t="s">
        <v>18</v>
      </c>
      <c r="B711" s="11" t="s">
        <v>42</v>
      </c>
      <c r="C711" s="11">
        <v>52.65</v>
      </c>
      <c r="D711" s="11">
        <v>1985</v>
      </c>
    </row>
    <row r="712" spans="1:4" ht="19.95" customHeight="1" x14ac:dyDescent="0.25">
      <c r="A712" s="10" t="s">
        <v>19</v>
      </c>
      <c r="B712" s="11" t="s">
        <v>42</v>
      </c>
      <c r="C712" s="11">
        <v>103.79</v>
      </c>
      <c r="D712" s="11">
        <v>1985</v>
      </c>
    </row>
    <row r="713" spans="1:4" ht="19.95" customHeight="1" x14ac:dyDescent="0.25">
      <c r="A713" s="10" t="s">
        <v>20</v>
      </c>
      <c r="B713" s="11" t="s">
        <v>42</v>
      </c>
      <c r="C713" s="11">
        <v>51.24</v>
      </c>
      <c r="D713" s="11">
        <v>1985</v>
      </c>
    </row>
    <row r="714" spans="1:4" ht="19.95" customHeight="1" x14ac:dyDescent="0.25">
      <c r="A714" s="10" t="s">
        <v>21</v>
      </c>
      <c r="B714" s="11" t="s">
        <v>42</v>
      </c>
      <c r="C714" s="11"/>
      <c r="D714" s="11">
        <v>1985</v>
      </c>
    </row>
    <row r="715" spans="1:4" ht="19.95" customHeight="1" x14ac:dyDescent="0.25">
      <c r="A715" s="10" t="s">
        <v>22</v>
      </c>
      <c r="B715" s="11" t="s">
        <v>42</v>
      </c>
      <c r="C715" s="11">
        <v>92.69</v>
      </c>
      <c r="D715" s="11">
        <v>1985</v>
      </c>
    </row>
    <row r="716" spans="1:4" ht="19.95" customHeight="1" x14ac:dyDescent="0.25">
      <c r="A716" s="10" t="s">
        <v>23</v>
      </c>
      <c r="B716" s="11" t="s">
        <v>42</v>
      </c>
      <c r="C716" s="11">
        <v>76.47</v>
      </c>
      <c r="D716" s="11">
        <v>1985</v>
      </c>
    </row>
    <row r="717" spans="1:4" ht="19.95" customHeight="1" x14ac:dyDescent="0.25">
      <c r="A717" s="10" t="s">
        <v>24</v>
      </c>
      <c r="B717" s="11" t="s">
        <v>42</v>
      </c>
      <c r="C717" s="11">
        <v>45.44</v>
      </c>
      <c r="D717" s="11">
        <v>1985</v>
      </c>
    </row>
    <row r="718" spans="1:4" ht="19.95" customHeight="1" x14ac:dyDescent="0.25">
      <c r="A718" s="10" t="s">
        <v>25</v>
      </c>
      <c r="B718" s="11" t="s">
        <v>42</v>
      </c>
      <c r="C718" s="11">
        <v>39.53</v>
      </c>
      <c r="D718" s="11">
        <v>1985</v>
      </c>
    </row>
    <row r="719" spans="1:4" ht="19.95" customHeight="1" x14ac:dyDescent="0.25">
      <c r="A719" s="10" t="s">
        <v>26</v>
      </c>
      <c r="B719" s="11" t="s">
        <v>42</v>
      </c>
      <c r="C719" s="11"/>
      <c r="D719" s="11">
        <v>1985</v>
      </c>
    </row>
    <row r="720" spans="1:4" ht="19.95" customHeight="1" x14ac:dyDescent="0.25">
      <c r="A720" s="10" t="s">
        <v>27</v>
      </c>
      <c r="B720" s="11" t="s">
        <v>42</v>
      </c>
      <c r="C720" s="11">
        <v>52.97</v>
      </c>
      <c r="D720" s="11">
        <v>1985</v>
      </c>
    </row>
    <row r="721" spans="1:4" ht="19.95" customHeight="1" x14ac:dyDescent="0.25">
      <c r="A721" s="10" t="s">
        <v>29</v>
      </c>
      <c r="B721" s="11" t="s">
        <v>42</v>
      </c>
      <c r="C721" s="11">
        <v>48.47</v>
      </c>
      <c r="D721" s="11">
        <v>1985</v>
      </c>
    </row>
    <row r="722" spans="1:4" ht="19.95" customHeight="1" x14ac:dyDescent="0.25">
      <c r="A722" s="10" t="s">
        <v>30</v>
      </c>
      <c r="B722" s="11" t="s">
        <v>42</v>
      </c>
      <c r="C722" s="11">
        <v>50.69</v>
      </c>
      <c r="D722" s="11">
        <v>1985</v>
      </c>
    </row>
    <row r="723" spans="1:4" ht="19.95" customHeight="1" x14ac:dyDescent="0.25">
      <c r="A723" s="10" t="s">
        <v>31</v>
      </c>
      <c r="B723" s="11" t="s">
        <v>42</v>
      </c>
      <c r="C723" s="11">
        <v>47.67</v>
      </c>
      <c r="D723" s="11">
        <v>1985</v>
      </c>
    </row>
    <row r="724" spans="1:4" ht="19.95" customHeight="1" x14ac:dyDescent="0.25">
      <c r="A724" s="10" t="s">
        <v>32</v>
      </c>
      <c r="B724" s="11" t="s">
        <v>42</v>
      </c>
      <c r="C724" s="11">
        <v>33.78</v>
      </c>
      <c r="D724" s="11">
        <v>1985</v>
      </c>
    </row>
    <row r="725" spans="1:4" ht="19.95" customHeight="1" x14ac:dyDescent="0.25">
      <c r="A725" s="10" t="s">
        <v>33</v>
      </c>
      <c r="B725" s="11" t="s">
        <v>42</v>
      </c>
      <c r="C725" s="11">
        <v>66.260000000000005</v>
      </c>
      <c r="D725" s="11">
        <v>1985</v>
      </c>
    </row>
    <row r="726" spans="1:4" ht="19.95" customHeight="1" x14ac:dyDescent="0.25">
      <c r="A726" s="10" t="s">
        <v>34</v>
      </c>
      <c r="B726" s="11" t="s">
        <v>42</v>
      </c>
      <c r="C726" s="11">
        <v>54.21</v>
      </c>
      <c r="D726" s="11">
        <v>1985</v>
      </c>
    </row>
    <row r="727" spans="1:4" ht="19.95" customHeight="1" x14ac:dyDescent="0.25">
      <c r="A727" s="10" t="s">
        <v>35</v>
      </c>
      <c r="B727" s="11" t="s">
        <v>42</v>
      </c>
      <c r="C727" s="11">
        <v>88.79</v>
      </c>
      <c r="D727" s="11">
        <v>1985</v>
      </c>
    </row>
    <row r="728" spans="1:4" ht="19.95" customHeight="1" x14ac:dyDescent="0.25">
      <c r="A728" s="10" t="s">
        <v>36</v>
      </c>
      <c r="B728" s="11" t="s">
        <v>42</v>
      </c>
      <c r="C728" s="11"/>
      <c r="D728" s="11">
        <v>1985</v>
      </c>
    </row>
    <row r="729" spans="1:4" ht="19.95" customHeight="1" x14ac:dyDescent="0.25">
      <c r="A729" s="10" t="s">
        <v>37</v>
      </c>
      <c r="B729" s="11" t="s">
        <v>42</v>
      </c>
      <c r="C729" s="11">
        <v>58.29</v>
      </c>
      <c r="D729" s="11">
        <v>1985</v>
      </c>
    </row>
    <row r="730" spans="1:4" ht="19.95" customHeight="1" x14ac:dyDescent="0.25">
      <c r="A730" s="10" t="s">
        <v>38</v>
      </c>
      <c r="B730" s="11" t="s">
        <v>42</v>
      </c>
      <c r="C730" s="11">
        <v>53.17</v>
      </c>
      <c r="D730" s="11">
        <v>1985</v>
      </c>
    </row>
    <row r="731" spans="1:4" ht="19.95" customHeight="1" x14ac:dyDescent="0.25">
      <c r="A731" s="10" t="s">
        <v>39</v>
      </c>
      <c r="B731" s="11" t="s">
        <v>42</v>
      </c>
      <c r="C731" s="11">
        <v>55.08</v>
      </c>
      <c r="D731" s="11">
        <v>1985</v>
      </c>
    </row>
    <row r="732" spans="1:4" ht="19.95" customHeight="1" x14ac:dyDescent="0.25">
      <c r="A732" s="10" t="s">
        <v>40</v>
      </c>
      <c r="B732" s="11" t="s">
        <v>42</v>
      </c>
      <c r="C732" s="11">
        <v>91.27</v>
      </c>
      <c r="D732" s="11">
        <v>1985</v>
      </c>
    </row>
    <row r="733" spans="1:4" ht="19.95" customHeight="1" x14ac:dyDescent="0.25">
      <c r="A733" s="10" t="s">
        <v>10</v>
      </c>
      <c r="B733" s="11" t="s">
        <v>42</v>
      </c>
      <c r="C733" s="11">
        <v>95.34</v>
      </c>
      <c r="D733" s="11">
        <v>1986</v>
      </c>
    </row>
    <row r="734" spans="1:4" ht="19.95" customHeight="1" x14ac:dyDescent="0.25">
      <c r="A734" s="10" t="s">
        <v>13</v>
      </c>
      <c r="B734" s="11" t="s">
        <v>42</v>
      </c>
      <c r="C734" s="11">
        <v>55.94</v>
      </c>
      <c r="D734" s="11">
        <v>1986</v>
      </c>
    </row>
    <row r="735" spans="1:4" ht="19.95" customHeight="1" x14ac:dyDescent="0.25">
      <c r="A735" s="10" t="s">
        <v>15</v>
      </c>
      <c r="B735" s="11" t="s">
        <v>42</v>
      </c>
      <c r="C735" s="11">
        <v>44.86</v>
      </c>
      <c r="D735" s="11">
        <v>1986</v>
      </c>
    </row>
    <row r="736" spans="1:4" ht="19.95" customHeight="1" x14ac:dyDescent="0.25">
      <c r="A736" s="10" t="s">
        <v>16</v>
      </c>
      <c r="B736" s="11" t="s">
        <v>42</v>
      </c>
      <c r="C736" s="11">
        <v>63.95</v>
      </c>
      <c r="D736" s="11">
        <v>1986</v>
      </c>
    </row>
    <row r="737" spans="1:4" ht="19.95" customHeight="1" x14ac:dyDescent="0.25">
      <c r="A737" s="10" t="s">
        <v>17</v>
      </c>
      <c r="B737" s="11" t="s">
        <v>42</v>
      </c>
      <c r="C737" s="11">
        <v>73.599999999999994</v>
      </c>
      <c r="D737" s="11">
        <v>1986</v>
      </c>
    </row>
    <row r="738" spans="1:4" ht="19.95" customHeight="1" x14ac:dyDescent="0.25">
      <c r="A738" s="10" t="s">
        <v>2</v>
      </c>
      <c r="B738" s="11" t="s">
        <v>42</v>
      </c>
      <c r="C738" s="11"/>
      <c r="D738" s="11">
        <v>1986</v>
      </c>
    </row>
    <row r="739" spans="1:4" ht="19.95" customHeight="1" x14ac:dyDescent="0.25">
      <c r="A739" s="10" t="s">
        <v>18</v>
      </c>
      <c r="B739" s="11" t="s">
        <v>42</v>
      </c>
      <c r="C739" s="11">
        <v>52.75</v>
      </c>
      <c r="D739" s="11">
        <v>1986</v>
      </c>
    </row>
    <row r="740" spans="1:4" ht="19.95" customHeight="1" x14ac:dyDescent="0.25">
      <c r="A740" s="10" t="s">
        <v>19</v>
      </c>
      <c r="B740" s="11" t="s">
        <v>42</v>
      </c>
      <c r="C740" s="11">
        <v>102.6</v>
      </c>
      <c r="D740" s="11">
        <v>1986</v>
      </c>
    </row>
    <row r="741" spans="1:4" ht="19.95" customHeight="1" x14ac:dyDescent="0.25">
      <c r="A741" s="10" t="s">
        <v>20</v>
      </c>
      <c r="B741" s="11" t="s">
        <v>42</v>
      </c>
      <c r="C741" s="11">
        <v>56.92</v>
      </c>
      <c r="D741" s="11">
        <v>1986</v>
      </c>
    </row>
    <row r="742" spans="1:4" ht="19.95" customHeight="1" x14ac:dyDescent="0.25">
      <c r="A742" s="10" t="s">
        <v>21</v>
      </c>
      <c r="B742" s="11" t="s">
        <v>42</v>
      </c>
      <c r="C742" s="11"/>
      <c r="D742" s="11">
        <v>1986</v>
      </c>
    </row>
    <row r="743" spans="1:4" ht="19.95" customHeight="1" x14ac:dyDescent="0.25">
      <c r="A743" s="10" t="s">
        <v>22</v>
      </c>
      <c r="B743" s="11" t="s">
        <v>42</v>
      </c>
      <c r="C743" s="11">
        <v>92.66</v>
      </c>
      <c r="D743" s="11">
        <v>1986</v>
      </c>
    </row>
    <row r="744" spans="1:4" ht="19.95" customHeight="1" x14ac:dyDescent="0.25">
      <c r="A744" s="10" t="s">
        <v>23</v>
      </c>
      <c r="B744" s="11" t="s">
        <v>42</v>
      </c>
      <c r="C744" s="11">
        <v>78.02</v>
      </c>
      <c r="D744" s="11">
        <v>1986</v>
      </c>
    </row>
    <row r="745" spans="1:4" ht="19.95" customHeight="1" x14ac:dyDescent="0.25">
      <c r="A745" s="10" t="s">
        <v>24</v>
      </c>
      <c r="B745" s="11" t="s">
        <v>42</v>
      </c>
      <c r="C745" s="11">
        <v>48.04</v>
      </c>
      <c r="D745" s="11">
        <v>1986</v>
      </c>
    </row>
    <row r="746" spans="1:4" ht="19.95" customHeight="1" x14ac:dyDescent="0.25">
      <c r="A746" s="10" t="s">
        <v>25</v>
      </c>
      <c r="B746" s="11" t="s">
        <v>42</v>
      </c>
      <c r="C746" s="11">
        <v>42.55</v>
      </c>
      <c r="D746" s="11">
        <v>1986</v>
      </c>
    </row>
    <row r="747" spans="1:4" ht="19.95" customHeight="1" x14ac:dyDescent="0.25">
      <c r="A747" s="10" t="s">
        <v>26</v>
      </c>
      <c r="B747" s="11" t="s">
        <v>42</v>
      </c>
      <c r="C747" s="11"/>
      <c r="D747" s="11">
        <v>1986</v>
      </c>
    </row>
    <row r="748" spans="1:4" ht="19.95" customHeight="1" x14ac:dyDescent="0.25">
      <c r="A748" s="10" t="s">
        <v>27</v>
      </c>
      <c r="B748" s="11" t="s">
        <v>42</v>
      </c>
      <c r="C748" s="11">
        <v>54.03</v>
      </c>
      <c r="D748" s="11">
        <v>1986</v>
      </c>
    </row>
    <row r="749" spans="1:4" ht="19.95" customHeight="1" x14ac:dyDescent="0.25">
      <c r="A749" s="10" t="s">
        <v>29</v>
      </c>
      <c r="B749" s="11" t="s">
        <v>42</v>
      </c>
      <c r="C749" s="11">
        <v>48.64</v>
      </c>
      <c r="D749" s="11">
        <v>1986</v>
      </c>
    </row>
    <row r="750" spans="1:4" ht="19.95" customHeight="1" x14ac:dyDescent="0.25">
      <c r="A750" s="10" t="s">
        <v>30</v>
      </c>
      <c r="B750" s="11" t="s">
        <v>42</v>
      </c>
      <c r="C750" s="11">
        <v>48.87</v>
      </c>
      <c r="D750" s="11">
        <v>1986</v>
      </c>
    </row>
    <row r="751" spans="1:4" ht="19.95" customHeight="1" x14ac:dyDescent="0.25">
      <c r="A751" s="10" t="s">
        <v>31</v>
      </c>
      <c r="B751" s="11" t="s">
        <v>42</v>
      </c>
      <c r="C751" s="11">
        <v>46</v>
      </c>
      <c r="D751" s="11">
        <v>1986</v>
      </c>
    </row>
    <row r="752" spans="1:4" ht="19.95" customHeight="1" x14ac:dyDescent="0.25">
      <c r="A752" s="10" t="s">
        <v>32</v>
      </c>
      <c r="B752" s="11" t="s">
        <v>42</v>
      </c>
      <c r="C752" s="11">
        <v>37.56</v>
      </c>
      <c r="D752" s="11">
        <v>1986</v>
      </c>
    </row>
    <row r="753" spans="1:4" ht="19.95" customHeight="1" x14ac:dyDescent="0.25">
      <c r="A753" s="10" t="s">
        <v>33</v>
      </c>
      <c r="B753" s="11" t="s">
        <v>42</v>
      </c>
      <c r="C753" s="11">
        <v>60.69</v>
      </c>
      <c r="D753" s="11">
        <v>1986</v>
      </c>
    </row>
    <row r="754" spans="1:4" ht="19.95" customHeight="1" x14ac:dyDescent="0.25">
      <c r="A754" s="10" t="s">
        <v>34</v>
      </c>
      <c r="B754" s="11" t="s">
        <v>42</v>
      </c>
      <c r="C754" s="11">
        <v>56.96</v>
      </c>
      <c r="D754" s="11">
        <v>1986</v>
      </c>
    </row>
    <row r="755" spans="1:4" ht="19.95" customHeight="1" x14ac:dyDescent="0.25">
      <c r="A755" s="10" t="s">
        <v>35</v>
      </c>
      <c r="B755" s="11" t="s">
        <v>42</v>
      </c>
      <c r="C755" s="11">
        <v>88.36</v>
      </c>
      <c r="D755" s="11">
        <v>1986</v>
      </c>
    </row>
    <row r="756" spans="1:4" ht="19.95" customHeight="1" x14ac:dyDescent="0.25">
      <c r="A756" s="10" t="s">
        <v>36</v>
      </c>
      <c r="B756" s="11" t="s">
        <v>42</v>
      </c>
      <c r="C756" s="11"/>
      <c r="D756" s="11">
        <v>1986</v>
      </c>
    </row>
    <row r="757" spans="1:4" ht="19.95" customHeight="1" x14ac:dyDescent="0.25">
      <c r="A757" s="10" t="s">
        <v>37</v>
      </c>
      <c r="B757" s="11" t="s">
        <v>42</v>
      </c>
      <c r="C757" s="11">
        <v>59.56</v>
      </c>
      <c r="D757" s="11">
        <v>1986</v>
      </c>
    </row>
    <row r="758" spans="1:4" ht="19.95" customHeight="1" x14ac:dyDescent="0.25">
      <c r="A758" s="10" t="s">
        <v>38</v>
      </c>
      <c r="B758" s="11" t="s">
        <v>42</v>
      </c>
      <c r="C758" s="11">
        <v>52.57</v>
      </c>
      <c r="D758" s="11">
        <v>1986</v>
      </c>
    </row>
    <row r="759" spans="1:4" ht="19.95" customHeight="1" x14ac:dyDescent="0.25">
      <c r="A759" s="10" t="s">
        <v>39</v>
      </c>
      <c r="B759" s="11" t="s">
        <v>42</v>
      </c>
      <c r="C759" s="11">
        <v>57.43</v>
      </c>
      <c r="D759" s="11">
        <v>1986</v>
      </c>
    </row>
    <row r="760" spans="1:4" ht="19.95" customHeight="1" x14ac:dyDescent="0.25">
      <c r="A760" s="10" t="s">
        <v>40</v>
      </c>
      <c r="B760" s="11" t="s">
        <v>42</v>
      </c>
      <c r="C760" s="11">
        <v>87.47</v>
      </c>
      <c r="D760" s="11">
        <v>1986</v>
      </c>
    </row>
    <row r="761" spans="1:4" ht="19.95" customHeight="1" x14ac:dyDescent="0.25">
      <c r="A761" s="10" t="s">
        <v>10</v>
      </c>
      <c r="B761" s="11" t="s">
        <v>42</v>
      </c>
      <c r="C761" s="11">
        <v>97.86</v>
      </c>
      <c r="D761" s="11">
        <v>1987</v>
      </c>
    </row>
    <row r="762" spans="1:4" ht="19.95" customHeight="1" x14ac:dyDescent="0.25">
      <c r="A762" s="10" t="s">
        <v>13</v>
      </c>
      <c r="B762" s="11" t="s">
        <v>42</v>
      </c>
      <c r="C762" s="11">
        <v>50.79</v>
      </c>
      <c r="D762" s="11">
        <v>1987</v>
      </c>
    </row>
    <row r="763" spans="1:4" ht="19.95" customHeight="1" x14ac:dyDescent="0.25">
      <c r="A763" s="10" t="s">
        <v>15</v>
      </c>
      <c r="B763" s="11" t="s">
        <v>42</v>
      </c>
      <c r="C763" s="11">
        <v>44.92</v>
      </c>
      <c r="D763" s="11">
        <v>1987</v>
      </c>
    </row>
    <row r="764" spans="1:4" ht="19.95" customHeight="1" x14ac:dyDescent="0.25">
      <c r="A764" s="10" t="s">
        <v>16</v>
      </c>
      <c r="B764" s="11" t="s">
        <v>42</v>
      </c>
      <c r="C764" s="11">
        <v>69.12</v>
      </c>
      <c r="D764" s="11">
        <v>1987</v>
      </c>
    </row>
    <row r="765" spans="1:4" ht="19.95" customHeight="1" x14ac:dyDescent="0.25">
      <c r="A765" s="10" t="s">
        <v>17</v>
      </c>
      <c r="B765" s="11" t="s">
        <v>42</v>
      </c>
      <c r="C765" s="11">
        <v>75.739999999999995</v>
      </c>
      <c r="D765" s="11">
        <v>1987</v>
      </c>
    </row>
    <row r="766" spans="1:4" ht="19.95" customHeight="1" x14ac:dyDescent="0.25">
      <c r="A766" s="10" t="s">
        <v>2</v>
      </c>
      <c r="B766" s="11" t="s">
        <v>42</v>
      </c>
      <c r="C766" s="11"/>
      <c r="D766" s="11">
        <v>1987</v>
      </c>
    </row>
    <row r="767" spans="1:4" ht="19.95" customHeight="1" x14ac:dyDescent="0.25">
      <c r="A767" s="10" t="s">
        <v>18</v>
      </c>
      <c r="B767" s="11" t="s">
        <v>42</v>
      </c>
      <c r="C767" s="11">
        <v>53.64</v>
      </c>
      <c r="D767" s="11">
        <v>1987</v>
      </c>
    </row>
    <row r="768" spans="1:4" ht="19.95" customHeight="1" x14ac:dyDescent="0.25">
      <c r="A768" s="10" t="s">
        <v>19</v>
      </c>
      <c r="B768" s="11" t="s">
        <v>42</v>
      </c>
      <c r="C768" s="11">
        <v>101.47</v>
      </c>
      <c r="D768" s="11">
        <v>1987</v>
      </c>
    </row>
    <row r="769" spans="1:4" ht="19.95" customHeight="1" x14ac:dyDescent="0.25">
      <c r="A769" s="10" t="s">
        <v>20</v>
      </c>
      <c r="B769" s="11" t="s">
        <v>42</v>
      </c>
      <c r="C769" s="11">
        <v>57.04</v>
      </c>
      <c r="D769" s="11">
        <v>1987</v>
      </c>
    </row>
    <row r="770" spans="1:4" ht="19.95" customHeight="1" x14ac:dyDescent="0.25">
      <c r="A770" s="10" t="s">
        <v>21</v>
      </c>
      <c r="B770" s="11" t="s">
        <v>42</v>
      </c>
      <c r="C770" s="11"/>
      <c r="D770" s="11">
        <v>1987</v>
      </c>
    </row>
    <row r="771" spans="1:4" ht="19.95" customHeight="1" x14ac:dyDescent="0.25">
      <c r="A771" s="10" t="s">
        <v>22</v>
      </c>
      <c r="B771" s="11" t="s">
        <v>42</v>
      </c>
      <c r="C771" s="11">
        <v>95.48</v>
      </c>
      <c r="D771" s="11">
        <v>1987</v>
      </c>
    </row>
    <row r="772" spans="1:4" ht="19.95" customHeight="1" x14ac:dyDescent="0.25">
      <c r="A772" s="10" t="s">
        <v>23</v>
      </c>
      <c r="B772" s="11" t="s">
        <v>42</v>
      </c>
      <c r="C772" s="11">
        <v>77.540000000000006</v>
      </c>
      <c r="D772" s="11">
        <v>1987</v>
      </c>
    </row>
    <row r="773" spans="1:4" ht="19.95" customHeight="1" x14ac:dyDescent="0.25">
      <c r="A773" s="10" t="s">
        <v>24</v>
      </c>
      <c r="B773" s="11" t="s">
        <v>42</v>
      </c>
      <c r="C773" s="11">
        <v>47.42</v>
      </c>
      <c r="D773" s="11">
        <v>1987</v>
      </c>
    </row>
    <row r="774" spans="1:4" ht="19.95" customHeight="1" x14ac:dyDescent="0.25">
      <c r="A774" s="10" t="s">
        <v>25</v>
      </c>
      <c r="B774" s="11" t="s">
        <v>42</v>
      </c>
      <c r="C774" s="11">
        <v>41.01</v>
      </c>
      <c r="D774" s="11">
        <v>1987</v>
      </c>
    </row>
    <row r="775" spans="1:4" ht="19.95" customHeight="1" x14ac:dyDescent="0.25">
      <c r="A775" s="10" t="s">
        <v>26</v>
      </c>
      <c r="B775" s="11" t="s">
        <v>42</v>
      </c>
      <c r="C775" s="11"/>
      <c r="D775" s="11">
        <v>1987</v>
      </c>
    </row>
    <row r="776" spans="1:4" ht="19.95" customHeight="1" x14ac:dyDescent="0.25">
      <c r="A776" s="10" t="s">
        <v>27</v>
      </c>
      <c r="B776" s="11" t="s">
        <v>42</v>
      </c>
      <c r="C776" s="11">
        <v>52.99</v>
      </c>
      <c r="D776" s="11">
        <v>1987</v>
      </c>
    </row>
    <row r="777" spans="1:4" ht="19.95" customHeight="1" x14ac:dyDescent="0.25">
      <c r="A777" s="10" t="s">
        <v>29</v>
      </c>
      <c r="B777" s="11" t="s">
        <v>42</v>
      </c>
      <c r="C777" s="11">
        <v>47.52</v>
      </c>
      <c r="D777" s="11">
        <v>1987</v>
      </c>
    </row>
    <row r="778" spans="1:4" ht="19.95" customHeight="1" x14ac:dyDescent="0.25">
      <c r="A778" s="10" t="s">
        <v>30</v>
      </c>
      <c r="B778" s="11" t="s">
        <v>42</v>
      </c>
      <c r="C778" s="11">
        <v>54.64</v>
      </c>
      <c r="D778" s="11">
        <v>1987</v>
      </c>
    </row>
    <row r="779" spans="1:4" ht="19.95" customHeight="1" x14ac:dyDescent="0.25">
      <c r="A779" s="10" t="s">
        <v>31</v>
      </c>
      <c r="B779" s="11" t="s">
        <v>42</v>
      </c>
      <c r="C779" s="11">
        <v>42.45</v>
      </c>
      <c r="D779" s="11">
        <v>1987</v>
      </c>
    </row>
    <row r="780" spans="1:4" ht="19.95" customHeight="1" x14ac:dyDescent="0.25">
      <c r="A780" s="10" t="s">
        <v>32</v>
      </c>
      <c r="B780" s="11" t="s">
        <v>42</v>
      </c>
      <c r="C780" s="11">
        <v>34.520000000000003</v>
      </c>
      <c r="D780" s="11">
        <v>1987</v>
      </c>
    </row>
    <row r="781" spans="1:4" ht="19.95" customHeight="1" x14ac:dyDescent="0.25">
      <c r="A781" s="10" t="s">
        <v>33</v>
      </c>
      <c r="B781" s="11" t="s">
        <v>42</v>
      </c>
      <c r="C781" s="11">
        <v>60.54</v>
      </c>
      <c r="D781" s="11">
        <v>1987</v>
      </c>
    </row>
    <row r="782" spans="1:4" ht="19.95" customHeight="1" x14ac:dyDescent="0.25">
      <c r="A782" s="10" t="s">
        <v>34</v>
      </c>
      <c r="B782" s="11" t="s">
        <v>42</v>
      </c>
      <c r="C782" s="11">
        <v>56.12</v>
      </c>
      <c r="D782" s="11">
        <v>1987</v>
      </c>
    </row>
    <row r="783" spans="1:4" ht="19.95" customHeight="1" x14ac:dyDescent="0.25">
      <c r="A783" s="10" t="s">
        <v>35</v>
      </c>
      <c r="B783" s="11" t="s">
        <v>42</v>
      </c>
      <c r="C783" s="11">
        <v>76.430000000000007</v>
      </c>
      <c r="D783" s="11">
        <v>1987</v>
      </c>
    </row>
    <row r="784" spans="1:4" ht="19.95" customHeight="1" x14ac:dyDescent="0.25">
      <c r="A784" s="10" t="s">
        <v>36</v>
      </c>
      <c r="B784" s="11" t="s">
        <v>42</v>
      </c>
      <c r="C784" s="11"/>
      <c r="D784" s="11">
        <v>1987</v>
      </c>
    </row>
    <row r="785" spans="1:4" ht="19.95" customHeight="1" x14ac:dyDescent="0.25">
      <c r="A785" s="10" t="s">
        <v>37</v>
      </c>
      <c r="B785" s="11" t="s">
        <v>42</v>
      </c>
      <c r="C785" s="11">
        <v>59.31</v>
      </c>
      <c r="D785" s="11">
        <v>1987</v>
      </c>
    </row>
    <row r="786" spans="1:4" ht="19.95" customHeight="1" x14ac:dyDescent="0.25">
      <c r="A786" s="10" t="s">
        <v>38</v>
      </c>
      <c r="B786" s="11" t="s">
        <v>42</v>
      </c>
      <c r="C786" s="11">
        <v>55.33</v>
      </c>
      <c r="D786" s="11">
        <v>1987</v>
      </c>
    </row>
    <row r="787" spans="1:4" ht="19.95" customHeight="1" x14ac:dyDescent="0.25">
      <c r="A787" s="10" t="s">
        <v>39</v>
      </c>
      <c r="B787" s="11" t="s">
        <v>42</v>
      </c>
      <c r="C787" s="11">
        <v>57.54</v>
      </c>
      <c r="D787" s="11">
        <v>1987</v>
      </c>
    </row>
    <row r="788" spans="1:4" ht="19.95" customHeight="1" x14ac:dyDescent="0.25">
      <c r="A788" s="10" t="s">
        <v>40</v>
      </c>
      <c r="B788" s="11" t="s">
        <v>42</v>
      </c>
      <c r="C788" s="11">
        <v>73.37</v>
      </c>
      <c r="D788" s="11">
        <v>1987</v>
      </c>
    </row>
    <row r="789" spans="1:4" ht="19.95" customHeight="1" x14ac:dyDescent="0.25">
      <c r="A789" s="10" t="s">
        <v>10</v>
      </c>
      <c r="B789" s="11" t="s">
        <v>42</v>
      </c>
      <c r="C789" s="11">
        <v>100.9</v>
      </c>
      <c r="D789" s="11">
        <v>1988</v>
      </c>
    </row>
    <row r="790" spans="1:4" ht="19.95" customHeight="1" x14ac:dyDescent="0.25">
      <c r="A790" s="10" t="s">
        <v>13</v>
      </c>
      <c r="B790" s="11" t="s">
        <v>42</v>
      </c>
      <c r="C790" s="11">
        <v>52.47</v>
      </c>
      <c r="D790" s="11">
        <v>1988</v>
      </c>
    </row>
    <row r="791" spans="1:4" ht="19.95" customHeight="1" x14ac:dyDescent="0.25">
      <c r="A791" s="10" t="s">
        <v>15</v>
      </c>
      <c r="B791" s="11" t="s">
        <v>42</v>
      </c>
      <c r="C791" s="11">
        <v>50.79</v>
      </c>
      <c r="D791" s="11">
        <v>1988</v>
      </c>
    </row>
    <row r="792" spans="1:4" ht="19.95" customHeight="1" x14ac:dyDescent="0.25">
      <c r="A792" s="10" t="s">
        <v>16</v>
      </c>
      <c r="B792" s="11" t="s">
        <v>42</v>
      </c>
      <c r="C792" s="11">
        <v>71.59</v>
      </c>
      <c r="D792" s="11">
        <v>1988</v>
      </c>
    </row>
    <row r="793" spans="1:4" ht="19.95" customHeight="1" x14ac:dyDescent="0.25">
      <c r="A793" s="10" t="s">
        <v>17</v>
      </c>
      <c r="B793" s="11" t="s">
        <v>42</v>
      </c>
      <c r="C793" s="11">
        <v>78.819999999999993</v>
      </c>
      <c r="D793" s="11">
        <v>1988</v>
      </c>
    </row>
    <row r="794" spans="1:4" ht="19.95" customHeight="1" x14ac:dyDescent="0.25">
      <c r="A794" s="10" t="s">
        <v>2</v>
      </c>
      <c r="B794" s="11" t="s">
        <v>42</v>
      </c>
      <c r="C794" s="11"/>
      <c r="D794" s="11">
        <v>1988</v>
      </c>
    </row>
    <row r="795" spans="1:4" ht="19.95" customHeight="1" x14ac:dyDescent="0.25">
      <c r="A795" s="10" t="s">
        <v>18</v>
      </c>
      <c r="B795" s="11" t="s">
        <v>42</v>
      </c>
      <c r="C795" s="11">
        <v>54.44</v>
      </c>
      <c r="D795" s="11">
        <v>1988</v>
      </c>
    </row>
    <row r="796" spans="1:4" ht="19.95" customHeight="1" x14ac:dyDescent="0.25">
      <c r="A796" s="10" t="s">
        <v>19</v>
      </c>
      <c r="B796" s="11" t="s">
        <v>42</v>
      </c>
      <c r="C796" s="11">
        <v>98.79</v>
      </c>
      <c r="D796" s="11">
        <v>1988</v>
      </c>
    </row>
    <row r="797" spans="1:4" ht="19.95" customHeight="1" x14ac:dyDescent="0.25">
      <c r="A797" s="10" t="s">
        <v>20</v>
      </c>
      <c r="B797" s="11" t="s">
        <v>42</v>
      </c>
      <c r="C797" s="11">
        <v>61.76</v>
      </c>
      <c r="D797" s="11">
        <v>1988</v>
      </c>
    </row>
    <row r="798" spans="1:4" ht="19.95" customHeight="1" x14ac:dyDescent="0.25">
      <c r="A798" s="10" t="s">
        <v>21</v>
      </c>
      <c r="B798" s="11" t="s">
        <v>42</v>
      </c>
      <c r="C798" s="11"/>
      <c r="D798" s="11">
        <v>1988</v>
      </c>
    </row>
    <row r="799" spans="1:4" ht="19.95" customHeight="1" x14ac:dyDescent="0.25">
      <c r="A799" s="10" t="s">
        <v>22</v>
      </c>
      <c r="B799" s="11" t="s">
        <v>42</v>
      </c>
      <c r="C799" s="11">
        <v>97.52</v>
      </c>
      <c r="D799" s="11">
        <v>1988</v>
      </c>
    </row>
    <row r="800" spans="1:4" ht="19.95" customHeight="1" x14ac:dyDescent="0.25">
      <c r="A800" s="10" t="s">
        <v>23</v>
      </c>
      <c r="B800" s="11" t="s">
        <v>42</v>
      </c>
      <c r="C800" s="11">
        <v>78.75</v>
      </c>
      <c r="D800" s="11">
        <v>1988</v>
      </c>
    </row>
    <row r="801" spans="1:4" ht="19.95" customHeight="1" x14ac:dyDescent="0.25">
      <c r="A801" s="10" t="s">
        <v>24</v>
      </c>
      <c r="B801" s="11" t="s">
        <v>42</v>
      </c>
      <c r="C801" s="11">
        <v>49.18</v>
      </c>
      <c r="D801" s="11">
        <v>1988</v>
      </c>
    </row>
    <row r="802" spans="1:4" ht="19.95" customHeight="1" x14ac:dyDescent="0.25">
      <c r="A802" s="10" t="s">
        <v>25</v>
      </c>
      <c r="B802" s="11" t="s">
        <v>42</v>
      </c>
      <c r="C802" s="11">
        <v>47.89</v>
      </c>
      <c r="D802" s="11">
        <v>1988</v>
      </c>
    </row>
    <row r="803" spans="1:4" ht="19.95" customHeight="1" x14ac:dyDescent="0.25">
      <c r="A803" s="10" t="s">
        <v>26</v>
      </c>
      <c r="B803" s="11" t="s">
        <v>42</v>
      </c>
      <c r="C803" s="11"/>
      <c r="D803" s="11">
        <v>1988</v>
      </c>
    </row>
    <row r="804" spans="1:4" ht="19.95" customHeight="1" x14ac:dyDescent="0.25">
      <c r="A804" s="10" t="s">
        <v>27</v>
      </c>
      <c r="B804" s="11" t="s">
        <v>42</v>
      </c>
      <c r="C804" s="11">
        <v>53.41</v>
      </c>
      <c r="D804" s="11">
        <v>1988</v>
      </c>
    </row>
    <row r="805" spans="1:4" ht="19.95" customHeight="1" x14ac:dyDescent="0.25">
      <c r="A805" s="10" t="s">
        <v>29</v>
      </c>
      <c r="B805" s="11" t="s">
        <v>42</v>
      </c>
      <c r="C805" s="11">
        <v>46.29</v>
      </c>
      <c r="D805" s="11">
        <v>1988</v>
      </c>
    </row>
    <row r="806" spans="1:4" ht="19.95" customHeight="1" x14ac:dyDescent="0.25">
      <c r="A806" s="10" t="s">
        <v>30</v>
      </c>
      <c r="B806" s="11" t="s">
        <v>42</v>
      </c>
      <c r="C806" s="11">
        <v>59.16</v>
      </c>
      <c r="D806" s="11">
        <v>1988</v>
      </c>
    </row>
    <row r="807" spans="1:4" ht="19.95" customHeight="1" x14ac:dyDescent="0.25">
      <c r="A807" s="10" t="s">
        <v>31</v>
      </c>
      <c r="B807" s="11" t="s">
        <v>42</v>
      </c>
      <c r="C807" s="11">
        <v>42.09</v>
      </c>
      <c r="D807" s="11">
        <v>1988</v>
      </c>
    </row>
    <row r="808" spans="1:4" ht="19.95" customHeight="1" x14ac:dyDescent="0.25">
      <c r="A808" s="10" t="s">
        <v>32</v>
      </c>
      <c r="B808" s="11" t="s">
        <v>42</v>
      </c>
      <c r="C808" s="11">
        <v>44</v>
      </c>
      <c r="D808" s="11">
        <v>1988</v>
      </c>
    </row>
    <row r="809" spans="1:4" ht="19.95" customHeight="1" x14ac:dyDescent="0.25">
      <c r="A809" s="10" t="s">
        <v>33</v>
      </c>
      <c r="B809" s="11" t="s">
        <v>42</v>
      </c>
      <c r="C809" s="11">
        <v>58.5</v>
      </c>
      <c r="D809" s="11">
        <v>1988</v>
      </c>
    </row>
    <row r="810" spans="1:4" ht="19.95" customHeight="1" x14ac:dyDescent="0.25">
      <c r="A810" s="10" t="s">
        <v>34</v>
      </c>
      <c r="B810" s="11" t="s">
        <v>42</v>
      </c>
      <c r="C810" s="11">
        <v>57.71</v>
      </c>
      <c r="D810" s="11">
        <v>1988</v>
      </c>
    </row>
    <row r="811" spans="1:4" ht="19.95" customHeight="1" x14ac:dyDescent="0.25">
      <c r="A811" s="10" t="s">
        <v>35</v>
      </c>
      <c r="B811" s="11" t="s">
        <v>42</v>
      </c>
      <c r="C811" s="11">
        <v>81.31</v>
      </c>
      <c r="D811" s="11">
        <v>1988</v>
      </c>
    </row>
    <row r="812" spans="1:4" ht="19.95" customHeight="1" x14ac:dyDescent="0.25">
      <c r="A812" s="10" t="s">
        <v>36</v>
      </c>
      <c r="B812" s="11" t="s">
        <v>42</v>
      </c>
      <c r="C812" s="11"/>
      <c r="D812" s="11">
        <v>1988</v>
      </c>
    </row>
    <row r="813" spans="1:4" ht="19.95" customHeight="1" x14ac:dyDescent="0.25">
      <c r="A813" s="10" t="s">
        <v>37</v>
      </c>
      <c r="B813" s="11" t="s">
        <v>42</v>
      </c>
      <c r="C813" s="11">
        <v>59.16</v>
      </c>
      <c r="D813" s="11">
        <v>1988</v>
      </c>
    </row>
    <row r="814" spans="1:4" ht="19.95" customHeight="1" x14ac:dyDescent="0.25">
      <c r="A814" s="10" t="s">
        <v>38</v>
      </c>
      <c r="B814" s="11" t="s">
        <v>42</v>
      </c>
      <c r="C814" s="11">
        <v>58.65</v>
      </c>
      <c r="D814" s="11">
        <v>1988</v>
      </c>
    </row>
    <row r="815" spans="1:4" ht="19.95" customHeight="1" x14ac:dyDescent="0.25">
      <c r="A815" s="10" t="s">
        <v>39</v>
      </c>
      <c r="B815" s="11" t="s">
        <v>42</v>
      </c>
      <c r="C815" s="11">
        <v>71.180000000000007</v>
      </c>
      <c r="D815" s="11">
        <v>1988</v>
      </c>
    </row>
    <row r="816" spans="1:4" ht="19.95" customHeight="1" x14ac:dyDescent="0.25">
      <c r="A816" s="10" t="s">
        <v>40</v>
      </c>
      <c r="B816" s="11" t="s">
        <v>42</v>
      </c>
      <c r="C816" s="11">
        <v>94.66</v>
      </c>
      <c r="D816" s="11">
        <v>1988</v>
      </c>
    </row>
    <row r="817" spans="1:4" ht="19.95" customHeight="1" x14ac:dyDescent="0.25">
      <c r="A817" s="10" t="s">
        <v>10</v>
      </c>
      <c r="B817" s="11" t="s">
        <v>42</v>
      </c>
      <c r="C817" s="11">
        <v>95.15</v>
      </c>
      <c r="D817" s="11">
        <v>1989</v>
      </c>
    </row>
    <row r="818" spans="1:4" ht="19.95" customHeight="1" x14ac:dyDescent="0.25">
      <c r="A818" s="10" t="s">
        <v>13</v>
      </c>
      <c r="B818" s="11" t="s">
        <v>42</v>
      </c>
      <c r="C818" s="11">
        <v>54.61</v>
      </c>
      <c r="D818" s="11">
        <v>1989</v>
      </c>
    </row>
    <row r="819" spans="1:4" ht="19.95" customHeight="1" x14ac:dyDescent="0.25">
      <c r="A819" s="10" t="s">
        <v>15</v>
      </c>
      <c r="B819" s="11" t="s">
        <v>42</v>
      </c>
      <c r="C819" s="11">
        <v>50.42</v>
      </c>
      <c r="D819" s="11">
        <v>1989</v>
      </c>
    </row>
    <row r="820" spans="1:4" ht="19.95" customHeight="1" x14ac:dyDescent="0.25">
      <c r="A820" s="10" t="s">
        <v>16</v>
      </c>
      <c r="B820" s="11" t="s">
        <v>42</v>
      </c>
      <c r="C820" s="11">
        <v>71.790000000000006</v>
      </c>
      <c r="D820" s="11">
        <v>1989</v>
      </c>
    </row>
    <row r="821" spans="1:4" ht="19.95" customHeight="1" x14ac:dyDescent="0.25">
      <c r="A821" s="10" t="s">
        <v>17</v>
      </c>
      <c r="B821" s="11" t="s">
        <v>42</v>
      </c>
      <c r="C821" s="11">
        <v>94.99</v>
      </c>
      <c r="D821" s="11">
        <v>1989</v>
      </c>
    </row>
    <row r="822" spans="1:4" ht="19.95" customHeight="1" x14ac:dyDescent="0.25">
      <c r="A822" s="10" t="s">
        <v>2</v>
      </c>
      <c r="B822" s="11" t="s">
        <v>42</v>
      </c>
      <c r="C822" s="11"/>
      <c r="D822" s="11">
        <v>1989</v>
      </c>
    </row>
    <row r="823" spans="1:4" ht="19.95" customHeight="1" x14ac:dyDescent="0.25">
      <c r="A823" s="10" t="s">
        <v>18</v>
      </c>
      <c r="B823" s="11" t="s">
        <v>42</v>
      </c>
      <c r="C823" s="11">
        <v>57.15</v>
      </c>
      <c r="D823" s="11">
        <v>1989</v>
      </c>
    </row>
    <row r="824" spans="1:4" ht="19.95" customHeight="1" x14ac:dyDescent="0.25">
      <c r="A824" s="10" t="s">
        <v>19</v>
      </c>
      <c r="B824" s="11" t="s">
        <v>42</v>
      </c>
      <c r="C824" s="11">
        <v>98.63</v>
      </c>
      <c r="D824" s="11">
        <v>1989</v>
      </c>
    </row>
    <row r="825" spans="1:4" ht="19.95" customHeight="1" x14ac:dyDescent="0.25">
      <c r="A825" s="10" t="s">
        <v>20</v>
      </c>
      <c r="B825" s="11" t="s">
        <v>42</v>
      </c>
      <c r="C825" s="11">
        <v>65.38</v>
      </c>
      <c r="D825" s="11">
        <v>1989</v>
      </c>
    </row>
    <row r="826" spans="1:4" ht="19.95" customHeight="1" x14ac:dyDescent="0.25">
      <c r="A826" s="10" t="s">
        <v>21</v>
      </c>
      <c r="B826" s="11" t="s">
        <v>42</v>
      </c>
      <c r="C826" s="11"/>
      <c r="D826" s="11">
        <v>1989</v>
      </c>
    </row>
    <row r="827" spans="1:4" ht="19.95" customHeight="1" x14ac:dyDescent="0.25">
      <c r="A827" s="10" t="s">
        <v>22</v>
      </c>
      <c r="B827" s="11" t="s">
        <v>42</v>
      </c>
      <c r="C827" s="11">
        <v>96.71</v>
      </c>
      <c r="D827" s="11">
        <v>1989</v>
      </c>
    </row>
    <row r="828" spans="1:4" ht="19.95" customHeight="1" x14ac:dyDescent="0.25">
      <c r="A828" s="10" t="s">
        <v>23</v>
      </c>
      <c r="B828" s="11" t="s">
        <v>42</v>
      </c>
      <c r="C828" s="11">
        <v>80.930000000000007</v>
      </c>
      <c r="D828" s="11">
        <v>1989</v>
      </c>
    </row>
    <row r="829" spans="1:4" ht="19.95" customHeight="1" x14ac:dyDescent="0.25">
      <c r="A829" s="10" t="s">
        <v>24</v>
      </c>
      <c r="B829" s="11" t="s">
        <v>42</v>
      </c>
      <c r="C829" s="11">
        <v>48.05</v>
      </c>
      <c r="D829" s="11">
        <v>1989</v>
      </c>
    </row>
    <row r="830" spans="1:4" ht="19.95" customHeight="1" x14ac:dyDescent="0.25">
      <c r="A830" s="10" t="s">
        <v>25</v>
      </c>
      <c r="B830" s="11" t="s">
        <v>42</v>
      </c>
      <c r="C830" s="11">
        <v>47.31</v>
      </c>
      <c r="D830" s="11">
        <v>1989</v>
      </c>
    </row>
    <row r="831" spans="1:4" ht="19.95" customHeight="1" x14ac:dyDescent="0.25">
      <c r="A831" s="10" t="s">
        <v>26</v>
      </c>
      <c r="B831" s="11" t="s">
        <v>42</v>
      </c>
      <c r="C831" s="11"/>
      <c r="D831" s="11">
        <v>1989</v>
      </c>
    </row>
    <row r="832" spans="1:4" ht="19.95" customHeight="1" x14ac:dyDescent="0.25">
      <c r="A832" s="10" t="s">
        <v>27</v>
      </c>
      <c r="B832" s="11" t="s">
        <v>42</v>
      </c>
      <c r="C832" s="11">
        <v>54.88</v>
      </c>
      <c r="D832" s="11">
        <v>1989</v>
      </c>
    </row>
    <row r="833" spans="1:4" ht="19.95" customHeight="1" x14ac:dyDescent="0.25">
      <c r="A833" s="10" t="s">
        <v>29</v>
      </c>
      <c r="B833" s="11" t="s">
        <v>42</v>
      </c>
      <c r="C833" s="11">
        <v>43.93</v>
      </c>
      <c r="D833" s="11">
        <v>1989</v>
      </c>
    </row>
    <row r="834" spans="1:4" ht="19.95" customHeight="1" x14ac:dyDescent="0.25">
      <c r="A834" s="10" t="s">
        <v>30</v>
      </c>
      <c r="B834" s="11" t="s">
        <v>42</v>
      </c>
      <c r="C834" s="11">
        <v>62.02</v>
      </c>
      <c r="D834" s="11">
        <v>1989</v>
      </c>
    </row>
    <row r="835" spans="1:4" ht="19.95" customHeight="1" x14ac:dyDescent="0.25">
      <c r="A835" s="10" t="s">
        <v>31</v>
      </c>
      <c r="B835" s="11" t="s">
        <v>42</v>
      </c>
      <c r="C835" s="11">
        <v>46.61</v>
      </c>
      <c r="D835" s="11">
        <v>1989</v>
      </c>
    </row>
    <row r="836" spans="1:4" ht="19.95" customHeight="1" x14ac:dyDescent="0.25">
      <c r="A836" s="10" t="s">
        <v>32</v>
      </c>
      <c r="B836" s="11" t="s">
        <v>42</v>
      </c>
      <c r="C836" s="11">
        <v>41.74</v>
      </c>
      <c r="D836" s="11">
        <v>1989</v>
      </c>
    </row>
    <row r="837" spans="1:4" ht="19.95" customHeight="1" x14ac:dyDescent="0.25">
      <c r="A837" s="10" t="s">
        <v>33</v>
      </c>
      <c r="B837" s="11" t="s">
        <v>42</v>
      </c>
      <c r="C837" s="11">
        <v>66.34</v>
      </c>
      <c r="D837" s="11">
        <v>1989</v>
      </c>
    </row>
    <row r="838" spans="1:4" ht="19.95" customHeight="1" x14ac:dyDescent="0.25">
      <c r="A838" s="10" t="s">
        <v>34</v>
      </c>
      <c r="B838" s="11" t="s">
        <v>42</v>
      </c>
      <c r="C838" s="11">
        <v>52.8</v>
      </c>
      <c r="D838" s="11">
        <v>1989</v>
      </c>
    </row>
    <row r="839" spans="1:4" ht="19.95" customHeight="1" x14ac:dyDescent="0.25">
      <c r="A839" s="10" t="s">
        <v>35</v>
      </c>
      <c r="B839" s="11" t="s">
        <v>42</v>
      </c>
      <c r="C839" s="11">
        <v>77.41</v>
      </c>
      <c r="D839" s="11">
        <v>1989</v>
      </c>
    </row>
    <row r="840" spans="1:4" ht="19.95" customHeight="1" x14ac:dyDescent="0.25">
      <c r="A840" s="10" t="s">
        <v>36</v>
      </c>
      <c r="B840" s="11" t="s">
        <v>42</v>
      </c>
      <c r="C840" s="11"/>
      <c r="D840" s="11">
        <v>1989</v>
      </c>
    </row>
    <row r="841" spans="1:4" ht="19.95" customHeight="1" x14ac:dyDescent="0.25">
      <c r="A841" s="10" t="s">
        <v>37</v>
      </c>
      <c r="B841" s="11" t="s">
        <v>42</v>
      </c>
      <c r="C841" s="11">
        <v>63.05</v>
      </c>
      <c r="D841" s="11">
        <v>1989</v>
      </c>
    </row>
    <row r="842" spans="1:4" ht="19.95" customHeight="1" x14ac:dyDescent="0.25">
      <c r="A842" s="10" t="s">
        <v>38</v>
      </c>
      <c r="B842" s="11" t="s">
        <v>42</v>
      </c>
      <c r="C842" s="11">
        <v>63.04</v>
      </c>
      <c r="D842" s="11">
        <v>1989</v>
      </c>
    </row>
    <row r="843" spans="1:4" ht="19.95" customHeight="1" x14ac:dyDescent="0.25">
      <c r="A843" s="10" t="s">
        <v>39</v>
      </c>
      <c r="B843" s="11" t="s">
        <v>42</v>
      </c>
      <c r="C843" s="11">
        <v>72</v>
      </c>
      <c r="D843" s="11">
        <v>1989</v>
      </c>
    </row>
    <row r="844" spans="1:4" ht="19.95" customHeight="1" x14ac:dyDescent="0.25">
      <c r="A844" s="10" t="s">
        <v>40</v>
      </c>
      <c r="B844" s="11" t="s">
        <v>42</v>
      </c>
      <c r="C844" s="11">
        <v>87.41</v>
      </c>
      <c r="D844" s="11">
        <v>1989</v>
      </c>
    </row>
    <row r="845" spans="1:4" ht="19.95" customHeight="1" x14ac:dyDescent="0.25">
      <c r="A845" s="10" t="s">
        <v>10</v>
      </c>
      <c r="B845" s="11" t="s">
        <v>42</v>
      </c>
      <c r="C845" s="11">
        <v>101.8</v>
      </c>
      <c r="D845" s="11">
        <v>1990</v>
      </c>
    </row>
    <row r="846" spans="1:4" ht="19.95" customHeight="1" x14ac:dyDescent="0.25">
      <c r="A846" s="10" t="s">
        <v>13</v>
      </c>
      <c r="B846" s="11" t="s">
        <v>42</v>
      </c>
      <c r="C846" s="11">
        <v>57.14</v>
      </c>
      <c r="D846" s="11">
        <v>1990</v>
      </c>
    </row>
    <row r="847" spans="1:4" ht="19.95" customHeight="1" x14ac:dyDescent="0.25">
      <c r="A847" s="10" t="s">
        <v>15</v>
      </c>
      <c r="B847" s="11" t="s">
        <v>42</v>
      </c>
      <c r="C847" s="11">
        <v>49.45</v>
      </c>
      <c r="D847" s="11">
        <v>1990</v>
      </c>
    </row>
    <row r="848" spans="1:4" ht="19.95" customHeight="1" x14ac:dyDescent="0.25">
      <c r="A848" s="10" t="s">
        <v>16</v>
      </c>
      <c r="B848" s="11" t="s">
        <v>42</v>
      </c>
      <c r="C848" s="11">
        <v>77.63</v>
      </c>
      <c r="D848" s="11">
        <v>1990</v>
      </c>
    </row>
    <row r="849" spans="1:4" ht="19.95" customHeight="1" x14ac:dyDescent="0.25">
      <c r="A849" s="10" t="s">
        <v>17</v>
      </c>
      <c r="B849" s="11" t="s">
        <v>42</v>
      </c>
      <c r="C849" s="11">
        <v>93.14</v>
      </c>
      <c r="D849" s="11">
        <v>1990</v>
      </c>
    </row>
    <row r="850" spans="1:4" ht="19.95" customHeight="1" x14ac:dyDescent="0.25">
      <c r="A850" s="10" t="s">
        <v>2</v>
      </c>
      <c r="B850" s="11" t="s">
        <v>42</v>
      </c>
      <c r="C850" s="11"/>
      <c r="D850" s="11">
        <v>1990</v>
      </c>
    </row>
    <row r="851" spans="1:4" ht="19.95" customHeight="1" x14ac:dyDescent="0.25">
      <c r="A851" s="10" t="s">
        <v>18</v>
      </c>
      <c r="B851" s="11" t="s">
        <v>42</v>
      </c>
      <c r="C851" s="11">
        <v>59.98</v>
      </c>
      <c r="D851" s="11">
        <v>1990</v>
      </c>
    </row>
    <row r="852" spans="1:4" ht="19.95" customHeight="1" x14ac:dyDescent="0.25">
      <c r="A852" s="10" t="s">
        <v>19</v>
      </c>
      <c r="B852" s="11" t="s">
        <v>42</v>
      </c>
      <c r="C852" s="11">
        <v>93.36</v>
      </c>
      <c r="D852" s="11">
        <v>1990</v>
      </c>
    </row>
    <row r="853" spans="1:4" ht="19.95" customHeight="1" x14ac:dyDescent="0.25">
      <c r="A853" s="10" t="s">
        <v>20</v>
      </c>
      <c r="B853" s="11" t="s">
        <v>42</v>
      </c>
      <c r="C853" s="11">
        <v>63.96</v>
      </c>
      <c r="D853" s="11">
        <v>1990</v>
      </c>
    </row>
    <row r="854" spans="1:4" ht="19.95" customHeight="1" x14ac:dyDescent="0.25">
      <c r="A854" s="10" t="s">
        <v>21</v>
      </c>
      <c r="B854" s="11" t="s">
        <v>42</v>
      </c>
      <c r="C854" s="11"/>
      <c r="D854" s="11">
        <v>1990</v>
      </c>
    </row>
    <row r="855" spans="1:4" ht="19.95" customHeight="1" x14ac:dyDescent="0.25">
      <c r="A855" s="10" t="s">
        <v>22</v>
      </c>
      <c r="B855" s="11" t="s">
        <v>42</v>
      </c>
      <c r="C855" s="11">
        <v>81.02</v>
      </c>
      <c r="D855" s="11">
        <v>1990</v>
      </c>
    </row>
    <row r="856" spans="1:4" ht="19.95" customHeight="1" x14ac:dyDescent="0.25">
      <c r="A856" s="10" t="s">
        <v>23</v>
      </c>
      <c r="B856" s="11" t="s">
        <v>42</v>
      </c>
      <c r="C856" s="11">
        <v>81.42</v>
      </c>
      <c r="D856" s="11">
        <v>1990</v>
      </c>
    </row>
    <row r="857" spans="1:4" ht="19.95" customHeight="1" x14ac:dyDescent="0.25">
      <c r="A857" s="10" t="s">
        <v>24</v>
      </c>
      <c r="B857" s="11" t="s">
        <v>42</v>
      </c>
      <c r="C857" s="11">
        <v>46.21</v>
      </c>
      <c r="D857" s="11">
        <v>1990</v>
      </c>
    </row>
    <row r="858" spans="1:4" ht="19.95" customHeight="1" x14ac:dyDescent="0.25">
      <c r="A858" s="10" t="s">
        <v>25</v>
      </c>
      <c r="B858" s="11" t="s">
        <v>42</v>
      </c>
      <c r="C858" s="11">
        <v>47.29</v>
      </c>
      <c r="D858" s="11">
        <v>1990</v>
      </c>
    </row>
    <row r="859" spans="1:4" ht="19.95" customHeight="1" x14ac:dyDescent="0.25">
      <c r="A859" s="10" t="s">
        <v>26</v>
      </c>
      <c r="B859" s="11" t="s">
        <v>42</v>
      </c>
      <c r="C859" s="11"/>
      <c r="D859" s="11">
        <v>1990</v>
      </c>
    </row>
    <row r="860" spans="1:4" ht="19.95" customHeight="1" x14ac:dyDescent="0.25">
      <c r="A860" s="10" t="s">
        <v>27</v>
      </c>
      <c r="B860" s="11" t="s">
        <v>42</v>
      </c>
      <c r="C860" s="11">
        <v>57.57</v>
      </c>
      <c r="D860" s="11">
        <v>1990</v>
      </c>
    </row>
    <row r="861" spans="1:4" ht="19.95" customHeight="1" x14ac:dyDescent="0.25">
      <c r="A861" s="10" t="s">
        <v>29</v>
      </c>
      <c r="B861" s="11" t="s">
        <v>42</v>
      </c>
      <c r="C861" s="11">
        <v>43.39</v>
      </c>
      <c r="D861" s="11">
        <v>1990</v>
      </c>
    </row>
    <row r="862" spans="1:4" ht="19.95" customHeight="1" x14ac:dyDescent="0.25">
      <c r="A862" s="10" t="s">
        <v>30</v>
      </c>
      <c r="B862" s="11" t="s">
        <v>42</v>
      </c>
      <c r="C862" s="11">
        <v>65.17</v>
      </c>
      <c r="D862" s="11">
        <v>1990</v>
      </c>
    </row>
    <row r="863" spans="1:4" ht="19.95" customHeight="1" x14ac:dyDescent="0.25">
      <c r="A863" s="10" t="s">
        <v>31</v>
      </c>
      <c r="B863" s="11" t="s">
        <v>42</v>
      </c>
      <c r="C863" s="11">
        <v>49.5</v>
      </c>
      <c r="D863" s="11">
        <v>1990</v>
      </c>
    </row>
    <row r="864" spans="1:4" ht="19.95" customHeight="1" x14ac:dyDescent="0.25">
      <c r="A864" s="10" t="s">
        <v>32</v>
      </c>
      <c r="B864" s="11" t="s">
        <v>42</v>
      </c>
      <c r="C864" s="11">
        <v>45.75</v>
      </c>
      <c r="D864" s="11">
        <v>1990</v>
      </c>
    </row>
    <row r="865" spans="1:4" ht="19.95" customHeight="1" x14ac:dyDescent="0.25">
      <c r="A865" s="10" t="s">
        <v>33</v>
      </c>
      <c r="B865" s="11" t="s">
        <v>42</v>
      </c>
      <c r="C865" s="11">
        <v>76.02</v>
      </c>
      <c r="D865" s="11">
        <v>1990</v>
      </c>
    </row>
    <row r="866" spans="1:4" ht="19.95" customHeight="1" x14ac:dyDescent="0.25">
      <c r="A866" s="10" t="s">
        <v>34</v>
      </c>
      <c r="B866" s="11" t="s">
        <v>42</v>
      </c>
      <c r="C866" s="11">
        <v>49.09</v>
      </c>
      <c r="D866" s="11">
        <v>1990</v>
      </c>
    </row>
    <row r="867" spans="1:4" ht="19.95" customHeight="1" x14ac:dyDescent="0.25">
      <c r="A867" s="10" t="s">
        <v>35</v>
      </c>
      <c r="B867" s="11" t="s">
        <v>42</v>
      </c>
      <c r="C867" s="11">
        <v>85.11</v>
      </c>
      <c r="D867" s="11">
        <v>1990</v>
      </c>
    </row>
    <row r="868" spans="1:4" ht="19.95" customHeight="1" x14ac:dyDescent="0.25">
      <c r="A868" s="10" t="s">
        <v>36</v>
      </c>
      <c r="B868" s="11" t="s">
        <v>42</v>
      </c>
      <c r="C868" s="11"/>
      <c r="D868" s="11">
        <v>1990</v>
      </c>
    </row>
    <row r="869" spans="1:4" ht="19.95" customHeight="1" x14ac:dyDescent="0.25">
      <c r="A869" s="10" t="s">
        <v>37</v>
      </c>
      <c r="B869" s="11" t="s">
        <v>42</v>
      </c>
      <c r="C869" s="11">
        <v>64.260000000000005</v>
      </c>
      <c r="D869" s="11">
        <v>1990</v>
      </c>
    </row>
    <row r="870" spans="1:4" ht="19.95" customHeight="1" x14ac:dyDescent="0.25">
      <c r="A870" s="10" t="s">
        <v>38</v>
      </c>
      <c r="B870" s="11" t="s">
        <v>42</v>
      </c>
      <c r="C870" s="11">
        <v>66.53</v>
      </c>
      <c r="D870" s="11">
        <v>1990</v>
      </c>
    </row>
    <row r="871" spans="1:4" ht="19.95" customHeight="1" x14ac:dyDescent="0.25">
      <c r="A871" s="10" t="s">
        <v>39</v>
      </c>
      <c r="B871" s="11" t="s">
        <v>42</v>
      </c>
      <c r="C871" s="11">
        <v>67.75</v>
      </c>
      <c r="D871" s="11">
        <v>1990</v>
      </c>
    </row>
    <row r="872" spans="1:4" ht="19.95" customHeight="1" x14ac:dyDescent="0.25">
      <c r="A872" s="10" t="s">
        <v>40</v>
      </c>
      <c r="B872" s="11" t="s">
        <v>42</v>
      </c>
      <c r="C872" s="11">
        <v>88.83</v>
      </c>
      <c r="D872" s="11">
        <v>1990</v>
      </c>
    </row>
    <row r="873" spans="1:4" ht="19.95" customHeight="1" x14ac:dyDescent="0.25">
      <c r="A873" s="10" t="s">
        <v>10</v>
      </c>
      <c r="B873" s="11" t="s">
        <v>42</v>
      </c>
      <c r="C873" s="11">
        <v>105.24</v>
      </c>
      <c r="D873" s="11">
        <v>1991</v>
      </c>
    </row>
    <row r="874" spans="1:4" ht="19.95" customHeight="1" x14ac:dyDescent="0.25">
      <c r="A874" s="10" t="s">
        <v>13</v>
      </c>
      <c r="B874" s="11" t="s">
        <v>42</v>
      </c>
      <c r="C874" s="11">
        <v>58.34</v>
      </c>
      <c r="D874" s="11">
        <v>1991</v>
      </c>
    </row>
    <row r="875" spans="1:4" ht="19.95" customHeight="1" x14ac:dyDescent="0.25">
      <c r="A875" s="10" t="s">
        <v>15</v>
      </c>
      <c r="B875" s="11" t="s">
        <v>42</v>
      </c>
      <c r="C875" s="11">
        <v>67.52</v>
      </c>
      <c r="D875" s="11">
        <v>1991</v>
      </c>
    </row>
    <row r="876" spans="1:4" ht="19.95" customHeight="1" x14ac:dyDescent="0.25">
      <c r="A876" s="10" t="s">
        <v>16</v>
      </c>
      <c r="B876" s="11" t="s">
        <v>42</v>
      </c>
      <c r="C876" s="11">
        <v>83.57</v>
      </c>
      <c r="D876" s="11">
        <v>1991</v>
      </c>
    </row>
    <row r="877" spans="1:4" ht="19.95" customHeight="1" x14ac:dyDescent="0.25">
      <c r="A877" s="10" t="s">
        <v>17</v>
      </c>
      <c r="B877" s="11" t="s">
        <v>42</v>
      </c>
      <c r="C877" s="11">
        <v>69.540000000000006</v>
      </c>
      <c r="D877" s="11">
        <v>1991</v>
      </c>
    </row>
    <row r="878" spans="1:4" ht="19.95" customHeight="1" x14ac:dyDescent="0.25">
      <c r="A878" s="10" t="s">
        <v>2</v>
      </c>
      <c r="B878" s="11" t="s">
        <v>42</v>
      </c>
      <c r="C878" s="11"/>
      <c r="D878" s="11">
        <v>1991</v>
      </c>
    </row>
    <row r="879" spans="1:4" ht="19.95" customHeight="1" x14ac:dyDescent="0.25">
      <c r="A879" s="10" t="s">
        <v>18</v>
      </c>
      <c r="B879" s="11" t="s">
        <v>42</v>
      </c>
      <c r="C879" s="11">
        <v>63.86</v>
      </c>
      <c r="D879" s="11">
        <v>1991</v>
      </c>
    </row>
    <row r="880" spans="1:4" ht="19.95" customHeight="1" x14ac:dyDescent="0.25">
      <c r="A880" s="10" t="s">
        <v>19</v>
      </c>
      <c r="B880" s="11" t="s">
        <v>42</v>
      </c>
      <c r="C880" s="11">
        <v>92</v>
      </c>
      <c r="D880" s="11">
        <v>1991</v>
      </c>
    </row>
    <row r="881" spans="1:4" ht="19.95" customHeight="1" x14ac:dyDescent="0.25">
      <c r="A881" s="10" t="s">
        <v>20</v>
      </c>
      <c r="B881" s="11" t="s">
        <v>42</v>
      </c>
      <c r="C881" s="11">
        <v>67.31</v>
      </c>
      <c r="D881" s="11">
        <v>1991</v>
      </c>
    </row>
    <row r="882" spans="1:4" ht="19.95" customHeight="1" x14ac:dyDescent="0.25">
      <c r="A882" s="10" t="s">
        <v>21</v>
      </c>
      <c r="B882" s="11" t="s">
        <v>42</v>
      </c>
      <c r="C882" s="11"/>
      <c r="D882" s="11">
        <v>1991</v>
      </c>
    </row>
    <row r="883" spans="1:4" ht="19.95" customHeight="1" x14ac:dyDescent="0.25">
      <c r="A883" s="10" t="s">
        <v>22</v>
      </c>
      <c r="B883" s="11" t="s">
        <v>42</v>
      </c>
      <c r="C883" s="11">
        <v>69.400000000000006</v>
      </c>
      <c r="D883" s="11">
        <v>1991</v>
      </c>
    </row>
    <row r="884" spans="1:4" ht="19.95" customHeight="1" x14ac:dyDescent="0.25">
      <c r="A884" s="10" t="s">
        <v>23</v>
      </c>
      <c r="B884" s="11" t="s">
        <v>42</v>
      </c>
      <c r="C884" s="11">
        <v>82.77</v>
      </c>
      <c r="D884" s="11">
        <v>1991</v>
      </c>
    </row>
    <row r="885" spans="1:4" ht="19.95" customHeight="1" x14ac:dyDescent="0.25">
      <c r="A885" s="10" t="s">
        <v>24</v>
      </c>
      <c r="B885" s="11" t="s">
        <v>42</v>
      </c>
      <c r="C885" s="11">
        <v>50.53</v>
      </c>
      <c r="D885" s="11">
        <v>1991</v>
      </c>
    </row>
    <row r="886" spans="1:4" ht="19.95" customHeight="1" x14ac:dyDescent="0.25">
      <c r="A886" s="10" t="s">
        <v>25</v>
      </c>
      <c r="B886" s="11" t="s">
        <v>42</v>
      </c>
      <c r="C886" s="11">
        <v>69.010000000000005</v>
      </c>
      <c r="D886" s="11">
        <v>1991</v>
      </c>
    </row>
    <row r="887" spans="1:4" ht="19.95" customHeight="1" x14ac:dyDescent="0.25">
      <c r="A887" s="10" t="s">
        <v>26</v>
      </c>
      <c r="B887" s="11" t="s">
        <v>42</v>
      </c>
      <c r="C887" s="11"/>
      <c r="D887" s="11">
        <v>1991</v>
      </c>
    </row>
    <row r="888" spans="1:4" ht="19.95" customHeight="1" x14ac:dyDescent="0.25">
      <c r="A888" s="10" t="s">
        <v>27</v>
      </c>
      <c r="B888" s="11" t="s">
        <v>42</v>
      </c>
      <c r="C888" s="11">
        <v>58.57</v>
      </c>
      <c r="D888" s="11">
        <v>1991</v>
      </c>
    </row>
    <row r="889" spans="1:4" ht="19.95" customHeight="1" x14ac:dyDescent="0.25">
      <c r="A889" s="10" t="s">
        <v>29</v>
      </c>
      <c r="B889" s="11" t="s">
        <v>42</v>
      </c>
      <c r="C889" s="11">
        <v>42.07</v>
      </c>
      <c r="D889" s="11">
        <v>1991</v>
      </c>
    </row>
    <row r="890" spans="1:4" ht="19.95" customHeight="1" x14ac:dyDescent="0.25">
      <c r="A890" s="10" t="s">
        <v>30</v>
      </c>
      <c r="B890" s="11" t="s">
        <v>42</v>
      </c>
      <c r="C890" s="11">
        <v>68.55</v>
      </c>
      <c r="D890" s="11">
        <v>1991</v>
      </c>
    </row>
    <row r="891" spans="1:4" ht="19.95" customHeight="1" x14ac:dyDescent="0.25">
      <c r="A891" s="10" t="s">
        <v>31</v>
      </c>
      <c r="B891" s="11" t="s">
        <v>42</v>
      </c>
      <c r="C891" s="11">
        <v>50.49</v>
      </c>
      <c r="D891" s="11">
        <v>1991</v>
      </c>
    </row>
    <row r="892" spans="1:4" ht="19.95" customHeight="1" x14ac:dyDescent="0.25">
      <c r="A892" s="10" t="s">
        <v>32</v>
      </c>
      <c r="B892" s="11" t="s">
        <v>42</v>
      </c>
      <c r="C892" s="11">
        <v>49.4</v>
      </c>
      <c r="D892" s="11">
        <v>1991</v>
      </c>
    </row>
    <row r="893" spans="1:4" ht="19.95" customHeight="1" x14ac:dyDescent="0.25">
      <c r="A893" s="10" t="s">
        <v>33</v>
      </c>
      <c r="B893" s="11" t="s">
        <v>42</v>
      </c>
      <c r="C893" s="11">
        <v>86.39</v>
      </c>
      <c r="D893" s="11">
        <v>1991</v>
      </c>
    </row>
    <row r="894" spans="1:4" ht="19.95" customHeight="1" x14ac:dyDescent="0.25">
      <c r="A894" s="10" t="s">
        <v>34</v>
      </c>
      <c r="B894" s="11" t="s">
        <v>42</v>
      </c>
      <c r="C894" s="11">
        <v>53.08</v>
      </c>
      <c r="D894" s="11">
        <v>1991</v>
      </c>
    </row>
    <row r="895" spans="1:4" ht="19.95" customHeight="1" x14ac:dyDescent="0.25">
      <c r="A895" s="10" t="s">
        <v>35</v>
      </c>
      <c r="B895" s="11" t="s">
        <v>42</v>
      </c>
      <c r="C895" s="11">
        <v>81.84</v>
      </c>
      <c r="D895" s="11">
        <v>1991</v>
      </c>
    </row>
    <row r="896" spans="1:4" ht="19.95" customHeight="1" x14ac:dyDescent="0.25">
      <c r="A896" s="10" t="s">
        <v>36</v>
      </c>
      <c r="B896" s="11" t="s">
        <v>42</v>
      </c>
      <c r="C896" s="11"/>
      <c r="D896" s="11">
        <v>1991</v>
      </c>
    </row>
    <row r="897" spans="1:4" ht="19.95" customHeight="1" x14ac:dyDescent="0.25">
      <c r="A897" s="10" t="s">
        <v>37</v>
      </c>
      <c r="B897" s="11" t="s">
        <v>42</v>
      </c>
      <c r="C897" s="11">
        <v>66.040000000000006</v>
      </c>
      <c r="D897" s="11">
        <v>1991</v>
      </c>
    </row>
    <row r="898" spans="1:4" ht="19.95" customHeight="1" x14ac:dyDescent="0.25">
      <c r="A898" s="10" t="s">
        <v>38</v>
      </c>
      <c r="B898" s="11" t="s">
        <v>42</v>
      </c>
      <c r="C898" s="11">
        <v>68.62</v>
      </c>
      <c r="D898" s="11">
        <v>1991</v>
      </c>
    </row>
    <row r="899" spans="1:4" ht="19.95" customHeight="1" x14ac:dyDescent="0.25">
      <c r="A899" s="10" t="s">
        <v>39</v>
      </c>
      <c r="B899" s="11" t="s">
        <v>42</v>
      </c>
      <c r="C899" s="11">
        <v>79.069999999999993</v>
      </c>
      <c r="D899" s="11">
        <v>1991</v>
      </c>
    </row>
    <row r="900" spans="1:4" ht="19.95" customHeight="1" x14ac:dyDescent="0.25">
      <c r="A900" s="10" t="s">
        <v>40</v>
      </c>
      <c r="B900" s="11" t="s">
        <v>42</v>
      </c>
      <c r="C900" s="11">
        <v>83.63</v>
      </c>
      <c r="D900" s="11">
        <v>1991</v>
      </c>
    </row>
    <row r="901" spans="1:4" ht="19.95" customHeight="1" x14ac:dyDescent="0.25">
      <c r="A901" s="10" t="s">
        <v>10</v>
      </c>
      <c r="B901" s="11" t="s">
        <v>42</v>
      </c>
      <c r="C901" s="11">
        <v>107.39</v>
      </c>
      <c r="D901" s="11">
        <v>1992</v>
      </c>
    </row>
    <row r="902" spans="1:4" ht="19.95" customHeight="1" x14ac:dyDescent="0.25">
      <c r="A902" s="10" t="s">
        <v>13</v>
      </c>
      <c r="B902" s="11" t="s">
        <v>42</v>
      </c>
      <c r="C902" s="11">
        <v>59.21</v>
      </c>
      <c r="D902" s="11">
        <v>1992</v>
      </c>
    </row>
    <row r="903" spans="1:4" ht="19.95" customHeight="1" x14ac:dyDescent="0.25">
      <c r="A903" s="10" t="s">
        <v>15</v>
      </c>
      <c r="B903" s="11" t="s">
        <v>42</v>
      </c>
      <c r="C903" s="11">
        <v>68.86</v>
      </c>
      <c r="D903" s="11">
        <v>1992</v>
      </c>
    </row>
    <row r="904" spans="1:4" ht="19.95" customHeight="1" x14ac:dyDescent="0.25">
      <c r="A904" s="10" t="s">
        <v>16</v>
      </c>
      <c r="B904" s="11" t="s">
        <v>42</v>
      </c>
      <c r="C904" s="11">
        <v>85.47</v>
      </c>
      <c r="D904" s="11">
        <v>1992</v>
      </c>
    </row>
    <row r="905" spans="1:4" ht="19.95" customHeight="1" x14ac:dyDescent="0.25">
      <c r="A905" s="10" t="s">
        <v>17</v>
      </c>
      <c r="B905" s="11" t="s">
        <v>42</v>
      </c>
      <c r="C905" s="11">
        <v>73.23</v>
      </c>
      <c r="D905" s="11">
        <v>1992</v>
      </c>
    </row>
    <row r="906" spans="1:4" ht="19.95" customHeight="1" x14ac:dyDescent="0.25">
      <c r="A906" s="10" t="s">
        <v>2</v>
      </c>
      <c r="B906" s="11" t="s">
        <v>42</v>
      </c>
      <c r="C906" s="11"/>
      <c r="D906" s="11">
        <v>1992</v>
      </c>
    </row>
    <row r="907" spans="1:4" ht="19.95" customHeight="1" x14ac:dyDescent="0.25">
      <c r="A907" s="10" t="s">
        <v>18</v>
      </c>
      <c r="B907" s="11" t="s">
        <v>42</v>
      </c>
      <c r="C907" s="11">
        <v>67.47</v>
      </c>
      <c r="D907" s="11">
        <v>1992</v>
      </c>
    </row>
    <row r="908" spans="1:4" ht="19.95" customHeight="1" x14ac:dyDescent="0.25">
      <c r="A908" s="10" t="s">
        <v>19</v>
      </c>
      <c r="B908" s="11" t="s">
        <v>42</v>
      </c>
      <c r="C908" s="11">
        <v>89.16</v>
      </c>
      <c r="D908" s="11">
        <v>1992</v>
      </c>
    </row>
    <row r="909" spans="1:4" ht="19.95" customHeight="1" x14ac:dyDescent="0.25">
      <c r="A909" s="10" t="s">
        <v>20</v>
      </c>
      <c r="B909" s="11" t="s">
        <v>42</v>
      </c>
      <c r="C909" s="11">
        <v>70.12</v>
      </c>
      <c r="D909" s="11">
        <v>1992</v>
      </c>
    </row>
    <row r="910" spans="1:4" ht="19.95" customHeight="1" x14ac:dyDescent="0.25">
      <c r="A910" s="10" t="s">
        <v>21</v>
      </c>
      <c r="B910" s="11" t="s">
        <v>42</v>
      </c>
      <c r="C910" s="11"/>
      <c r="D910" s="11">
        <v>1992</v>
      </c>
    </row>
    <row r="911" spans="1:4" ht="19.95" customHeight="1" x14ac:dyDescent="0.25">
      <c r="A911" s="10" t="s">
        <v>22</v>
      </c>
      <c r="B911" s="11" t="s">
        <v>42</v>
      </c>
      <c r="C911" s="11">
        <v>72.05</v>
      </c>
      <c r="D911" s="11">
        <v>1992</v>
      </c>
    </row>
    <row r="912" spans="1:4" ht="19.95" customHeight="1" x14ac:dyDescent="0.25">
      <c r="A912" s="10" t="s">
        <v>23</v>
      </c>
      <c r="B912" s="11" t="s">
        <v>42</v>
      </c>
      <c r="C912" s="11">
        <v>84.11</v>
      </c>
      <c r="D912" s="11">
        <v>1992</v>
      </c>
    </row>
    <row r="913" spans="1:4" ht="19.95" customHeight="1" x14ac:dyDescent="0.25">
      <c r="A913" s="10" t="s">
        <v>24</v>
      </c>
      <c r="B913" s="11" t="s">
        <v>42</v>
      </c>
      <c r="C913" s="11">
        <v>39</v>
      </c>
      <c r="D913" s="11">
        <v>1992</v>
      </c>
    </row>
    <row r="914" spans="1:4" ht="19.95" customHeight="1" x14ac:dyDescent="0.25">
      <c r="A914" s="10" t="s">
        <v>25</v>
      </c>
      <c r="B914" s="11" t="s">
        <v>42</v>
      </c>
      <c r="C914" s="11">
        <v>62.78</v>
      </c>
      <c r="D914" s="11">
        <v>1992</v>
      </c>
    </row>
    <row r="915" spans="1:4" ht="19.95" customHeight="1" x14ac:dyDescent="0.25">
      <c r="A915" s="10" t="s">
        <v>26</v>
      </c>
      <c r="B915" s="11" t="s">
        <v>42</v>
      </c>
      <c r="C915" s="11">
        <v>132.29</v>
      </c>
      <c r="D915" s="11">
        <v>1992</v>
      </c>
    </row>
    <row r="916" spans="1:4" ht="19.95" customHeight="1" x14ac:dyDescent="0.25">
      <c r="A916" s="10" t="s">
        <v>27</v>
      </c>
      <c r="B916" s="11" t="s">
        <v>42</v>
      </c>
      <c r="C916" s="11">
        <v>51.03</v>
      </c>
      <c r="D916" s="11">
        <v>1992</v>
      </c>
    </row>
    <row r="917" spans="1:4" ht="19.95" customHeight="1" x14ac:dyDescent="0.25">
      <c r="A917" s="10" t="s">
        <v>29</v>
      </c>
      <c r="B917" s="11" t="s">
        <v>42</v>
      </c>
      <c r="C917" s="11">
        <v>47.59</v>
      </c>
      <c r="D917" s="11">
        <v>1992</v>
      </c>
    </row>
    <row r="918" spans="1:4" ht="19.95" customHeight="1" x14ac:dyDescent="0.25">
      <c r="A918" s="10" t="s">
        <v>30</v>
      </c>
      <c r="B918" s="11" t="s">
        <v>42</v>
      </c>
      <c r="C918" s="11">
        <v>65.37</v>
      </c>
      <c r="D918" s="11">
        <v>1992</v>
      </c>
    </row>
    <row r="919" spans="1:4" ht="19.95" customHeight="1" x14ac:dyDescent="0.25">
      <c r="A919" s="10" t="s">
        <v>31</v>
      </c>
      <c r="B919" s="11" t="s">
        <v>42</v>
      </c>
      <c r="C919" s="11">
        <v>52.43</v>
      </c>
      <c r="D919" s="11">
        <v>1992</v>
      </c>
    </row>
    <row r="920" spans="1:4" ht="19.95" customHeight="1" x14ac:dyDescent="0.25">
      <c r="A920" s="10" t="s">
        <v>32</v>
      </c>
      <c r="B920" s="11" t="s">
        <v>42</v>
      </c>
      <c r="C920" s="11">
        <v>52.76</v>
      </c>
      <c r="D920" s="11">
        <v>1992</v>
      </c>
    </row>
    <row r="921" spans="1:4" ht="19.95" customHeight="1" x14ac:dyDescent="0.25">
      <c r="A921" s="10" t="s">
        <v>33</v>
      </c>
      <c r="B921" s="11" t="s">
        <v>42</v>
      </c>
      <c r="C921" s="11">
        <v>91.7</v>
      </c>
      <c r="D921" s="11">
        <v>1992</v>
      </c>
    </row>
    <row r="922" spans="1:4" ht="19.95" customHeight="1" x14ac:dyDescent="0.25">
      <c r="A922" s="10" t="s">
        <v>34</v>
      </c>
      <c r="B922" s="11" t="s">
        <v>42</v>
      </c>
      <c r="C922" s="11">
        <v>67.010000000000005</v>
      </c>
      <c r="D922" s="11">
        <v>1992</v>
      </c>
    </row>
    <row r="923" spans="1:4" ht="19.95" customHeight="1" x14ac:dyDescent="0.25">
      <c r="A923" s="10" t="s">
        <v>35</v>
      </c>
      <c r="B923" s="11" t="s">
        <v>42</v>
      </c>
      <c r="C923" s="11">
        <v>82.66</v>
      </c>
      <c r="D923" s="11">
        <v>1992</v>
      </c>
    </row>
    <row r="924" spans="1:4" ht="19.95" customHeight="1" x14ac:dyDescent="0.25">
      <c r="A924" s="10" t="s">
        <v>36</v>
      </c>
      <c r="B924" s="11" t="s">
        <v>42</v>
      </c>
      <c r="C924" s="11">
        <v>96.4</v>
      </c>
      <c r="D924" s="11">
        <v>1992</v>
      </c>
    </row>
    <row r="925" spans="1:4" ht="19.95" customHeight="1" x14ac:dyDescent="0.25">
      <c r="A925" s="10" t="s">
        <v>37</v>
      </c>
      <c r="B925" s="11" t="s">
        <v>42</v>
      </c>
      <c r="C925" s="11">
        <v>64.28</v>
      </c>
      <c r="D925" s="11">
        <v>1992</v>
      </c>
    </row>
    <row r="926" spans="1:4" ht="19.95" customHeight="1" x14ac:dyDescent="0.25">
      <c r="A926" s="10" t="s">
        <v>38</v>
      </c>
      <c r="B926" s="11" t="s">
        <v>42</v>
      </c>
      <c r="C926" s="11">
        <v>68.45</v>
      </c>
      <c r="D926" s="11">
        <v>1992</v>
      </c>
    </row>
    <row r="927" spans="1:4" ht="19.95" customHeight="1" x14ac:dyDescent="0.25">
      <c r="A927" s="10" t="s">
        <v>39</v>
      </c>
      <c r="B927" s="11" t="s">
        <v>42</v>
      </c>
      <c r="C927" s="11">
        <v>69</v>
      </c>
      <c r="D927" s="11">
        <v>1992</v>
      </c>
    </row>
    <row r="928" spans="1:4" ht="19.95" customHeight="1" x14ac:dyDescent="0.25">
      <c r="A928" s="10" t="s">
        <v>40</v>
      </c>
      <c r="B928" s="11" t="s">
        <v>42</v>
      </c>
      <c r="C928" s="11">
        <v>56.97</v>
      </c>
      <c r="D928" s="11">
        <v>1992</v>
      </c>
    </row>
    <row r="929" spans="1:4" ht="19.95" customHeight="1" x14ac:dyDescent="0.25">
      <c r="A929" s="10" t="s">
        <v>10</v>
      </c>
      <c r="B929" s="11" t="s">
        <v>42</v>
      </c>
      <c r="C929" s="11">
        <v>105.4</v>
      </c>
      <c r="D929" s="11">
        <v>1993</v>
      </c>
    </row>
    <row r="930" spans="1:4" ht="19.95" customHeight="1" x14ac:dyDescent="0.25">
      <c r="A930" s="10" t="s">
        <v>13</v>
      </c>
      <c r="B930" s="11" t="s">
        <v>42</v>
      </c>
      <c r="C930" s="11">
        <v>62.47</v>
      </c>
      <c r="D930" s="11">
        <v>1993</v>
      </c>
    </row>
    <row r="931" spans="1:4" ht="19.95" customHeight="1" x14ac:dyDescent="0.25">
      <c r="A931" s="10" t="s">
        <v>15</v>
      </c>
      <c r="B931" s="11" t="s">
        <v>42</v>
      </c>
      <c r="C931" s="11">
        <v>61.73</v>
      </c>
      <c r="D931" s="11">
        <v>1993</v>
      </c>
    </row>
    <row r="932" spans="1:4" ht="19.95" customHeight="1" x14ac:dyDescent="0.25">
      <c r="A932" s="10" t="s">
        <v>16</v>
      </c>
      <c r="B932" s="11" t="s">
        <v>42</v>
      </c>
      <c r="C932" s="11">
        <v>88.73</v>
      </c>
      <c r="D932" s="11">
        <v>1993</v>
      </c>
    </row>
    <row r="933" spans="1:4" ht="19.95" customHeight="1" x14ac:dyDescent="0.25">
      <c r="A933" s="10" t="s">
        <v>17</v>
      </c>
      <c r="B933" s="11" t="s">
        <v>42</v>
      </c>
      <c r="C933" s="11">
        <v>68.989999999999995</v>
      </c>
      <c r="D933" s="11">
        <v>1993</v>
      </c>
    </row>
    <row r="934" spans="1:4" ht="19.95" customHeight="1" x14ac:dyDescent="0.25">
      <c r="A934" s="10" t="s">
        <v>2</v>
      </c>
      <c r="B934" s="11" t="s">
        <v>42</v>
      </c>
      <c r="C934" s="11">
        <v>51.82</v>
      </c>
      <c r="D934" s="11">
        <v>1993</v>
      </c>
    </row>
    <row r="935" spans="1:4" ht="19.95" customHeight="1" x14ac:dyDescent="0.25">
      <c r="A935" s="10" t="s">
        <v>18</v>
      </c>
      <c r="B935" s="11" t="s">
        <v>42</v>
      </c>
      <c r="C935" s="11">
        <v>68.58</v>
      </c>
      <c r="D935" s="11">
        <v>1993</v>
      </c>
    </row>
    <row r="936" spans="1:4" ht="19.95" customHeight="1" x14ac:dyDescent="0.25">
      <c r="A936" s="10" t="s">
        <v>19</v>
      </c>
      <c r="B936" s="11" t="s">
        <v>42</v>
      </c>
      <c r="C936" s="11">
        <v>87.49</v>
      </c>
      <c r="D936" s="11">
        <v>1993</v>
      </c>
    </row>
    <row r="937" spans="1:4" ht="19.95" customHeight="1" x14ac:dyDescent="0.25">
      <c r="A937" s="10" t="s">
        <v>20</v>
      </c>
      <c r="B937" s="11" t="s">
        <v>42</v>
      </c>
      <c r="C937" s="11">
        <v>67.260000000000005</v>
      </c>
      <c r="D937" s="11">
        <v>1993</v>
      </c>
    </row>
    <row r="938" spans="1:4" ht="19.95" customHeight="1" x14ac:dyDescent="0.25">
      <c r="A938" s="10" t="s">
        <v>21</v>
      </c>
      <c r="B938" s="11" t="s">
        <v>42</v>
      </c>
      <c r="C938" s="11"/>
      <c r="D938" s="11">
        <v>1993</v>
      </c>
    </row>
    <row r="939" spans="1:4" ht="19.95" customHeight="1" x14ac:dyDescent="0.25">
      <c r="A939" s="10" t="s">
        <v>22</v>
      </c>
      <c r="B939" s="11" t="s">
        <v>42</v>
      </c>
      <c r="C939" s="11">
        <v>66.59</v>
      </c>
      <c r="D939" s="11">
        <v>1993</v>
      </c>
    </row>
    <row r="940" spans="1:4" ht="19.95" customHeight="1" x14ac:dyDescent="0.25">
      <c r="A940" s="10" t="s">
        <v>23</v>
      </c>
      <c r="B940" s="11" t="s">
        <v>42</v>
      </c>
      <c r="C940" s="11">
        <v>87.63</v>
      </c>
      <c r="D940" s="11">
        <v>1993</v>
      </c>
    </row>
    <row r="941" spans="1:4" ht="19.95" customHeight="1" x14ac:dyDescent="0.25">
      <c r="A941" s="10" t="s">
        <v>24</v>
      </c>
      <c r="B941" s="11" t="s">
        <v>42</v>
      </c>
      <c r="C941" s="11">
        <v>51.77</v>
      </c>
      <c r="D941" s="11">
        <v>1993</v>
      </c>
    </row>
    <row r="942" spans="1:4" ht="19.95" customHeight="1" x14ac:dyDescent="0.25">
      <c r="A942" s="10" t="s">
        <v>25</v>
      </c>
      <c r="B942" s="11" t="s">
        <v>42</v>
      </c>
      <c r="C942" s="11">
        <v>65.13</v>
      </c>
      <c r="D942" s="11">
        <v>1993</v>
      </c>
    </row>
    <row r="943" spans="1:4" ht="19.95" customHeight="1" x14ac:dyDescent="0.25">
      <c r="A943" s="10" t="s">
        <v>26</v>
      </c>
      <c r="B943" s="11" t="s">
        <v>42</v>
      </c>
      <c r="C943" s="11">
        <v>161.02000000000001</v>
      </c>
      <c r="D943" s="11">
        <v>1993</v>
      </c>
    </row>
    <row r="944" spans="1:4" ht="19.95" customHeight="1" x14ac:dyDescent="0.25">
      <c r="A944" s="10" t="s">
        <v>27</v>
      </c>
      <c r="B944" s="11" t="s">
        <v>42</v>
      </c>
      <c r="C944" s="11">
        <v>57.25</v>
      </c>
      <c r="D944" s="11">
        <v>1993</v>
      </c>
    </row>
    <row r="945" spans="1:4" ht="19.95" customHeight="1" x14ac:dyDescent="0.25">
      <c r="A945" s="10" t="s">
        <v>29</v>
      </c>
      <c r="B945" s="11" t="s">
        <v>42</v>
      </c>
      <c r="C945" s="11">
        <v>51.69</v>
      </c>
      <c r="D945" s="11">
        <v>1993</v>
      </c>
    </row>
    <row r="946" spans="1:4" ht="19.95" customHeight="1" x14ac:dyDescent="0.25">
      <c r="A946" s="10" t="s">
        <v>30</v>
      </c>
      <c r="B946" s="11" t="s">
        <v>42</v>
      </c>
      <c r="C946" s="11">
        <v>72.5</v>
      </c>
      <c r="D946" s="11">
        <v>1993</v>
      </c>
    </row>
    <row r="947" spans="1:4" ht="19.95" customHeight="1" x14ac:dyDescent="0.25">
      <c r="A947" s="10" t="s">
        <v>31</v>
      </c>
      <c r="B947" s="11" t="s">
        <v>42</v>
      </c>
      <c r="C947" s="11">
        <v>55.4</v>
      </c>
      <c r="D947" s="11">
        <v>1993</v>
      </c>
    </row>
    <row r="948" spans="1:4" ht="19.95" customHeight="1" x14ac:dyDescent="0.25">
      <c r="A948" s="10" t="s">
        <v>32</v>
      </c>
      <c r="B948" s="11" t="s">
        <v>42</v>
      </c>
      <c r="C948" s="11">
        <v>50.24</v>
      </c>
      <c r="D948" s="11">
        <v>1993</v>
      </c>
    </row>
    <row r="949" spans="1:4" ht="19.95" customHeight="1" x14ac:dyDescent="0.25">
      <c r="A949" s="10" t="s">
        <v>33</v>
      </c>
      <c r="B949" s="11" t="s">
        <v>42</v>
      </c>
      <c r="C949" s="11">
        <v>64.290000000000006</v>
      </c>
      <c r="D949" s="11">
        <v>1993</v>
      </c>
    </row>
    <row r="950" spans="1:4" ht="19.95" customHeight="1" x14ac:dyDescent="0.25">
      <c r="A950" s="10" t="s">
        <v>34</v>
      </c>
      <c r="B950" s="11" t="s">
        <v>42</v>
      </c>
      <c r="C950" s="11">
        <v>69.62</v>
      </c>
      <c r="D950" s="11">
        <v>1993</v>
      </c>
    </row>
    <row r="951" spans="1:4" ht="19.95" customHeight="1" x14ac:dyDescent="0.25">
      <c r="A951" s="10" t="s">
        <v>35</v>
      </c>
      <c r="B951" s="11" t="s">
        <v>42</v>
      </c>
      <c r="C951" s="11">
        <v>88.05</v>
      </c>
      <c r="D951" s="11">
        <v>1993</v>
      </c>
    </row>
    <row r="952" spans="1:4" ht="19.95" customHeight="1" x14ac:dyDescent="0.25">
      <c r="A952" s="10" t="s">
        <v>36</v>
      </c>
      <c r="B952" s="11" t="s">
        <v>42</v>
      </c>
      <c r="C952" s="11">
        <v>85.95</v>
      </c>
      <c r="D952" s="11">
        <v>1993</v>
      </c>
    </row>
    <row r="953" spans="1:4" ht="19.95" customHeight="1" x14ac:dyDescent="0.25">
      <c r="A953" s="10" t="s">
        <v>37</v>
      </c>
      <c r="B953" s="11" t="s">
        <v>42</v>
      </c>
      <c r="C953" s="11">
        <v>65.709999999999994</v>
      </c>
      <c r="D953" s="11">
        <v>1993</v>
      </c>
    </row>
    <row r="954" spans="1:4" ht="19.95" customHeight="1" x14ac:dyDescent="0.25">
      <c r="A954" s="10" t="s">
        <v>38</v>
      </c>
      <c r="B954" s="11" t="s">
        <v>42</v>
      </c>
      <c r="C954" s="11">
        <v>72.209999999999994</v>
      </c>
      <c r="D954" s="11">
        <v>1993</v>
      </c>
    </row>
    <row r="955" spans="1:4" ht="19.95" customHeight="1" x14ac:dyDescent="0.25">
      <c r="A955" s="10" t="s">
        <v>39</v>
      </c>
      <c r="B955" s="11" t="s">
        <v>42</v>
      </c>
      <c r="C955" s="11">
        <v>88.18</v>
      </c>
      <c r="D955" s="11">
        <v>1993</v>
      </c>
    </row>
    <row r="956" spans="1:4" ht="19.95" customHeight="1" x14ac:dyDescent="0.25">
      <c r="A956" s="10" t="s">
        <v>40</v>
      </c>
      <c r="B956" s="11" t="s">
        <v>42</v>
      </c>
      <c r="C956" s="11">
        <v>77.94</v>
      </c>
      <c r="D956" s="11">
        <v>1993</v>
      </c>
    </row>
    <row r="957" spans="1:4" ht="19.95" customHeight="1" x14ac:dyDescent="0.25">
      <c r="A957" s="10" t="s">
        <v>10</v>
      </c>
      <c r="B957" s="11" t="s">
        <v>42</v>
      </c>
      <c r="C957" s="11">
        <v>90.54</v>
      </c>
      <c r="D957" s="11">
        <v>1994</v>
      </c>
    </row>
    <row r="958" spans="1:4" ht="19.95" customHeight="1" x14ac:dyDescent="0.25">
      <c r="A958" s="10" t="s">
        <v>13</v>
      </c>
      <c r="B958" s="11" t="s">
        <v>42</v>
      </c>
      <c r="C958" s="11">
        <v>64.459999999999994</v>
      </c>
      <c r="D958" s="11">
        <v>1994</v>
      </c>
    </row>
    <row r="959" spans="1:4" ht="19.95" customHeight="1" x14ac:dyDescent="0.25">
      <c r="A959" s="10" t="s">
        <v>15</v>
      </c>
      <c r="B959" s="11" t="s">
        <v>42</v>
      </c>
      <c r="C959" s="11">
        <v>70.16</v>
      </c>
      <c r="D959" s="11">
        <v>1994</v>
      </c>
    </row>
    <row r="960" spans="1:4" ht="19.95" customHeight="1" x14ac:dyDescent="0.25">
      <c r="A960" s="10" t="s">
        <v>16</v>
      </c>
      <c r="B960" s="11" t="s">
        <v>42</v>
      </c>
      <c r="C960" s="11">
        <v>88.9</v>
      </c>
      <c r="D960" s="11">
        <v>1994</v>
      </c>
    </row>
    <row r="961" spans="1:4" ht="19.95" customHeight="1" x14ac:dyDescent="0.25">
      <c r="A961" s="10" t="s">
        <v>17</v>
      </c>
      <c r="B961" s="11" t="s">
        <v>42</v>
      </c>
      <c r="C961" s="11">
        <v>73.69</v>
      </c>
      <c r="D961" s="11">
        <v>1994</v>
      </c>
    </row>
    <row r="962" spans="1:4" ht="19.95" customHeight="1" x14ac:dyDescent="0.25">
      <c r="A962" s="10" t="s">
        <v>2</v>
      </c>
      <c r="B962" s="11" t="s">
        <v>42</v>
      </c>
      <c r="C962" s="11">
        <v>51.79</v>
      </c>
      <c r="D962" s="11">
        <v>1994</v>
      </c>
    </row>
    <row r="963" spans="1:4" ht="19.95" customHeight="1" x14ac:dyDescent="0.25">
      <c r="A963" s="10" t="s">
        <v>18</v>
      </c>
      <c r="B963" s="11" t="s">
        <v>42</v>
      </c>
      <c r="C963" s="11">
        <v>72.73</v>
      </c>
      <c r="D963" s="11">
        <v>1994</v>
      </c>
    </row>
    <row r="964" spans="1:4" ht="19.95" customHeight="1" x14ac:dyDescent="0.25">
      <c r="A964" s="10" t="s">
        <v>19</v>
      </c>
      <c r="B964" s="11" t="s">
        <v>42</v>
      </c>
      <c r="C964" s="11">
        <v>86.49</v>
      </c>
      <c r="D964" s="11">
        <v>1994</v>
      </c>
    </row>
    <row r="965" spans="1:4" ht="19.95" customHeight="1" x14ac:dyDescent="0.25">
      <c r="A965" s="10" t="s">
        <v>20</v>
      </c>
      <c r="B965" s="11" t="s">
        <v>42</v>
      </c>
      <c r="C965" s="11">
        <v>68.709999999999994</v>
      </c>
      <c r="D965" s="11">
        <v>1994</v>
      </c>
    </row>
    <row r="966" spans="1:4" ht="19.95" customHeight="1" x14ac:dyDescent="0.25">
      <c r="A966" s="10" t="s">
        <v>21</v>
      </c>
      <c r="B966" s="11" t="s">
        <v>42</v>
      </c>
      <c r="C966" s="11"/>
      <c r="D966" s="11">
        <v>1994</v>
      </c>
    </row>
    <row r="967" spans="1:4" ht="19.95" customHeight="1" x14ac:dyDescent="0.25">
      <c r="A967" s="10" t="s">
        <v>22</v>
      </c>
      <c r="B967" s="11" t="s">
        <v>42</v>
      </c>
      <c r="C967" s="11">
        <v>66.78</v>
      </c>
      <c r="D967" s="11">
        <v>1994</v>
      </c>
    </row>
    <row r="968" spans="1:4" ht="19.95" customHeight="1" x14ac:dyDescent="0.25">
      <c r="A968" s="10" t="s">
        <v>23</v>
      </c>
      <c r="B968" s="11" t="s">
        <v>42</v>
      </c>
      <c r="C968" s="11">
        <v>84.28</v>
      </c>
      <c r="D968" s="11">
        <v>1994</v>
      </c>
    </row>
    <row r="969" spans="1:4" ht="19.95" customHeight="1" x14ac:dyDescent="0.25">
      <c r="A969" s="10" t="s">
        <v>24</v>
      </c>
      <c r="B969" s="11" t="s">
        <v>42</v>
      </c>
      <c r="C969" s="11">
        <v>43.62</v>
      </c>
      <c r="D969" s="11">
        <v>1994</v>
      </c>
    </row>
    <row r="970" spans="1:4" ht="19.95" customHeight="1" x14ac:dyDescent="0.25">
      <c r="A970" s="10" t="s">
        <v>25</v>
      </c>
      <c r="B970" s="11" t="s">
        <v>42</v>
      </c>
      <c r="C970" s="11">
        <v>68.88</v>
      </c>
      <c r="D970" s="11">
        <v>1994</v>
      </c>
    </row>
    <row r="971" spans="1:4" ht="19.95" customHeight="1" x14ac:dyDescent="0.25">
      <c r="A971" s="10" t="s">
        <v>26</v>
      </c>
      <c r="B971" s="11" t="s">
        <v>42</v>
      </c>
      <c r="C971" s="11">
        <v>110.97</v>
      </c>
      <c r="D971" s="11">
        <v>1994</v>
      </c>
    </row>
    <row r="972" spans="1:4" ht="19.95" customHeight="1" x14ac:dyDescent="0.25">
      <c r="A972" s="10" t="s">
        <v>27</v>
      </c>
      <c r="B972" s="11" t="s">
        <v>42</v>
      </c>
      <c r="C972" s="11">
        <v>56.54</v>
      </c>
      <c r="D972" s="11">
        <v>1994</v>
      </c>
    </row>
    <row r="973" spans="1:4" ht="19.95" customHeight="1" x14ac:dyDescent="0.25">
      <c r="A973" s="10" t="s">
        <v>29</v>
      </c>
      <c r="B973" s="11" t="s">
        <v>42</v>
      </c>
      <c r="C973" s="11">
        <v>55.72</v>
      </c>
      <c r="D973" s="11">
        <v>1994</v>
      </c>
    </row>
    <row r="974" spans="1:4" ht="19.95" customHeight="1" x14ac:dyDescent="0.25">
      <c r="A974" s="10" t="s">
        <v>30</v>
      </c>
      <c r="B974" s="11" t="s">
        <v>42</v>
      </c>
      <c r="C974" s="11">
        <v>70.849999999999994</v>
      </c>
      <c r="D974" s="11">
        <v>1994</v>
      </c>
    </row>
    <row r="975" spans="1:4" ht="19.95" customHeight="1" x14ac:dyDescent="0.25">
      <c r="A975" s="10" t="s">
        <v>31</v>
      </c>
      <c r="B975" s="11" t="s">
        <v>42</v>
      </c>
      <c r="C975" s="11">
        <v>56.43</v>
      </c>
      <c r="D975" s="11">
        <v>1994</v>
      </c>
    </row>
    <row r="976" spans="1:4" ht="19.95" customHeight="1" x14ac:dyDescent="0.25">
      <c r="A976" s="10" t="s">
        <v>32</v>
      </c>
      <c r="B976" s="11" t="s">
        <v>42</v>
      </c>
      <c r="C976" s="11">
        <v>51.99</v>
      </c>
      <c r="D976" s="11">
        <v>1994</v>
      </c>
    </row>
    <row r="977" spans="1:4" ht="19.95" customHeight="1" x14ac:dyDescent="0.25">
      <c r="A977" s="10" t="s">
        <v>33</v>
      </c>
      <c r="B977" s="11" t="s">
        <v>42</v>
      </c>
      <c r="C977" s="11">
        <v>45.24</v>
      </c>
      <c r="D977" s="11">
        <v>1994</v>
      </c>
    </row>
    <row r="978" spans="1:4" ht="19.95" customHeight="1" x14ac:dyDescent="0.25">
      <c r="A978" s="10" t="s">
        <v>34</v>
      </c>
      <c r="B978" s="11" t="s">
        <v>42</v>
      </c>
      <c r="C978" s="11">
        <v>73.239999999999995</v>
      </c>
      <c r="D978" s="11">
        <v>1994</v>
      </c>
    </row>
    <row r="979" spans="1:4" ht="19.95" customHeight="1" x14ac:dyDescent="0.25">
      <c r="A979" s="10" t="s">
        <v>35</v>
      </c>
      <c r="B979" s="11" t="s">
        <v>42</v>
      </c>
      <c r="C979" s="11">
        <v>94.41</v>
      </c>
      <c r="D979" s="11">
        <v>1994</v>
      </c>
    </row>
    <row r="980" spans="1:4" ht="19.95" customHeight="1" x14ac:dyDescent="0.25">
      <c r="A980" s="10" t="s">
        <v>36</v>
      </c>
      <c r="B980" s="11" t="s">
        <v>42</v>
      </c>
      <c r="C980" s="11">
        <v>86.72</v>
      </c>
      <c r="D980" s="11">
        <v>1994</v>
      </c>
    </row>
    <row r="981" spans="1:4" ht="19.95" customHeight="1" x14ac:dyDescent="0.25">
      <c r="A981" s="10" t="s">
        <v>37</v>
      </c>
      <c r="B981" s="11" t="s">
        <v>42</v>
      </c>
      <c r="C981" s="11">
        <v>64.430000000000007</v>
      </c>
      <c r="D981" s="11">
        <v>1994</v>
      </c>
    </row>
    <row r="982" spans="1:4" ht="19.95" customHeight="1" x14ac:dyDescent="0.25">
      <c r="A982" s="10" t="s">
        <v>38</v>
      </c>
      <c r="B982" s="11" t="s">
        <v>42</v>
      </c>
      <c r="C982" s="11">
        <v>70.37</v>
      </c>
      <c r="D982" s="11">
        <v>1994</v>
      </c>
    </row>
    <row r="983" spans="1:4" ht="19.95" customHeight="1" x14ac:dyDescent="0.25">
      <c r="A983" s="10" t="s">
        <v>39</v>
      </c>
      <c r="B983" s="11" t="s">
        <v>42</v>
      </c>
      <c r="C983" s="11">
        <v>78.12</v>
      </c>
      <c r="D983" s="11">
        <v>1994</v>
      </c>
    </row>
    <row r="984" spans="1:4" ht="19.95" customHeight="1" x14ac:dyDescent="0.25">
      <c r="A984" s="10" t="s">
        <v>40</v>
      </c>
      <c r="B984" s="11" t="s">
        <v>42</v>
      </c>
      <c r="C984" s="11">
        <v>85.83</v>
      </c>
      <c r="D984" s="11">
        <v>1994</v>
      </c>
    </row>
    <row r="985" spans="1:4" ht="19.95" customHeight="1" x14ac:dyDescent="0.25">
      <c r="A985" s="10" t="s">
        <v>10</v>
      </c>
      <c r="B985" s="11" t="s">
        <v>42</v>
      </c>
      <c r="C985" s="11">
        <v>95.01</v>
      </c>
      <c r="D985" s="11">
        <v>1995</v>
      </c>
    </row>
    <row r="986" spans="1:4" ht="19.95" customHeight="1" x14ac:dyDescent="0.25">
      <c r="A986" s="10" t="s">
        <v>13</v>
      </c>
      <c r="B986" s="11" t="s">
        <v>42</v>
      </c>
      <c r="C986" s="11">
        <v>68.290000000000006</v>
      </c>
      <c r="D986" s="11">
        <v>1995</v>
      </c>
    </row>
    <row r="987" spans="1:4" ht="19.95" customHeight="1" x14ac:dyDescent="0.25">
      <c r="A987" s="10" t="s">
        <v>15</v>
      </c>
      <c r="B987" s="11" t="s">
        <v>42</v>
      </c>
      <c r="C987" s="11">
        <v>71.84</v>
      </c>
      <c r="D987" s="11">
        <v>1995</v>
      </c>
    </row>
    <row r="988" spans="1:4" ht="19.95" customHeight="1" x14ac:dyDescent="0.25">
      <c r="A988" s="10" t="s">
        <v>16</v>
      </c>
      <c r="B988" s="11" t="s">
        <v>42</v>
      </c>
      <c r="C988" s="11">
        <v>89.37</v>
      </c>
      <c r="D988" s="11">
        <v>1995</v>
      </c>
    </row>
    <row r="989" spans="1:4" ht="19.95" customHeight="1" x14ac:dyDescent="0.25">
      <c r="A989" s="10" t="s">
        <v>17</v>
      </c>
      <c r="B989" s="11" t="s">
        <v>42</v>
      </c>
      <c r="C989" s="11">
        <v>75.900000000000006</v>
      </c>
      <c r="D989" s="11">
        <v>1995</v>
      </c>
    </row>
    <row r="990" spans="1:4" ht="19.95" customHeight="1" x14ac:dyDescent="0.25">
      <c r="A990" s="10" t="s">
        <v>2</v>
      </c>
      <c r="B990" s="11" t="s">
        <v>42</v>
      </c>
      <c r="C990" s="11">
        <v>57.54</v>
      </c>
      <c r="D990" s="11">
        <v>1995</v>
      </c>
    </row>
    <row r="991" spans="1:4" ht="19.95" customHeight="1" x14ac:dyDescent="0.25">
      <c r="A991" s="10" t="s">
        <v>18</v>
      </c>
      <c r="B991" s="11" t="s">
        <v>42</v>
      </c>
      <c r="C991" s="11">
        <v>73.22</v>
      </c>
      <c r="D991" s="11">
        <v>1995</v>
      </c>
    </row>
    <row r="992" spans="1:4" ht="19.95" customHeight="1" x14ac:dyDescent="0.25">
      <c r="A992" s="10" t="s">
        <v>19</v>
      </c>
      <c r="B992" s="11" t="s">
        <v>42</v>
      </c>
      <c r="C992" s="11">
        <v>84.46</v>
      </c>
      <c r="D992" s="11">
        <v>1995</v>
      </c>
    </row>
    <row r="993" spans="1:4" ht="19.95" customHeight="1" x14ac:dyDescent="0.25">
      <c r="A993" s="10" t="s">
        <v>20</v>
      </c>
      <c r="B993" s="11" t="s">
        <v>42</v>
      </c>
      <c r="C993" s="11">
        <v>68.78</v>
      </c>
      <c r="D993" s="11">
        <v>1995</v>
      </c>
    </row>
    <row r="994" spans="1:4" ht="19.95" customHeight="1" x14ac:dyDescent="0.25">
      <c r="A994" s="10" t="s">
        <v>21</v>
      </c>
      <c r="B994" s="11" t="s">
        <v>42</v>
      </c>
      <c r="C994" s="11"/>
      <c r="D994" s="11">
        <v>1995</v>
      </c>
    </row>
    <row r="995" spans="1:4" ht="19.95" customHeight="1" x14ac:dyDescent="0.25">
      <c r="A995" s="10" t="s">
        <v>22</v>
      </c>
      <c r="B995" s="11" t="s">
        <v>42</v>
      </c>
      <c r="C995" s="11">
        <v>65.75</v>
      </c>
      <c r="D995" s="11">
        <v>1995</v>
      </c>
    </row>
    <row r="996" spans="1:4" ht="19.95" customHeight="1" x14ac:dyDescent="0.25">
      <c r="A996" s="10" t="s">
        <v>23</v>
      </c>
      <c r="B996" s="11" t="s">
        <v>42</v>
      </c>
      <c r="C996" s="11">
        <v>87.35</v>
      </c>
      <c r="D996" s="11">
        <v>1995</v>
      </c>
    </row>
    <row r="997" spans="1:4" ht="19.95" customHeight="1" x14ac:dyDescent="0.25">
      <c r="A997" s="10" t="s">
        <v>24</v>
      </c>
      <c r="B997" s="11" t="s">
        <v>42</v>
      </c>
      <c r="C997" s="11">
        <v>51.55</v>
      </c>
      <c r="D997" s="11">
        <v>1995</v>
      </c>
    </row>
    <row r="998" spans="1:4" ht="19.95" customHeight="1" x14ac:dyDescent="0.25">
      <c r="A998" s="10" t="s">
        <v>25</v>
      </c>
      <c r="B998" s="11" t="s">
        <v>42</v>
      </c>
      <c r="C998" s="11">
        <v>68.55</v>
      </c>
      <c r="D998" s="11">
        <v>1995</v>
      </c>
    </row>
    <row r="999" spans="1:4" ht="19.95" customHeight="1" x14ac:dyDescent="0.25">
      <c r="A999" s="10" t="s">
        <v>26</v>
      </c>
      <c r="B999" s="11" t="s">
        <v>42</v>
      </c>
      <c r="C999" s="11">
        <v>125.04</v>
      </c>
      <c r="D999" s="11">
        <v>1995</v>
      </c>
    </row>
    <row r="1000" spans="1:4" ht="19.95" customHeight="1" x14ac:dyDescent="0.25">
      <c r="A1000" s="10" t="s">
        <v>27</v>
      </c>
      <c r="B1000" s="11" t="s">
        <v>42</v>
      </c>
      <c r="C1000" s="11">
        <v>75.010000000000005</v>
      </c>
      <c r="D1000" s="11">
        <v>1995</v>
      </c>
    </row>
    <row r="1001" spans="1:4" ht="19.95" customHeight="1" x14ac:dyDescent="0.25">
      <c r="A1001" s="10" t="s">
        <v>29</v>
      </c>
      <c r="B1001" s="11" t="s">
        <v>42</v>
      </c>
      <c r="C1001" s="11">
        <v>57.55</v>
      </c>
      <c r="D1001" s="11">
        <v>1995</v>
      </c>
    </row>
    <row r="1002" spans="1:4" ht="19.95" customHeight="1" x14ac:dyDescent="0.25">
      <c r="A1002" s="10" t="s">
        <v>30</v>
      </c>
      <c r="B1002" s="11" t="s">
        <v>42</v>
      </c>
      <c r="C1002" s="11">
        <v>76.63</v>
      </c>
      <c r="D1002" s="11">
        <v>1995</v>
      </c>
    </row>
    <row r="1003" spans="1:4" ht="19.95" customHeight="1" x14ac:dyDescent="0.25">
      <c r="A1003" s="10" t="s">
        <v>31</v>
      </c>
      <c r="B1003" s="11" t="s">
        <v>42</v>
      </c>
      <c r="C1003" s="11">
        <v>58.48</v>
      </c>
      <c r="D1003" s="11">
        <v>1995</v>
      </c>
    </row>
    <row r="1004" spans="1:4" ht="19.95" customHeight="1" x14ac:dyDescent="0.25">
      <c r="A1004" s="10" t="s">
        <v>32</v>
      </c>
      <c r="B1004" s="11" t="s">
        <v>42</v>
      </c>
      <c r="C1004" s="11">
        <v>53.24</v>
      </c>
      <c r="D1004" s="11">
        <v>1995</v>
      </c>
    </row>
    <row r="1005" spans="1:4" ht="19.95" customHeight="1" x14ac:dyDescent="0.25">
      <c r="A1005" s="10" t="s">
        <v>33</v>
      </c>
      <c r="B1005" s="11" t="s">
        <v>42</v>
      </c>
      <c r="C1005" s="11">
        <v>54.34</v>
      </c>
      <c r="D1005" s="11">
        <v>1995</v>
      </c>
    </row>
    <row r="1006" spans="1:4" ht="19.95" customHeight="1" x14ac:dyDescent="0.25">
      <c r="A1006" s="10" t="s">
        <v>34</v>
      </c>
      <c r="B1006" s="11" t="s">
        <v>42</v>
      </c>
      <c r="C1006" s="11">
        <v>67.489999999999995</v>
      </c>
      <c r="D1006" s="11">
        <v>1995</v>
      </c>
    </row>
    <row r="1007" spans="1:4" ht="19.95" customHeight="1" x14ac:dyDescent="0.25">
      <c r="A1007" s="10" t="s">
        <v>35</v>
      </c>
      <c r="B1007" s="11" t="s">
        <v>42</v>
      </c>
      <c r="C1007" s="11">
        <v>96.99</v>
      </c>
      <c r="D1007" s="11">
        <v>1995</v>
      </c>
    </row>
    <row r="1008" spans="1:4" ht="19.95" customHeight="1" x14ac:dyDescent="0.25">
      <c r="A1008" s="10" t="s">
        <v>36</v>
      </c>
      <c r="B1008" s="11" t="s">
        <v>42</v>
      </c>
      <c r="C1008" s="11">
        <v>81.67</v>
      </c>
      <c r="D1008" s="11">
        <v>1995</v>
      </c>
    </row>
    <row r="1009" spans="1:4" ht="19.95" customHeight="1" x14ac:dyDescent="0.25">
      <c r="A1009" s="10" t="s">
        <v>37</v>
      </c>
      <c r="B1009" s="11" t="s">
        <v>42</v>
      </c>
      <c r="C1009" s="11">
        <v>69.47</v>
      </c>
      <c r="D1009" s="11">
        <v>1995</v>
      </c>
    </row>
    <row r="1010" spans="1:4" ht="19.95" customHeight="1" x14ac:dyDescent="0.25">
      <c r="A1010" s="10" t="s">
        <v>38</v>
      </c>
      <c r="B1010" s="11" t="s">
        <v>42</v>
      </c>
      <c r="C1010" s="11">
        <v>73.58</v>
      </c>
      <c r="D1010" s="11">
        <v>1995</v>
      </c>
    </row>
    <row r="1011" spans="1:4" ht="19.95" customHeight="1" x14ac:dyDescent="0.25">
      <c r="A1011" s="10" t="s">
        <v>39</v>
      </c>
      <c r="B1011" s="11" t="s">
        <v>42</v>
      </c>
      <c r="C1011" s="11">
        <v>72.59</v>
      </c>
      <c r="D1011" s="11">
        <v>1995</v>
      </c>
    </row>
    <row r="1012" spans="1:4" ht="19.95" customHeight="1" x14ac:dyDescent="0.25">
      <c r="A1012" s="10" t="s">
        <v>40</v>
      </c>
      <c r="B1012" s="11" t="s">
        <v>42</v>
      </c>
      <c r="C1012" s="11">
        <v>66.92</v>
      </c>
      <c r="D1012" s="11">
        <v>1995</v>
      </c>
    </row>
    <row r="1013" spans="1:4" ht="19.95" customHeight="1" x14ac:dyDescent="0.25">
      <c r="A1013" s="10" t="s">
        <v>10</v>
      </c>
      <c r="B1013" s="11" t="s">
        <v>42</v>
      </c>
      <c r="C1013" s="11">
        <v>96.75</v>
      </c>
      <c r="D1013" s="11">
        <v>1996</v>
      </c>
    </row>
    <row r="1014" spans="1:4" ht="19.95" customHeight="1" x14ac:dyDescent="0.25">
      <c r="A1014" s="10" t="s">
        <v>13</v>
      </c>
      <c r="B1014" s="11" t="s">
        <v>42</v>
      </c>
      <c r="C1014" s="11">
        <v>71.34</v>
      </c>
      <c r="D1014" s="11">
        <v>1996</v>
      </c>
    </row>
    <row r="1015" spans="1:4" ht="19.95" customHeight="1" x14ac:dyDescent="0.25">
      <c r="A1015" s="10" t="s">
        <v>15</v>
      </c>
      <c r="B1015" s="11" t="s">
        <v>42</v>
      </c>
      <c r="C1015" s="11">
        <v>73.3</v>
      </c>
      <c r="D1015" s="11">
        <v>1996</v>
      </c>
    </row>
    <row r="1016" spans="1:4" ht="19.95" customHeight="1" x14ac:dyDescent="0.25">
      <c r="A1016" s="10" t="s">
        <v>16</v>
      </c>
      <c r="B1016" s="11" t="s">
        <v>42</v>
      </c>
      <c r="C1016" s="11">
        <v>91.85</v>
      </c>
      <c r="D1016" s="11">
        <v>1996</v>
      </c>
    </row>
    <row r="1017" spans="1:4" ht="19.95" customHeight="1" x14ac:dyDescent="0.25">
      <c r="A1017" s="10" t="s">
        <v>17</v>
      </c>
      <c r="B1017" s="11" t="s">
        <v>42</v>
      </c>
      <c r="C1017" s="11">
        <v>71.83</v>
      </c>
      <c r="D1017" s="11">
        <v>1996</v>
      </c>
    </row>
    <row r="1018" spans="1:4" ht="19.95" customHeight="1" x14ac:dyDescent="0.25">
      <c r="A1018" s="10" t="s">
        <v>2</v>
      </c>
      <c r="B1018" s="11" t="s">
        <v>42</v>
      </c>
      <c r="C1018" s="11">
        <v>67.069999999999993</v>
      </c>
      <c r="D1018" s="11">
        <v>1996</v>
      </c>
    </row>
    <row r="1019" spans="1:4" ht="19.95" customHeight="1" x14ac:dyDescent="0.25">
      <c r="A1019" s="10" t="s">
        <v>18</v>
      </c>
      <c r="B1019" s="11" t="s">
        <v>42</v>
      </c>
      <c r="C1019" s="11">
        <v>74.75</v>
      </c>
      <c r="D1019" s="11">
        <v>1996</v>
      </c>
    </row>
    <row r="1020" spans="1:4" ht="19.95" customHeight="1" x14ac:dyDescent="0.25">
      <c r="A1020" s="10" t="s">
        <v>19</v>
      </c>
      <c r="B1020" s="11" t="s">
        <v>42</v>
      </c>
      <c r="C1020" s="11">
        <v>85.96</v>
      </c>
      <c r="D1020" s="11">
        <v>1996</v>
      </c>
    </row>
    <row r="1021" spans="1:4" ht="19.95" customHeight="1" x14ac:dyDescent="0.25">
      <c r="A1021" s="10" t="s">
        <v>20</v>
      </c>
      <c r="B1021" s="11" t="s">
        <v>42</v>
      </c>
      <c r="C1021" s="11">
        <v>64.19</v>
      </c>
      <c r="D1021" s="11">
        <v>1996</v>
      </c>
    </row>
    <row r="1022" spans="1:4" ht="19.95" customHeight="1" x14ac:dyDescent="0.25">
      <c r="A1022" s="10" t="s">
        <v>21</v>
      </c>
      <c r="B1022" s="11" t="s">
        <v>42</v>
      </c>
      <c r="C1022" s="11"/>
      <c r="D1022" s="11">
        <v>1996</v>
      </c>
    </row>
    <row r="1023" spans="1:4" ht="19.95" customHeight="1" x14ac:dyDescent="0.25">
      <c r="A1023" s="10" t="s">
        <v>22</v>
      </c>
      <c r="B1023" s="11" t="s">
        <v>42</v>
      </c>
      <c r="C1023" s="11">
        <v>72</v>
      </c>
      <c r="D1023" s="11">
        <v>1996</v>
      </c>
    </row>
    <row r="1024" spans="1:4" ht="19.95" customHeight="1" x14ac:dyDescent="0.25">
      <c r="A1024" s="10" t="s">
        <v>23</v>
      </c>
      <c r="B1024" s="11" t="s">
        <v>42</v>
      </c>
      <c r="C1024" s="11">
        <v>89.04</v>
      </c>
      <c r="D1024" s="11">
        <v>1996</v>
      </c>
    </row>
    <row r="1025" spans="1:4" ht="19.95" customHeight="1" x14ac:dyDescent="0.25">
      <c r="A1025" s="10" t="s">
        <v>24</v>
      </c>
      <c r="B1025" s="11" t="s">
        <v>42</v>
      </c>
      <c r="C1025" s="11">
        <v>61.28</v>
      </c>
      <c r="D1025" s="11">
        <v>1996</v>
      </c>
    </row>
    <row r="1026" spans="1:4" ht="19.95" customHeight="1" x14ac:dyDescent="0.25">
      <c r="A1026" s="10" t="s">
        <v>25</v>
      </c>
      <c r="B1026" s="11" t="s">
        <v>42</v>
      </c>
      <c r="C1026" s="11">
        <v>70.900000000000006</v>
      </c>
      <c r="D1026" s="11">
        <v>1996</v>
      </c>
    </row>
    <row r="1027" spans="1:4" ht="19.95" customHeight="1" x14ac:dyDescent="0.25">
      <c r="A1027" s="10" t="s">
        <v>26</v>
      </c>
      <c r="B1027" s="11" t="s">
        <v>42</v>
      </c>
      <c r="C1027" s="11">
        <v>108.16</v>
      </c>
      <c r="D1027" s="11">
        <v>1996</v>
      </c>
    </row>
    <row r="1028" spans="1:4" ht="19.95" customHeight="1" x14ac:dyDescent="0.25">
      <c r="A1028" s="10" t="s">
        <v>27</v>
      </c>
      <c r="B1028" s="11" t="s">
        <v>42</v>
      </c>
      <c r="C1028" s="11">
        <v>83.42</v>
      </c>
      <c r="D1028" s="11">
        <v>1996</v>
      </c>
    </row>
    <row r="1029" spans="1:4" ht="19.95" customHeight="1" x14ac:dyDescent="0.25">
      <c r="A1029" s="10" t="s">
        <v>29</v>
      </c>
      <c r="B1029" s="11" t="s">
        <v>42</v>
      </c>
      <c r="C1029" s="11">
        <v>58.9</v>
      </c>
      <c r="D1029" s="11">
        <v>1996</v>
      </c>
    </row>
    <row r="1030" spans="1:4" ht="19.95" customHeight="1" x14ac:dyDescent="0.25">
      <c r="A1030" s="10" t="s">
        <v>30</v>
      </c>
      <c r="B1030" s="11" t="s">
        <v>42</v>
      </c>
      <c r="C1030" s="11">
        <v>76.09</v>
      </c>
      <c r="D1030" s="11">
        <v>1996</v>
      </c>
    </row>
    <row r="1031" spans="1:4" ht="19.95" customHeight="1" x14ac:dyDescent="0.25">
      <c r="A1031" s="10" t="s">
        <v>31</v>
      </c>
      <c r="B1031" s="11" t="s">
        <v>42</v>
      </c>
      <c r="C1031" s="11">
        <v>60.96</v>
      </c>
      <c r="D1031" s="11">
        <v>1996</v>
      </c>
    </row>
    <row r="1032" spans="1:4" ht="19.95" customHeight="1" x14ac:dyDescent="0.25">
      <c r="A1032" s="10" t="s">
        <v>32</v>
      </c>
      <c r="B1032" s="11" t="s">
        <v>42</v>
      </c>
      <c r="C1032" s="11">
        <v>61.73</v>
      </c>
      <c r="D1032" s="11">
        <v>1996</v>
      </c>
    </row>
    <row r="1033" spans="1:4" ht="19.95" customHeight="1" x14ac:dyDescent="0.25">
      <c r="A1033" s="10" t="s">
        <v>33</v>
      </c>
      <c r="B1033" s="11" t="s">
        <v>42</v>
      </c>
      <c r="C1033" s="11">
        <v>60.65</v>
      </c>
      <c r="D1033" s="11">
        <v>1996</v>
      </c>
    </row>
    <row r="1034" spans="1:4" ht="19.95" customHeight="1" x14ac:dyDescent="0.25">
      <c r="A1034" s="10" t="s">
        <v>34</v>
      </c>
      <c r="B1034" s="11" t="s">
        <v>42</v>
      </c>
      <c r="C1034" s="11">
        <v>76.58</v>
      </c>
      <c r="D1034" s="11">
        <v>1996</v>
      </c>
    </row>
    <row r="1035" spans="1:4" ht="19.95" customHeight="1" x14ac:dyDescent="0.25">
      <c r="A1035" s="10" t="s">
        <v>35</v>
      </c>
      <c r="B1035" s="11" t="s">
        <v>42</v>
      </c>
      <c r="C1035" s="11">
        <v>85.09</v>
      </c>
      <c r="D1035" s="11">
        <v>1996</v>
      </c>
    </row>
    <row r="1036" spans="1:4" ht="19.95" customHeight="1" x14ac:dyDescent="0.25">
      <c r="A1036" s="10" t="s">
        <v>36</v>
      </c>
      <c r="B1036" s="11" t="s">
        <v>42</v>
      </c>
      <c r="C1036" s="11">
        <v>67.53</v>
      </c>
      <c r="D1036" s="11">
        <v>1996</v>
      </c>
    </row>
    <row r="1037" spans="1:4" ht="19.95" customHeight="1" x14ac:dyDescent="0.25">
      <c r="A1037" s="10" t="s">
        <v>37</v>
      </c>
      <c r="B1037" s="11" t="s">
        <v>42</v>
      </c>
      <c r="C1037" s="11">
        <v>69.36</v>
      </c>
      <c r="D1037" s="11">
        <v>1996</v>
      </c>
    </row>
    <row r="1038" spans="1:4" ht="19.95" customHeight="1" x14ac:dyDescent="0.25">
      <c r="A1038" s="10" t="s">
        <v>38</v>
      </c>
      <c r="B1038" s="11" t="s">
        <v>42</v>
      </c>
      <c r="C1038" s="11">
        <v>69.69</v>
      </c>
      <c r="D1038" s="11">
        <v>1996</v>
      </c>
    </row>
    <row r="1039" spans="1:4" ht="19.95" customHeight="1" x14ac:dyDescent="0.25">
      <c r="A1039" s="10" t="s">
        <v>39</v>
      </c>
      <c r="B1039" s="11" t="s">
        <v>42</v>
      </c>
      <c r="C1039" s="11">
        <v>83.55</v>
      </c>
      <c r="D1039" s="11">
        <v>1996</v>
      </c>
    </row>
    <row r="1040" spans="1:4" ht="19.95" customHeight="1" x14ac:dyDescent="0.25">
      <c r="A1040" s="10" t="s">
        <v>40</v>
      </c>
      <c r="B1040" s="11" t="s">
        <v>42</v>
      </c>
      <c r="C1040" s="11">
        <v>84.09</v>
      </c>
      <c r="D1040" s="11">
        <v>1996</v>
      </c>
    </row>
    <row r="1041" spans="1:4" ht="19.95" customHeight="1" x14ac:dyDescent="0.25">
      <c r="A1041" s="10" t="s">
        <v>10</v>
      </c>
      <c r="B1041" s="11" t="s">
        <v>42</v>
      </c>
      <c r="C1041" s="11">
        <v>97.61</v>
      </c>
      <c r="D1041" s="11">
        <v>1997</v>
      </c>
    </row>
    <row r="1042" spans="1:4" ht="19.95" customHeight="1" x14ac:dyDescent="0.25">
      <c r="A1042" s="10" t="s">
        <v>13</v>
      </c>
      <c r="B1042" s="11" t="s">
        <v>42</v>
      </c>
      <c r="C1042" s="11">
        <v>69.25</v>
      </c>
      <c r="D1042" s="11">
        <v>1997</v>
      </c>
    </row>
    <row r="1043" spans="1:4" ht="19.95" customHeight="1" x14ac:dyDescent="0.25">
      <c r="A1043" s="10" t="s">
        <v>15</v>
      </c>
      <c r="B1043" s="11" t="s">
        <v>42</v>
      </c>
      <c r="C1043" s="11">
        <v>81.8</v>
      </c>
      <c r="D1043" s="11">
        <v>1997</v>
      </c>
    </row>
    <row r="1044" spans="1:4" ht="19.95" customHeight="1" x14ac:dyDescent="0.25">
      <c r="A1044" s="10" t="s">
        <v>16</v>
      </c>
      <c r="B1044" s="11" t="s">
        <v>42</v>
      </c>
      <c r="C1044" s="11">
        <v>90.71</v>
      </c>
      <c r="D1044" s="11">
        <v>1997</v>
      </c>
    </row>
    <row r="1045" spans="1:4" ht="19.95" customHeight="1" x14ac:dyDescent="0.25">
      <c r="A1045" s="10" t="s">
        <v>17</v>
      </c>
      <c r="B1045" s="11" t="s">
        <v>42</v>
      </c>
      <c r="C1045" s="11">
        <v>75.61</v>
      </c>
      <c r="D1045" s="11">
        <v>1997</v>
      </c>
    </row>
    <row r="1046" spans="1:4" ht="19.95" customHeight="1" x14ac:dyDescent="0.25">
      <c r="A1046" s="10" t="s">
        <v>2</v>
      </c>
      <c r="B1046" s="11" t="s">
        <v>42</v>
      </c>
      <c r="C1046" s="11">
        <v>67.98</v>
      </c>
      <c r="D1046" s="11">
        <v>1997</v>
      </c>
    </row>
    <row r="1047" spans="1:4" ht="19.95" customHeight="1" x14ac:dyDescent="0.25">
      <c r="A1047" s="10" t="s">
        <v>18</v>
      </c>
      <c r="B1047" s="11" t="s">
        <v>42</v>
      </c>
      <c r="C1047" s="11">
        <v>76.56</v>
      </c>
      <c r="D1047" s="11">
        <v>1997</v>
      </c>
    </row>
    <row r="1048" spans="1:4" ht="19.95" customHeight="1" x14ac:dyDescent="0.25">
      <c r="A1048" s="10" t="s">
        <v>19</v>
      </c>
      <c r="B1048" s="11" t="s">
        <v>42</v>
      </c>
      <c r="C1048" s="11">
        <v>91.02</v>
      </c>
      <c r="D1048" s="11">
        <v>1997</v>
      </c>
    </row>
    <row r="1049" spans="1:4" ht="19.95" customHeight="1" x14ac:dyDescent="0.25">
      <c r="A1049" s="10" t="s">
        <v>20</v>
      </c>
      <c r="B1049" s="11" t="s">
        <v>42</v>
      </c>
      <c r="C1049" s="11">
        <v>67.48</v>
      </c>
      <c r="D1049" s="11">
        <v>1997</v>
      </c>
    </row>
    <row r="1050" spans="1:4" ht="19.95" customHeight="1" x14ac:dyDescent="0.25">
      <c r="A1050" s="10" t="s">
        <v>21</v>
      </c>
      <c r="B1050" s="11" t="s">
        <v>42</v>
      </c>
      <c r="C1050" s="11"/>
      <c r="D1050" s="11">
        <v>1997</v>
      </c>
    </row>
    <row r="1051" spans="1:4" ht="19.95" customHeight="1" x14ac:dyDescent="0.25">
      <c r="A1051" s="10" t="s">
        <v>22</v>
      </c>
      <c r="B1051" s="11" t="s">
        <v>42</v>
      </c>
      <c r="C1051" s="11">
        <v>85.39</v>
      </c>
      <c r="D1051" s="11">
        <v>1997</v>
      </c>
    </row>
    <row r="1052" spans="1:4" ht="19.95" customHeight="1" x14ac:dyDescent="0.25">
      <c r="A1052" s="10" t="s">
        <v>23</v>
      </c>
      <c r="B1052" s="11" t="s">
        <v>42</v>
      </c>
      <c r="C1052" s="11">
        <v>90.89</v>
      </c>
      <c r="D1052" s="11">
        <v>1997</v>
      </c>
    </row>
    <row r="1053" spans="1:4" ht="19.95" customHeight="1" x14ac:dyDescent="0.25">
      <c r="A1053" s="10" t="s">
        <v>24</v>
      </c>
      <c r="B1053" s="11" t="s">
        <v>42</v>
      </c>
      <c r="C1053" s="11">
        <v>58.62</v>
      </c>
      <c r="D1053" s="11">
        <v>1997</v>
      </c>
    </row>
    <row r="1054" spans="1:4" ht="19.95" customHeight="1" x14ac:dyDescent="0.25">
      <c r="A1054" s="10" t="s">
        <v>25</v>
      </c>
      <c r="B1054" s="11" t="s">
        <v>42</v>
      </c>
      <c r="C1054" s="11">
        <v>71.709999999999994</v>
      </c>
      <c r="D1054" s="11">
        <v>1997</v>
      </c>
    </row>
    <row r="1055" spans="1:4" ht="19.95" customHeight="1" x14ac:dyDescent="0.25">
      <c r="A1055" s="10" t="s">
        <v>26</v>
      </c>
      <c r="B1055" s="11" t="s">
        <v>42</v>
      </c>
      <c r="C1055" s="11">
        <v>109.12</v>
      </c>
      <c r="D1055" s="11">
        <v>1997</v>
      </c>
    </row>
    <row r="1056" spans="1:4" ht="19.95" customHeight="1" x14ac:dyDescent="0.25">
      <c r="A1056" s="10" t="s">
        <v>27</v>
      </c>
      <c r="B1056" s="11" t="s">
        <v>42</v>
      </c>
      <c r="C1056" s="11">
        <v>88.25</v>
      </c>
      <c r="D1056" s="11">
        <v>1997</v>
      </c>
    </row>
    <row r="1057" spans="1:4" ht="19.95" customHeight="1" x14ac:dyDescent="0.25">
      <c r="A1057" s="10" t="s">
        <v>29</v>
      </c>
      <c r="B1057" s="11" t="s">
        <v>42</v>
      </c>
      <c r="C1057" s="11">
        <v>58.41</v>
      </c>
      <c r="D1057" s="11">
        <v>1997</v>
      </c>
    </row>
    <row r="1058" spans="1:4" ht="19.95" customHeight="1" x14ac:dyDescent="0.25">
      <c r="A1058" s="10" t="s">
        <v>30</v>
      </c>
      <c r="B1058" s="11" t="s">
        <v>42</v>
      </c>
      <c r="C1058" s="11">
        <v>78.72</v>
      </c>
      <c r="D1058" s="11">
        <v>1997</v>
      </c>
    </row>
    <row r="1059" spans="1:4" ht="19.95" customHeight="1" x14ac:dyDescent="0.25">
      <c r="A1059" s="10" t="s">
        <v>31</v>
      </c>
      <c r="B1059" s="11" t="s">
        <v>42</v>
      </c>
      <c r="C1059" s="11">
        <v>61</v>
      </c>
      <c r="D1059" s="11">
        <v>1997</v>
      </c>
    </row>
    <row r="1060" spans="1:4" ht="19.95" customHeight="1" x14ac:dyDescent="0.25">
      <c r="A1060" s="10" t="s">
        <v>32</v>
      </c>
      <c r="B1060" s="11" t="s">
        <v>42</v>
      </c>
      <c r="C1060" s="11">
        <v>57.41</v>
      </c>
      <c r="D1060" s="11">
        <v>1997</v>
      </c>
    </row>
    <row r="1061" spans="1:4" ht="19.95" customHeight="1" x14ac:dyDescent="0.25">
      <c r="A1061" s="10" t="s">
        <v>33</v>
      </c>
      <c r="B1061" s="11" t="s">
        <v>42</v>
      </c>
      <c r="C1061" s="11">
        <v>63.39</v>
      </c>
      <c r="D1061" s="11">
        <v>1997</v>
      </c>
    </row>
    <row r="1062" spans="1:4" ht="19.95" customHeight="1" x14ac:dyDescent="0.25">
      <c r="A1062" s="10" t="s">
        <v>34</v>
      </c>
      <c r="B1062" s="11" t="s">
        <v>42</v>
      </c>
      <c r="C1062" s="11">
        <v>89.86</v>
      </c>
      <c r="D1062" s="11">
        <v>1997</v>
      </c>
    </row>
    <row r="1063" spans="1:4" ht="19.95" customHeight="1" x14ac:dyDescent="0.25">
      <c r="A1063" s="10" t="s">
        <v>35</v>
      </c>
      <c r="B1063" s="11" t="s">
        <v>42</v>
      </c>
      <c r="C1063" s="11">
        <v>87.57</v>
      </c>
      <c r="D1063" s="11">
        <v>1997</v>
      </c>
    </row>
    <row r="1064" spans="1:4" ht="19.95" customHeight="1" x14ac:dyDescent="0.25">
      <c r="A1064" s="10" t="s">
        <v>36</v>
      </c>
      <c r="B1064" s="11" t="s">
        <v>42</v>
      </c>
      <c r="C1064" s="11">
        <v>67.86</v>
      </c>
      <c r="D1064" s="11">
        <v>1997</v>
      </c>
    </row>
    <row r="1065" spans="1:4" ht="19.95" customHeight="1" x14ac:dyDescent="0.25">
      <c r="A1065" s="10" t="s">
        <v>37</v>
      </c>
      <c r="B1065" s="11" t="s">
        <v>42</v>
      </c>
      <c r="C1065" s="11">
        <v>66.569999999999993</v>
      </c>
      <c r="D1065" s="11">
        <v>1997</v>
      </c>
    </row>
    <row r="1066" spans="1:4" ht="19.95" customHeight="1" x14ac:dyDescent="0.25">
      <c r="A1066" s="10" t="s">
        <v>38</v>
      </c>
      <c r="B1066" s="11" t="s">
        <v>42</v>
      </c>
      <c r="C1066" s="11">
        <v>71.400000000000006</v>
      </c>
      <c r="D1066" s="11">
        <v>1997</v>
      </c>
    </row>
    <row r="1067" spans="1:4" ht="19.95" customHeight="1" x14ac:dyDescent="0.25">
      <c r="A1067" s="10" t="s">
        <v>39</v>
      </c>
      <c r="B1067" s="11" t="s">
        <v>42</v>
      </c>
      <c r="C1067" s="11">
        <v>77.430000000000007</v>
      </c>
      <c r="D1067" s="11">
        <v>1997</v>
      </c>
    </row>
    <row r="1068" spans="1:4" ht="19.95" customHeight="1" x14ac:dyDescent="0.25">
      <c r="A1068" s="10" t="s">
        <v>40</v>
      </c>
      <c r="B1068" s="11" t="s">
        <v>42</v>
      </c>
      <c r="C1068" s="11">
        <v>84.48</v>
      </c>
      <c r="D1068" s="11">
        <v>1997</v>
      </c>
    </row>
    <row r="1069" spans="1:4" ht="19.95" customHeight="1" x14ac:dyDescent="0.25">
      <c r="A1069" s="10" t="s">
        <v>10</v>
      </c>
      <c r="B1069" s="11" t="s">
        <v>42</v>
      </c>
      <c r="C1069" s="11">
        <v>91.43</v>
      </c>
      <c r="D1069" s="11">
        <v>1998</v>
      </c>
    </row>
    <row r="1070" spans="1:4" ht="19.95" customHeight="1" x14ac:dyDescent="0.25">
      <c r="A1070" s="10" t="s">
        <v>13</v>
      </c>
      <c r="B1070" s="11" t="s">
        <v>42</v>
      </c>
      <c r="C1070" s="11">
        <v>72.599999999999994</v>
      </c>
      <c r="D1070" s="11">
        <v>1998</v>
      </c>
    </row>
    <row r="1071" spans="1:4" ht="19.95" customHeight="1" x14ac:dyDescent="0.25">
      <c r="A1071" s="10" t="s">
        <v>15</v>
      </c>
      <c r="B1071" s="11" t="s">
        <v>42</v>
      </c>
      <c r="C1071" s="11">
        <v>91.72</v>
      </c>
      <c r="D1071" s="11">
        <v>1998</v>
      </c>
    </row>
    <row r="1072" spans="1:4" ht="19.95" customHeight="1" x14ac:dyDescent="0.25">
      <c r="A1072" s="10" t="s">
        <v>16</v>
      </c>
      <c r="B1072" s="11" t="s">
        <v>42</v>
      </c>
      <c r="C1072" s="11">
        <v>94.6</v>
      </c>
      <c r="D1072" s="11">
        <v>1998</v>
      </c>
    </row>
    <row r="1073" spans="1:4" ht="19.95" customHeight="1" x14ac:dyDescent="0.25">
      <c r="A1073" s="10" t="s">
        <v>17</v>
      </c>
      <c r="B1073" s="11" t="s">
        <v>42</v>
      </c>
      <c r="C1073" s="11">
        <v>76.7</v>
      </c>
      <c r="D1073" s="11">
        <v>1998</v>
      </c>
    </row>
    <row r="1074" spans="1:4" ht="19.95" customHeight="1" x14ac:dyDescent="0.25">
      <c r="A1074" s="10" t="s">
        <v>2</v>
      </c>
      <c r="B1074" s="11" t="s">
        <v>42</v>
      </c>
      <c r="C1074" s="11">
        <v>62.92</v>
      </c>
      <c r="D1074" s="11">
        <v>1998</v>
      </c>
    </row>
    <row r="1075" spans="1:4" ht="19.95" customHeight="1" x14ac:dyDescent="0.25">
      <c r="A1075" s="10" t="s">
        <v>18</v>
      </c>
      <c r="B1075" s="11" t="s">
        <v>42</v>
      </c>
      <c r="C1075" s="11">
        <v>78.94</v>
      </c>
      <c r="D1075" s="11">
        <v>1998</v>
      </c>
    </row>
    <row r="1076" spans="1:4" ht="19.95" customHeight="1" x14ac:dyDescent="0.25">
      <c r="A1076" s="10" t="s">
        <v>19</v>
      </c>
      <c r="B1076" s="11" t="s">
        <v>42</v>
      </c>
      <c r="C1076" s="11">
        <v>89.47</v>
      </c>
      <c r="D1076" s="11">
        <v>1998</v>
      </c>
    </row>
    <row r="1077" spans="1:4" ht="19.95" customHeight="1" x14ac:dyDescent="0.25">
      <c r="A1077" s="10" t="s">
        <v>20</v>
      </c>
      <c r="B1077" s="11" t="s">
        <v>42</v>
      </c>
      <c r="C1077" s="11">
        <v>71.39</v>
      </c>
      <c r="D1077" s="11">
        <v>1998</v>
      </c>
    </row>
    <row r="1078" spans="1:4" ht="19.95" customHeight="1" x14ac:dyDescent="0.25">
      <c r="A1078" s="10" t="s">
        <v>21</v>
      </c>
      <c r="B1078" s="11" t="s">
        <v>42</v>
      </c>
      <c r="C1078" s="11"/>
      <c r="D1078" s="11">
        <v>1998</v>
      </c>
    </row>
    <row r="1079" spans="1:4" ht="19.95" customHeight="1" x14ac:dyDescent="0.25">
      <c r="A1079" s="10" t="s">
        <v>22</v>
      </c>
      <c r="B1079" s="11" t="s">
        <v>42</v>
      </c>
      <c r="C1079" s="11">
        <v>92.53</v>
      </c>
      <c r="D1079" s="11">
        <v>1998</v>
      </c>
    </row>
    <row r="1080" spans="1:4" ht="19.95" customHeight="1" x14ac:dyDescent="0.25">
      <c r="A1080" s="10" t="s">
        <v>23</v>
      </c>
      <c r="B1080" s="11" t="s">
        <v>42</v>
      </c>
      <c r="C1080" s="11">
        <v>89.23</v>
      </c>
      <c r="D1080" s="11">
        <v>1998</v>
      </c>
    </row>
    <row r="1081" spans="1:4" ht="19.95" customHeight="1" x14ac:dyDescent="0.25">
      <c r="A1081" s="10" t="s">
        <v>24</v>
      </c>
      <c r="B1081" s="11" t="s">
        <v>42</v>
      </c>
      <c r="C1081" s="11">
        <v>70.81</v>
      </c>
      <c r="D1081" s="11">
        <v>1998</v>
      </c>
    </row>
    <row r="1082" spans="1:4" ht="19.95" customHeight="1" x14ac:dyDescent="0.25">
      <c r="A1082" s="10" t="s">
        <v>25</v>
      </c>
      <c r="B1082" s="11" t="s">
        <v>42</v>
      </c>
      <c r="C1082" s="11">
        <v>76.69</v>
      </c>
      <c r="D1082" s="11">
        <v>1998</v>
      </c>
    </row>
    <row r="1083" spans="1:4" ht="19.95" customHeight="1" x14ac:dyDescent="0.25">
      <c r="A1083" s="10" t="s">
        <v>26</v>
      </c>
      <c r="B1083" s="11" t="s">
        <v>42</v>
      </c>
      <c r="C1083" s="11">
        <v>84.06</v>
      </c>
      <c r="D1083" s="11">
        <v>1998</v>
      </c>
    </row>
    <row r="1084" spans="1:4" ht="19.95" customHeight="1" x14ac:dyDescent="0.25">
      <c r="A1084" s="10" t="s">
        <v>27</v>
      </c>
      <c r="B1084" s="11" t="s">
        <v>42</v>
      </c>
      <c r="C1084" s="11">
        <v>92.78</v>
      </c>
      <c r="D1084" s="11">
        <v>1998</v>
      </c>
    </row>
    <row r="1085" spans="1:4" ht="19.95" customHeight="1" x14ac:dyDescent="0.25">
      <c r="A1085" s="10" t="s">
        <v>29</v>
      </c>
      <c r="B1085" s="11" t="s">
        <v>42</v>
      </c>
      <c r="C1085" s="11">
        <v>59.34</v>
      </c>
      <c r="D1085" s="11">
        <v>1998</v>
      </c>
    </row>
    <row r="1086" spans="1:4" ht="19.95" customHeight="1" x14ac:dyDescent="0.25">
      <c r="A1086" s="10" t="s">
        <v>30</v>
      </c>
      <c r="B1086" s="11" t="s">
        <v>42</v>
      </c>
      <c r="C1086" s="11">
        <v>79.709999999999994</v>
      </c>
      <c r="D1086" s="11">
        <v>1998</v>
      </c>
    </row>
    <row r="1087" spans="1:4" ht="19.95" customHeight="1" x14ac:dyDescent="0.25">
      <c r="A1087" s="10" t="s">
        <v>31</v>
      </c>
      <c r="B1087" s="11" t="s">
        <v>42</v>
      </c>
      <c r="C1087" s="11">
        <v>65.31</v>
      </c>
      <c r="D1087" s="11">
        <v>1998</v>
      </c>
    </row>
    <row r="1088" spans="1:4" ht="19.95" customHeight="1" x14ac:dyDescent="0.25">
      <c r="A1088" s="10" t="s">
        <v>32</v>
      </c>
      <c r="B1088" s="11" t="s">
        <v>42</v>
      </c>
      <c r="C1088" s="11">
        <v>76.63</v>
      </c>
      <c r="D1088" s="11">
        <v>1998</v>
      </c>
    </row>
    <row r="1089" spans="1:4" ht="19.95" customHeight="1" x14ac:dyDescent="0.25">
      <c r="A1089" s="10" t="s">
        <v>33</v>
      </c>
      <c r="B1089" s="11" t="s">
        <v>42</v>
      </c>
      <c r="C1089" s="11">
        <v>71.44</v>
      </c>
      <c r="D1089" s="11">
        <v>1998</v>
      </c>
    </row>
    <row r="1090" spans="1:4" ht="19.95" customHeight="1" x14ac:dyDescent="0.25">
      <c r="A1090" s="10" t="s">
        <v>34</v>
      </c>
      <c r="B1090" s="11" t="s">
        <v>42</v>
      </c>
      <c r="C1090" s="11">
        <v>94.33</v>
      </c>
      <c r="D1090" s="11">
        <v>1998</v>
      </c>
    </row>
    <row r="1091" spans="1:4" ht="19.95" customHeight="1" x14ac:dyDescent="0.25">
      <c r="A1091" s="10" t="s">
        <v>35</v>
      </c>
      <c r="B1091" s="11" t="s">
        <v>42</v>
      </c>
      <c r="C1091" s="11">
        <v>89.4</v>
      </c>
      <c r="D1091" s="11">
        <v>1998</v>
      </c>
    </row>
    <row r="1092" spans="1:4" ht="19.95" customHeight="1" x14ac:dyDescent="0.25">
      <c r="A1092" s="10" t="s">
        <v>36</v>
      </c>
      <c r="B1092" s="11" t="s">
        <v>42</v>
      </c>
      <c r="C1092" s="11">
        <v>61.54</v>
      </c>
      <c r="D1092" s="11">
        <v>1998</v>
      </c>
    </row>
    <row r="1093" spans="1:4" ht="19.95" customHeight="1" x14ac:dyDescent="0.25">
      <c r="A1093" s="10" t="s">
        <v>37</v>
      </c>
      <c r="B1093" s="11" t="s">
        <v>42</v>
      </c>
      <c r="C1093" s="11">
        <v>72.64</v>
      </c>
      <c r="D1093" s="11">
        <v>1998</v>
      </c>
    </row>
    <row r="1094" spans="1:4" ht="19.95" customHeight="1" x14ac:dyDescent="0.25">
      <c r="A1094" s="10" t="s">
        <v>38</v>
      </c>
      <c r="B1094" s="11" t="s">
        <v>42</v>
      </c>
      <c r="C1094" s="11">
        <v>78.41</v>
      </c>
      <c r="D1094" s="11">
        <v>1998</v>
      </c>
    </row>
    <row r="1095" spans="1:4" ht="19.95" customHeight="1" x14ac:dyDescent="0.25">
      <c r="A1095" s="10" t="s">
        <v>39</v>
      </c>
      <c r="B1095" s="11" t="s">
        <v>42</v>
      </c>
      <c r="C1095" s="11">
        <v>75.09</v>
      </c>
      <c r="D1095" s="11">
        <v>1998</v>
      </c>
    </row>
    <row r="1096" spans="1:4" ht="19.95" customHeight="1" x14ac:dyDescent="0.25">
      <c r="A1096" s="10" t="s">
        <v>40</v>
      </c>
      <c r="B1096" s="11" t="s">
        <v>42</v>
      </c>
      <c r="C1096" s="11">
        <v>82.36</v>
      </c>
      <c r="D1096" s="11">
        <v>1998</v>
      </c>
    </row>
    <row r="1097" spans="1:4" ht="19.95" customHeight="1" x14ac:dyDescent="0.25">
      <c r="A1097" s="10" t="s">
        <v>10</v>
      </c>
      <c r="B1097" s="11" t="s">
        <v>42</v>
      </c>
      <c r="C1097" s="11">
        <v>94.51</v>
      </c>
      <c r="D1097" s="11">
        <v>1999</v>
      </c>
    </row>
    <row r="1098" spans="1:4" ht="19.95" customHeight="1" x14ac:dyDescent="0.25">
      <c r="A1098" s="10" t="s">
        <v>13</v>
      </c>
      <c r="B1098" s="11" t="s">
        <v>42</v>
      </c>
      <c r="C1098" s="11">
        <v>76.27</v>
      </c>
      <c r="D1098" s="11">
        <v>1999</v>
      </c>
    </row>
    <row r="1099" spans="1:4" ht="19.95" customHeight="1" x14ac:dyDescent="0.25">
      <c r="A1099" s="10" t="s">
        <v>15</v>
      </c>
      <c r="B1099" s="11" t="s">
        <v>42</v>
      </c>
      <c r="C1099" s="11">
        <v>86.81</v>
      </c>
      <c r="D1099" s="11">
        <v>1999</v>
      </c>
    </row>
    <row r="1100" spans="1:4" ht="19.95" customHeight="1" x14ac:dyDescent="0.25">
      <c r="A1100" s="10" t="s">
        <v>16</v>
      </c>
      <c r="B1100" s="11" t="s">
        <v>42</v>
      </c>
      <c r="C1100" s="11">
        <v>96.18</v>
      </c>
      <c r="D1100" s="11">
        <v>1999</v>
      </c>
    </row>
    <row r="1101" spans="1:4" ht="19.95" customHeight="1" x14ac:dyDescent="0.25">
      <c r="A1101" s="10" t="s">
        <v>17</v>
      </c>
      <c r="B1101" s="11" t="s">
        <v>42</v>
      </c>
      <c r="C1101" s="11">
        <v>77.510000000000005</v>
      </c>
      <c r="D1101" s="11">
        <v>1999</v>
      </c>
    </row>
    <row r="1102" spans="1:4" ht="19.95" customHeight="1" x14ac:dyDescent="0.25">
      <c r="A1102" s="10" t="s">
        <v>2</v>
      </c>
      <c r="B1102" s="11" t="s">
        <v>42</v>
      </c>
      <c r="C1102" s="11">
        <v>67.760000000000005</v>
      </c>
      <c r="D1102" s="11">
        <v>1999</v>
      </c>
    </row>
    <row r="1103" spans="1:4" ht="19.95" customHeight="1" x14ac:dyDescent="0.25">
      <c r="A1103" s="10" t="s">
        <v>18</v>
      </c>
      <c r="B1103" s="11" t="s">
        <v>42</v>
      </c>
      <c r="C1103" s="11">
        <v>81.180000000000007</v>
      </c>
      <c r="D1103" s="11">
        <v>1999</v>
      </c>
    </row>
    <row r="1104" spans="1:4" ht="19.95" customHeight="1" x14ac:dyDescent="0.25">
      <c r="A1104" s="10" t="s">
        <v>19</v>
      </c>
      <c r="B1104" s="11" t="s">
        <v>42</v>
      </c>
      <c r="C1104" s="11">
        <v>92.56</v>
      </c>
      <c r="D1104" s="11">
        <v>1999</v>
      </c>
    </row>
    <row r="1105" spans="1:4" ht="19.95" customHeight="1" x14ac:dyDescent="0.25">
      <c r="A1105" s="10" t="s">
        <v>20</v>
      </c>
      <c r="B1105" s="11" t="s">
        <v>42</v>
      </c>
      <c r="C1105" s="11">
        <v>77.92</v>
      </c>
      <c r="D1105" s="11">
        <v>1999</v>
      </c>
    </row>
    <row r="1106" spans="1:4" ht="19.95" customHeight="1" x14ac:dyDescent="0.25">
      <c r="A1106" s="10" t="s">
        <v>21</v>
      </c>
      <c r="B1106" s="11" t="s">
        <v>42</v>
      </c>
      <c r="C1106" s="11"/>
      <c r="D1106" s="11">
        <v>1999</v>
      </c>
    </row>
    <row r="1107" spans="1:4" ht="19.95" customHeight="1" x14ac:dyDescent="0.25">
      <c r="A1107" s="10" t="s">
        <v>22</v>
      </c>
      <c r="B1107" s="11" t="s">
        <v>42</v>
      </c>
      <c r="C1107" s="11">
        <v>94.13</v>
      </c>
      <c r="D1107" s="11">
        <v>1999</v>
      </c>
    </row>
    <row r="1108" spans="1:4" ht="19.95" customHeight="1" x14ac:dyDescent="0.25">
      <c r="A1108" s="10" t="s">
        <v>23</v>
      </c>
      <c r="B1108" s="11" t="s">
        <v>42</v>
      </c>
      <c r="C1108" s="11">
        <v>90.88</v>
      </c>
      <c r="D1108" s="11">
        <v>1999</v>
      </c>
    </row>
    <row r="1109" spans="1:4" ht="19.95" customHeight="1" x14ac:dyDescent="0.25">
      <c r="A1109" s="10" t="s">
        <v>24</v>
      </c>
      <c r="B1109" s="11" t="s">
        <v>42</v>
      </c>
      <c r="C1109" s="11">
        <v>83.49</v>
      </c>
      <c r="D1109" s="11">
        <v>1999</v>
      </c>
    </row>
    <row r="1110" spans="1:4" ht="19.95" customHeight="1" x14ac:dyDescent="0.25">
      <c r="A1110" s="10" t="s">
        <v>25</v>
      </c>
      <c r="B1110" s="11" t="s">
        <v>42</v>
      </c>
      <c r="C1110" s="11">
        <v>81.86</v>
      </c>
      <c r="D1110" s="11">
        <v>1999</v>
      </c>
    </row>
    <row r="1111" spans="1:4" ht="19.95" customHeight="1" x14ac:dyDescent="0.25">
      <c r="A1111" s="10" t="s">
        <v>26</v>
      </c>
      <c r="B1111" s="11" t="s">
        <v>42</v>
      </c>
      <c r="C1111" s="11">
        <v>89.22</v>
      </c>
      <c r="D1111" s="11">
        <v>1999</v>
      </c>
    </row>
    <row r="1112" spans="1:4" ht="19.95" customHeight="1" x14ac:dyDescent="0.25">
      <c r="A1112" s="10" t="s">
        <v>27</v>
      </c>
      <c r="B1112" s="11" t="s">
        <v>42</v>
      </c>
      <c r="C1112" s="11">
        <v>94.16</v>
      </c>
      <c r="D1112" s="11">
        <v>1999</v>
      </c>
    </row>
    <row r="1113" spans="1:4" ht="19.95" customHeight="1" x14ac:dyDescent="0.25">
      <c r="A1113" s="10" t="s">
        <v>29</v>
      </c>
      <c r="B1113" s="11" t="s">
        <v>42</v>
      </c>
      <c r="C1113" s="11">
        <v>68</v>
      </c>
      <c r="D1113" s="11">
        <v>1999</v>
      </c>
    </row>
    <row r="1114" spans="1:4" ht="19.95" customHeight="1" x14ac:dyDescent="0.25">
      <c r="A1114" s="10" t="s">
        <v>30</v>
      </c>
      <c r="B1114" s="11" t="s">
        <v>42</v>
      </c>
      <c r="C1114" s="11">
        <v>82.9</v>
      </c>
      <c r="D1114" s="11">
        <v>1999</v>
      </c>
    </row>
    <row r="1115" spans="1:4" ht="19.95" customHeight="1" x14ac:dyDescent="0.25">
      <c r="A1115" s="10" t="s">
        <v>31</v>
      </c>
      <c r="B1115" s="11" t="s">
        <v>42</v>
      </c>
      <c r="C1115" s="11">
        <v>71.39</v>
      </c>
      <c r="D1115" s="11">
        <v>1999</v>
      </c>
    </row>
    <row r="1116" spans="1:4" ht="19.95" customHeight="1" x14ac:dyDescent="0.25">
      <c r="A1116" s="10" t="s">
        <v>32</v>
      </c>
      <c r="B1116" s="11" t="s">
        <v>42</v>
      </c>
      <c r="C1116" s="11">
        <v>74.930000000000007</v>
      </c>
      <c r="D1116" s="11">
        <v>1999</v>
      </c>
    </row>
    <row r="1117" spans="1:4" ht="19.95" customHeight="1" x14ac:dyDescent="0.25">
      <c r="A1117" s="10" t="s">
        <v>33</v>
      </c>
      <c r="B1117" s="11" t="s">
        <v>42</v>
      </c>
      <c r="C1117" s="11">
        <v>77.8</v>
      </c>
      <c r="D1117" s="11">
        <v>1999</v>
      </c>
    </row>
    <row r="1118" spans="1:4" ht="19.95" customHeight="1" x14ac:dyDescent="0.25">
      <c r="A1118" s="10" t="s">
        <v>34</v>
      </c>
      <c r="B1118" s="11" t="s">
        <v>42</v>
      </c>
      <c r="C1118" s="11">
        <v>96.42</v>
      </c>
      <c r="D1118" s="11">
        <v>1999</v>
      </c>
    </row>
    <row r="1119" spans="1:4" ht="19.95" customHeight="1" x14ac:dyDescent="0.25">
      <c r="A1119" s="10" t="s">
        <v>35</v>
      </c>
      <c r="B1119" s="11" t="s">
        <v>42</v>
      </c>
      <c r="C1119" s="11">
        <v>93.21</v>
      </c>
      <c r="D1119" s="11">
        <v>1999</v>
      </c>
    </row>
    <row r="1120" spans="1:4" ht="19.95" customHeight="1" x14ac:dyDescent="0.25">
      <c r="A1120" s="10" t="s">
        <v>36</v>
      </c>
      <c r="B1120" s="11" t="s">
        <v>42</v>
      </c>
      <c r="C1120" s="11">
        <v>64.62</v>
      </c>
      <c r="D1120" s="11">
        <v>1999</v>
      </c>
    </row>
    <row r="1121" spans="1:4" ht="19.95" customHeight="1" x14ac:dyDescent="0.25">
      <c r="A1121" s="10" t="s">
        <v>37</v>
      </c>
      <c r="B1121" s="11" t="s">
        <v>42</v>
      </c>
      <c r="C1121" s="11">
        <v>75.25</v>
      </c>
      <c r="D1121" s="11">
        <v>1999</v>
      </c>
    </row>
    <row r="1122" spans="1:4" ht="19.95" customHeight="1" x14ac:dyDescent="0.25">
      <c r="A1122" s="10" t="s">
        <v>38</v>
      </c>
      <c r="B1122" s="11" t="s">
        <v>42</v>
      </c>
      <c r="C1122" s="11">
        <v>82.87</v>
      </c>
      <c r="D1122" s="11">
        <v>1999</v>
      </c>
    </row>
    <row r="1123" spans="1:4" ht="19.95" customHeight="1" x14ac:dyDescent="0.25">
      <c r="A1123" s="10" t="s">
        <v>39</v>
      </c>
      <c r="B1123" s="11" t="s">
        <v>42</v>
      </c>
      <c r="C1123" s="11">
        <v>84.3</v>
      </c>
      <c r="D1123" s="11">
        <v>1999</v>
      </c>
    </row>
    <row r="1124" spans="1:4" ht="19.95" customHeight="1" x14ac:dyDescent="0.25">
      <c r="A1124" s="10" t="s">
        <v>40</v>
      </c>
      <c r="B1124" s="11" t="s">
        <v>42</v>
      </c>
      <c r="C1124" s="11">
        <v>90.18</v>
      </c>
      <c r="D1124" s="11">
        <v>1999</v>
      </c>
    </row>
    <row r="1125" spans="1:4" ht="19.95" customHeight="1" x14ac:dyDescent="0.25">
      <c r="A1125" s="10" t="s">
        <v>10</v>
      </c>
      <c r="B1125" s="11" t="s">
        <v>42</v>
      </c>
      <c r="C1125" s="11">
        <v>90.79</v>
      </c>
      <c r="D1125" s="11">
        <v>2000</v>
      </c>
    </row>
    <row r="1126" spans="1:4" ht="19.95" customHeight="1" x14ac:dyDescent="0.25">
      <c r="A1126" s="10" t="s">
        <v>13</v>
      </c>
      <c r="B1126" s="11" t="s">
        <v>42</v>
      </c>
      <c r="C1126" s="11">
        <v>77.78</v>
      </c>
      <c r="D1126" s="11">
        <v>2000</v>
      </c>
    </row>
    <row r="1127" spans="1:4" ht="19.95" customHeight="1" x14ac:dyDescent="0.25">
      <c r="A1127" s="10" t="s">
        <v>15</v>
      </c>
      <c r="B1127" s="11" t="s">
        <v>42</v>
      </c>
      <c r="C1127" s="11">
        <v>84.02</v>
      </c>
      <c r="D1127" s="11">
        <v>2000</v>
      </c>
    </row>
    <row r="1128" spans="1:4" ht="19.95" customHeight="1" x14ac:dyDescent="0.25">
      <c r="A1128" s="10" t="s">
        <v>16</v>
      </c>
      <c r="B1128" s="11" t="s">
        <v>42</v>
      </c>
      <c r="C1128" s="11">
        <v>96.6</v>
      </c>
      <c r="D1128" s="11">
        <v>2000</v>
      </c>
    </row>
    <row r="1129" spans="1:4" ht="19.95" customHeight="1" x14ac:dyDescent="0.25">
      <c r="A1129" s="10" t="s">
        <v>17</v>
      </c>
      <c r="B1129" s="11" t="s">
        <v>42</v>
      </c>
      <c r="C1129" s="11">
        <v>84.47</v>
      </c>
      <c r="D1129" s="11">
        <v>2000</v>
      </c>
    </row>
    <row r="1130" spans="1:4" ht="19.95" customHeight="1" x14ac:dyDescent="0.25">
      <c r="A1130" s="10" t="s">
        <v>2</v>
      </c>
      <c r="B1130" s="11" t="s">
        <v>42</v>
      </c>
      <c r="C1130" s="11">
        <v>69.87</v>
      </c>
      <c r="D1130" s="11">
        <v>2000</v>
      </c>
    </row>
    <row r="1131" spans="1:4" ht="19.95" customHeight="1" x14ac:dyDescent="0.25">
      <c r="A1131" s="10" t="s">
        <v>18</v>
      </c>
      <c r="B1131" s="11" t="s">
        <v>42</v>
      </c>
      <c r="C1131" s="11">
        <v>85.24</v>
      </c>
      <c r="D1131" s="11">
        <v>2000</v>
      </c>
    </row>
    <row r="1132" spans="1:4" ht="19.95" customHeight="1" x14ac:dyDescent="0.25">
      <c r="A1132" s="10" t="s">
        <v>19</v>
      </c>
      <c r="B1132" s="11" t="s">
        <v>42</v>
      </c>
      <c r="C1132" s="11">
        <v>95.76</v>
      </c>
      <c r="D1132" s="11">
        <v>2000</v>
      </c>
    </row>
    <row r="1133" spans="1:4" ht="19.95" customHeight="1" x14ac:dyDescent="0.25">
      <c r="A1133" s="10" t="s">
        <v>20</v>
      </c>
      <c r="B1133" s="11" t="s">
        <v>42</v>
      </c>
      <c r="C1133" s="11">
        <v>72.010000000000005</v>
      </c>
      <c r="D1133" s="11">
        <v>2000</v>
      </c>
    </row>
    <row r="1134" spans="1:4" ht="19.95" customHeight="1" x14ac:dyDescent="0.25">
      <c r="A1134" s="10" t="s">
        <v>21</v>
      </c>
      <c r="B1134" s="11" t="s">
        <v>42</v>
      </c>
      <c r="C1134" s="11"/>
      <c r="D1134" s="11">
        <v>2000</v>
      </c>
    </row>
    <row r="1135" spans="1:4" ht="19.95" customHeight="1" x14ac:dyDescent="0.25">
      <c r="A1135" s="10" t="s">
        <v>22</v>
      </c>
      <c r="B1135" s="11" t="s">
        <v>42</v>
      </c>
      <c r="C1135" s="11">
        <v>99.42</v>
      </c>
      <c r="D1135" s="11">
        <v>2000</v>
      </c>
    </row>
    <row r="1136" spans="1:4" ht="19.95" customHeight="1" x14ac:dyDescent="0.25">
      <c r="A1136" s="10" t="s">
        <v>23</v>
      </c>
      <c r="B1136" s="11" t="s">
        <v>42</v>
      </c>
      <c r="C1136" s="11">
        <v>88.86</v>
      </c>
      <c r="D1136" s="11">
        <v>2000</v>
      </c>
    </row>
    <row r="1137" spans="1:4" ht="19.95" customHeight="1" x14ac:dyDescent="0.25">
      <c r="A1137" s="10" t="s">
        <v>24</v>
      </c>
      <c r="B1137" s="11" t="s">
        <v>42</v>
      </c>
      <c r="C1137" s="11">
        <v>99.74</v>
      </c>
      <c r="D1137" s="11">
        <v>2000</v>
      </c>
    </row>
    <row r="1138" spans="1:4" ht="19.95" customHeight="1" x14ac:dyDescent="0.25">
      <c r="A1138" s="10" t="s">
        <v>25</v>
      </c>
      <c r="B1138" s="11" t="s">
        <v>42</v>
      </c>
      <c r="C1138" s="11">
        <v>77.66</v>
      </c>
      <c r="D1138" s="11">
        <v>2000</v>
      </c>
    </row>
    <row r="1139" spans="1:4" ht="19.95" customHeight="1" x14ac:dyDescent="0.25">
      <c r="A1139" s="10" t="s">
        <v>26</v>
      </c>
      <c r="B1139" s="11" t="s">
        <v>42</v>
      </c>
      <c r="C1139" s="11">
        <v>85.68</v>
      </c>
      <c r="D1139" s="11">
        <v>2000</v>
      </c>
    </row>
    <row r="1140" spans="1:4" ht="19.95" customHeight="1" x14ac:dyDescent="0.25">
      <c r="A1140" s="10" t="s">
        <v>27</v>
      </c>
      <c r="B1140" s="11" t="s">
        <v>42</v>
      </c>
      <c r="C1140" s="11">
        <v>88.24</v>
      </c>
      <c r="D1140" s="11">
        <v>2000</v>
      </c>
    </row>
    <row r="1141" spans="1:4" ht="19.95" customHeight="1" x14ac:dyDescent="0.25">
      <c r="A1141" s="10" t="s">
        <v>29</v>
      </c>
      <c r="B1141" s="11" t="s">
        <v>42</v>
      </c>
      <c r="C1141" s="11">
        <v>75.010000000000005</v>
      </c>
      <c r="D1141" s="11">
        <v>2000</v>
      </c>
    </row>
    <row r="1142" spans="1:4" ht="19.95" customHeight="1" x14ac:dyDescent="0.25">
      <c r="A1142" s="10" t="s">
        <v>30</v>
      </c>
      <c r="B1142" s="11" t="s">
        <v>42</v>
      </c>
      <c r="C1142" s="11">
        <v>87.17</v>
      </c>
      <c r="D1142" s="11">
        <v>2000</v>
      </c>
    </row>
    <row r="1143" spans="1:4" ht="19.95" customHeight="1" x14ac:dyDescent="0.25">
      <c r="A1143" s="10" t="s">
        <v>31</v>
      </c>
      <c r="B1143" s="11" t="s">
        <v>42</v>
      </c>
      <c r="C1143" s="11">
        <v>82.23</v>
      </c>
      <c r="D1143" s="11">
        <v>2000</v>
      </c>
    </row>
    <row r="1144" spans="1:4" ht="19.95" customHeight="1" x14ac:dyDescent="0.25">
      <c r="A1144" s="10" t="s">
        <v>32</v>
      </c>
      <c r="B1144" s="11" t="s">
        <v>42</v>
      </c>
      <c r="C1144" s="11">
        <v>68.91</v>
      </c>
      <c r="D1144" s="11">
        <v>2000</v>
      </c>
    </row>
    <row r="1145" spans="1:4" ht="19.95" customHeight="1" x14ac:dyDescent="0.25">
      <c r="A1145" s="10" t="s">
        <v>33</v>
      </c>
      <c r="B1145" s="11" t="s">
        <v>42</v>
      </c>
      <c r="C1145" s="11">
        <v>83.16</v>
      </c>
      <c r="D1145" s="11">
        <v>2000</v>
      </c>
    </row>
    <row r="1146" spans="1:4" ht="19.95" customHeight="1" x14ac:dyDescent="0.25">
      <c r="A1146" s="10" t="s">
        <v>34</v>
      </c>
      <c r="B1146" s="11" t="s">
        <v>42</v>
      </c>
      <c r="C1146" s="11">
        <v>98.53</v>
      </c>
      <c r="D1146" s="11">
        <v>2000</v>
      </c>
    </row>
    <row r="1147" spans="1:4" ht="19.95" customHeight="1" x14ac:dyDescent="0.25">
      <c r="A1147" s="10" t="s">
        <v>35</v>
      </c>
      <c r="B1147" s="11" t="s">
        <v>42</v>
      </c>
      <c r="C1147" s="11">
        <v>95.29</v>
      </c>
      <c r="D1147" s="11">
        <v>2000</v>
      </c>
    </row>
    <row r="1148" spans="1:4" ht="19.95" customHeight="1" x14ac:dyDescent="0.25">
      <c r="A1148" s="10" t="s">
        <v>36</v>
      </c>
      <c r="B1148" s="11" t="s">
        <v>42</v>
      </c>
      <c r="C1148" s="11">
        <v>76.11</v>
      </c>
      <c r="D1148" s="11">
        <v>2000</v>
      </c>
    </row>
    <row r="1149" spans="1:4" ht="19.95" customHeight="1" x14ac:dyDescent="0.25">
      <c r="A1149" s="10" t="s">
        <v>37</v>
      </c>
      <c r="B1149" s="11" t="s">
        <v>42</v>
      </c>
      <c r="C1149" s="11">
        <v>73.88</v>
      </c>
      <c r="D1149" s="11">
        <v>2000</v>
      </c>
    </row>
    <row r="1150" spans="1:4" ht="19.95" customHeight="1" x14ac:dyDescent="0.25">
      <c r="A1150" s="10" t="s">
        <v>38</v>
      </c>
      <c r="B1150" s="11" t="s">
        <v>42</v>
      </c>
      <c r="C1150" s="11">
        <v>85.72</v>
      </c>
      <c r="D1150" s="11">
        <v>2000</v>
      </c>
    </row>
    <row r="1151" spans="1:4" ht="19.95" customHeight="1" x14ac:dyDescent="0.25">
      <c r="A1151" s="10" t="s">
        <v>39</v>
      </c>
      <c r="B1151" s="11" t="s">
        <v>42</v>
      </c>
      <c r="C1151" s="11">
        <v>85.61</v>
      </c>
      <c r="D1151" s="11">
        <v>2000</v>
      </c>
    </row>
    <row r="1152" spans="1:4" ht="19.95" customHeight="1" x14ac:dyDescent="0.25">
      <c r="A1152" s="10" t="s">
        <v>40</v>
      </c>
      <c r="B1152" s="11" t="s">
        <v>42</v>
      </c>
      <c r="C1152" s="11">
        <v>94.53</v>
      </c>
      <c r="D1152" s="11">
        <v>2000</v>
      </c>
    </row>
    <row r="1153" spans="1:4" ht="19.95" customHeight="1" x14ac:dyDescent="0.25">
      <c r="A1153" s="10" t="s">
        <v>10</v>
      </c>
      <c r="B1153" s="11" t="s">
        <v>42</v>
      </c>
      <c r="C1153" s="11">
        <v>97.97</v>
      </c>
      <c r="D1153" s="11">
        <v>2001</v>
      </c>
    </row>
    <row r="1154" spans="1:4" ht="19.95" customHeight="1" x14ac:dyDescent="0.25">
      <c r="A1154" s="10" t="s">
        <v>13</v>
      </c>
      <c r="B1154" s="11" t="s">
        <v>42</v>
      </c>
      <c r="C1154" s="11">
        <v>79.739999999999995</v>
      </c>
      <c r="D1154" s="11">
        <v>2001</v>
      </c>
    </row>
    <row r="1155" spans="1:4" ht="19.95" customHeight="1" x14ac:dyDescent="0.25">
      <c r="A1155" s="10" t="s">
        <v>15</v>
      </c>
      <c r="B1155" s="11" t="s">
        <v>42</v>
      </c>
      <c r="C1155" s="11">
        <v>96.02</v>
      </c>
      <c r="D1155" s="11">
        <v>2001</v>
      </c>
    </row>
    <row r="1156" spans="1:4" ht="19.95" customHeight="1" x14ac:dyDescent="0.25">
      <c r="A1156" s="10" t="s">
        <v>16</v>
      </c>
      <c r="B1156" s="11" t="s">
        <v>42</v>
      </c>
      <c r="C1156" s="11">
        <v>99.06</v>
      </c>
      <c r="D1156" s="11">
        <v>2001</v>
      </c>
    </row>
    <row r="1157" spans="1:4" ht="19.95" customHeight="1" x14ac:dyDescent="0.25">
      <c r="A1157" s="10" t="s">
        <v>17</v>
      </c>
      <c r="B1157" s="11" t="s">
        <v>42</v>
      </c>
      <c r="C1157" s="11">
        <v>86.62</v>
      </c>
      <c r="D1157" s="11">
        <v>2001</v>
      </c>
    </row>
    <row r="1158" spans="1:4" ht="19.95" customHeight="1" x14ac:dyDescent="0.25">
      <c r="A1158" s="10" t="s">
        <v>2</v>
      </c>
      <c r="B1158" s="11" t="s">
        <v>42</v>
      </c>
      <c r="C1158" s="11">
        <v>75.25</v>
      </c>
      <c r="D1158" s="11">
        <v>2001</v>
      </c>
    </row>
    <row r="1159" spans="1:4" ht="19.95" customHeight="1" x14ac:dyDescent="0.25">
      <c r="A1159" s="10" t="s">
        <v>18</v>
      </c>
      <c r="B1159" s="11" t="s">
        <v>42</v>
      </c>
      <c r="C1159" s="11">
        <v>85.74</v>
      </c>
      <c r="D1159" s="11">
        <v>2001</v>
      </c>
    </row>
    <row r="1160" spans="1:4" ht="19.95" customHeight="1" x14ac:dyDescent="0.25">
      <c r="A1160" s="10" t="s">
        <v>19</v>
      </c>
      <c r="B1160" s="11" t="s">
        <v>42</v>
      </c>
      <c r="C1160" s="11">
        <v>92.46</v>
      </c>
      <c r="D1160" s="11">
        <v>2001</v>
      </c>
    </row>
    <row r="1161" spans="1:4" ht="19.95" customHeight="1" x14ac:dyDescent="0.25">
      <c r="A1161" s="10" t="s">
        <v>20</v>
      </c>
      <c r="B1161" s="11" t="s">
        <v>42</v>
      </c>
      <c r="C1161" s="11">
        <v>80.48</v>
      </c>
      <c r="D1161" s="11">
        <v>2001</v>
      </c>
    </row>
    <row r="1162" spans="1:4" ht="19.95" customHeight="1" x14ac:dyDescent="0.25">
      <c r="A1162" s="10" t="s">
        <v>21</v>
      </c>
      <c r="B1162" s="11" t="s">
        <v>42</v>
      </c>
      <c r="C1162" s="11"/>
      <c r="D1162" s="11">
        <v>2001</v>
      </c>
    </row>
    <row r="1163" spans="1:4" ht="19.95" customHeight="1" x14ac:dyDescent="0.25">
      <c r="A1163" s="10" t="s">
        <v>22</v>
      </c>
      <c r="B1163" s="11" t="s">
        <v>42</v>
      </c>
      <c r="C1163" s="11">
        <v>96.3</v>
      </c>
      <c r="D1163" s="11">
        <v>2001</v>
      </c>
    </row>
    <row r="1164" spans="1:4" ht="19.95" customHeight="1" x14ac:dyDescent="0.25">
      <c r="A1164" s="10" t="s">
        <v>23</v>
      </c>
      <c r="B1164" s="11" t="s">
        <v>42</v>
      </c>
      <c r="C1164" s="11">
        <v>87.84</v>
      </c>
      <c r="D1164" s="11">
        <v>2001</v>
      </c>
    </row>
    <row r="1165" spans="1:4" ht="19.95" customHeight="1" x14ac:dyDescent="0.25">
      <c r="A1165" s="10" t="s">
        <v>24</v>
      </c>
      <c r="B1165" s="11" t="s">
        <v>42</v>
      </c>
      <c r="C1165" s="11">
        <v>110.63</v>
      </c>
      <c r="D1165" s="11">
        <v>2001</v>
      </c>
    </row>
    <row r="1166" spans="1:4" ht="19.95" customHeight="1" x14ac:dyDescent="0.25">
      <c r="A1166" s="10" t="s">
        <v>25</v>
      </c>
      <c r="B1166" s="11" t="s">
        <v>42</v>
      </c>
      <c r="C1166" s="11">
        <v>83.35</v>
      </c>
      <c r="D1166" s="11">
        <v>2001</v>
      </c>
    </row>
    <row r="1167" spans="1:4" ht="19.95" customHeight="1" x14ac:dyDescent="0.25">
      <c r="A1167" s="10" t="s">
        <v>26</v>
      </c>
      <c r="B1167" s="11" t="s">
        <v>42</v>
      </c>
      <c r="C1167" s="11">
        <v>84.58</v>
      </c>
      <c r="D1167" s="11">
        <v>2001</v>
      </c>
    </row>
    <row r="1168" spans="1:4" ht="19.95" customHeight="1" x14ac:dyDescent="0.25">
      <c r="A1168" s="10" t="s">
        <v>27</v>
      </c>
      <c r="B1168" s="11" t="s">
        <v>42</v>
      </c>
      <c r="C1168" s="11">
        <v>92.16</v>
      </c>
      <c r="D1168" s="11">
        <v>2001</v>
      </c>
    </row>
    <row r="1169" spans="1:4" ht="19.95" customHeight="1" x14ac:dyDescent="0.25">
      <c r="A1169" s="10" t="s">
        <v>29</v>
      </c>
      <c r="B1169" s="11" t="s">
        <v>42</v>
      </c>
      <c r="C1169" s="11">
        <v>79.849999999999994</v>
      </c>
      <c r="D1169" s="11">
        <v>2001</v>
      </c>
    </row>
    <row r="1170" spans="1:4" ht="19.95" customHeight="1" x14ac:dyDescent="0.25">
      <c r="A1170" s="10" t="s">
        <v>30</v>
      </c>
      <c r="B1170" s="11" t="s">
        <v>42</v>
      </c>
      <c r="C1170" s="11">
        <v>89.33</v>
      </c>
      <c r="D1170" s="11">
        <v>2001</v>
      </c>
    </row>
    <row r="1171" spans="1:4" ht="19.95" customHeight="1" x14ac:dyDescent="0.25">
      <c r="A1171" s="10" t="s">
        <v>31</v>
      </c>
      <c r="B1171" s="11" t="s">
        <v>42</v>
      </c>
      <c r="C1171" s="11">
        <v>82.38</v>
      </c>
      <c r="D1171" s="11">
        <v>2001</v>
      </c>
    </row>
    <row r="1172" spans="1:4" ht="19.95" customHeight="1" x14ac:dyDescent="0.25">
      <c r="A1172" s="10" t="s">
        <v>32</v>
      </c>
      <c r="B1172" s="11" t="s">
        <v>42</v>
      </c>
      <c r="C1172" s="11">
        <v>83.43</v>
      </c>
      <c r="D1172" s="11">
        <v>2001</v>
      </c>
    </row>
    <row r="1173" spans="1:4" ht="19.95" customHeight="1" x14ac:dyDescent="0.25">
      <c r="A1173" s="10" t="s">
        <v>33</v>
      </c>
      <c r="B1173" s="11" t="s">
        <v>42</v>
      </c>
      <c r="C1173" s="11">
        <v>79.16</v>
      </c>
      <c r="D1173" s="11">
        <v>2001</v>
      </c>
    </row>
    <row r="1174" spans="1:4" ht="19.95" customHeight="1" x14ac:dyDescent="0.25">
      <c r="A1174" s="10" t="s">
        <v>34</v>
      </c>
      <c r="B1174" s="11" t="s">
        <v>42</v>
      </c>
      <c r="C1174" s="11">
        <v>103.13</v>
      </c>
      <c r="D1174" s="11">
        <v>2001</v>
      </c>
    </row>
    <row r="1175" spans="1:4" ht="19.95" customHeight="1" x14ac:dyDescent="0.25">
      <c r="A1175" s="10" t="s">
        <v>35</v>
      </c>
      <c r="B1175" s="11" t="s">
        <v>42</v>
      </c>
      <c r="C1175" s="11">
        <v>92.35</v>
      </c>
      <c r="D1175" s="11">
        <v>2001</v>
      </c>
    </row>
    <row r="1176" spans="1:4" ht="19.95" customHeight="1" x14ac:dyDescent="0.25">
      <c r="A1176" s="10" t="s">
        <v>36</v>
      </c>
      <c r="B1176" s="11" t="s">
        <v>42</v>
      </c>
      <c r="C1176" s="11">
        <v>78.13</v>
      </c>
      <c r="D1176" s="11">
        <v>2001</v>
      </c>
    </row>
    <row r="1177" spans="1:4" ht="19.95" customHeight="1" x14ac:dyDescent="0.25">
      <c r="A1177" s="10" t="s">
        <v>37</v>
      </c>
      <c r="B1177" s="11" t="s">
        <v>42</v>
      </c>
      <c r="C1177" s="11">
        <v>76.89</v>
      </c>
      <c r="D1177" s="11">
        <v>2001</v>
      </c>
    </row>
    <row r="1178" spans="1:4" ht="19.95" customHeight="1" x14ac:dyDescent="0.25">
      <c r="A1178" s="10" t="s">
        <v>38</v>
      </c>
      <c r="B1178" s="11" t="s">
        <v>42</v>
      </c>
      <c r="C1178" s="11">
        <v>90.37</v>
      </c>
      <c r="D1178" s="11">
        <v>2001</v>
      </c>
    </row>
    <row r="1179" spans="1:4" ht="19.95" customHeight="1" x14ac:dyDescent="0.25">
      <c r="A1179" s="10" t="s">
        <v>39</v>
      </c>
      <c r="B1179" s="11" t="s">
        <v>42</v>
      </c>
      <c r="C1179" s="11">
        <v>85.66</v>
      </c>
      <c r="D1179" s="11">
        <v>2001</v>
      </c>
    </row>
    <row r="1180" spans="1:4" ht="19.95" customHeight="1" x14ac:dyDescent="0.25">
      <c r="A1180" s="10" t="s">
        <v>40</v>
      </c>
      <c r="B1180" s="11" t="s">
        <v>42</v>
      </c>
      <c r="C1180" s="11">
        <v>99.91</v>
      </c>
      <c r="D1180" s="11">
        <v>2001</v>
      </c>
    </row>
    <row r="1181" spans="1:4" ht="19.95" customHeight="1" x14ac:dyDescent="0.25">
      <c r="A1181" s="10" t="s">
        <v>10</v>
      </c>
      <c r="B1181" s="11" t="s">
        <v>42</v>
      </c>
      <c r="C1181" s="11">
        <v>100.55</v>
      </c>
      <c r="D1181" s="11">
        <v>2002</v>
      </c>
    </row>
    <row r="1182" spans="1:4" ht="19.95" customHeight="1" x14ac:dyDescent="0.25">
      <c r="A1182" s="10" t="s">
        <v>13</v>
      </c>
      <c r="B1182" s="11" t="s">
        <v>42</v>
      </c>
      <c r="C1182" s="11">
        <v>81.94</v>
      </c>
      <c r="D1182" s="11">
        <v>2002</v>
      </c>
    </row>
    <row r="1183" spans="1:4" ht="19.95" customHeight="1" x14ac:dyDescent="0.25">
      <c r="A1183" s="10" t="s">
        <v>15</v>
      </c>
      <c r="B1183" s="11" t="s">
        <v>42</v>
      </c>
      <c r="C1183" s="11">
        <v>90.55</v>
      </c>
      <c r="D1183" s="11">
        <v>2002</v>
      </c>
    </row>
    <row r="1184" spans="1:4" ht="19.95" customHeight="1" x14ac:dyDescent="0.25">
      <c r="A1184" s="10" t="s">
        <v>16</v>
      </c>
      <c r="B1184" s="11" t="s">
        <v>42</v>
      </c>
      <c r="C1184" s="11">
        <v>99.19</v>
      </c>
      <c r="D1184" s="11">
        <v>2002</v>
      </c>
    </row>
    <row r="1185" spans="1:4" ht="19.95" customHeight="1" x14ac:dyDescent="0.25">
      <c r="A1185" s="10" t="s">
        <v>17</v>
      </c>
      <c r="B1185" s="11" t="s">
        <v>42</v>
      </c>
      <c r="C1185" s="11">
        <v>98.87</v>
      </c>
      <c r="D1185" s="11">
        <v>2002</v>
      </c>
    </row>
    <row r="1186" spans="1:4" ht="19.95" customHeight="1" x14ac:dyDescent="0.25">
      <c r="A1186" s="10" t="s">
        <v>2</v>
      </c>
      <c r="B1186" s="11" t="s">
        <v>42</v>
      </c>
      <c r="C1186" s="11">
        <v>84.84</v>
      </c>
      <c r="D1186" s="11">
        <v>2002</v>
      </c>
    </row>
    <row r="1187" spans="1:4" ht="19.95" customHeight="1" x14ac:dyDescent="0.25">
      <c r="A1187" s="10" t="s">
        <v>18</v>
      </c>
      <c r="B1187" s="11" t="s">
        <v>42</v>
      </c>
      <c r="C1187" s="11">
        <v>89.55</v>
      </c>
      <c r="D1187" s="11">
        <v>2002</v>
      </c>
    </row>
    <row r="1188" spans="1:4" ht="19.95" customHeight="1" x14ac:dyDescent="0.25">
      <c r="A1188" s="10" t="s">
        <v>19</v>
      </c>
      <c r="B1188" s="11" t="s">
        <v>42</v>
      </c>
      <c r="C1188" s="11">
        <v>94.28</v>
      </c>
      <c r="D1188" s="11">
        <v>2002</v>
      </c>
    </row>
    <row r="1189" spans="1:4" ht="19.95" customHeight="1" x14ac:dyDescent="0.25">
      <c r="A1189" s="10" t="s">
        <v>20</v>
      </c>
      <c r="B1189" s="11" t="s">
        <v>42</v>
      </c>
      <c r="C1189" s="11">
        <v>84.49</v>
      </c>
      <c r="D1189" s="11">
        <v>2002</v>
      </c>
    </row>
    <row r="1190" spans="1:4" ht="19.95" customHeight="1" x14ac:dyDescent="0.25">
      <c r="A1190" s="10" t="s">
        <v>21</v>
      </c>
      <c r="B1190" s="11" t="s">
        <v>42</v>
      </c>
      <c r="C1190" s="11"/>
      <c r="D1190" s="11">
        <v>2002</v>
      </c>
    </row>
    <row r="1191" spans="1:4" ht="19.95" customHeight="1" x14ac:dyDescent="0.25">
      <c r="A1191" s="10" t="s">
        <v>22</v>
      </c>
      <c r="B1191" s="11" t="s">
        <v>42</v>
      </c>
      <c r="C1191" s="11">
        <v>93.3</v>
      </c>
      <c r="D1191" s="11">
        <v>2002</v>
      </c>
    </row>
    <row r="1192" spans="1:4" ht="19.95" customHeight="1" x14ac:dyDescent="0.25">
      <c r="A1192" s="10" t="s">
        <v>23</v>
      </c>
      <c r="B1192" s="11" t="s">
        <v>42</v>
      </c>
      <c r="C1192" s="11">
        <v>86.06</v>
      </c>
      <c r="D1192" s="11">
        <v>2002</v>
      </c>
    </row>
    <row r="1193" spans="1:4" ht="19.95" customHeight="1" x14ac:dyDescent="0.25">
      <c r="A1193" s="10" t="s">
        <v>24</v>
      </c>
      <c r="B1193" s="11" t="s">
        <v>42</v>
      </c>
      <c r="C1193" s="11">
        <v>82.69</v>
      </c>
      <c r="D1193" s="11">
        <v>2002</v>
      </c>
    </row>
    <row r="1194" spans="1:4" ht="19.95" customHeight="1" x14ac:dyDescent="0.25">
      <c r="A1194" s="10" t="s">
        <v>25</v>
      </c>
      <c r="B1194" s="11" t="s">
        <v>42</v>
      </c>
      <c r="C1194" s="11">
        <v>82.3</v>
      </c>
      <c r="D1194" s="11">
        <v>2002</v>
      </c>
    </row>
    <row r="1195" spans="1:4" ht="19.95" customHeight="1" x14ac:dyDescent="0.25">
      <c r="A1195" s="10" t="s">
        <v>26</v>
      </c>
      <c r="B1195" s="11" t="s">
        <v>42</v>
      </c>
      <c r="C1195" s="11">
        <v>98.1</v>
      </c>
      <c r="D1195" s="11">
        <v>2002</v>
      </c>
    </row>
    <row r="1196" spans="1:4" ht="19.95" customHeight="1" x14ac:dyDescent="0.25">
      <c r="A1196" s="10" t="s">
        <v>27</v>
      </c>
      <c r="B1196" s="11" t="s">
        <v>42</v>
      </c>
      <c r="C1196" s="11">
        <v>81.39</v>
      </c>
      <c r="D1196" s="11">
        <v>2002</v>
      </c>
    </row>
    <row r="1197" spans="1:4" ht="19.95" customHeight="1" x14ac:dyDescent="0.25">
      <c r="A1197" s="10" t="s">
        <v>29</v>
      </c>
      <c r="B1197" s="11" t="s">
        <v>42</v>
      </c>
      <c r="C1197" s="11">
        <v>82.5</v>
      </c>
      <c r="D1197" s="11">
        <v>2002</v>
      </c>
    </row>
    <row r="1198" spans="1:4" ht="19.95" customHeight="1" x14ac:dyDescent="0.25">
      <c r="A1198" s="10" t="s">
        <v>30</v>
      </c>
      <c r="B1198" s="11" t="s">
        <v>42</v>
      </c>
      <c r="C1198" s="11">
        <v>91.38</v>
      </c>
      <c r="D1198" s="11">
        <v>2002</v>
      </c>
    </row>
    <row r="1199" spans="1:4" ht="19.95" customHeight="1" x14ac:dyDescent="0.25">
      <c r="A1199" s="10" t="s">
        <v>31</v>
      </c>
      <c r="B1199" s="11" t="s">
        <v>42</v>
      </c>
      <c r="C1199" s="11">
        <v>85.71</v>
      </c>
      <c r="D1199" s="11">
        <v>2002</v>
      </c>
    </row>
    <row r="1200" spans="1:4" ht="19.95" customHeight="1" x14ac:dyDescent="0.25">
      <c r="A1200" s="10" t="s">
        <v>32</v>
      </c>
      <c r="B1200" s="11" t="s">
        <v>42</v>
      </c>
      <c r="C1200" s="11">
        <v>92.02</v>
      </c>
      <c r="D1200" s="11">
        <v>2002</v>
      </c>
    </row>
    <row r="1201" spans="1:4" ht="19.95" customHeight="1" x14ac:dyDescent="0.25">
      <c r="A1201" s="10" t="s">
        <v>33</v>
      </c>
      <c r="B1201" s="11" t="s">
        <v>42</v>
      </c>
      <c r="C1201" s="11">
        <v>100.18</v>
      </c>
      <c r="D1201" s="11">
        <v>2002</v>
      </c>
    </row>
    <row r="1202" spans="1:4" ht="19.95" customHeight="1" x14ac:dyDescent="0.25">
      <c r="A1202" s="10" t="s">
        <v>34</v>
      </c>
      <c r="B1202" s="11" t="s">
        <v>42</v>
      </c>
      <c r="C1202" s="11">
        <v>103.56</v>
      </c>
      <c r="D1202" s="11">
        <v>2002</v>
      </c>
    </row>
    <row r="1203" spans="1:4" ht="19.95" customHeight="1" x14ac:dyDescent="0.25">
      <c r="A1203" s="10" t="s">
        <v>35</v>
      </c>
      <c r="B1203" s="11" t="s">
        <v>42</v>
      </c>
      <c r="C1203" s="11">
        <v>94.16</v>
      </c>
      <c r="D1203" s="11">
        <v>2002</v>
      </c>
    </row>
    <row r="1204" spans="1:4" ht="19.95" customHeight="1" x14ac:dyDescent="0.25">
      <c r="A1204" s="10" t="s">
        <v>36</v>
      </c>
      <c r="B1204" s="11" t="s">
        <v>42</v>
      </c>
      <c r="C1204" s="11">
        <v>85.56</v>
      </c>
      <c r="D1204" s="11">
        <v>2002</v>
      </c>
    </row>
    <row r="1205" spans="1:4" ht="19.95" customHeight="1" x14ac:dyDescent="0.25">
      <c r="A1205" s="10" t="s">
        <v>37</v>
      </c>
      <c r="B1205" s="11" t="s">
        <v>42</v>
      </c>
      <c r="C1205" s="11">
        <v>94.02</v>
      </c>
      <c r="D1205" s="11">
        <v>2002</v>
      </c>
    </row>
    <row r="1206" spans="1:4" ht="19.95" customHeight="1" x14ac:dyDescent="0.25">
      <c r="A1206" s="10" t="s">
        <v>38</v>
      </c>
      <c r="B1206" s="11" t="s">
        <v>42</v>
      </c>
      <c r="C1206" s="11">
        <v>94.79</v>
      </c>
      <c r="D1206" s="11">
        <v>2002</v>
      </c>
    </row>
    <row r="1207" spans="1:4" ht="19.95" customHeight="1" x14ac:dyDescent="0.25">
      <c r="A1207" s="10" t="s">
        <v>39</v>
      </c>
      <c r="B1207" s="11" t="s">
        <v>42</v>
      </c>
      <c r="C1207" s="11">
        <v>87.21</v>
      </c>
      <c r="D1207" s="11">
        <v>2002</v>
      </c>
    </row>
    <row r="1208" spans="1:4" ht="19.95" customHeight="1" x14ac:dyDescent="0.25">
      <c r="A1208" s="10" t="s">
        <v>40</v>
      </c>
      <c r="B1208" s="11" t="s">
        <v>42</v>
      </c>
      <c r="C1208" s="11">
        <v>77.81</v>
      </c>
      <c r="D1208" s="11">
        <v>2002</v>
      </c>
    </row>
    <row r="1209" spans="1:4" ht="19.95" customHeight="1" x14ac:dyDescent="0.25">
      <c r="A1209" s="10" t="s">
        <v>10</v>
      </c>
      <c r="B1209" s="11" t="s">
        <v>42</v>
      </c>
      <c r="C1209" s="11">
        <v>104.19</v>
      </c>
      <c r="D1209" s="11">
        <v>2003</v>
      </c>
    </row>
    <row r="1210" spans="1:4" ht="19.95" customHeight="1" x14ac:dyDescent="0.25">
      <c r="A1210" s="10" t="s">
        <v>13</v>
      </c>
      <c r="B1210" s="11" t="s">
        <v>42</v>
      </c>
      <c r="C1210" s="11">
        <v>85</v>
      </c>
      <c r="D1210" s="11">
        <v>2003</v>
      </c>
    </row>
    <row r="1211" spans="1:4" ht="19.95" customHeight="1" x14ac:dyDescent="0.25">
      <c r="A1211" s="10" t="s">
        <v>15</v>
      </c>
      <c r="B1211" s="11" t="s">
        <v>42</v>
      </c>
      <c r="C1211" s="11">
        <v>99.27</v>
      </c>
      <c r="D1211" s="11">
        <v>2003</v>
      </c>
    </row>
    <row r="1212" spans="1:4" ht="19.95" customHeight="1" x14ac:dyDescent="0.25">
      <c r="A1212" s="10" t="s">
        <v>16</v>
      </c>
      <c r="B1212" s="11" t="s">
        <v>42</v>
      </c>
      <c r="C1212" s="11">
        <v>99.15</v>
      </c>
      <c r="D1212" s="11">
        <v>2003</v>
      </c>
    </row>
    <row r="1213" spans="1:4" ht="19.95" customHeight="1" x14ac:dyDescent="0.25">
      <c r="A1213" s="10" t="s">
        <v>17</v>
      </c>
      <c r="B1213" s="11" t="s">
        <v>42</v>
      </c>
      <c r="C1213" s="11">
        <v>95.66</v>
      </c>
      <c r="D1213" s="11">
        <v>2003</v>
      </c>
    </row>
    <row r="1214" spans="1:4" ht="19.95" customHeight="1" x14ac:dyDescent="0.25">
      <c r="A1214" s="10" t="s">
        <v>2</v>
      </c>
      <c r="B1214" s="11" t="s">
        <v>42</v>
      </c>
      <c r="C1214" s="11">
        <v>87.48</v>
      </c>
      <c r="D1214" s="11">
        <v>2003</v>
      </c>
    </row>
    <row r="1215" spans="1:4" ht="19.95" customHeight="1" x14ac:dyDescent="0.25">
      <c r="A1215" s="10" t="s">
        <v>18</v>
      </c>
      <c r="B1215" s="11" t="s">
        <v>42</v>
      </c>
      <c r="C1215" s="11">
        <v>93.26</v>
      </c>
      <c r="D1215" s="11">
        <v>2003</v>
      </c>
    </row>
    <row r="1216" spans="1:4" ht="19.95" customHeight="1" x14ac:dyDescent="0.25">
      <c r="A1216" s="10" t="s">
        <v>19</v>
      </c>
      <c r="B1216" s="11" t="s">
        <v>42</v>
      </c>
      <c r="C1216" s="11">
        <v>95.33</v>
      </c>
      <c r="D1216" s="11">
        <v>2003</v>
      </c>
    </row>
    <row r="1217" spans="1:4" ht="19.95" customHeight="1" x14ac:dyDescent="0.25">
      <c r="A1217" s="10" t="s">
        <v>20</v>
      </c>
      <c r="B1217" s="11" t="s">
        <v>42</v>
      </c>
      <c r="C1217" s="11">
        <v>86.46</v>
      </c>
      <c r="D1217" s="11">
        <v>2003</v>
      </c>
    </row>
    <row r="1218" spans="1:4" ht="19.95" customHeight="1" x14ac:dyDescent="0.25">
      <c r="A1218" s="10" t="s">
        <v>21</v>
      </c>
      <c r="B1218" s="11" t="s">
        <v>42</v>
      </c>
      <c r="C1218" s="11"/>
      <c r="D1218" s="11">
        <v>2003</v>
      </c>
    </row>
    <row r="1219" spans="1:4" ht="19.95" customHeight="1" x14ac:dyDescent="0.25">
      <c r="A1219" s="10" t="s">
        <v>22</v>
      </c>
      <c r="B1219" s="11" t="s">
        <v>42</v>
      </c>
      <c r="C1219" s="11">
        <v>93.34</v>
      </c>
      <c r="D1219" s="11">
        <v>2003</v>
      </c>
    </row>
    <row r="1220" spans="1:4" ht="19.95" customHeight="1" x14ac:dyDescent="0.25">
      <c r="A1220" s="10" t="s">
        <v>23</v>
      </c>
      <c r="B1220" s="11" t="s">
        <v>42</v>
      </c>
      <c r="C1220" s="11">
        <v>88.48</v>
      </c>
      <c r="D1220" s="11">
        <v>2003</v>
      </c>
    </row>
    <row r="1221" spans="1:4" ht="19.95" customHeight="1" x14ac:dyDescent="0.25">
      <c r="A1221" s="10" t="s">
        <v>24</v>
      </c>
      <c r="B1221" s="11" t="s">
        <v>42</v>
      </c>
      <c r="C1221" s="11">
        <v>95.15</v>
      </c>
      <c r="D1221" s="11">
        <v>2003</v>
      </c>
    </row>
    <row r="1222" spans="1:4" ht="19.95" customHeight="1" x14ac:dyDescent="0.25">
      <c r="A1222" s="10" t="s">
        <v>25</v>
      </c>
      <c r="B1222" s="11" t="s">
        <v>42</v>
      </c>
      <c r="C1222" s="11">
        <v>95.02</v>
      </c>
      <c r="D1222" s="11">
        <v>2003</v>
      </c>
    </row>
    <row r="1223" spans="1:4" ht="19.95" customHeight="1" x14ac:dyDescent="0.25">
      <c r="A1223" s="10" t="s">
        <v>26</v>
      </c>
      <c r="B1223" s="11" t="s">
        <v>42</v>
      </c>
      <c r="C1223" s="11">
        <v>102.04</v>
      </c>
      <c r="D1223" s="11">
        <v>2003</v>
      </c>
    </row>
    <row r="1224" spans="1:4" ht="19.95" customHeight="1" x14ac:dyDescent="0.25">
      <c r="A1224" s="10" t="s">
        <v>27</v>
      </c>
      <c r="B1224" s="11" t="s">
        <v>42</v>
      </c>
      <c r="C1224" s="11">
        <v>99.6</v>
      </c>
      <c r="D1224" s="11">
        <v>2003</v>
      </c>
    </row>
    <row r="1225" spans="1:4" ht="19.95" customHeight="1" x14ac:dyDescent="0.25">
      <c r="A1225" s="10" t="s">
        <v>29</v>
      </c>
      <c r="B1225" s="11" t="s">
        <v>42</v>
      </c>
      <c r="C1225" s="11">
        <v>87.63</v>
      </c>
      <c r="D1225" s="11">
        <v>2003</v>
      </c>
    </row>
    <row r="1226" spans="1:4" ht="19.95" customHeight="1" x14ac:dyDescent="0.25">
      <c r="A1226" s="10" t="s">
        <v>30</v>
      </c>
      <c r="B1226" s="11" t="s">
        <v>42</v>
      </c>
      <c r="C1226" s="11">
        <v>94.74</v>
      </c>
      <c r="D1226" s="11">
        <v>2003</v>
      </c>
    </row>
    <row r="1227" spans="1:4" ht="19.95" customHeight="1" x14ac:dyDescent="0.25">
      <c r="A1227" s="10" t="s">
        <v>31</v>
      </c>
      <c r="B1227" s="11" t="s">
        <v>42</v>
      </c>
      <c r="C1227" s="11">
        <v>95.61</v>
      </c>
      <c r="D1227" s="11">
        <v>2003</v>
      </c>
    </row>
    <row r="1228" spans="1:4" ht="19.95" customHeight="1" x14ac:dyDescent="0.25">
      <c r="A1228" s="10" t="s">
        <v>32</v>
      </c>
      <c r="B1228" s="11" t="s">
        <v>42</v>
      </c>
      <c r="C1228" s="11">
        <v>93.58</v>
      </c>
      <c r="D1228" s="11">
        <v>2003</v>
      </c>
    </row>
    <row r="1229" spans="1:4" ht="19.95" customHeight="1" x14ac:dyDescent="0.25">
      <c r="A1229" s="10" t="s">
        <v>33</v>
      </c>
      <c r="B1229" s="11" t="s">
        <v>42</v>
      </c>
      <c r="C1229" s="11">
        <v>93.84</v>
      </c>
      <c r="D1229" s="11">
        <v>2003</v>
      </c>
    </row>
    <row r="1230" spans="1:4" ht="19.95" customHeight="1" x14ac:dyDescent="0.25">
      <c r="A1230" s="10" t="s">
        <v>34</v>
      </c>
      <c r="B1230" s="11" t="s">
        <v>42</v>
      </c>
      <c r="C1230" s="11">
        <v>104.6</v>
      </c>
      <c r="D1230" s="11">
        <v>2003</v>
      </c>
    </row>
    <row r="1231" spans="1:4" ht="19.95" customHeight="1" x14ac:dyDescent="0.25">
      <c r="A1231" s="10" t="s">
        <v>35</v>
      </c>
      <c r="B1231" s="11" t="s">
        <v>42</v>
      </c>
      <c r="C1231" s="11">
        <v>97.94</v>
      </c>
      <c r="D1231" s="11">
        <v>2003</v>
      </c>
    </row>
    <row r="1232" spans="1:4" ht="19.95" customHeight="1" x14ac:dyDescent="0.25">
      <c r="A1232" s="10" t="s">
        <v>36</v>
      </c>
      <c r="B1232" s="11" t="s">
        <v>42</v>
      </c>
      <c r="C1232" s="11">
        <v>89.14</v>
      </c>
      <c r="D1232" s="11">
        <v>2003</v>
      </c>
    </row>
    <row r="1233" spans="1:4" ht="19.95" customHeight="1" x14ac:dyDescent="0.25">
      <c r="A1233" s="10" t="s">
        <v>37</v>
      </c>
      <c r="B1233" s="11" t="s">
        <v>42</v>
      </c>
      <c r="C1233" s="11">
        <v>82.82</v>
      </c>
      <c r="D1233" s="11">
        <v>2003</v>
      </c>
    </row>
    <row r="1234" spans="1:4" ht="19.95" customHeight="1" x14ac:dyDescent="0.25">
      <c r="A1234" s="10" t="s">
        <v>38</v>
      </c>
      <c r="B1234" s="11" t="s">
        <v>42</v>
      </c>
      <c r="C1234" s="11">
        <v>99.36</v>
      </c>
      <c r="D1234" s="11">
        <v>2003</v>
      </c>
    </row>
    <row r="1235" spans="1:4" ht="19.95" customHeight="1" x14ac:dyDescent="0.25">
      <c r="A1235" s="10" t="s">
        <v>39</v>
      </c>
      <c r="B1235" s="11" t="s">
        <v>42</v>
      </c>
      <c r="C1235" s="11">
        <v>96.63</v>
      </c>
      <c r="D1235" s="11">
        <v>2003</v>
      </c>
    </row>
    <row r="1236" spans="1:4" ht="19.95" customHeight="1" x14ac:dyDescent="0.25">
      <c r="A1236" s="10" t="s">
        <v>40</v>
      </c>
      <c r="B1236" s="11" t="s">
        <v>42</v>
      </c>
      <c r="C1236" s="11">
        <v>88.49</v>
      </c>
      <c r="D1236" s="11">
        <v>2003</v>
      </c>
    </row>
    <row r="1237" spans="1:4" ht="19.95" customHeight="1" x14ac:dyDescent="0.25">
      <c r="A1237" s="10" t="s">
        <v>10</v>
      </c>
      <c r="B1237" s="11" t="s">
        <v>42</v>
      </c>
      <c r="C1237" s="11">
        <v>98.33</v>
      </c>
      <c r="D1237" s="11">
        <v>2004</v>
      </c>
    </row>
    <row r="1238" spans="1:4" ht="19.95" customHeight="1" x14ac:dyDescent="0.25">
      <c r="A1238" s="10" t="s">
        <v>13</v>
      </c>
      <c r="B1238" s="11" t="s">
        <v>42</v>
      </c>
      <c r="C1238" s="11">
        <v>88.99</v>
      </c>
      <c r="D1238" s="11">
        <v>2004</v>
      </c>
    </row>
    <row r="1239" spans="1:4" ht="19.95" customHeight="1" x14ac:dyDescent="0.25">
      <c r="A1239" s="10" t="s">
        <v>15</v>
      </c>
      <c r="B1239" s="11" t="s">
        <v>42</v>
      </c>
      <c r="C1239" s="11">
        <v>89.44</v>
      </c>
      <c r="D1239" s="11">
        <v>2004</v>
      </c>
    </row>
    <row r="1240" spans="1:4" ht="19.95" customHeight="1" x14ac:dyDescent="0.25">
      <c r="A1240" s="10" t="s">
        <v>16</v>
      </c>
      <c r="B1240" s="11" t="s">
        <v>42</v>
      </c>
      <c r="C1240" s="11">
        <v>100.04</v>
      </c>
      <c r="D1240" s="11">
        <v>2004</v>
      </c>
    </row>
    <row r="1241" spans="1:4" ht="19.95" customHeight="1" x14ac:dyDescent="0.25">
      <c r="A1241" s="10" t="s">
        <v>17</v>
      </c>
      <c r="B1241" s="11" t="s">
        <v>42</v>
      </c>
      <c r="C1241" s="11">
        <v>94.39</v>
      </c>
      <c r="D1241" s="11">
        <v>2004</v>
      </c>
    </row>
    <row r="1242" spans="1:4" ht="19.95" customHeight="1" x14ac:dyDescent="0.25">
      <c r="A1242" s="10" t="s">
        <v>2</v>
      </c>
      <c r="B1242" s="11" t="s">
        <v>42</v>
      </c>
      <c r="C1242" s="11">
        <v>92.61</v>
      </c>
      <c r="D1242" s="11">
        <v>2004</v>
      </c>
    </row>
    <row r="1243" spans="1:4" ht="19.95" customHeight="1" x14ac:dyDescent="0.25">
      <c r="A1243" s="10" t="s">
        <v>18</v>
      </c>
      <c r="B1243" s="11" t="s">
        <v>42</v>
      </c>
      <c r="C1243" s="11">
        <v>96.88</v>
      </c>
      <c r="D1243" s="11">
        <v>2004</v>
      </c>
    </row>
    <row r="1244" spans="1:4" ht="19.95" customHeight="1" x14ac:dyDescent="0.25">
      <c r="A1244" s="10" t="s">
        <v>19</v>
      </c>
      <c r="B1244" s="11" t="s">
        <v>42</v>
      </c>
      <c r="C1244" s="11">
        <v>97.3</v>
      </c>
      <c r="D1244" s="11">
        <v>2004</v>
      </c>
    </row>
    <row r="1245" spans="1:4" ht="19.95" customHeight="1" x14ac:dyDescent="0.25">
      <c r="A1245" s="10" t="s">
        <v>20</v>
      </c>
      <c r="B1245" s="11" t="s">
        <v>42</v>
      </c>
      <c r="C1245" s="11">
        <v>88.87</v>
      </c>
      <c r="D1245" s="11">
        <v>2004</v>
      </c>
    </row>
    <row r="1246" spans="1:4" ht="19.95" customHeight="1" x14ac:dyDescent="0.25">
      <c r="A1246" s="10" t="s">
        <v>21</v>
      </c>
      <c r="B1246" s="11" t="s">
        <v>42</v>
      </c>
      <c r="C1246" s="11"/>
      <c r="D1246" s="11">
        <v>2004</v>
      </c>
    </row>
    <row r="1247" spans="1:4" ht="19.95" customHeight="1" x14ac:dyDescent="0.25">
      <c r="A1247" s="10" t="s">
        <v>22</v>
      </c>
      <c r="B1247" s="11" t="s">
        <v>42</v>
      </c>
      <c r="C1247" s="11">
        <v>95.43</v>
      </c>
      <c r="D1247" s="11">
        <v>2004</v>
      </c>
    </row>
    <row r="1248" spans="1:4" ht="19.95" customHeight="1" x14ac:dyDescent="0.25">
      <c r="A1248" s="10" t="s">
        <v>23</v>
      </c>
      <c r="B1248" s="11" t="s">
        <v>42</v>
      </c>
      <c r="C1248" s="11">
        <v>91.96</v>
      </c>
      <c r="D1248" s="11">
        <v>2004</v>
      </c>
    </row>
    <row r="1249" spans="1:4" ht="19.95" customHeight="1" x14ac:dyDescent="0.25">
      <c r="A1249" s="10" t="s">
        <v>24</v>
      </c>
      <c r="B1249" s="11" t="s">
        <v>42</v>
      </c>
      <c r="C1249" s="11">
        <v>98.41</v>
      </c>
      <c r="D1249" s="11">
        <v>2004</v>
      </c>
    </row>
    <row r="1250" spans="1:4" ht="19.95" customHeight="1" x14ac:dyDescent="0.25">
      <c r="A1250" s="10" t="s">
        <v>25</v>
      </c>
      <c r="B1250" s="11" t="s">
        <v>42</v>
      </c>
      <c r="C1250" s="11">
        <v>93.15</v>
      </c>
      <c r="D1250" s="11">
        <v>2004</v>
      </c>
    </row>
    <row r="1251" spans="1:4" ht="19.95" customHeight="1" x14ac:dyDescent="0.25">
      <c r="A1251" s="10" t="s">
        <v>26</v>
      </c>
      <c r="B1251" s="11" t="s">
        <v>42</v>
      </c>
      <c r="C1251" s="11">
        <v>104.94</v>
      </c>
      <c r="D1251" s="11">
        <v>2004</v>
      </c>
    </row>
    <row r="1252" spans="1:4" ht="19.95" customHeight="1" x14ac:dyDescent="0.25">
      <c r="A1252" s="10" t="s">
        <v>27</v>
      </c>
      <c r="B1252" s="11" t="s">
        <v>42</v>
      </c>
      <c r="C1252" s="11">
        <v>100.94</v>
      </c>
      <c r="D1252" s="11">
        <v>2004</v>
      </c>
    </row>
    <row r="1253" spans="1:4" ht="19.95" customHeight="1" x14ac:dyDescent="0.25">
      <c r="A1253" s="10" t="s">
        <v>29</v>
      </c>
      <c r="B1253" s="11" t="s">
        <v>42</v>
      </c>
      <c r="C1253" s="11">
        <v>91.41</v>
      </c>
      <c r="D1253" s="11">
        <v>2004</v>
      </c>
    </row>
    <row r="1254" spans="1:4" ht="19.95" customHeight="1" x14ac:dyDescent="0.25">
      <c r="A1254" s="10" t="s">
        <v>30</v>
      </c>
      <c r="B1254" s="11" t="s">
        <v>42</v>
      </c>
      <c r="C1254" s="11">
        <v>98.5</v>
      </c>
      <c r="D1254" s="11">
        <v>2004</v>
      </c>
    </row>
    <row r="1255" spans="1:4" ht="19.95" customHeight="1" x14ac:dyDescent="0.25">
      <c r="A1255" s="10" t="s">
        <v>31</v>
      </c>
      <c r="B1255" s="11" t="s">
        <v>42</v>
      </c>
      <c r="C1255" s="11">
        <v>94.61</v>
      </c>
      <c r="D1255" s="11">
        <v>2004</v>
      </c>
    </row>
    <row r="1256" spans="1:4" ht="19.95" customHeight="1" x14ac:dyDescent="0.25">
      <c r="A1256" s="10" t="s">
        <v>32</v>
      </c>
      <c r="B1256" s="11" t="s">
        <v>42</v>
      </c>
      <c r="C1256" s="11">
        <v>87.98</v>
      </c>
      <c r="D1256" s="11">
        <v>2004</v>
      </c>
    </row>
    <row r="1257" spans="1:4" ht="19.95" customHeight="1" x14ac:dyDescent="0.25">
      <c r="A1257" s="10" t="s">
        <v>33</v>
      </c>
      <c r="B1257" s="11" t="s">
        <v>42</v>
      </c>
      <c r="C1257" s="11">
        <v>93.75</v>
      </c>
      <c r="D1257" s="11">
        <v>2004</v>
      </c>
    </row>
    <row r="1258" spans="1:4" ht="19.95" customHeight="1" x14ac:dyDescent="0.25">
      <c r="A1258" s="10" t="s">
        <v>34</v>
      </c>
      <c r="B1258" s="11" t="s">
        <v>42</v>
      </c>
      <c r="C1258" s="11">
        <v>97.88</v>
      </c>
      <c r="D1258" s="11">
        <v>2004</v>
      </c>
    </row>
    <row r="1259" spans="1:4" ht="19.95" customHeight="1" x14ac:dyDescent="0.25">
      <c r="A1259" s="10" t="s">
        <v>35</v>
      </c>
      <c r="B1259" s="11" t="s">
        <v>42</v>
      </c>
      <c r="C1259" s="11">
        <v>93.25</v>
      </c>
      <c r="D1259" s="11">
        <v>2004</v>
      </c>
    </row>
    <row r="1260" spans="1:4" ht="19.95" customHeight="1" x14ac:dyDescent="0.25">
      <c r="A1260" s="10" t="s">
        <v>36</v>
      </c>
      <c r="B1260" s="11" t="s">
        <v>42</v>
      </c>
      <c r="C1260" s="11">
        <v>101.99</v>
      </c>
      <c r="D1260" s="11">
        <v>2004</v>
      </c>
    </row>
    <row r="1261" spans="1:4" ht="19.95" customHeight="1" x14ac:dyDescent="0.25">
      <c r="A1261" s="10" t="s">
        <v>37</v>
      </c>
      <c r="B1261" s="11" t="s">
        <v>42</v>
      </c>
      <c r="C1261" s="11">
        <v>95.2</v>
      </c>
      <c r="D1261" s="11">
        <v>2004</v>
      </c>
    </row>
    <row r="1262" spans="1:4" ht="19.95" customHeight="1" x14ac:dyDescent="0.25">
      <c r="A1262" s="10" t="s">
        <v>38</v>
      </c>
      <c r="B1262" s="11" t="s">
        <v>42</v>
      </c>
      <c r="C1262" s="11">
        <v>99.41</v>
      </c>
      <c r="D1262" s="11">
        <v>2004</v>
      </c>
    </row>
    <row r="1263" spans="1:4" ht="19.95" customHeight="1" x14ac:dyDescent="0.25">
      <c r="A1263" s="10" t="s">
        <v>39</v>
      </c>
      <c r="B1263" s="11" t="s">
        <v>42</v>
      </c>
      <c r="C1263" s="11">
        <v>97.01</v>
      </c>
      <c r="D1263" s="11">
        <v>2004</v>
      </c>
    </row>
    <row r="1264" spans="1:4" ht="19.95" customHeight="1" x14ac:dyDescent="0.25">
      <c r="A1264" s="10" t="s">
        <v>40</v>
      </c>
      <c r="B1264" s="11" t="s">
        <v>42</v>
      </c>
      <c r="C1264" s="11">
        <v>109.29</v>
      </c>
      <c r="D1264" s="11">
        <v>2004</v>
      </c>
    </row>
    <row r="1265" spans="1:4" ht="19.95" customHeight="1" x14ac:dyDescent="0.25">
      <c r="A1265" s="10" t="s">
        <v>10</v>
      </c>
      <c r="B1265" s="11" t="s">
        <v>42</v>
      </c>
      <c r="C1265" s="11">
        <v>100.39</v>
      </c>
      <c r="D1265" s="11">
        <v>2005</v>
      </c>
    </row>
    <row r="1266" spans="1:4" ht="19.95" customHeight="1" x14ac:dyDescent="0.25">
      <c r="A1266" s="10" t="s">
        <v>13</v>
      </c>
      <c r="B1266" s="11" t="s">
        <v>42</v>
      </c>
      <c r="C1266" s="11">
        <v>101.91</v>
      </c>
      <c r="D1266" s="11">
        <v>2005</v>
      </c>
    </row>
    <row r="1267" spans="1:4" ht="19.95" customHeight="1" x14ac:dyDescent="0.25">
      <c r="A1267" s="10" t="s">
        <v>15</v>
      </c>
      <c r="B1267" s="11" t="s">
        <v>42</v>
      </c>
      <c r="C1267" s="11">
        <v>105.67</v>
      </c>
      <c r="D1267" s="11">
        <v>2005</v>
      </c>
    </row>
    <row r="1268" spans="1:4" ht="19.95" customHeight="1" x14ac:dyDescent="0.25">
      <c r="A1268" s="10" t="s">
        <v>16</v>
      </c>
      <c r="B1268" s="11" t="s">
        <v>42</v>
      </c>
      <c r="C1268" s="11">
        <v>96.19</v>
      </c>
      <c r="D1268" s="11">
        <v>2005</v>
      </c>
    </row>
    <row r="1269" spans="1:4" ht="19.95" customHeight="1" x14ac:dyDescent="0.25">
      <c r="A1269" s="10" t="s">
        <v>17</v>
      </c>
      <c r="B1269" s="11" t="s">
        <v>42</v>
      </c>
      <c r="C1269" s="11">
        <v>94.91</v>
      </c>
      <c r="D1269" s="11">
        <v>2005</v>
      </c>
    </row>
    <row r="1270" spans="1:4" ht="19.95" customHeight="1" x14ac:dyDescent="0.25">
      <c r="A1270" s="10" t="s">
        <v>2</v>
      </c>
      <c r="B1270" s="11" t="s">
        <v>42</v>
      </c>
      <c r="C1270" s="11">
        <v>102.65</v>
      </c>
      <c r="D1270" s="11">
        <v>2005</v>
      </c>
    </row>
    <row r="1271" spans="1:4" ht="19.95" customHeight="1" x14ac:dyDescent="0.25">
      <c r="A1271" s="10" t="s">
        <v>18</v>
      </c>
      <c r="B1271" s="11" t="s">
        <v>42</v>
      </c>
      <c r="C1271" s="11">
        <v>100.55</v>
      </c>
      <c r="D1271" s="11">
        <v>2005</v>
      </c>
    </row>
    <row r="1272" spans="1:4" ht="19.95" customHeight="1" x14ac:dyDescent="0.25">
      <c r="A1272" s="10" t="s">
        <v>19</v>
      </c>
      <c r="B1272" s="11" t="s">
        <v>42</v>
      </c>
      <c r="C1272" s="11">
        <v>101.4</v>
      </c>
      <c r="D1272" s="11">
        <v>2005</v>
      </c>
    </row>
    <row r="1273" spans="1:4" ht="19.95" customHeight="1" x14ac:dyDescent="0.25">
      <c r="A1273" s="10" t="s">
        <v>20</v>
      </c>
      <c r="B1273" s="11" t="s">
        <v>42</v>
      </c>
      <c r="C1273" s="11">
        <v>103.32</v>
      </c>
      <c r="D1273" s="11">
        <v>2005</v>
      </c>
    </row>
    <row r="1274" spans="1:4" ht="19.95" customHeight="1" x14ac:dyDescent="0.25">
      <c r="A1274" s="10" t="s">
        <v>21</v>
      </c>
      <c r="B1274" s="11" t="s">
        <v>42</v>
      </c>
      <c r="C1274" s="11"/>
      <c r="D1274" s="11">
        <v>2005</v>
      </c>
    </row>
    <row r="1275" spans="1:4" ht="19.95" customHeight="1" x14ac:dyDescent="0.25">
      <c r="A1275" s="10" t="s">
        <v>22</v>
      </c>
      <c r="B1275" s="11" t="s">
        <v>42</v>
      </c>
      <c r="C1275" s="11">
        <v>101.2</v>
      </c>
      <c r="D1275" s="11">
        <v>2005</v>
      </c>
    </row>
    <row r="1276" spans="1:4" ht="19.95" customHeight="1" x14ac:dyDescent="0.25">
      <c r="A1276" s="10" t="s">
        <v>23</v>
      </c>
      <c r="B1276" s="11" t="s">
        <v>42</v>
      </c>
      <c r="C1276" s="11">
        <v>102.8</v>
      </c>
      <c r="D1276" s="11">
        <v>2005</v>
      </c>
    </row>
    <row r="1277" spans="1:4" ht="19.95" customHeight="1" x14ac:dyDescent="0.25">
      <c r="A1277" s="10" t="s">
        <v>24</v>
      </c>
      <c r="B1277" s="11" t="s">
        <v>42</v>
      </c>
      <c r="C1277" s="11">
        <v>85.86</v>
      </c>
      <c r="D1277" s="11">
        <v>2005</v>
      </c>
    </row>
    <row r="1278" spans="1:4" ht="19.95" customHeight="1" x14ac:dyDescent="0.25">
      <c r="A1278" s="10" t="s">
        <v>25</v>
      </c>
      <c r="B1278" s="11" t="s">
        <v>42</v>
      </c>
      <c r="C1278" s="11">
        <v>102.28</v>
      </c>
      <c r="D1278" s="11">
        <v>2005</v>
      </c>
    </row>
    <row r="1279" spans="1:4" ht="19.95" customHeight="1" x14ac:dyDescent="0.25">
      <c r="A1279" s="10" t="s">
        <v>26</v>
      </c>
      <c r="B1279" s="11" t="s">
        <v>42</v>
      </c>
      <c r="C1279" s="11">
        <v>99.51</v>
      </c>
      <c r="D1279" s="11">
        <v>2005</v>
      </c>
    </row>
    <row r="1280" spans="1:4" ht="19.95" customHeight="1" x14ac:dyDescent="0.25">
      <c r="A1280" s="10" t="s">
        <v>27</v>
      </c>
      <c r="B1280" s="11" t="s">
        <v>42</v>
      </c>
      <c r="C1280" s="11">
        <v>95.98</v>
      </c>
      <c r="D1280" s="11">
        <v>2005</v>
      </c>
    </row>
    <row r="1281" spans="1:4" ht="19.95" customHeight="1" x14ac:dyDescent="0.25">
      <c r="A1281" s="10" t="s">
        <v>29</v>
      </c>
      <c r="B1281" s="11" t="s">
        <v>42</v>
      </c>
      <c r="C1281" s="11">
        <v>98.07</v>
      </c>
      <c r="D1281" s="11">
        <v>2005</v>
      </c>
    </row>
    <row r="1282" spans="1:4" ht="19.95" customHeight="1" x14ac:dyDescent="0.25">
      <c r="A1282" s="10" t="s">
        <v>30</v>
      </c>
      <c r="B1282" s="11" t="s">
        <v>42</v>
      </c>
      <c r="C1282" s="11">
        <v>100.47</v>
      </c>
      <c r="D1282" s="11">
        <v>2005</v>
      </c>
    </row>
    <row r="1283" spans="1:4" ht="19.95" customHeight="1" x14ac:dyDescent="0.25">
      <c r="A1283" s="10" t="s">
        <v>31</v>
      </c>
      <c r="B1283" s="11" t="s">
        <v>42</v>
      </c>
      <c r="C1283" s="11">
        <v>102.04</v>
      </c>
      <c r="D1283" s="11">
        <v>2005</v>
      </c>
    </row>
    <row r="1284" spans="1:4" ht="19.95" customHeight="1" x14ac:dyDescent="0.25">
      <c r="A1284" s="10" t="s">
        <v>32</v>
      </c>
      <c r="B1284" s="11" t="s">
        <v>42</v>
      </c>
      <c r="C1284" s="11">
        <v>102.42</v>
      </c>
      <c r="D1284" s="11">
        <v>2005</v>
      </c>
    </row>
    <row r="1285" spans="1:4" ht="19.95" customHeight="1" x14ac:dyDescent="0.25">
      <c r="A1285" s="10" t="s">
        <v>33</v>
      </c>
      <c r="B1285" s="11" t="s">
        <v>42</v>
      </c>
      <c r="C1285" s="11">
        <v>100.61</v>
      </c>
      <c r="D1285" s="11">
        <v>2005</v>
      </c>
    </row>
    <row r="1286" spans="1:4" ht="19.95" customHeight="1" x14ac:dyDescent="0.25">
      <c r="A1286" s="10" t="s">
        <v>34</v>
      </c>
      <c r="B1286" s="11" t="s">
        <v>42</v>
      </c>
      <c r="C1286" s="11">
        <v>100.78</v>
      </c>
      <c r="D1286" s="11">
        <v>2005</v>
      </c>
    </row>
    <row r="1287" spans="1:4" ht="19.95" customHeight="1" x14ac:dyDescent="0.25">
      <c r="A1287" s="10" t="s">
        <v>35</v>
      </c>
      <c r="B1287" s="11" t="s">
        <v>42</v>
      </c>
      <c r="C1287" s="11">
        <v>102.32</v>
      </c>
      <c r="D1287" s="11">
        <v>2005</v>
      </c>
    </row>
    <row r="1288" spans="1:4" ht="19.95" customHeight="1" x14ac:dyDescent="0.25">
      <c r="A1288" s="10" t="s">
        <v>36</v>
      </c>
      <c r="B1288" s="11" t="s">
        <v>42</v>
      </c>
      <c r="C1288" s="11">
        <v>96.71</v>
      </c>
      <c r="D1288" s="11">
        <v>2005</v>
      </c>
    </row>
    <row r="1289" spans="1:4" ht="19.95" customHeight="1" x14ac:dyDescent="0.25">
      <c r="A1289" s="10" t="s">
        <v>37</v>
      </c>
      <c r="B1289" s="11" t="s">
        <v>42</v>
      </c>
      <c r="C1289" s="11">
        <v>96.79</v>
      </c>
      <c r="D1289" s="11">
        <v>2005</v>
      </c>
    </row>
    <row r="1290" spans="1:4" ht="19.95" customHeight="1" x14ac:dyDescent="0.25">
      <c r="A1290" s="10" t="s">
        <v>38</v>
      </c>
      <c r="B1290" s="11" t="s">
        <v>42</v>
      </c>
      <c r="C1290" s="11">
        <v>100.53</v>
      </c>
      <c r="D1290" s="11">
        <v>2005</v>
      </c>
    </row>
    <row r="1291" spans="1:4" ht="19.95" customHeight="1" x14ac:dyDescent="0.25">
      <c r="A1291" s="10" t="s">
        <v>39</v>
      </c>
      <c r="B1291" s="11" t="s">
        <v>42</v>
      </c>
      <c r="C1291" s="11">
        <v>98.09</v>
      </c>
      <c r="D1291" s="11">
        <v>2005</v>
      </c>
    </row>
    <row r="1292" spans="1:4" ht="19.95" customHeight="1" x14ac:dyDescent="0.25">
      <c r="A1292" s="10" t="s">
        <v>40</v>
      </c>
      <c r="B1292" s="11" t="s">
        <v>42</v>
      </c>
      <c r="C1292" s="11">
        <v>89.34</v>
      </c>
      <c r="D1292" s="11">
        <v>2005</v>
      </c>
    </row>
    <row r="1293" spans="1:4" ht="19.95" customHeight="1" x14ac:dyDescent="0.25">
      <c r="A1293" s="10" t="s">
        <v>10</v>
      </c>
      <c r="B1293" s="11" t="s">
        <v>42</v>
      </c>
      <c r="C1293" s="11">
        <v>101.28</v>
      </c>
      <c r="D1293" s="11">
        <v>2006</v>
      </c>
    </row>
    <row r="1294" spans="1:4" ht="19.95" customHeight="1" x14ac:dyDescent="0.25">
      <c r="A1294" s="10" t="s">
        <v>13</v>
      </c>
      <c r="B1294" s="11" t="s">
        <v>42</v>
      </c>
      <c r="C1294" s="11">
        <v>109.1</v>
      </c>
      <c r="D1294" s="11">
        <v>2006</v>
      </c>
    </row>
    <row r="1295" spans="1:4" ht="19.95" customHeight="1" x14ac:dyDescent="0.25">
      <c r="A1295" s="10" t="s">
        <v>15</v>
      </c>
      <c r="B1295" s="11" t="s">
        <v>42</v>
      </c>
      <c r="C1295" s="11">
        <v>104.89</v>
      </c>
      <c r="D1295" s="11">
        <v>2006</v>
      </c>
    </row>
    <row r="1296" spans="1:4" ht="19.95" customHeight="1" x14ac:dyDescent="0.25">
      <c r="A1296" s="10" t="s">
        <v>16</v>
      </c>
      <c r="B1296" s="11" t="s">
        <v>42</v>
      </c>
      <c r="C1296" s="11">
        <v>103.77</v>
      </c>
      <c r="D1296" s="11">
        <v>2006</v>
      </c>
    </row>
    <row r="1297" spans="1:4" ht="19.95" customHeight="1" x14ac:dyDescent="0.25">
      <c r="A1297" s="10" t="s">
        <v>17</v>
      </c>
      <c r="B1297" s="11" t="s">
        <v>42</v>
      </c>
      <c r="C1297" s="11">
        <v>110.7</v>
      </c>
      <c r="D1297" s="11">
        <v>2006</v>
      </c>
    </row>
    <row r="1298" spans="1:4" ht="19.95" customHeight="1" x14ac:dyDescent="0.25">
      <c r="A1298" s="10" t="s">
        <v>2</v>
      </c>
      <c r="B1298" s="11" t="s">
        <v>42</v>
      </c>
      <c r="C1298" s="11">
        <v>104.74</v>
      </c>
      <c r="D1298" s="11">
        <v>2006</v>
      </c>
    </row>
    <row r="1299" spans="1:4" ht="19.95" customHeight="1" x14ac:dyDescent="0.25">
      <c r="A1299" s="10" t="s">
        <v>18</v>
      </c>
      <c r="B1299" s="11" t="s">
        <v>42</v>
      </c>
      <c r="C1299" s="11">
        <v>102.57</v>
      </c>
      <c r="D1299" s="11">
        <v>2006</v>
      </c>
    </row>
    <row r="1300" spans="1:4" ht="19.95" customHeight="1" x14ac:dyDescent="0.25">
      <c r="A1300" s="10" t="s">
        <v>19</v>
      </c>
      <c r="B1300" s="11" t="s">
        <v>42</v>
      </c>
      <c r="C1300" s="11">
        <v>101.31</v>
      </c>
      <c r="D1300" s="11">
        <v>2006</v>
      </c>
    </row>
    <row r="1301" spans="1:4" ht="19.95" customHeight="1" x14ac:dyDescent="0.25">
      <c r="A1301" s="10" t="s">
        <v>20</v>
      </c>
      <c r="B1301" s="11" t="s">
        <v>42</v>
      </c>
      <c r="C1301" s="11">
        <v>107.81</v>
      </c>
      <c r="D1301" s="11">
        <v>2006</v>
      </c>
    </row>
    <row r="1302" spans="1:4" ht="19.95" customHeight="1" x14ac:dyDescent="0.25">
      <c r="A1302" s="10" t="s">
        <v>21</v>
      </c>
      <c r="B1302" s="11" t="s">
        <v>42</v>
      </c>
      <c r="C1302" s="11"/>
      <c r="D1302" s="11">
        <v>2006</v>
      </c>
    </row>
    <row r="1303" spans="1:4" ht="19.95" customHeight="1" x14ac:dyDescent="0.25">
      <c r="A1303" s="10" t="s">
        <v>22</v>
      </c>
      <c r="B1303" s="11" t="s">
        <v>42</v>
      </c>
      <c r="C1303" s="11">
        <v>103.38</v>
      </c>
      <c r="D1303" s="11">
        <v>2006</v>
      </c>
    </row>
    <row r="1304" spans="1:4" ht="19.95" customHeight="1" x14ac:dyDescent="0.25">
      <c r="A1304" s="10" t="s">
        <v>23</v>
      </c>
      <c r="B1304" s="11" t="s">
        <v>42</v>
      </c>
      <c r="C1304" s="11">
        <v>105.24</v>
      </c>
      <c r="D1304" s="11">
        <v>2006</v>
      </c>
    </row>
    <row r="1305" spans="1:4" ht="19.95" customHeight="1" x14ac:dyDescent="0.25">
      <c r="A1305" s="10" t="s">
        <v>24</v>
      </c>
      <c r="B1305" s="11" t="s">
        <v>42</v>
      </c>
      <c r="C1305" s="11">
        <v>115.73</v>
      </c>
      <c r="D1305" s="11">
        <v>2006</v>
      </c>
    </row>
    <row r="1306" spans="1:4" ht="19.95" customHeight="1" x14ac:dyDescent="0.25">
      <c r="A1306" s="10" t="s">
        <v>25</v>
      </c>
      <c r="B1306" s="11" t="s">
        <v>42</v>
      </c>
      <c r="C1306" s="11">
        <v>104.58</v>
      </c>
      <c r="D1306" s="11">
        <v>2006</v>
      </c>
    </row>
    <row r="1307" spans="1:4" ht="19.95" customHeight="1" x14ac:dyDescent="0.25">
      <c r="A1307" s="10" t="s">
        <v>26</v>
      </c>
      <c r="B1307" s="11" t="s">
        <v>42</v>
      </c>
      <c r="C1307" s="11">
        <v>95.56</v>
      </c>
      <c r="D1307" s="11">
        <v>2006</v>
      </c>
    </row>
    <row r="1308" spans="1:4" ht="19.95" customHeight="1" x14ac:dyDescent="0.25">
      <c r="A1308" s="10" t="s">
        <v>27</v>
      </c>
      <c r="B1308" s="11" t="s">
        <v>42</v>
      </c>
      <c r="C1308" s="11">
        <v>103.09</v>
      </c>
      <c r="D1308" s="11">
        <v>2006</v>
      </c>
    </row>
    <row r="1309" spans="1:4" ht="19.95" customHeight="1" x14ac:dyDescent="0.25">
      <c r="A1309" s="10" t="s">
        <v>29</v>
      </c>
      <c r="B1309" s="11" t="s">
        <v>42</v>
      </c>
      <c r="C1309" s="11">
        <v>110.53</v>
      </c>
      <c r="D1309" s="11">
        <v>2006</v>
      </c>
    </row>
    <row r="1310" spans="1:4" ht="19.95" customHeight="1" x14ac:dyDescent="0.25">
      <c r="A1310" s="10" t="s">
        <v>30</v>
      </c>
      <c r="B1310" s="11" t="s">
        <v>42</v>
      </c>
      <c r="C1310" s="11">
        <v>101.03</v>
      </c>
      <c r="D1310" s="11">
        <v>2006</v>
      </c>
    </row>
    <row r="1311" spans="1:4" ht="19.95" customHeight="1" x14ac:dyDescent="0.25">
      <c r="A1311" s="10" t="s">
        <v>31</v>
      </c>
      <c r="B1311" s="11" t="s">
        <v>42</v>
      </c>
      <c r="C1311" s="11">
        <v>103.35</v>
      </c>
      <c r="D1311" s="11">
        <v>2006</v>
      </c>
    </row>
    <row r="1312" spans="1:4" ht="19.95" customHeight="1" x14ac:dyDescent="0.25">
      <c r="A1312" s="10" t="s">
        <v>32</v>
      </c>
      <c r="B1312" s="11" t="s">
        <v>42</v>
      </c>
      <c r="C1312" s="11">
        <v>109.6</v>
      </c>
      <c r="D1312" s="11">
        <v>2006</v>
      </c>
    </row>
    <row r="1313" spans="1:4" ht="19.95" customHeight="1" x14ac:dyDescent="0.25">
      <c r="A1313" s="10" t="s">
        <v>33</v>
      </c>
      <c r="B1313" s="11" t="s">
        <v>42</v>
      </c>
      <c r="C1313" s="11">
        <v>105.63</v>
      </c>
      <c r="D1313" s="11">
        <v>2006</v>
      </c>
    </row>
    <row r="1314" spans="1:4" ht="19.95" customHeight="1" x14ac:dyDescent="0.25">
      <c r="A1314" s="10" t="s">
        <v>34</v>
      </c>
      <c r="B1314" s="11" t="s">
        <v>42</v>
      </c>
      <c r="C1314" s="11">
        <v>101.34</v>
      </c>
      <c r="D1314" s="11">
        <v>2006</v>
      </c>
    </row>
    <row r="1315" spans="1:4" ht="19.95" customHeight="1" x14ac:dyDescent="0.25">
      <c r="A1315" s="10" t="s">
        <v>35</v>
      </c>
      <c r="B1315" s="11" t="s">
        <v>42</v>
      </c>
      <c r="C1315" s="11">
        <v>104.42</v>
      </c>
      <c r="D1315" s="11">
        <v>2006</v>
      </c>
    </row>
    <row r="1316" spans="1:4" ht="19.95" customHeight="1" x14ac:dyDescent="0.25">
      <c r="A1316" s="10" t="s">
        <v>36</v>
      </c>
      <c r="B1316" s="11" t="s">
        <v>42</v>
      </c>
      <c r="C1316" s="11">
        <v>101.29</v>
      </c>
      <c r="D1316" s="11">
        <v>2006</v>
      </c>
    </row>
    <row r="1317" spans="1:4" ht="19.95" customHeight="1" x14ac:dyDescent="0.25">
      <c r="A1317" s="10" t="s">
        <v>37</v>
      </c>
      <c r="B1317" s="11" t="s">
        <v>42</v>
      </c>
      <c r="C1317" s="11">
        <v>108.01</v>
      </c>
      <c r="D1317" s="11">
        <v>2006</v>
      </c>
    </row>
    <row r="1318" spans="1:4" ht="19.95" customHeight="1" x14ac:dyDescent="0.25">
      <c r="A1318" s="10" t="s">
        <v>38</v>
      </c>
      <c r="B1318" s="11" t="s">
        <v>42</v>
      </c>
      <c r="C1318" s="11">
        <v>100.06</v>
      </c>
      <c r="D1318" s="11">
        <v>2006</v>
      </c>
    </row>
    <row r="1319" spans="1:4" ht="19.95" customHeight="1" x14ac:dyDescent="0.25">
      <c r="A1319" s="10" t="s">
        <v>39</v>
      </c>
      <c r="B1319" s="11" t="s">
        <v>42</v>
      </c>
      <c r="C1319" s="11">
        <v>104.91</v>
      </c>
      <c r="D1319" s="11">
        <v>2006</v>
      </c>
    </row>
    <row r="1320" spans="1:4" ht="19.95" customHeight="1" x14ac:dyDescent="0.25">
      <c r="A1320" s="10" t="s">
        <v>40</v>
      </c>
      <c r="B1320" s="11" t="s">
        <v>42</v>
      </c>
      <c r="C1320" s="11">
        <v>101.37</v>
      </c>
      <c r="D1320" s="11">
        <v>2006</v>
      </c>
    </row>
    <row r="1321" spans="1:4" ht="19.95" customHeight="1" x14ac:dyDescent="0.25">
      <c r="A1321" s="10" t="s">
        <v>10</v>
      </c>
      <c r="B1321" s="11" t="s">
        <v>42</v>
      </c>
      <c r="C1321" s="11">
        <v>104.59</v>
      </c>
      <c r="D1321" s="11">
        <v>2007</v>
      </c>
    </row>
    <row r="1322" spans="1:4" ht="19.95" customHeight="1" x14ac:dyDescent="0.25">
      <c r="A1322" s="10" t="s">
        <v>13</v>
      </c>
      <c r="B1322" s="11" t="s">
        <v>42</v>
      </c>
      <c r="C1322" s="11">
        <v>116.25</v>
      </c>
      <c r="D1322" s="11">
        <v>2007</v>
      </c>
    </row>
    <row r="1323" spans="1:4" ht="19.95" customHeight="1" x14ac:dyDescent="0.25">
      <c r="A1323" s="10" t="s">
        <v>15</v>
      </c>
      <c r="B1323" s="11" t="s">
        <v>42</v>
      </c>
      <c r="C1323" s="11">
        <v>109.27</v>
      </c>
      <c r="D1323" s="11">
        <v>2007</v>
      </c>
    </row>
    <row r="1324" spans="1:4" ht="19.95" customHeight="1" x14ac:dyDescent="0.25">
      <c r="A1324" s="10" t="s">
        <v>16</v>
      </c>
      <c r="B1324" s="11" t="s">
        <v>42</v>
      </c>
      <c r="C1324" s="11">
        <v>107.55</v>
      </c>
      <c r="D1324" s="11">
        <v>2007</v>
      </c>
    </row>
    <row r="1325" spans="1:4" ht="19.95" customHeight="1" x14ac:dyDescent="0.25">
      <c r="A1325" s="10" t="s">
        <v>17</v>
      </c>
      <c r="B1325" s="11" t="s">
        <v>42</v>
      </c>
      <c r="C1325" s="11">
        <v>136.19999999999999</v>
      </c>
      <c r="D1325" s="11">
        <v>2007</v>
      </c>
    </row>
    <row r="1326" spans="1:4" ht="19.95" customHeight="1" x14ac:dyDescent="0.25">
      <c r="A1326" s="10" t="s">
        <v>2</v>
      </c>
      <c r="B1326" s="11" t="s">
        <v>42</v>
      </c>
      <c r="C1326" s="11">
        <v>107.06</v>
      </c>
      <c r="D1326" s="11">
        <v>2007</v>
      </c>
    </row>
    <row r="1327" spans="1:4" ht="19.95" customHeight="1" x14ac:dyDescent="0.25">
      <c r="A1327" s="10" t="s">
        <v>18</v>
      </c>
      <c r="B1327" s="11" t="s">
        <v>42</v>
      </c>
      <c r="C1327" s="11">
        <v>106.13</v>
      </c>
      <c r="D1327" s="11">
        <v>2007</v>
      </c>
    </row>
    <row r="1328" spans="1:4" ht="19.95" customHeight="1" x14ac:dyDescent="0.25">
      <c r="A1328" s="10" t="s">
        <v>19</v>
      </c>
      <c r="B1328" s="11" t="s">
        <v>42</v>
      </c>
      <c r="C1328" s="11">
        <v>110.5</v>
      </c>
      <c r="D1328" s="11">
        <v>2007</v>
      </c>
    </row>
    <row r="1329" spans="1:4" ht="19.95" customHeight="1" x14ac:dyDescent="0.25">
      <c r="A1329" s="10" t="s">
        <v>20</v>
      </c>
      <c r="B1329" s="11" t="s">
        <v>42</v>
      </c>
      <c r="C1329" s="11">
        <v>108.46</v>
      </c>
      <c r="D1329" s="11">
        <v>2007</v>
      </c>
    </row>
    <row r="1330" spans="1:4" ht="19.95" customHeight="1" x14ac:dyDescent="0.25">
      <c r="A1330" s="10" t="s">
        <v>21</v>
      </c>
      <c r="B1330" s="11" t="s">
        <v>42</v>
      </c>
      <c r="C1330" s="11"/>
      <c r="D1330" s="11">
        <v>2007</v>
      </c>
    </row>
    <row r="1331" spans="1:4" ht="19.95" customHeight="1" x14ac:dyDescent="0.25">
      <c r="A1331" s="10" t="s">
        <v>22</v>
      </c>
      <c r="B1331" s="11" t="s">
        <v>42</v>
      </c>
      <c r="C1331" s="11">
        <v>113.59</v>
      </c>
      <c r="D1331" s="11">
        <v>2007</v>
      </c>
    </row>
    <row r="1332" spans="1:4" ht="19.95" customHeight="1" x14ac:dyDescent="0.25">
      <c r="A1332" s="10" t="s">
        <v>23</v>
      </c>
      <c r="B1332" s="11" t="s">
        <v>42</v>
      </c>
      <c r="C1332" s="11">
        <v>107.55</v>
      </c>
      <c r="D1332" s="11">
        <v>2007</v>
      </c>
    </row>
    <row r="1333" spans="1:4" ht="19.95" customHeight="1" x14ac:dyDescent="0.25">
      <c r="A1333" s="10" t="s">
        <v>24</v>
      </c>
      <c r="B1333" s="11" t="s">
        <v>42</v>
      </c>
      <c r="C1333" s="11">
        <v>135.05000000000001</v>
      </c>
      <c r="D1333" s="11">
        <v>2007</v>
      </c>
    </row>
    <row r="1334" spans="1:4" ht="19.95" customHeight="1" x14ac:dyDescent="0.25">
      <c r="A1334" s="10" t="s">
        <v>25</v>
      </c>
      <c r="B1334" s="11" t="s">
        <v>42</v>
      </c>
      <c r="C1334" s="11">
        <v>116.85</v>
      </c>
      <c r="D1334" s="11">
        <v>2007</v>
      </c>
    </row>
    <row r="1335" spans="1:4" ht="19.95" customHeight="1" x14ac:dyDescent="0.25">
      <c r="A1335" s="10" t="s">
        <v>26</v>
      </c>
      <c r="B1335" s="11" t="s">
        <v>42</v>
      </c>
      <c r="C1335" s="11">
        <v>82.06</v>
      </c>
      <c r="D1335" s="11">
        <v>2007</v>
      </c>
    </row>
    <row r="1336" spans="1:4" ht="19.95" customHeight="1" x14ac:dyDescent="0.25">
      <c r="A1336" s="10" t="s">
        <v>27</v>
      </c>
      <c r="B1336" s="11" t="s">
        <v>42</v>
      </c>
      <c r="C1336" s="11">
        <v>103.48</v>
      </c>
      <c r="D1336" s="11">
        <v>2007</v>
      </c>
    </row>
    <row r="1337" spans="1:4" ht="19.95" customHeight="1" x14ac:dyDescent="0.25">
      <c r="A1337" s="10" t="s">
        <v>29</v>
      </c>
      <c r="B1337" s="11" t="s">
        <v>42</v>
      </c>
      <c r="C1337" s="11">
        <v>117.01</v>
      </c>
      <c r="D1337" s="11">
        <v>2007</v>
      </c>
    </row>
    <row r="1338" spans="1:4" ht="19.95" customHeight="1" x14ac:dyDescent="0.25">
      <c r="A1338" s="10" t="s">
        <v>30</v>
      </c>
      <c r="B1338" s="11" t="s">
        <v>42</v>
      </c>
      <c r="C1338" s="11">
        <v>100.39</v>
      </c>
      <c r="D1338" s="11">
        <v>2007</v>
      </c>
    </row>
    <row r="1339" spans="1:4" ht="19.95" customHeight="1" x14ac:dyDescent="0.25">
      <c r="A1339" s="10" t="s">
        <v>31</v>
      </c>
      <c r="B1339" s="11" t="s">
        <v>42</v>
      </c>
      <c r="C1339" s="11">
        <v>106.22</v>
      </c>
      <c r="D1339" s="11">
        <v>2007</v>
      </c>
    </row>
    <row r="1340" spans="1:4" ht="19.95" customHeight="1" x14ac:dyDescent="0.25">
      <c r="A1340" s="10" t="s">
        <v>32</v>
      </c>
      <c r="B1340" s="11" t="s">
        <v>42</v>
      </c>
      <c r="C1340" s="11">
        <v>115.76</v>
      </c>
      <c r="D1340" s="11">
        <v>2007</v>
      </c>
    </row>
    <row r="1341" spans="1:4" ht="19.95" customHeight="1" x14ac:dyDescent="0.25">
      <c r="A1341" s="10" t="s">
        <v>33</v>
      </c>
      <c r="B1341" s="11" t="s">
        <v>42</v>
      </c>
      <c r="C1341" s="11">
        <v>106.87</v>
      </c>
      <c r="D1341" s="11">
        <v>2007</v>
      </c>
    </row>
    <row r="1342" spans="1:4" ht="19.95" customHeight="1" x14ac:dyDescent="0.25">
      <c r="A1342" s="10" t="s">
        <v>34</v>
      </c>
      <c r="B1342" s="11" t="s">
        <v>42</v>
      </c>
      <c r="C1342" s="11">
        <v>102.65</v>
      </c>
      <c r="D1342" s="11">
        <v>2007</v>
      </c>
    </row>
    <row r="1343" spans="1:4" ht="19.95" customHeight="1" x14ac:dyDescent="0.25">
      <c r="A1343" s="10" t="s">
        <v>35</v>
      </c>
      <c r="B1343" s="11" t="s">
        <v>42</v>
      </c>
      <c r="C1343" s="11">
        <v>103.33</v>
      </c>
      <c r="D1343" s="11">
        <v>2007</v>
      </c>
    </row>
    <row r="1344" spans="1:4" ht="19.95" customHeight="1" x14ac:dyDescent="0.25">
      <c r="A1344" s="10" t="s">
        <v>36</v>
      </c>
      <c r="B1344" s="11" t="s">
        <v>42</v>
      </c>
      <c r="C1344" s="11">
        <v>100.91</v>
      </c>
      <c r="D1344" s="11">
        <v>2007</v>
      </c>
    </row>
    <row r="1345" spans="1:4" ht="19.95" customHeight="1" x14ac:dyDescent="0.25">
      <c r="A1345" s="10" t="s">
        <v>37</v>
      </c>
      <c r="B1345" s="11" t="s">
        <v>42</v>
      </c>
      <c r="C1345" s="11">
        <v>107.78</v>
      </c>
      <c r="D1345" s="11">
        <v>2007</v>
      </c>
    </row>
    <row r="1346" spans="1:4" ht="19.95" customHeight="1" x14ac:dyDescent="0.25">
      <c r="A1346" s="10" t="s">
        <v>38</v>
      </c>
      <c r="B1346" s="11" t="s">
        <v>42</v>
      </c>
      <c r="C1346" s="11">
        <v>103.37</v>
      </c>
      <c r="D1346" s="11">
        <v>2007</v>
      </c>
    </row>
    <row r="1347" spans="1:4" ht="19.95" customHeight="1" x14ac:dyDescent="0.25">
      <c r="A1347" s="10" t="s">
        <v>39</v>
      </c>
      <c r="B1347" s="11" t="s">
        <v>42</v>
      </c>
      <c r="C1347" s="11">
        <v>105.39</v>
      </c>
      <c r="D1347" s="11">
        <v>2007</v>
      </c>
    </row>
    <row r="1348" spans="1:4" ht="19.95" customHeight="1" x14ac:dyDescent="0.25">
      <c r="A1348" s="10" t="s">
        <v>40</v>
      </c>
      <c r="B1348" s="11" t="s">
        <v>42</v>
      </c>
      <c r="C1348" s="11">
        <v>99.22</v>
      </c>
      <c r="D1348" s="11">
        <v>2007</v>
      </c>
    </row>
    <row r="1349" spans="1:4" ht="19.95" customHeight="1" x14ac:dyDescent="0.25">
      <c r="A1349" s="10" t="s">
        <v>10</v>
      </c>
      <c r="B1349" s="11" t="s">
        <v>42</v>
      </c>
      <c r="C1349" s="11">
        <v>105.72</v>
      </c>
      <c r="D1349" s="11">
        <v>2008</v>
      </c>
    </row>
    <row r="1350" spans="1:4" ht="19.95" customHeight="1" x14ac:dyDescent="0.25">
      <c r="A1350" s="10" t="s">
        <v>13</v>
      </c>
      <c r="B1350" s="11" t="s">
        <v>42</v>
      </c>
      <c r="C1350" s="11">
        <v>121.63</v>
      </c>
      <c r="D1350" s="11">
        <v>2008</v>
      </c>
    </row>
    <row r="1351" spans="1:4" ht="19.95" customHeight="1" x14ac:dyDescent="0.25">
      <c r="A1351" s="10" t="s">
        <v>15</v>
      </c>
      <c r="B1351" s="11" t="s">
        <v>42</v>
      </c>
      <c r="C1351" s="11">
        <v>111.07</v>
      </c>
      <c r="D1351" s="11">
        <v>2008</v>
      </c>
    </row>
    <row r="1352" spans="1:4" ht="19.95" customHeight="1" x14ac:dyDescent="0.25">
      <c r="A1352" s="10" t="s">
        <v>16</v>
      </c>
      <c r="B1352" s="11" t="s">
        <v>42</v>
      </c>
      <c r="C1352" s="11">
        <v>107.82</v>
      </c>
      <c r="D1352" s="11">
        <v>2008</v>
      </c>
    </row>
    <row r="1353" spans="1:4" ht="19.95" customHeight="1" x14ac:dyDescent="0.25">
      <c r="A1353" s="10" t="s">
        <v>17</v>
      </c>
      <c r="B1353" s="11" t="s">
        <v>42</v>
      </c>
      <c r="C1353" s="11">
        <v>142.25</v>
      </c>
      <c r="D1353" s="11">
        <v>2008</v>
      </c>
    </row>
    <row r="1354" spans="1:4" ht="19.95" customHeight="1" x14ac:dyDescent="0.25">
      <c r="A1354" s="10" t="s">
        <v>2</v>
      </c>
      <c r="B1354" s="11" t="s">
        <v>42</v>
      </c>
      <c r="C1354" s="11">
        <v>114.99</v>
      </c>
      <c r="D1354" s="11">
        <v>2008</v>
      </c>
    </row>
    <row r="1355" spans="1:4" ht="19.95" customHeight="1" x14ac:dyDescent="0.25">
      <c r="A1355" s="10" t="s">
        <v>18</v>
      </c>
      <c r="B1355" s="11" t="s">
        <v>42</v>
      </c>
      <c r="C1355" s="11">
        <v>111.77</v>
      </c>
      <c r="D1355" s="11">
        <v>2008</v>
      </c>
    </row>
    <row r="1356" spans="1:4" ht="19.95" customHeight="1" x14ac:dyDescent="0.25">
      <c r="A1356" s="10" t="s">
        <v>19</v>
      </c>
      <c r="B1356" s="11" t="s">
        <v>42</v>
      </c>
      <c r="C1356" s="11">
        <v>109.46</v>
      </c>
      <c r="D1356" s="11">
        <v>2008</v>
      </c>
    </row>
    <row r="1357" spans="1:4" ht="19.95" customHeight="1" x14ac:dyDescent="0.25">
      <c r="A1357" s="10" t="s">
        <v>20</v>
      </c>
      <c r="B1357" s="11" t="s">
        <v>42</v>
      </c>
      <c r="C1357" s="11">
        <v>111.68</v>
      </c>
      <c r="D1357" s="11">
        <v>2008</v>
      </c>
    </row>
    <row r="1358" spans="1:4" ht="19.95" customHeight="1" x14ac:dyDescent="0.25">
      <c r="A1358" s="10" t="s">
        <v>21</v>
      </c>
      <c r="B1358" s="11" t="s">
        <v>42</v>
      </c>
      <c r="C1358" s="11"/>
      <c r="D1358" s="11">
        <v>2008</v>
      </c>
    </row>
    <row r="1359" spans="1:4" ht="19.95" customHeight="1" x14ac:dyDescent="0.25">
      <c r="A1359" s="10" t="s">
        <v>22</v>
      </c>
      <c r="B1359" s="11" t="s">
        <v>42</v>
      </c>
      <c r="C1359" s="11">
        <v>122.48</v>
      </c>
      <c r="D1359" s="11">
        <v>2008</v>
      </c>
    </row>
    <row r="1360" spans="1:4" ht="19.95" customHeight="1" x14ac:dyDescent="0.25">
      <c r="A1360" s="10" t="s">
        <v>23</v>
      </c>
      <c r="B1360" s="11" t="s">
        <v>42</v>
      </c>
      <c r="C1360" s="11">
        <v>110.87</v>
      </c>
      <c r="D1360" s="11">
        <v>2008</v>
      </c>
    </row>
    <row r="1361" spans="1:4" ht="19.95" customHeight="1" x14ac:dyDescent="0.25">
      <c r="A1361" s="10" t="s">
        <v>24</v>
      </c>
      <c r="B1361" s="11" t="s">
        <v>42</v>
      </c>
      <c r="C1361" s="11">
        <v>135.69999999999999</v>
      </c>
      <c r="D1361" s="11">
        <v>2008</v>
      </c>
    </row>
    <row r="1362" spans="1:4" ht="19.95" customHeight="1" x14ac:dyDescent="0.25">
      <c r="A1362" s="10" t="s">
        <v>25</v>
      </c>
      <c r="B1362" s="11" t="s">
        <v>42</v>
      </c>
      <c r="C1362" s="11">
        <v>129.34</v>
      </c>
      <c r="D1362" s="11">
        <v>2008</v>
      </c>
    </row>
    <row r="1363" spans="1:4" ht="19.95" customHeight="1" x14ac:dyDescent="0.25">
      <c r="A1363" s="10" t="s">
        <v>26</v>
      </c>
      <c r="B1363" s="11" t="s">
        <v>42</v>
      </c>
      <c r="C1363" s="11">
        <v>103.22</v>
      </c>
      <c r="D1363" s="11">
        <v>2008</v>
      </c>
    </row>
    <row r="1364" spans="1:4" ht="19.95" customHeight="1" x14ac:dyDescent="0.25">
      <c r="A1364" s="10" t="s">
        <v>27</v>
      </c>
      <c r="B1364" s="11" t="s">
        <v>42</v>
      </c>
      <c r="C1364" s="11">
        <v>100.44</v>
      </c>
      <c r="D1364" s="11">
        <v>2008</v>
      </c>
    </row>
    <row r="1365" spans="1:4" ht="19.95" customHeight="1" x14ac:dyDescent="0.25">
      <c r="A1365" s="10" t="s">
        <v>29</v>
      </c>
      <c r="B1365" s="11" t="s">
        <v>42</v>
      </c>
      <c r="C1365" s="11">
        <v>126.3</v>
      </c>
      <c r="D1365" s="11">
        <v>2008</v>
      </c>
    </row>
    <row r="1366" spans="1:4" ht="19.95" customHeight="1" x14ac:dyDescent="0.25">
      <c r="A1366" s="10" t="s">
        <v>30</v>
      </c>
      <c r="B1366" s="11" t="s">
        <v>42</v>
      </c>
      <c r="C1366" s="11">
        <v>107.14</v>
      </c>
      <c r="D1366" s="11">
        <v>2008</v>
      </c>
    </row>
    <row r="1367" spans="1:4" ht="19.95" customHeight="1" x14ac:dyDescent="0.25">
      <c r="A1367" s="10" t="s">
        <v>31</v>
      </c>
      <c r="B1367" s="11" t="s">
        <v>42</v>
      </c>
      <c r="C1367" s="11">
        <v>107.82</v>
      </c>
      <c r="D1367" s="11">
        <v>2008</v>
      </c>
    </row>
    <row r="1368" spans="1:4" ht="19.95" customHeight="1" x14ac:dyDescent="0.25">
      <c r="A1368" s="10" t="s">
        <v>32</v>
      </c>
      <c r="B1368" s="11" t="s">
        <v>42</v>
      </c>
      <c r="C1368" s="11">
        <v>139.28</v>
      </c>
      <c r="D1368" s="11">
        <v>2008</v>
      </c>
    </row>
    <row r="1369" spans="1:4" ht="19.95" customHeight="1" x14ac:dyDescent="0.25">
      <c r="A1369" s="10" t="s">
        <v>33</v>
      </c>
      <c r="B1369" s="11" t="s">
        <v>42</v>
      </c>
      <c r="C1369" s="11">
        <v>115.92</v>
      </c>
      <c r="D1369" s="11">
        <v>2008</v>
      </c>
    </row>
    <row r="1370" spans="1:4" ht="19.95" customHeight="1" x14ac:dyDescent="0.25">
      <c r="A1370" s="10" t="s">
        <v>34</v>
      </c>
      <c r="B1370" s="11" t="s">
        <v>42</v>
      </c>
      <c r="C1370" s="11">
        <v>99.58</v>
      </c>
      <c r="D1370" s="11">
        <v>2008</v>
      </c>
    </row>
    <row r="1371" spans="1:4" ht="19.95" customHeight="1" x14ac:dyDescent="0.25">
      <c r="A1371" s="10" t="s">
        <v>35</v>
      </c>
      <c r="B1371" s="11" t="s">
        <v>42</v>
      </c>
      <c r="C1371" s="11">
        <v>115.11</v>
      </c>
      <c r="D1371" s="11">
        <v>2008</v>
      </c>
    </row>
    <row r="1372" spans="1:4" ht="19.95" customHeight="1" x14ac:dyDescent="0.25">
      <c r="A1372" s="10" t="s">
        <v>36</v>
      </c>
      <c r="B1372" s="11" t="s">
        <v>42</v>
      </c>
      <c r="C1372" s="11">
        <v>108.99</v>
      </c>
      <c r="D1372" s="11">
        <v>2008</v>
      </c>
    </row>
    <row r="1373" spans="1:4" ht="19.95" customHeight="1" x14ac:dyDescent="0.25">
      <c r="A1373" s="10" t="s">
        <v>37</v>
      </c>
      <c r="B1373" s="11" t="s">
        <v>42</v>
      </c>
      <c r="C1373" s="11">
        <v>108.05</v>
      </c>
      <c r="D1373" s="11">
        <v>2008</v>
      </c>
    </row>
    <row r="1374" spans="1:4" ht="19.95" customHeight="1" x14ac:dyDescent="0.25">
      <c r="A1374" s="10" t="s">
        <v>38</v>
      </c>
      <c r="B1374" s="11" t="s">
        <v>42</v>
      </c>
      <c r="C1374" s="11">
        <v>89.25</v>
      </c>
      <c r="D1374" s="11">
        <v>2008</v>
      </c>
    </row>
    <row r="1375" spans="1:4" ht="19.95" customHeight="1" x14ac:dyDescent="0.25">
      <c r="A1375" s="10" t="s">
        <v>39</v>
      </c>
      <c r="B1375" s="11" t="s">
        <v>42</v>
      </c>
      <c r="C1375" s="11">
        <v>110.56</v>
      </c>
      <c r="D1375" s="11">
        <v>2008</v>
      </c>
    </row>
    <row r="1376" spans="1:4" ht="19.95" customHeight="1" x14ac:dyDescent="0.25">
      <c r="A1376" s="10" t="s">
        <v>40</v>
      </c>
      <c r="B1376" s="11" t="s">
        <v>42</v>
      </c>
      <c r="C1376" s="11">
        <v>84.22</v>
      </c>
      <c r="D1376" s="11">
        <v>2008</v>
      </c>
    </row>
    <row r="1377" spans="1:4" ht="19.95" customHeight="1" x14ac:dyDescent="0.25">
      <c r="A1377" s="10" t="s">
        <v>10</v>
      </c>
      <c r="B1377" s="11" t="s">
        <v>42</v>
      </c>
      <c r="C1377" s="11">
        <v>112.57</v>
      </c>
      <c r="D1377" s="11">
        <v>2009</v>
      </c>
    </row>
    <row r="1378" spans="1:4" ht="19.95" customHeight="1" x14ac:dyDescent="0.25">
      <c r="A1378" s="10" t="s">
        <v>13</v>
      </c>
      <c r="B1378" s="11" t="s">
        <v>42</v>
      </c>
      <c r="C1378" s="11">
        <v>131.21</v>
      </c>
      <c r="D1378" s="11">
        <v>2009</v>
      </c>
    </row>
    <row r="1379" spans="1:4" ht="19.95" customHeight="1" x14ac:dyDescent="0.25">
      <c r="A1379" s="10" t="s">
        <v>15</v>
      </c>
      <c r="B1379" s="11" t="s">
        <v>42</v>
      </c>
      <c r="C1379" s="11">
        <v>104.62</v>
      </c>
      <c r="D1379" s="11">
        <v>2009</v>
      </c>
    </row>
    <row r="1380" spans="1:4" ht="19.95" customHeight="1" x14ac:dyDescent="0.25">
      <c r="A1380" s="10" t="s">
        <v>16</v>
      </c>
      <c r="B1380" s="11" t="s">
        <v>42</v>
      </c>
      <c r="C1380" s="11">
        <v>106.73</v>
      </c>
      <c r="D1380" s="11">
        <v>2009</v>
      </c>
    </row>
    <row r="1381" spans="1:4" ht="19.95" customHeight="1" x14ac:dyDescent="0.25">
      <c r="A1381" s="10" t="s">
        <v>17</v>
      </c>
      <c r="B1381" s="11" t="s">
        <v>42</v>
      </c>
      <c r="C1381" s="11">
        <v>125.38</v>
      </c>
      <c r="D1381" s="11">
        <v>2009</v>
      </c>
    </row>
    <row r="1382" spans="1:4" ht="19.95" customHeight="1" x14ac:dyDescent="0.25">
      <c r="A1382" s="10" t="s">
        <v>2</v>
      </c>
      <c r="B1382" s="11" t="s">
        <v>42</v>
      </c>
      <c r="C1382" s="11">
        <v>122</v>
      </c>
      <c r="D1382" s="11">
        <v>2009</v>
      </c>
    </row>
    <row r="1383" spans="1:4" ht="19.95" customHeight="1" x14ac:dyDescent="0.25">
      <c r="A1383" s="10" t="s">
        <v>18</v>
      </c>
      <c r="B1383" s="11" t="s">
        <v>42</v>
      </c>
      <c r="C1383" s="11">
        <v>112.15</v>
      </c>
      <c r="D1383" s="11">
        <v>2009</v>
      </c>
    </row>
    <row r="1384" spans="1:4" ht="19.95" customHeight="1" x14ac:dyDescent="0.25">
      <c r="A1384" s="10" t="s">
        <v>19</v>
      </c>
      <c r="B1384" s="11" t="s">
        <v>42</v>
      </c>
      <c r="C1384" s="11">
        <v>122.03</v>
      </c>
      <c r="D1384" s="11">
        <v>2009</v>
      </c>
    </row>
    <row r="1385" spans="1:4" ht="19.95" customHeight="1" x14ac:dyDescent="0.25">
      <c r="A1385" s="10" t="s">
        <v>20</v>
      </c>
      <c r="B1385" s="11" t="s">
        <v>42</v>
      </c>
      <c r="C1385" s="11">
        <v>117.82</v>
      </c>
      <c r="D1385" s="11">
        <v>2009</v>
      </c>
    </row>
    <row r="1386" spans="1:4" ht="19.95" customHeight="1" x14ac:dyDescent="0.25">
      <c r="A1386" s="10" t="s">
        <v>21</v>
      </c>
      <c r="B1386" s="11" t="s">
        <v>42</v>
      </c>
      <c r="C1386" s="11"/>
      <c r="D1386" s="11">
        <v>2009</v>
      </c>
    </row>
    <row r="1387" spans="1:4" ht="19.95" customHeight="1" x14ac:dyDescent="0.25">
      <c r="A1387" s="10" t="s">
        <v>22</v>
      </c>
      <c r="B1387" s="11" t="s">
        <v>42</v>
      </c>
      <c r="C1387" s="11">
        <v>123.47</v>
      </c>
      <c r="D1387" s="11">
        <v>2009</v>
      </c>
    </row>
    <row r="1388" spans="1:4" ht="19.95" customHeight="1" x14ac:dyDescent="0.25">
      <c r="A1388" s="10" t="s">
        <v>23</v>
      </c>
      <c r="B1388" s="11" t="s">
        <v>42</v>
      </c>
      <c r="C1388" s="11">
        <v>116.44</v>
      </c>
      <c r="D1388" s="11">
        <v>2009</v>
      </c>
    </row>
    <row r="1389" spans="1:4" ht="19.95" customHeight="1" x14ac:dyDescent="0.25">
      <c r="A1389" s="10" t="s">
        <v>24</v>
      </c>
      <c r="B1389" s="11" t="s">
        <v>42</v>
      </c>
      <c r="C1389" s="11">
        <v>154.86000000000001</v>
      </c>
      <c r="D1389" s="11">
        <v>2009</v>
      </c>
    </row>
    <row r="1390" spans="1:4" ht="19.95" customHeight="1" x14ac:dyDescent="0.25">
      <c r="A1390" s="10" t="s">
        <v>25</v>
      </c>
      <c r="B1390" s="11" t="s">
        <v>42</v>
      </c>
      <c r="C1390" s="11">
        <v>139.6</v>
      </c>
      <c r="D1390" s="11">
        <v>2009</v>
      </c>
    </row>
    <row r="1391" spans="1:4" ht="19.95" customHeight="1" x14ac:dyDescent="0.25">
      <c r="A1391" s="10" t="s">
        <v>26</v>
      </c>
      <c r="B1391" s="11" t="s">
        <v>42</v>
      </c>
      <c r="C1391" s="11">
        <v>90.1</v>
      </c>
      <c r="D1391" s="11">
        <v>2009</v>
      </c>
    </row>
    <row r="1392" spans="1:4" ht="19.95" customHeight="1" x14ac:dyDescent="0.25">
      <c r="A1392" s="10" t="s">
        <v>27</v>
      </c>
      <c r="B1392" s="11" t="s">
        <v>42</v>
      </c>
      <c r="C1392" s="11">
        <v>116.31</v>
      </c>
      <c r="D1392" s="11">
        <v>2009</v>
      </c>
    </row>
    <row r="1393" spans="1:4" ht="19.95" customHeight="1" x14ac:dyDescent="0.25">
      <c r="A1393" s="10" t="s">
        <v>29</v>
      </c>
      <c r="B1393" s="11" t="s">
        <v>42</v>
      </c>
      <c r="C1393" s="11">
        <v>129.81</v>
      </c>
      <c r="D1393" s="11">
        <v>2009</v>
      </c>
    </row>
    <row r="1394" spans="1:4" ht="19.95" customHeight="1" x14ac:dyDescent="0.25">
      <c r="A1394" s="10" t="s">
        <v>30</v>
      </c>
      <c r="B1394" s="11" t="s">
        <v>42</v>
      </c>
      <c r="C1394" s="11">
        <v>112.21</v>
      </c>
      <c r="D1394" s="11">
        <v>2009</v>
      </c>
    </row>
    <row r="1395" spans="1:4" ht="19.95" customHeight="1" x14ac:dyDescent="0.25">
      <c r="A1395" s="10" t="s">
        <v>31</v>
      </c>
      <c r="B1395" s="11" t="s">
        <v>42</v>
      </c>
      <c r="C1395" s="11">
        <v>117.62</v>
      </c>
      <c r="D1395" s="11">
        <v>2009</v>
      </c>
    </row>
    <row r="1396" spans="1:4" ht="19.95" customHeight="1" x14ac:dyDescent="0.25">
      <c r="A1396" s="10" t="s">
        <v>32</v>
      </c>
      <c r="B1396" s="11" t="s">
        <v>42</v>
      </c>
      <c r="C1396" s="11">
        <v>113.47</v>
      </c>
      <c r="D1396" s="11">
        <v>2009</v>
      </c>
    </row>
    <row r="1397" spans="1:4" ht="19.95" customHeight="1" x14ac:dyDescent="0.25">
      <c r="A1397" s="10" t="s">
        <v>33</v>
      </c>
      <c r="B1397" s="11" t="s">
        <v>42</v>
      </c>
      <c r="C1397" s="11">
        <v>135.38999999999999</v>
      </c>
      <c r="D1397" s="11">
        <v>2009</v>
      </c>
    </row>
    <row r="1398" spans="1:4" ht="19.95" customHeight="1" x14ac:dyDescent="0.25">
      <c r="A1398" s="10" t="s">
        <v>34</v>
      </c>
      <c r="B1398" s="11" t="s">
        <v>42</v>
      </c>
      <c r="C1398" s="11">
        <v>101.98</v>
      </c>
      <c r="D1398" s="11">
        <v>2009</v>
      </c>
    </row>
    <row r="1399" spans="1:4" ht="19.95" customHeight="1" x14ac:dyDescent="0.25">
      <c r="A1399" s="10" t="s">
        <v>35</v>
      </c>
      <c r="B1399" s="11" t="s">
        <v>42</v>
      </c>
      <c r="C1399" s="11">
        <v>113.5</v>
      </c>
      <c r="D1399" s="11">
        <v>2009</v>
      </c>
    </row>
    <row r="1400" spans="1:4" ht="19.95" customHeight="1" x14ac:dyDescent="0.25">
      <c r="A1400" s="10" t="s">
        <v>36</v>
      </c>
      <c r="B1400" s="11" t="s">
        <v>42</v>
      </c>
      <c r="C1400" s="11">
        <v>120.11</v>
      </c>
      <c r="D1400" s="11">
        <v>2009</v>
      </c>
    </row>
    <row r="1401" spans="1:4" ht="19.95" customHeight="1" x14ac:dyDescent="0.25">
      <c r="A1401" s="10" t="s">
        <v>37</v>
      </c>
      <c r="B1401" s="11" t="s">
        <v>42</v>
      </c>
      <c r="C1401" s="11">
        <v>111.78</v>
      </c>
      <c r="D1401" s="11">
        <v>2009</v>
      </c>
    </row>
    <row r="1402" spans="1:4" ht="19.95" customHeight="1" x14ac:dyDescent="0.25">
      <c r="A1402" s="10" t="s">
        <v>38</v>
      </c>
      <c r="B1402" s="11" t="s">
        <v>42</v>
      </c>
      <c r="C1402" s="11">
        <v>93.91</v>
      </c>
      <c r="D1402" s="11">
        <v>2009</v>
      </c>
    </row>
    <row r="1403" spans="1:4" ht="19.95" customHeight="1" x14ac:dyDescent="0.25">
      <c r="A1403" s="10" t="s">
        <v>39</v>
      </c>
      <c r="B1403" s="11" t="s">
        <v>42</v>
      </c>
      <c r="C1403" s="11">
        <v>141.88999999999999</v>
      </c>
      <c r="D1403" s="11">
        <v>2009</v>
      </c>
    </row>
    <row r="1404" spans="1:4" ht="19.95" customHeight="1" x14ac:dyDescent="0.25">
      <c r="A1404" s="10" t="s">
        <v>40</v>
      </c>
      <c r="B1404" s="11" t="s">
        <v>42</v>
      </c>
      <c r="C1404" s="11">
        <v>84.03</v>
      </c>
      <c r="D1404" s="11">
        <v>2009</v>
      </c>
    </row>
    <row r="1405" spans="1:4" ht="19.95" customHeight="1" x14ac:dyDescent="0.25">
      <c r="A1405" s="10" t="s">
        <v>10</v>
      </c>
      <c r="B1405" s="11" t="s">
        <v>42</v>
      </c>
      <c r="C1405" s="11">
        <v>113.93</v>
      </c>
      <c r="D1405" s="11">
        <v>2010</v>
      </c>
    </row>
    <row r="1406" spans="1:4" ht="19.95" customHeight="1" x14ac:dyDescent="0.25">
      <c r="A1406" s="10" t="s">
        <v>13</v>
      </c>
      <c r="B1406" s="11" t="s">
        <v>42</v>
      </c>
      <c r="C1406" s="11">
        <v>142.88</v>
      </c>
      <c r="D1406" s="11">
        <v>2010</v>
      </c>
    </row>
    <row r="1407" spans="1:4" ht="19.95" customHeight="1" x14ac:dyDescent="0.25">
      <c r="A1407" s="10" t="s">
        <v>15</v>
      </c>
      <c r="B1407" s="11" t="s">
        <v>42</v>
      </c>
      <c r="C1407" s="11">
        <v>155.81</v>
      </c>
      <c r="D1407" s="11">
        <v>2010</v>
      </c>
    </row>
    <row r="1408" spans="1:4" ht="19.95" customHeight="1" x14ac:dyDescent="0.25">
      <c r="A1408" s="10" t="s">
        <v>16</v>
      </c>
      <c r="B1408" s="11" t="s">
        <v>42</v>
      </c>
      <c r="C1408" s="11">
        <v>106.01</v>
      </c>
      <c r="D1408" s="11">
        <v>2010</v>
      </c>
    </row>
    <row r="1409" spans="1:4" ht="19.95" customHeight="1" x14ac:dyDescent="0.25">
      <c r="A1409" s="10" t="s">
        <v>17</v>
      </c>
      <c r="B1409" s="11" t="s">
        <v>42</v>
      </c>
      <c r="C1409" s="11">
        <v>115.67</v>
      </c>
      <c r="D1409" s="11">
        <v>2010</v>
      </c>
    </row>
    <row r="1410" spans="1:4" ht="19.95" customHeight="1" x14ac:dyDescent="0.25">
      <c r="A1410" s="10" t="s">
        <v>2</v>
      </c>
      <c r="B1410" s="11" t="s">
        <v>42</v>
      </c>
      <c r="C1410" s="11">
        <v>137.53</v>
      </c>
      <c r="D1410" s="11">
        <v>2010</v>
      </c>
    </row>
    <row r="1411" spans="1:4" ht="19.95" customHeight="1" x14ac:dyDescent="0.25">
      <c r="A1411" s="10" t="s">
        <v>18</v>
      </c>
      <c r="B1411" s="11" t="s">
        <v>42</v>
      </c>
      <c r="C1411" s="11">
        <v>119.79</v>
      </c>
      <c r="D1411" s="11">
        <v>2010</v>
      </c>
    </row>
    <row r="1412" spans="1:4" ht="19.95" customHeight="1" x14ac:dyDescent="0.25">
      <c r="A1412" s="10" t="s">
        <v>19</v>
      </c>
      <c r="B1412" s="11" t="s">
        <v>42</v>
      </c>
      <c r="C1412" s="11">
        <v>133.21</v>
      </c>
      <c r="D1412" s="11">
        <v>2010</v>
      </c>
    </row>
    <row r="1413" spans="1:4" ht="19.95" customHeight="1" x14ac:dyDescent="0.25">
      <c r="A1413" s="10" t="s">
        <v>20</v>
      </c>
      <c r="B1413" s="11" t="s">
        <v>42</v>
      </c>
      <c r="C1413" s="11">
        <v>123.63</v>
      </c>
      <c r="D1413" s="11">
        <v>2010</v>
      </c>
    </row>
    <row r="1414" spans="1:4" ht="19.95" customHeight="1" x14ac:dyDescent="0.25">
      <c r="A1414" s="10" t="s">
        <v>21</v>
      </c>
      <c r="B1414" s="11" t="s">
        <v>42</v>
      </c>
      <c r="C1414" s="11"/>
      <c r="D1414" s="11">
        <v>2010</v>
      </c>
    </row>
    <row r="1415" spans="1:4" ht="19.95" customHeight="1" x14ac:dyDescent="0.25">
      <c r="A1415" s="10" t="s">
        <v>22</v>
      </c>
      <c r="B1415" s="11" t="s">
        <v>42</v>
      </c>
      <c r="C1415" s="11">
        <v>126.85</v>
      </c>
      <c r="D1415" s="11">
        <v>2010</v>
      </c>
    </row>
    <row r="1416" spans="1:4" ht="19.95" customHeight="1" x14ac:dyDescent="0.25">
      <c r="A1416" s="10" t="s">
        <v>23</v>
      </c>
      <c r="B1416" s="11" t="s">
        <v>42</v>
      </c>
      <c r="C1416" s="11">
        <v>118.98</v>
      </c>
      <c r="D1416" s="11">
        <v>2010</v>
      </c>
    </row>
    <row r="1417" spans="1:4" ht="19.95" customHeight="1" x14ac:dyDescent="0.25">
      <c r="A1417" s="10" t="s">
        <v>24</v>
      </c>
      <c r="B1417" s="11" t="s">
        <v>42</v>
      </c>
      <c r="C1417" s="11">
        <v>156.22</v>
      </c>
      <c r="D1417" s="11">
        <v>2010</v>
      </c>
    </row>
    <row r="1418" spans="1:4" ht="19.95" customHeight="1" x14ac:dyDescent="0.25">
      <c r="A1418" s="10" t="s">
        <v>25</v>
      </c>
      <c r="B1418" s="11" t="s">
        <v>42</v>
      </c>
      <c r="C1418" s="11">
        <v>132.25</v>
      </c>
      <c r="D1418" s="11">
        <v>2010</v>
      </c>
    </row>
    <row r="1419" spans="1:4" ht="19.95" customHeight="1" x14ac:dyDescent="0.25">
      <c r="A1419" s="10" t="s">
        <v>26</v>
      </c>
      <c r="B1419" s="11" t="s">
        <v>42</v>
      </c>
      <c r="C1419" s="11">
        <v>92.5</v>
      </c>
      <c r="D1419" s="11">
        <v>2010</v>
      </c>
    </row>
    <row r="1420" spans="1:4" ht="19.95" customHeight="1" x14ac:dyDescent="0.25">
      <c r="A1420" s="10" t="s">
        <v>27</v>
      </c>
      <c r="B1420" s="11" t="s">
        <v>42</v>
      </c>
      <c r="C1420" s="11">
        <v>149.53</v>
      </c>
      <c r="D1420" s="11">
        <v>2010</v>
      </c>
    </row>
    <row r="1421" spans="1:4" ht="19.95" customHeight="1" x14ac:dyDescent="0.25">
      <c r="A1421" s="10" t="s">
        <v>29</v>
      </c>
      <c r="B1421" s="11" t="s">
        <v>42</v>
      </c>
      <c r="C1421" s="11">
        <v>131.81</v>
      </c>
      <c r="D1421" s="11">
        <v>2010</v>
      </c>
    </row>
    <row r="1422" spans="1:4" ht="19.95" customHeight="1" x14ac:dyDescent="0.25">
      <c r="A1422" s="10" t="s">
        <v>30</v>
      </c>
      <c r="B1422" s="11" t="s">
        <v>42</v>
      </c>
      <c r="C1422" s="11">
        <v>113.3</v>
      </c>
      <c r="D1422" s="11">
        <v>2010</v>
      </c>
    </row>
    <row r="1423" spans="1:4" ht="19.95" customHeight="1" x14ac:dyDescent="0.25">
      <c r="A1423" s="10" t="s">
        <v>31</v>
      </c>
      <c r="B1423" s="11" t="s">
        <v>42</v>
      </c>
      <c r="C1423" s="11">
        <v>119.93</v>
      </c>
      <c r="D1423" s="11">
        <v>2010</v>
      </c>
    </row>
    <row r="1424" spans="1:4" ht="19.95" customHeight="1" x14ac:dyDescent="0.25">
      <c r="A1424" s="10" t="s">
        <v>32</v>
      </c>
      <c r="B1424" s="11" t="s">
        <v>42</v>
      </c>
      <c r="C1424" s="11">
        <v>145.66</v>
      </c>
      <c r="D1424" s="11">
        <v>2010</v>
      </c>
    </row>
    <row r="1425" spans="1:4" ht="19.95" customHeight="1" x14ac:dyDescent="0.25">
      <c r="A1425" s="10" t="s">
        <v>33</v>
      </c>
      <c r="B1425" s="11" t="s">
        <v>42</v>
      </c>
      <c r="C1425" s="11">
        <v>140.38</v>
      </c>
      <c r="D1425" s="11">
        <v>2010</v>
      </c>
    </row>
    <row r="1426" spans="1:4" ht="19.95" customHeight="1" x14ac:dyDescent="0.25">
      <c r="A1426" s="10" t="s">
        <v>34</v>
      </c>
      <c r="B1426" s="11" t="s">
        <v>42</v>
      </c>
      <c r="C1426" s="11">
        <v>104.97</v>
      </c>
      <c r="D1426" s="11">
        <v>2010</v>
      </c>
    </row>
    <row r="1427" spans="1:4" ht="19.95" customHeight="1" x14ac:dyDescent="0.25">
      <c r="A1427" s="10" t="s">
        <v>35</v>
      </c>
      <c r="B1427" s="11" t="s">
        <v>42</v>
      </c>
      <c r="C1427" s="11">
        <v>124.68</v>
      </c>
      <c r="D1427" s="11">
        <v>2010</v>
      </c>
    </row>
    <row r="1428" spans="1:4" ht="19.95" customHeight="1" x14ac:dyDescent="0.25">
      <c r="A1428" s="10" t="s">
        <v>36</v>
      </c>
      <c r="B1428" s="11" t="s">
        <v>42</v>
      </c>
      <c r="C1428" s="11">
        <v>120.78</v>
      </c>
      <c r="D1428" s="11">
        <v>2010</v>
      </c>
    </row>
    <row r="1429" spans="1:4" ht="19.95" customHeight="1" x14ac:dyDescent="0.25">
      <c r="A1429" s="10" t="s">
        <v>37</v>
      </c>
      <c r="B1429" s="11" t="s">
        <v>42</v>
      </c>
      <c r="C1429" s="11">
        <v>129.16999999999999</v>
      </c>
      <c r="D1429" s="11">
        <v>2010</v>
      </c>
    </row>
    <row r="1430" spans="1:4" ht="19.95" customHeight="1" x14ac:dyDescent="0.25">
      <c r="A1430" s="10" t="s">
        <v>38</v>
      </c>
      <c r="B1430" s="11" t="s">
        <v>42</v>
      </c>
      <c r="C1430" s="11">
        <v>96.89</v>
      </c>
      <c r="D1430" s="11">
        <v>2010</v>
      </c>
    </row>
    <row r="1431" spans="1:4" ht="19.95" customHeight="1" x14ac:dyDescent="0.25">
      <c r="A1431" s="10" t="s">
        <v>39</v>
      </c>
      <c r="B1431" s="11" t="s">
        <v>42</v>
      </c>
      <c r="C1431" s="11">
        <v>165.17</v>
      </c>
      <c r="D1431" s="11">
        <v>2010</v>
      </c>
    </row>
    <row r="1432" spans="1:4" ht="19.95" customHeight="1" x14ac:dyDescent="0.25">
      <c r="A1432" s="10" t="s">
        <v>40</v>
      </c>
      <c r="B1432" s="11" t="s">
        <v>42</v>
      </c>
      <c r="C1432" s="11">
        <v>91.92</v>
      </c>
      <c r="D1432" s="11">
        <v>2010</v>
      </c>
    </row>
    <row r="1433" spans="1:4" ht="19.95" customHeight="1" x14ac:dyDescent="0.25">
      <c r="A1433" s="10" t="s">
        <v>10</v>
      </c>
      <c r="B1433" s="11" t="s">
        <v>42</v>
      </c>
      <c r="C1433" s="11">
        <v>111.92</v>
      </c>
      <c r="D1433" s="11">
        <v>2011</v>
      </c>
    </row>
    <row r="1434" spans="1:4" ht="19.95" customHeight="1" x14ac:dyDescent="0.25">
      <c r="A1434" s="10" t="s">
        <v>13</v>
      </c>
      <c r="B1434" s="11" t="s">
        <v>42</v>
      </c>
      <c r="C1434" s="11">
        <v>148.37</v>
      </c>
      <c r="D1434" s="11">
        <v>2011</v>
      </c>
    </row>
    <row r="1435" spans="1:4" ht="19.95" customHeight="1" x14ac:dyDescent="0.25">
      <c r="A1435" s="10" t="s">
        <v>15</v>
      </c>
      <c r="B1435" s="11" t="s">
        <v>42</v>
      </c>
      <c r="C1435" s="11">
        <v>113.97</v>
      </c>
      <c r="D1435" s="11">
        <v>2011</v>
      </c>
    </row>
    <row r="1436" spans="1:4" ht="19.95" customHeight="1" x14ac:dyDescent="0.25">
      <c r="A1436" s="10" t="s">
        <v>16</v>
      </c>
      <c r="B1436" s="11" t="s">
        <v>42</v>
      </c>
      <c r="C1436" s="11">
        <v>105.66</v>
      </c>
      <c r="D1436" s="11">
        <v>2011</v>
      </c>
    </row>
    <row r="1437" spans="1:4" ht="19.95" customHeight="1" x14ac:dyDescent="0.25">
      <c r="A1437" s="10" t="s">
        <v>17</v>
      </c>
      <c r="B1437" s="11" t="s">
        <v>42</v>
      </c>
      <c r="C1437" s="11">
        <v>130.97</v>
      </c>
      <c r="D1437" s="11">
        <v>2011</v>
      </c>
    </row>
    <row r="1438" spans="1:4" ht="19.95" customHeight="1" x14ac:dyDescent="0.25">
      <c r="A1438" s="10" t="s">
        <v>2</v>
      </c>
      <c r="B1438" s="11" t="s">
        <v>42</v>
      </c>
      <c r="C1438" s="11">
        <v>138.58000000000001</v>
      </c>
      <c r="D1438" s="11">
        <v>2011</v>
      </c>
    </row>
    <row r="1439" spans="1:4" ht="19.95" customHeight="1" x14ac:dyDescent="0.25">
      <c r="A1439" s="10" t="s">
        <v>18</v>
      </c>
      <c r="B1439" s="11" t="s">
        <v>42</v>
      </c>
      <c r="C1439" s="11">
        <v>125.42</v>
      </c>
      <c r="D1439" s="11">
        <v>2011</v>
      </c>
    </row>
    <row r="1440" spans="1:4" ht="19.95" customHeight="1" x14ac:dyDescent="0.25">
      <c r="A1440" s="10" t="s">
        <v>19</v>
      </c>
      <c r="B1440" s="11" t="s">
        <v>42</v>
      </c>
      <c r="C1440" s="11">
        <v>141.47</v>
      </c>
      <c r="D1440" s="11">
        <v>2011</v>
      </c>
    </row>
    <row r="1441" spans="1:4" ht="19.95" customHeight="1" x14ac:dyDescent="0.25">
      <c r="A1441" s="10" t="s">
        <v>20</v>
      </c>
      <c r="B1441" s="11" t="s">
        <v>42</v>
      </c>
      <c r="C1441" s="11">
        <v>117.21</v>
      </c>
      <c r="D1441" s="11">
        <v>2011</v>
      </c>
    </row>
    <row r="1442" spans="1:4" ht="19.95" customHeight="1" x14ac:dyDescent="0.25">
      <c r="A1442" s="10" t="s">
        <v>21</v>
      </c>
      <c r="B1442" s="11" t="s">
        <v>42</v>
      </c>
      <c r="C1442" s="11"/>
      <c r="D1442" s="11">
        <v>2011</v>
      </c>
    </row>
    <row r="1443" spans="1:4" ht="19.95" customHeight="1" x14ac:dyDescent="0.25">
      <c r="A1443" s="10" t="s">
        <v>22</v>
      </c>
      <c r="B1443" s="11" t="s">
        <v>42</v>
      </c>
      <c r="C1443" s="11">
        <v>130.65</v>
      </c>
      <c r="D1443" s="11">
        <v>2011</v>
      </c>
    </row>
    <row r="1444" spans="1:4" ht="19.95" customHeight="1" x14ac:dyDescent="0.25">
      <c r="A1444" s="10" t="s">
        <v>23</v>
      </c>
      <c r="B1444" s="11" t="s">
        <v>42</v>
      </c>
      <c r="C1444" s="11">
        <v>120.57</v>
      </c>
      <c r="D1444" s="11">
        <v>2011</v>
      </c>
    </row>
    <row r="1445" spans="1:4" ht="19.95" customHeight="1" x14ac:dyDescent="0.25">
      <c r="A1445" s="10" t="s">
        <v>24</v>
      </c>
      <c r="B1445" s="11" t="s">
        <v>42</v>
      </c>
      <c r="C1445" s="11">
        <v>164.99</v>
      </c>
      <c r="D1445" s="11">
        <v>2011</v>
      </c>
    </row>
    <row r="1446" spans="1:4" ht="19.95" customHeight="1" x14ac:dyDescent="0.25">
      <c r="A1446" s="10" t="s">
        <v>25</v>
      </c>
      <c r="B1446" s="11" t="s">
        <v>42</v>
      </c>
      <c r="C1446" s="11">
        <v>146.54</v>
      </c>
      <c r="D1446" s="11">
        <v>2011</v>
      </c>
    </row>
    <row r="1447" spans="1:4" ht="19.95" customHeight="1" x14ac:dyDescent="0.25">
      <c r="A1447" s="10" t="s">
        <v>26</v>
      </c>
      <c r="B1447" s="11" t="s">
        <v>42</v>
      </c>
      <c r="C1447" s="11">
        <v>101.5</v>
      </c>
      <c r="D1447" s="11">
        <v>2011</v>
      </c>
    </row>
    <row r="1448" spans="1:4" ht="19.95" customHeight="1" x14ac:dyDescent="0.25">
      <c r="A1448" s="10" t="s">
        <v>27</v>
      </c>
      <c r="B1448" s="11" t="s">
        <v>42</v>
      </c>
      <c r="C1448" s="11">
        <v>157.55000000000001</v>
      </c>
      <c r="D1448" s="11">
        <v>2011</v>
      </c>
    </row>
    <row r="1449" spans="1:4" ht="19.95" customHeight="1" x14ac:dyDescent="0.25">
      <c r="A1449" s="10" t="s">
        <v>29</v>
      </c>
      <c r="B1449" s="11" t="s">
        <v>42</v>
      </c>
      <c r="C1449" s="11">
        <v>129.44999999999999</v>
      </c>
      <c r="D1449" s="11">
        <v>2011</v>
      </c>
    </row>
    <row r="1450" spans="1:4" ht="19.95" customHeight="1" x14ac:dyDescent="0.25">
      <c r="A1450" s="10" t="s">
        <v>30</v>
      </c>
      <c r="B1450" s="11" t="s">
        <v>42</v>
      </c>
      <c r="C1450" s="11">
        <v>121.52</v>
      </c>
      <c r="D1450" s="11">
        <v>2011</v>
      </c>
    </row>
    <row r="1451" spans="1:4" ht="19.95" customHeight="1" x14ac:dyDescent="0.25">
      <c r="A1451" s="10" t="s">
        <v>31</v>
      </c>
      <c r="B1451" s="11" t="s">
        <v>42</v>
      </c>
      <c r="C1451" s="11">
        <v>126.07</v>
      </c>
      <c r="D1451" s="11">
        <v>2011</v>
      </c>
    </row>
    <row r="1452" spans="1:4" ht="19.95" customHeight="1" x14ac:dyDescent="0.25">
      <c r="A1452" s="10" t="s">
        <v>32</v>
      </c>
      <c r="B1452" s="11" t="s">
        <v>42</v>
      </c>
      <c r="C1452" s="11">
        <v>128.03</v>
      </c>
      <c r="D1452" s="11">
        <v>2011</v>
      </c>
    </row>
    <row r="1453" spans="1:4" ht="19.95" customHeight="1" x14ac:dyDescent="0.25">
      <c r="A1453" s="10" t="s">
        <v>33</v>
      </c>
      <c r="B1453" s="11" t="s">
        <v>42</v>
      </c>
      <c r="C1453" s="11">
        <v>150.5</v>
      </c>
      <c r="D1453" s="11">
        <v>2011</v>
      </c>
    </row>
    <row r="1454" spans="1:4" ht="19.95" customHeight="1" x14ac:dyDescent="0.25">
      <c r="A1454" s="10" t="s">
        <v>34</v>
      </c>
      <c r="B1454" s="11" t="s">
        <v>42</v>
      </c>
      <c r="C1454" s="11">
        <v>105.83</v>
      </c>
      <c r="D1454" s="11">
        <v>2011</v>
      </c>
    </row>
    <row r="1455" spans="1:4" ht="19.95" customHeight="1" x14ac:dyDescent="0.25">
      <c r="A1455" s="10" t="s">
        <v>35</v>
      </c>
      <c r="B1455" s="11" t="s">
        <v>42</v>
      </c>
      <c r="C1455" s="11">
        <v>118.99</v>
      </c>
      <c r="D1455" s="11">
        <v>2011</v>
      </c>
    </row>
    <row r="1456" spans="1:4" ht="19.95" customHeight="1" x14ac:dyDescent="0.25">
      <c r="A1456" s="10" t="s">
        <v>36</v>
      </c>
      <c r="B1456" s="11" t="s">
        <v>42</v>
      </c>
      <c r="C1456" s="11">
        <v>123.82</v>
      </c>
      <c r="D1456" s="11">
        <v>2011</v>
      </c>
    </row>
    <row r="1457" spans="1:4" ht="19.95" customHeight="1" x14ac:dyDescent="0.25">
      <c r="A1457" s="10" t="s">
        <v>37</v>
      </c>
      <c r="B1457" s="11" t="s">
        <v>42</v>
      </c>
      <c r="C1457" s="11">
        <v>138.25</v>
      </c>
      <c r="D1457" s="11">
        <v>2011</v>
      </c>
    </row>
    <row r="1458" spans="1:4" ht="19.95" customHeight="1" x14ac:dyDescent="0.25">
      <c r="A1458" s="10" t="s">
        <v>38</v>
      </c>
      <c r="B1458" s="11" t="s">
        <v>42</v>
      </c>
      <c r="C1458" s="11">
        <v>98.08</v>
      </c>
      <c r="D1458" s="11">
        <v>2011</v>
      </c>
    </row>
    <row r="1459" spans="1:4" ht="19.95" customHeight="1" x14ac:dyDescent="0.25">
      <c r="A1459" s="10" t="s">
        <v>39</v>
      </c>
      <c r="B1459" s="11" t="s">
        <v>42</v>
      </c>
      <c r="C1459" s="11">
        <v>174.44</v>
      </c>
      <c r="D1459" s="11">
        <v>2011</v>
      </c>
    </row>
    <row r="1460" spans="1:4" ht="19.95" customHeight="1" x14ac:dyDescent="0.25">
      <c r="A1460" s="10" t="s">
        <v>40</v>
      </c>
      <c r="B1460" s="11" t="s">
        <v>42</v>
      </c>
      <c r="C1460" s="11">
        <v>88.43</v>
      </c>
      <c r="D1460" s="11">
        <v>2011</v>
      </c>
    </row>
    <row r="1461" spans="1:4" ht="19.95" customHeight="1" x14ac:dyDescent="0.25">
      <c r="A1461" s="10" t="s">
        <v>10</v>
      </c>
      <c r="B1461" s="11" t="s">
        <v>42</v>
      </c>
      <c r="C1461" s="11">
        <v>98.47</v>
      </c>
      <c r="D1461" s="11">
        <v>2012</v>
      </c>
    </row>
    <row r="1462" spans="1:4" ht="19.95" customHeight="1" x14ac:dyDescent="0.25">
      <c r="A1462" s="10" t="s">
        <v>13</v>
      </c>
      <c r="B1462" s="11" t="s">
        <v>42</v>
      </c>
      <c r="C1462" s="11">
        <v>155.87</v>
      </c>
      <c r="D1462" s="11">
        <v>2012</v>
      </c>
    </row>
    <row r="1463" spans="1:4" ht="19.95" customHeight="1" x14ac:dyDescent="0.25">
      <c r="A1463" s="10" t="s">
        <v>15</v>
      </c>
      <c r="B1463" s="11" t="s">
        <v>42</v>
      </c>
      <c r="C1463" s="11">
        <v>161.94999999999999</v>
      </c>
      <c r="D1463" s="11">
        <v>2012</v>
      </c>
    </row>
    <row r="1464" spans="1:4" ht="19.95" customHeight="1" x14ac:dyDescent="0.25">
      <c r="A1464" s="10" t="s">
        <v>16</v>
      </c>
      <c r="B1464" s="11" t="s">
        <v>42</v>
      </c>
      <c r="C1464" s="11">
        <v>101.5</v>
      </c>
      <c r="D1464" s="11">
        <v>2012</v>
      </c>
    </row>
    <row r="1465" spans="1:4" ht="19.95" customHeight="1" x14ac:dyDescent="0.25">
      <c r="A1465" s="10" t="s">
        <v>17</v>
      </c>
      <c r="B1465" s="11" t="s">
        <v>42</v>
      </c>
      <c r="C1465" s="11">
        <v>134.19999999999999</v>
      </c>
      <c r="D1465" s="11">
        <v>2012</v>
      </c>
    </row>
    <row r="1466" spans="1:4" ht="19.95" customHeight="1" x14ac:dyDescent="0.25">
      <c r="A1466" s="10" t="s">
        <v>2</v>
      </c>
      <c r="B1466" s="11" t="s">
        <v>42</v>
      </c>
      <c r="C1466" s="11">
        <v>147.09</v>
      </c>
      <c r="D1466" s="11">
        <v>2012</v>
      </c>
    </row>
    <row r="1467" spans="1:4" ht="19.95" customHeight="1" x14ac:dyDescent="0.25">
      <c r="A1467" s="10" t="s">
        <v>18</v>
      </c>
      <c r="B1467" s="11" t="s">
        <v>42</v>
      </c>
      <c r="C1467" s="11">
        <v>128.9</v>
      </c>
      <c r="D1467" s="11">
        <v>2012</v>
      </c>
    </row>
    <row r="1468" spans="1:4" ht="19.95" customHeight="1" x14ac:dyDescent="0.25">
      <c r="A1468" s="10" t="s">
        <v>19</v>
      </c>
      <c r="B1468" s="11" t="s">
        <v>42</v>
      </c>
      <c r="C1468" s="11">
        <v>143.36000000000001</v>
      </c>
      <c r="D1468" s="11">
        <v>2012</v>
      </c>
    </row>
    <row r="1469" spans="1:4" ht="19.95" customHeight="1" x14ac:dyDescent="0.25">
      <c r="A1469" s="10" t="s">
        <v>20</v>
      </c>
      <c r="B1469" s="11" t="s">
        <v>42</v>
      </c>
      <c r="C1469" s="11">
        <v>122.7</v>
      </c>
      <c r="D1469" s="11">
        <v>2012</v>
      </c>
    </row>
    <row r="1470" spans="1:4" ht="19.95" customHeight="1" x14ac:dyDescent="0.25">
      <c r="A1470" s="10" t="s">
        <v>21</v>
      </c>
      <c r="B1470" s="11" t="s">
        <v>42</v>
      </c>
      <c r="C1470" s="11"/>
      <c r="D1470" s="11">
        <v>2012</v>
      </c>
    </row>
    <row r="1471" spans="1:4" ht="19.95" customHeight="1" x14ac:dyDescent="0.25">
      <c r="A1471" s="10" t="s">
        <v>22</v>
      </c>
      <c r="B1471" s="11" t="s">
        <v>42</v>
      </c>
      <c r="C1471" s="11">
        <v>133.66</v>
      </c>
      <c r="D1471" s="11">
        <v>2012</v>
      </c>
    </row>
    <row r="1472" spans="1:4" ht="19.95" customHeight="1" x14ac:dyDescent="0.25">
      <c r="A1472" s="10" t="s">
        <v>23</v>
      </c>
      <c r="B1472" s="11" t="s">
        <v>42</v>
      </c>
      <c r="C1472" s="11">
        <v>126.8</v>
      </c>
      <c r="D1472" s="11">
        <v>2012</v>
      </c>
    </row>
    <row r="1473" spans="1:4" ht="19.95" customHeight="1" x14ac:dyDescent="0.25">
      <c r="A1473" s="10" t="s">
        <v>24</v>
      </c>
      <c r="B1473" s="11" t="s">
        <v>42</v>
      </c>
      <c r="C1473" s="11">
        <v>180.33</v>
      </c>
      <c r="D1473" s="11">
        <v>2012</v>
      </c>
    </row>
    <row r="1474" spans="1:4" ht="19.95" customHeight="1" x14ac:dyDescent="0.25">
      <c r="A1474" s="10" t="s">
        <v>25</v>
      </c>
      <c r="B1474" s="11" t="s">
        <v>42</v>
      </c>
      <c r="C1474" s="11">
        <v>151.22999999999999</v>
      </c>
      <c r="D1474" s="11">
        <v>2012</v>
      </c>
    </row>
    <row r="1475" spans="1:4" ht="19.95" customHeight="1" x14ac:dyDescent="0.25">
      <c r="A1475" s="10" t="s">
        <v>26</v>
      </c>
      <c r="B1475" s="11" t="s">
        <v>42</v>
      </c>
      <c r="C1475" s="11">
        <v>85.02</v>
      </c>
      <c r="D1475" s="11">
        <v>2012</v>
      </c>
    </row>
    <row r="1476" spans="1:4" ht="19.95" customHeight="1" x14ac:dyDescent="0.25">
      <c r="A1476" s="10" t="s">
        <v>27</v>
      </c>
      <c r="B1476" s="11" t="s">
        <v>42</v>
      </c>
      <c r="C1476" s="11">
        <v>158.62</v>
      </c>
      <c r="D1476" s="11">
        <v>2012</v>
      </c>
    </row>
    <row r="1477" spans="1:4" ht="19.95" customHeight="1" x14ac:dyDescent="0.25">
      <c r="A1477" s="10" t="s">
        <v>29</v>
      </c>
      <c r="B1477" s="11" t="s">
        <v>42</v>
      </c>
      <c r="C1477" s="11">
        <v>125.39</v>
      </c>
      <c r="D1477" s="11">
        <v>2012</v>
      </c>
    </row>
    <row r="1478" spans="1:4" ht="19.95" customHeight="1" x14ac:dyDescent="0.25">
      <c r="A1478" s="10" t="s">
        <v>30</v>
      </c>
      <c r="B1478" s="11" t="s">
        <v>42</v>
      </c>
      <c r="C1478" s="11">
        <v>140.02000000000001</v>
      </c>
      <c r="D1478" s="11">
        <v>2012</v>
      </c>
    </row>
    <row r="1479" spans="1:4" ht="19.95" customHeight="1" x14ac:dyDescent="0.25">
      <c r="A1479" s="10" t="s">
        <v>31</v>
      </c>
      <c r="B1479" s="11" t="s">
        <v>42</v>
      </c>
      <c r="C1479" s="11">
        <v>128.74</v>
      </c>
      <c r="D1479" s="11">
        <v>2012</v>
      </c>
    </row>
    <row r="1480" spans="1:4" ht="19.95" customHeight="1" x14ac:dyDescent="0.25">
      <c r="A1480" s="10" t="s">
        <v>32</v>
      </c>
      <c r="B1480" s="11" t="s">
        <v>42</v>
      </c>
      <c r="C1480" s="11">
        <v>140.05000000000001</v>
      </c>
      <c r="D1480" s="11">
        <v>2012</v>
      </c>
    </row>
    <row r="1481" spans="1:4" ht="19.95" customHeight="1" x14ac:dyDescent="0.25">
      <c r="A1481" s="10" t="s">
        <v>33</v>
      </c>
      <c r="B1481" s="11" t="s">
        <v>42</v>
      </c>
      <c r="C1481" s="11">
        <v>162.16</v>
      </c>
      <c r="D1481" s="11">
        <v>2012</v>
      </c>
    </row>
    <row r="1482" spans="1:4" ht="19.95" customHeight="1" x14ac:dyDescent="0.25">
      <c r="A1482" s="10" t="s">
        <v>34</v>
      </c>
      <c r="B1482" s="11" t="s">
        <v>42</v>
      </c>
      <c r="C1482" s="11">
        <v>107.93</v>
      </c>
      <c r="D1482" s="11">
        <v>2012</v>
      </c>
    </row>
    <row r="1483" spans="1:4" ht="19.95" customHeight="1" x14ac:dyDescent="0.25">
      <c r="A1483" s="10" t="s">
        <v>35</v>
      </c>
      <c r="B1483" s="11" t="s">
        <v>42</v>
      </c>
      <c r="C1483" s="11">
        <v>124.86</v>
      </c>
      <c r="D1483" s="11">
        <v>2012</v>
      </c>
    </row>
    <row r="1484" spans="1:4" ht="19.95" customHeight="1" x14ac:dyDescent="0.25">
      <c r="A1484" s="10" t="s">
        <v>36</v>
      </c>
      <c r="B1484" s="11" t="s">
        <v>42</v>
      </c>
      <c r="C1484" s="11">
        <v>134.06</v>
      </c>
      <c r="D1484" s="11">
        <v>2012</v>
      </c>
    </row>
    <row r="1485" spans="1:4" ht="19.95" customHeight="1" x14ac:dyDescent="0.25">
      <c r="A1485" s="10" t="s">
        <v>37</v>
      </c>
      <c r="B1485" s="11" t="s">
        <v>42</v>
      </c>
      <c r="C1485" s="11">
        <v>147.41999999999999</v>
      </c>
      <c r="D1485" s="11">
        <v>2012</v>
      </c>
    </row>
    <row r="1486" spans="1:4" ht="19.95" customHeight="1" x14ac:dyDescent="0.25">
      <c r="A1486" s="10" t="s">
        <v>38</v>
      </c>
      <c r="B1486" s="11" t="s">
        <v>42</v>
      </c>
      <c r="C1486" s="11">
        <v>96.49</v>
      </c>
      <c r="D1486" s="11">
        <v>2012</v>
      </c>
    </row>
    <row r="1487" spans="1:4" ht="19.95" customHeight="1" x14ac:dyDescent="0.25">
      <c r="A1487" s="10" t="s">
        <v>39</v>
      </c>
      <c r="B1487" s="11" t="s">
        <v>42</v>
      </c>
      <c r="C1487" s="11">
        <v>176.25</v>
      </c>
      <c r="D1487" s="11">
        <v>2012</v>
      </c>
    </row>
    <row r="1488" spans="1:4" ht="19.95" customHeight="1" x14ac:dyDescent="0.25">
      <c r="A1488" s="10" t="s">
        <v>40</v>
      </c>
      <c r="B1488" s="11" t="s">
        <v>42</v>
      </c>
      <c r="C1488" s="11">
        <v>94.08</v>
      </c>
      <c r="D1488" s="11">
        <v>2012</v>
      </c>
    </row>
    <row r="1489" spans="1:4" ht="19.95" customHeight="1" x14ac:dyDescent="0.25">
      <c r="A1489" s="10" t="s">
        <v>10</v>
      </c>
      <c r="B1489" s="11" t="s">
        <v>42</v>
      </c>
      <c r="C1489" s="11">
        <v>144.69999999999999</v>
      </c>
      <c r="D1489" s="11">
        <v>2013</v>
      </c>
    </row>
    <row r="1490" spans="1:4" ht="19.95" customHeight="1" x14ac:dyDescent="0.25">
      <c r="A1490" s="10" t="s">
        <v>13</v>
      </c>
      <c r="B1490" s="11" t="s">
        <v>42</v>
      </c>
      <c r="C1490" s="11">
        <v>159.66</v>
      </c>
      <c r="D1490" s="11">
        <v>2013</v>
      </c>
    </row>
    <row r="1491" spans="1:4" ht="19.95" customHeight="1" x14ac:dyDescent="0.25">
      <c r="A1491" s="10" t="s">
        <v>15</v>
      </c>
      <c r="B1491" s="11" t="s">
        <v>42</v>
      </c>
      <c r="C1491" s="11">
        <v>146.33000000000001</v>
      </c>
      <c r="D1491" s="11">
        <v>2013</v>
      </c>
    </row>
    <row r="1492" spans="1:4" ht="19.95" customHeight="1" x14ac:dyDescent="0.25">
      <c r="A1492" s="10" t="s">
        <v>16</v>
      </c>
      <c r="B1492" s="11" t="s">
        <v>42</v>
      </c>
      <c r="C1492" s="11">
        <v>105.78</v>
      </c>
      <c r="D1492" s="11">
        <v>2013</v>
      </c>
    </row>
    <row r="1493" spans="1:4" ht="19.95" customHeight="1" x14ac:dyDescent="0.25">
      <c r="A1493" s="10" t="s">
        <v>17</v>
      </c>
      <c r="B1493" s="11" t="s">
        <v>42</v>
      </c>
      <c r="C1493" s="11">
        <v>133.27000000000001</v>
      </c>
      <c r="D1493" s="11">
        <v>2013</v>
      </c>
    </row>
    <row r="1494" spans="1:4" ht="19.95" customHeight="1" x14ac:dyDescent="0.25">
      <c r="A1494" s="10" t="s">
        <v>2</v>
      </c>
      <c r="B1494" s="11" t="s">
        <v>42</v>
      </c>
      <c r="C1494" s="11">
        <v>150.28</v>
      </c>
      <c r="D1494" s="11">
        <v>2013</v>
      </c>
    </row>
    <row r="1495" spans="1:4" ht="19.95" customHeight="1" x14ac:dyDescent="0.25">
      <c r="A1495" s="10" t="s">
        <v>18</v>
      </c>
      <c r="B1495" s="11" t="s">
        <v>42</v>
      </c>
      <c r="C1495" s="11">
        <v>133.61000000000001</v>
      </c>
      <c r="D1495" s="11">
        <v>2013</v>
      </c>
    </row>
    <row r="1496" spans="1:4" ht="19.95" customHeight="1" x14ac:dyDescent="0.25">
      <c r="A1496" s="10" t="s">
        <v>19</v>
      </c>
      <c r="B1496" s="11" t="s">
        <v>42</v>
      </c>
      <c r="C1496" s="11">
        <v>152.55000000000001</v>
      </c>
      <c r="D1496" s="11">
        <v>2013</v>
      </c>
    </row>
    <row r="1497" spans="1:4" ht="19.95" customHeight="1" x14ac:dyDescent="0.25">
      <c r="A1497" s="10" t="s">
        <v>20</v>
      </c>
      <c r="B1497" s="11" t="s">
        <v>42</v>
      </c>
      <c r="C1497" s="11">
        <v>126.12</v>
      </c>
      <c r="D1497" s="11">
        <v>2013</v>
      </c>
    </row>
    <row r="1498" spans="1:4" ht="19.95" customHeight="1" x14ac:dyDescent="0.25">
      <c r="A1498" s="10" t="s">
        <v>21</v>
      </c>
      <c r="B1498" s="11" t="s">
        <v>42</v>
      </c>
      <c r="C1498" s="11"/>
      <c r="D1498" s="11">
        <v>2013</v>
      </c>
    </row>
    <row r="1499" spans="1:4" ht="19.95" customHeight="1" x14ac:dyDescent="0.25">
      <c r="A1499" s="10" t="s">
        <v>22</v>
      </c>
      <c r="B1499" s="11" t="s">
        <v>42</v>
      </c>
      <c r="C1499" s="11">
        <v>129.38999999999999</v>
      </c>
      <c r="D1499" s="11">
        <v>2013</v>
      </c>
    </row>
    <row r="1500" spans="1:4" ht="19.95" customHeight="1" x14ac:dyDescent="0.25">
      <c r="A1500" s="10" t="s">
        <v>23</v>
      </c>
      <c r="B1500" s="11" t="s">
        <v>42</v>
      </c>
      <c r="C1500" s="11">
        <v>119.99</v>
      </c>
      <c r="D1500" s="11">
        <v>2013</v>
      </c>
    </row>
    <row r="1501" spans="1:4" ht="19.95" customHeight="1" x14ac:dyDescent="0.25">
      <c r="A1501" s="10" t="s">
        <v>24</v>
      </c>
      <c r="B1501" s="11" t="s">
        <v>42</v>
      </c>
      <c r="C1501" s="11">
        <v>192.35</v>
      </c>
      <c r="D1501" s="11">
        <v>2013</v>
      </c>
    </row>
    <row r="1502" spans="1:4" ht="19.95" customHeight="1" x14ac:dyDescent="0.25">
      <c r="A1502" s="10" t="s">
        <v>25</v>
      </c>
      <c r="B1502" s="11" t="s">
        <v>42</v>
      </c>
      <c r="C1502" s="11">
        <v>149.86000000000001</v>
      </c>
      <c r="D1502" s="11">
        <v>2013</v>
      </c>
    </row>
    <row r="1503" spans="1:4" ht="19.95" customHeight="1" x14ac:dyDescent="0.25">
      <c r="A1503" s="10" t="s">
        <v>26</v>
      </c>
      <c r="B1503" s="11" t="s">
        <v>42</v>
      </c>
      <c r="C1503" s="11">
        <v>99.76</v>
      </c>
      <c r="D1503" s="11">
        <v>2013</v>
      </c>
    </row>
    <row r="1504" spans="1:4" ht="19.95" customHeight="1" x14ac:dyDescent="0.25">
      <c r="A1504" s="10" t="s">
        <v>27</v>
      </c>
      <c r="B1504" s="11" t="s">
        <v>42</v>
      </c>
      <c r="C1504" s="11">
        <v>124.27</v>
      </c>
      <c r="D1504" s="11">
        <v>2013</v>
      </c>
    </row>
    <row r="1505" spans="1:4" ht="19.95" customHeight="1" x14ac:dyDescent="0.25">
      <c r="A1505" s="10" t="s">
        <v>29</v>
      </c>
      <c r="B1505" s="11" t="s">
        <v>42</v>
      </c>
      <c r="C1505" s="11">
        <v>129.97999999999999</v>
      </c>
      <c r="D1505" s="11">
        <v>2013</v>
      </c>
    </row>
    <row r="1506" spans="1:4" ht="19.95" customHeight="1" x14ac:dyDescent="0.25">
      <c r="A1506" s="10" t="s">
        <v>30</v>
      </c>
      <c r="B1506" s="11" t="s">
        <v>42</v>
      </c>
      <c r="C1506" s="11">
        <v>130.62</v>
      </c>
      <c r="D1506" s="11">
        <v>2013</v>
      </c>
    </row>
    <row r="1507" spans="1:4" ht="19.95" customHeight="1" x14ac:dyDescent="0.25">
      <c r="A1507" s="10" t="s">
        <v>31</v>
      </c>
      <c r="B1507" s="11" t="s">
        <v>42</v>
      </c>
      <c r="C1507" s="11">
        <v>131.38</v>
      </c>
      <c r="D1507" s="11">
        <v>2013</v>
      </c>
    </row>
    <row r="1508" spans="1:4" ht="19.95" customHeight="1" x14ac:dyDescent="0.25">
      <c r="A1508" s="10" t="s">
        <v>32</v>
      </c>
      <c r="B1508" s="11" t="s">
        <v>42</v>
      </c>
      <c r="C1508" s="11">
        <v>146.18</v>
      </c>
      <c r="D1508" s="11">
        <v>2013</v>
      </c>
    </row>
    <row r="1509" spans="1:4" ht="19.95" customHeight="1" x14ac:dyDescent="0.25">
      <c r="A1509" s="10" t="s">
        <v>33</v>
      </c>
      <c r="B1509" s="11" t="s">
        <v>42</v>
      </c>
      <c r="C1509" s="11">
        <v>165.22</v>
      </c>
      <c r="D1509" s="11">
        <v>2013</v>
      </c>
    </row>
    <row r="1510" spans="1:4" ht="19.95" customHeight="1" x14ac:dyDescent="0.25">
      <c r="A1510" s="10" t="s">
        <v>34</v>
      </c>
      <c r="B1510" s="11" t="s">
        <v>42</v>
      </c>
      <c r="C1510" s="11">
        <v>117.54</v>
      </c>
      <c r="D1510" s="11">
        <v>2013</v>
      </c>
    </row>
    <row r="1511" spans="1:4" ht="19.95" customHeight="1" x14ac:dyDescent="0.25">
      <c r="A1511" s="10" t="s">
        <v>35</v>
      </c>
      <c r="B1511" s="11" t="s">
        <v>42</v>
      </c>
      <c r="C1511" s="11">
        <v>139.80000000000001</v>
      </c>
      <c r="D1511" s="11">
        <v>2013</v>
      </c>
    </row>
    <row r="1512" spans="1:4" ht="19.95" customHeight="1" x14ac:dyDescent="0.25">
      <c r="A1512" s="10" t="s">
        <v>36</v>
      </c>
      <c r="B1512" s="11" t="s">
        <v>42</v>
      </c>
      <c r="C1512" s="11">
        <v>152.05000000000001</v>
      </c>
      <c r="D1512" s="11">
        <v>2013</v>
      </c>
    </row>
    <row r="1513" spans="1:4" ht="19.95" customHeight="1" x14ac:dyDescent="0.25">
      <c r="A1513" s="10" t="s">
        <v>37</v>
      </c>
      <c r="B1513" s="11" t="s">
        <v>42</v>
      </c>
      <c r="C1513" s="11">
        <v>172.63</v>
      </c>
      <c r="D1513" s="11">
        <v>2013</v>
      </c>
    </row>
    <row r="1514" spans="1:4" ht="19.95" customHeight="1" x14ac:dyDescent="0.25">
      <c r="A1514" s="10" t="s">
        <v>38</v>
      </c>
      <c r="B1514" s="11" t="s">
        <v>42</v>
      </c>
      <c r="C1514" s="11">
        <v>98.36</v>
      </c>
      <c r="D1514" s="11">
        <v>2013</v>
      </c>
    </row>
    <row r="1515" spans="1:4" ht="19.95" customHeight="1" x14ac:dyDescent="0.25">
      <c r="A1515" s="10" t="s">
        <v>39</v>
      </c>
      <c r="B1515" s="11" t="s">
        <v>42</v>
      </c>
      <c r="C1515" s="11">
        <v>179.29</v>
      </c>
      <c r="D1515" s="11">
        <v>2013</v>
      </c>
    </row>
    <row r="1516" spans="1:4" ht="19.95" customHeight="1" x14ac:dyDescent="0.25">
      <c r="A1516" s="10" t="s">
        <v>40</v>
      </c>
      <c r="B1516" s="11" t="s">
        <v>42</v>
      </c>
      <c r="C1516" s="11">
        <v>92.05</v>
      </c>
      <c r="D1516" s="11">
        <v>2013</v>
      </c>
    </row>
    <row r="1517" spans="1:4" ht="19.95" customHeight="1" x14ac:dyDescent="0.25">
      <c r="A1517" s="10" t="s">
        <v>10</v>
      </c>
      <c r="B1517" s="11" t="s">
        <v>42</v>
      </c>
      <c r="C1517" s="11">
        <v>121.01</v>
      </c>
      <c r="D1517" s="11">
        <v>2014</v>
      </c>
    </row>
    <row r="1518" spans="1:4" ht="19.95" customHeight="1" x14ac:dyDescent="0.25">
      <c r="A1518" s="10" t="s">
        <v>13</v>
      </c>
      <c r="B1518" s="11" t="s">
        <v>42</v>
      </c>
      <c r="C1518" s="11">
        <v>160.74</v>
      </c>
      <c r="D1518" s="11">
        <v>2014</v>
      </c>
    </row>
    <row r="1519" spans="1:4" ht="19.95" customHeight="1" x14ac:dyDescent="0.25">
      <c r="A1519" s="10" t="s">
        <v>15</v>
      </c>
      <c r="B1519" s="11" t="s">
        <v>42</v>
      </c>
      <c r="C1519" s="11">
        <v>146.9</v>
      </c>
      <c r="D1519" s="11">
        <v>2014</v>
      </c>
    </row>
    <row r="1520" spans="1:4" ht="19.95" customHeight="1" x14ac:dyDescent="0.25">
      <c r="A1520" s="10" t="s">
        <v>16</v>
      </c>
      <c r="B1520" s="11" t="s">
        <v>42</v>
      </c>
      <c r="C1520" s="11">
        <v>105.32</v>
      </c>
      <c r="D1520" s="11">
        <v>2014</v>
      </c>
    </row>
    <row r="1521" spans="1:4" ht="19.95" customHeight="1" x14ac:dyDescent="0.25">
      <c r="A1521" s="10" t="s">
        <v>17</v>
      </c>
      <c r="B1521" s="11" t="s">
        <v>42</v>
      </c>
      <c r="C1521" s="11">
        <v>132.85</v>
      </c>
      <c r="D1521" s="11">
        <v>2014</v>
      </c>
    </row>
    <row r="1522" spans="1:4" ht="19.95" customHeight="1" x14ac:dyDescent="0.25">
      <c r="A1522" s="10" t="s">
        <v>2</v>
      </c>
      <c r="B1522" s="11" t="s">
        <v>42</v>
      </c>
      <c r="C1522" s="11">
        <v>157.56</v>
      </c>
      <c r="D1522" s="11">
        <v>2014</v>
      </c>
    </row>
    <row r="1523" spans="1:4" ht="19.95" customHeight="1" x14ac:dyDescent="0.25">
      <c r="A1523" s="10" t="s">
        <v>18</v>
      </c>
      <c r="B1523" s="11" t="s">
        <v>42</v>
      </c>
      <c r="C1523" s="11">
        <v>129.83000000000001</v>
      </c>
      <c r="D1523" s="11">
        <v>2014</v>
      </c>
    </row>
    <row r="1524" spans="1:4" ht="19.95" customHeight="1" x14ac:dyDescent="0.25">
      <c r="A1524" s="10" t="s">
        <v>19</v>
      </c>
      <c r="B1524" s="11" t="s">
        <v>42</v>
      </c>
      <c r="C1524" s="11">
        <v>158.18</v>
      </c>
      <c r="D1524" s="11">
        <v>2014</v>
      </c>
    </row>
    <row r="1525" spans="1:4" ht="19.95" customHeight="1" x14ac:dyDescent="0.25">
      <c r="A1525" s="10" t="s">
        <v>20</v>
      </c>
      <c r="B1525" s="11" t="s">
        <v>42</v>
      </c>
      <c r="C1525" s="11">
        <v>125.11</v>
      </c>
      <c r="D1525" s="11">
        <v>2014</v>
      </c>
    </row>
    <row r="1526" spans="1:4" ht="19.95" customHeight="1" x14ac:dyDescent="0.25">
      <c r="A1526" s="10" t="s">
        <v>21</v>
      </c>
      <c r="B1526" s="11" t="s">
        <v>42</v>
      </c>
      <c r="C1526" s="11"/>
      <c r="D1526" s="11">
        <v>2014</v>
      </c>
    </row>
    <row r="1527" spans="1:4" ht="19.95" customHeight="1" x14ac:dyDescent="0.25">
      <c r="A1527" s="10" t="s">
        <v>22</v>
      </c>
      <c r="B1527" s="11" t="s">
        <v>42</v>
      </c>
      <c r="C1527" s="11">
        <v>126.69</v>
      </c>
      <c r="D1527" s="11">
        <v>2014</v>
      </c>
    </row>
    <row r="1528" spans="1:4" ht="19.95" customHeight="1" x14ac:dyDescent="0.25">
      <c r="A1528" s="10" t="s">
        <v>23</v>
      </c>
      <c r="B1528" s="11" t="s">
        <v>42</v>
      </c>
      <c r="C1528" s="11">
        <v>123.75</v>
      </c>
      <c r="D1528" s="11">
        <v>2014</v>
      </c>
    </row>
    <row r="1529" spans="1:4" ht="19.95" customHeight="1" x14ac:dyDescent="0.25">
      <c r="A1529" s="10" t="s">
        <v>24</v>
      </c>
      <c r="B1529" s="11" t="s">
        <v>42</v>
      </c>
      <c r="C1529" s="11">
        <v>163.59</v>
      </c>
      <c r="D1529" s="11">
        <v>2014</v>
      </c>
    </row>
    <row r="1530" spans="1:4" ht="19.95" customHeight="1" x14ac:dyDescent="0.25">
      <c r="A1530" s="10" t="s">
        <v>25</v>
      </c>
      <c r="B1530" s="11" t="s">
        <v>42</v>
      </c>
      <c r="C1530" s="11">
        <v>151.59</v>
      </c>
      <c r="D1530" s="11">
        <v>2014</v>
      </c>
    </row>
    <row r="1531" spans="1:4" ht="19.95" customHeight="1" x14ac:dyDescent="0.25">
      <c r="A1531" s="10" t="s">
        <v>26</v>
      </c>
      <c r="B1531" s="11" t="s">
        <v>42</v>
      </c>
      <c r="C1531" s="11">
        <v>92.94</v>
      </c>
      <c r="D1531" s="11">
        <v>2014</v>
      </c>
    </row>
    <row r="1532" spans="1:4" ht="19.95" customHeight="1" x14ac:dyDescent="0.25">
      <c r="A1532" s="10" t="s">
        <v>27</v>
      </c>
      <c r="B1532" s="11" t="s">
        <v>42</v>
      </c>
      <c r="C1532" s="11">
        <v>143.47</v>
      </c>
      <c r="D1532" s="11">
        <v>2014</v>
      </c>
    </row>
    <row r="1533" spans="1:4" ht="19.95" customHeight="1" x14ac:dyDescent="0.25">
      <c r="A1533" s="10" t="s">
        <v>29</v>
      </c>
      <c r="B1533" s="11" t="s">
        <v>42</v>
      </c>
      <c r="C1533" s="11">
        <v>132.82</v>
      </c>
      <c r="D1533" s="11">
        <v>2014</v>
      </c>
    </row>
    <row r="1534" spans="1:4" ht="19.95" customHeight="1" x14ac:dyDescent="0.25">
      <c r="A1534" s="10" t="s">
        <v>30</v>
      </c>
      <c r="B1534" s="11" t="s">
        <v>42</v>
      </c>
      <c r="C1534" s="11">
        <v>136.19999999999999</v>
      </c>
      <c r="D1534" s="11">
        <v>2014</v>
      </c>
    </row>
    <row r="1535" spans="1:4" ht="19.95" customHeight="1" x14ac:dyDescent="0.25">
      <c r="A1535" s="10" t="s">
        <v>31</v>
      </c>
      <c r="B1535" s="11" t="s">
        <v>42</v>
      </c>
      <c r="C1535" s="11">
        <v>127.63</v>
      </c>
      <c r="D1535" s="11">
        <v>2014</v>
      </c>
    </row>
    <row r="1536" spans="1:4" ht="19.95" customHeight="1" x14ac:dyDescent="0.25">
      <c r="A1536" s="10" t="s">
        <v>32</v>
      </c>
      <c r="B1536" s="11" t="s">
        <v>42</v>
      </c>
      <c r="C1536" s="11">
        <v>153.24</v>
      </c>
      <c r="D1536" s="11">
        <v>2014</v>
      </c>
    </row>
    <row r="1537" spans="1:4" ht="19.95" customHeight="1" x14ac:dyDescent="0.25">
      <c r="A1537" s="10" t="s">
        <v>33</v>
      </c>
      <c r="B1537" s="11" t="s">
        <v>42</v>
      </c>
      <c r="C1537" s="11">
        <v>155.01</v>
      </c>
      <c r="D1537" s="11">
        <v>2014</v>
      </c>
    </row>
    <row r="1538" spans="1:4" ht="19.95" customHeight="1" x14ac:dyDescent="0.25">
      <c r="A1538" s="10" t="s">
        <v>34</v>
      </c>
      <c r="B1538" s="11" t="s">
        <v>42</v>
      </c>
      <c r="C1538" s="11">
        <v>126.18</v>
      </c>
      <c r="D1538" s="11">
        <v>2014</v>
      </c>
    </row>
    <row r="1539" spans="1:4" ht="19.95" customHeight="1" x14ac:dyDescent="0.25">
      <c r="A1539" s="10" t="s">
        <v>35</v>
      </c>
      <c r="B1539" s="11" t="s">
        <v>42</v>
      </c>
      <c r="C1539" s="11">
        <v>125.25</v>
      </c>
      <c r="D1539" s="11">
        <v>2014</v>
      </c>
    </row>
    <row r="1540" spans="1:4" ht="19.95" customHeight="1" x14ac:dyDescent="0.25">
      <c r="A1540" s="10" t="s">
        <v>36</v>
      </c>
      <c r="B1540" s="11" t="s">
        <v>42</v>
      </c>
      <c r="C1540" s="11">
        <v>149.96</v>
      </c>
      <c r="D1540" s="11">
        <v>2014</v>
      </c>
    </row>
    <row r="1541" spans="1:4" ht="19.95" customHeight="1" x14ac:dyDescent="0.25">
      <c r="A1541" s="10" t="s">
        <v>37</v>
      </c>
      <c r="B1541" s="11" t="s">
        <v>42</v>
      </c>
      <c r="C1541" s="11">
        <v>187.45</v>
      </c>
      <c r="D1541" s="11">
        <v>2014</v>
      </c>
    </row>
    <row r="1542" spans="1:4" ht="19.95" customHeight="1" x14ac:dyDescent="0.25">
      <c r="A1542" s="10" t="s">
        <v>38</v>
      </c>
      <c r="B1542" s="11" t="s">
        <v>42</v>
      </c>
      <c r="C1542" s="11">
        <v>101.04</v>
      </c>
      <c r="D1542" s="11">
        <v>2014</v>
      </c>
    </row>
    <row r="1543" spans="1:4" ht="19.95" customHeight="1" x14ac:dyDescent="0.25">
      <c r="A1543" s="10" t="s">
        <v>39</v>
      </c>
      <c r="B1543" s="11" t="s">
        <v>42</v>
      </c>
      <c r="C1543" s="11">
        <v>186.77</v>
      </c>
      <c r="D1543" s="11">
        <v>2014</v>
      </c>
    </row>
    <row r="1544" spans="1:4" ht="19.95" customHeight="1" x14ac:dyDescent="0.25">
      <c r="A1544" s="10" t="s">
        <v>40</v>
      </c>
      <c r="B1544" s="11" t="s">
        <v>42</v>
      </c>
      <c r="C1544" s="11">
        <v>91.23</v>
      </c>
      <c r="D1544" s="11">
        <v>2014</v>
      </c>
    </row>
    <row r="1545" spans="1:4" ht="19.95" customHeight="1" x14ac:dyDescent="0.25">
      <c r="A1545" s="10" t="s">
        <v>10</v>
      </c>
      <c r="B1545" s="11" t="s">
        <v>42</v>
      </c>
      <c r="C1545" s="11">
        <v>110.95</v>
      </c>
      <c r="D1545" s="11">
        <v>2015</v>
      </c>
    </row>
    <row r="1546" spans="1:4" ht="19.95" customHeight="1" x14ac:dyDescent="0.25">
      <c r="A1546" s="10" t="s">
        <v>13</v>
      </c>
      <c r="B1546" s="11" t="s">
        <v>42</v>
      </c>
      <c r="C1546" s="11">
        <v>168.99</v>
      </c>
      <c r="D1546" s="11">
        <v>2015</v>
      </c>
    </row>
    <row r="1547" spans="1:4" ht="19.95" customHeight="1" x14ac:dyDescent="0.25">
      <c r="A1547" s="10" t="s">
        <v>15</v>
      </c>
      <c r="B1547" s="11" t="s">
        <v>42</v>
      </c>
      <c r="C1547" s="11">
        <v>145.38999999999999</v>
      </c>
      <c r="D1547" s="11">
        <v>2015</v>
      </c>
    </row>
    <row r="1548" spans="1:4" ht="19.95" customHeight="1" x14ac:dyDescent="0.25">
      <c r="A1548" s="10" t="s">
        <v>16</v>
      </c>
      <c r="B1548" s="11" t="s">
        <v>42</v>
      </c>
      <c r="C1548" s="11">
        <v>107.96</v>
      </c>
      <c r="D1548" s="11">
        <v>2015</v>
      </c>
    </row>
    <row r="1549" spans="1:4" ht="19.95" customHeight="1" x14ac:dyDescent="0.25">
      <c r="A1549" s="10" t="s">
        <v>17</v>
      </c>
      <c r="B1549" s="11" t="s">
        <v>42</v>
      </c>
      <c r="C1549" s="11">
        <v>132.78</v>
      </c>
      <c r="D1549" s="11">
        <v>2015</v>
      </c>
    </row>
    <row r="1550" spans="1:4" ht="19.95" customHeight="1" x14ac:dyDescent="0.25">
      <c r="A1550" s="10" t="s">
        <v>2</v>
      </c>
      <c r="B1550" s="11" t="s">
        <v>42</v>
      </c>
      <c r="C1550" s="11">
        <v>168.7</v>
      </c>
      <c r="D1550" s="11">
        <v>2015</v>
      </c>
    </row>
    <row r="1551" spans="1:4" ht="19.95" customHeight="1" x14ac:dyDescent="0.25">
      <c r="A1551" s="10" t="s">
        <v>18</v>
      </c>
      <c r="B1551" s="11" t="s">
        <v>42</v>
      </c>
      <c r="C1551" s="11">
        <v>132.81</v>
      </c>
      <c r="D1551" s="11">
        <v>2015</v>
      </c>
    </row>
    <row r="1552" spans="1:4" ht="19.95" customHeight="1" x14ac:dyDescent="0.25">
      <c r="A1552" s="10" t="s">
        <v>19</v>
      </c>
      <c r="B1552" s="11" t="s">
        <v>42</v>
      </c>
      <c r="C1552" s="11">
        <v>162</v>
      </c>
      <c r="D1552" s="11">
        <v>2015</v>
      </c>
    </row>
    <row r="1553" spans="1:4" ht="19.95" customHeight="1" x14ac:dyDescent="0.25">
      <c r="A1553" s="10" t="s">
        <v>20</v>
      </c>
      <c r="B1553" s="11" t="s">
        <v>42</v>
      </c>
      <c r="C1553" s="11">
        <v>128.22999999999999</v>
      </c>
      <c r="D1553" s="11">
        <v>2015</v>
      </c>
    </row>
    <row r="1554" spans="1:4" ht="19.95" customHeight="1" x14ac:dyDescent="0.25">
      <c r="A1554" s="10" t="s">
        <v>21</v>
      </c>
      <c r="B1554" s="11" t="s">
        <v>42</v>
      </c>
      <c r="C1554" s="11"/>
      <c r="D1554" s="11">
        <v>2015</v>
      </c>
    </row>
    <row r="1555" spans="1:4" ht="19.95" customHeight="1" x14ac:dyDescent="0.25">
      <c r="A1555" s="10" t="s">
        <v>22</v>
      </c>
      <c r="B1555" s="11" t="s">
        <v>42</v>
      </c>
      <c r="C1555" s="11">
        <v>132.61000000000001</v>
      </c>
      <c r="D1555" s="11">
        <v>2015</v>
      </c>
    </row>
    <row r="1556" spans="1:4" ht="19.95" customHeight="1" x14ac:dyDescent="0.25">
      <c r="A1556" s="10" t="s">
        <v>23</v>
      </c>
      <c r="B1556" s="11" t="s">
        <v>42</v>
      </c>
      <c r="C1556" s="11">
        <v>120.05</v>
      </c>
      <c r="D1556" s="11">
        <v>2015</v>
      </c>
    </row>
    <row r="1557" spans="1:4" ht="19.95" customHeight="1" x14ac:dyDescent="0.25">
      <c r="A1557" s="10" t="s">
        <v>24</v>
      </c>
      <c r="B1557" s="11" t="s">
        <v>42</v>
      </c>
      <c r="C1557" s="11">
        <v>150.41</v>
      </c>
      <c r="D1557" s="11">
        <v>2015</v>
      </c>
    </row>
    <row r="1558" spans="1:4" ht="19.95" customHeight="1" x14ac:dyDescent="0.25">
      <c r="A1558" s="10" t="s">
        <v>25</v>
      </c>
      <c r="B1558" s="11" t="s">
        <v>42</v>
      </c>
      <c r="C1558" s="11">
        <v>159.53</v>
      </c>
      <c r="D1558" s="11">
        <v>2015</v>
      </c>
    </row>
    <row r="1559" spans="1:4" ht="19.95" customHeight="1" x14ac:dyDescent="0.25">
      <c r="A1559" s="10" t="s">
        <v>26</v>
      </c>
      <c r="B1559" s="11" t="s">
        <v>42</v>
      </c>
      <c r="C1559" s="11">
        <v>78.23</v>
      </c>
      <c r="D1559" s="11">
        <v>2015</v>
      </c>
    </row>
    <row r="1560" spans="1:4" ht="19.95" customHeight="1" x14ac:dyDescent="0.25">
      <c r="A1560" s="10" t="s">
        <v>27</v>
      </c>
      <c r="B1560" s="11" t="s">
        <v>42</v>
      </c>
      <c r="C1560" s="11">
        <v>141.25</v>
      </c>
      <c r="D1560" s="11">
        <v>2015</v>
      </c>
    </row>
    <row r="1561" spans="1:4" ht="19.95" customHeight="1" x14ac:dyDescent="0.25">
      <c r="A1561" s="10" t="s">
        <v>29</v>
      </c>
      <c r="B1561" s="11" t="s">
        <v>42</v>
      </c>
      <c r="C1561" s="11">
        <v>135.35</v>
      </c>
      <c r="D1561" s="11">
        <v>2015</v>
      </c>
    </row>
    <row r="1562" spans="1:4" ht="19.95" customHeight="1" x14ac:dyDescent="0.25">
      <c r="A1562" s="10" t="s">
        <v>30</v>
      </c>
      <c r="B1562" s="11" t="s">
        <v>42</v>
      </c>
      <c r="C1562" s="11">
        <v>135.94</v>
      </c>
      <c r="D1562" s="11">
        <v>2015</v>
      </c>
    </row>
    <row r="1563" spans="1:4" ht="19.95" customHeight="1" x14ac:dyDescent="0.25">
      <c r="A1563" s="10" t="s">
        <v>31</v>
      </c>
      <c r="B1563" s="11" t="s">
        <v>42</v>
      </c>
      <c r="C1563" s="11">
        <v>122.93</v>
      </c>
      <c r="D1563" s="11">
        <v>2015</v>
      </c>
    </row>
    <row r="1564" spans="1:4" ht="19.95" customHeight="1" x14ac:dyDescent="0.25">
      <c r="A1564" s="10" t="s">
        <v>32</v>
      </c>
      <c r="B1564" s="11" t="s">
        <v>42</v>
      </c>
      <c r="C1564" s="11">
        <v>163.26</v>
      </c>
      <c r="D1564" s="11">
        <v>2015</v>
      </c>
    </row>
    <row r="1565" spans="1:4" ht="19.95" customHeight="1" x14ac:dyDescent="0.25">
      <c r="A1565" s="10" t="s">
        <v>33</v>
      </c>
      <c r="B1565" s="11" t="s">
        <v>42</v>
      </c>
      <c r="C1565" s="11">
        <v>150.30000000000001</v>
      </c>
      <c r="D1565" s="11">
        <v>2015</v>
      </c>
    </row>
    <row r="1566" spans="1:4" ht="19.95" customHeight="1" x14ac:dyDescent="0.25">
      <c r="A1566" s="10" t="s">
        <v>34</v>
      </c>
      <c r="B1566" s="11" t="s">
        <v>42</v>
      </c>
      <c r="C1566" s="11">
        <v>113.16</v>
      </c>
      <c r="D1566" s="11">
        <v>2015</v>
      </c>
    </row>
    <row r="1567" spans="1:4" ht="19.95" customHeight="1" x14ac:dyDescent="0.25">
      <c r="A1567" s="10" t="s">
        <v>35</v>
      </c>
      <c r="B1567" s="11" t="s">
        <v>42</v>
      </c>
      <c r="C1567" s="11">
        <v>130.6</v>
      </c>
      <c r="D1567" s="11">
        <v>2015</v>
      </c>
    </row>
    <row r="1568" spans="1:4" ht="19.95" customHeight="1" x14ac:dyDescent="0.25">
      <c r="A1568" s="10" t="s">
        <v>36</v>
      </c>
      <c r="B1568" s="11" t="s">
        <v>42</v>
      </c>
      <c r="C1568" s="11">
        <v>160.46</v>
      </c>
      <c r="D1568" s="11">
        <v>2015</v>
      </c>
    </row>
    <row r="1569" spans="1:4" ht="19.95" customHeight="1" x14ac:dyDescent="0.25">
      <c r="A1569" s="10" t="s">
        <v>37</v>
      </c>
      <c r="B1569" s="11" t="s">
        <v>42</v>
      </c>
      <c r="C1569" s="11">
        <v>194.28</v>
      </c>
      <c r="D1569" s="11">
        <v>2015</v>
      </c>
    </row>
    <row r="1570" spans="1:4" ht="19.95" customHeight="1" x14ac:dyDescent="0.25">
      <c r="A1570" s="10" t="s">
        <v>38</v>
      </c>
      <c r="B1570" s="11" t="s">
        <v>42</v>
      </c>
      <c r="C1570" s="11">
        <v>100.73</v>
      </c>
      <c r="D1570" s="11">
        <v>2015</v>
      </c>
    </row>
    <row r="1571" spans="1:4" ht="19.95" customHeight="1" x14ac:dyDescent="0.25">
      <c r="A1571" s="10" t="s">
        <v>39</v>
      </c>
      <c r="B1571" s="11" t="s">
        <v>42</v>
      </c>
      <c r="C1571" s="11">
        <v>180.4</v>
      </c>
      <c r="D1571" s="11">
        <v>2015</v>
      </c>
    </row>
    <row r="1572" spans="1:4" ht="19.95" customHeight="1" x14ac:dyDescent="0.25">
      <c r="A1572" s="10" t="s">
        <v>40</v>
      </c>
      <c r="B1572" s="11" t="s">
        <v>42</v>
      </c>
      <c r="C1572" s="11">
        <v>83.42</v>
      </c>
      <c r="D1572" s="11">
        <v>2015</v>
      </c>
    </row>
    <row r="1573" spans="1:4" ht="19.95" customHeight="1" x14ac:dyDescent="0.25">
      <c r="A1573" s="10" t="s">
        <v>10</v>
      </c>
      <c r="B1573" s="11" t="s">
        <v>42</v>
      </c>
      <c r="C1573" s="11">
        <v>119.85</v>
      </c>
      <c r="D1573" s="11">
        <v>2016</v>
      </c>
    </row>
    <row r="1574" spans="1:4" ht="19.95" customHeight="1" x14ac:dyDescent="0.25">
      <c r="A1574" s="10" t="s">
        <v>13</v>
      </c>
      <c r="B1574" s="11" t="s">
        <v>42</v>
      </c>
      <c r="C1574" s="11">
        <v>181.65</v>
      </c>
      <c r="D1574" s="11">
        <v>2016</v>
      </c>
    </row>
    <row r="1575" spans="1:4" ht="19.95" customHeight="1" x14ac:dyDescent="0.25">
      <c r="A1575" s="10" t="s">
        <v>15</v>
      </c>
      <c r="B1575" s="11" t="s">
        <v>42</v>
      </c>
      <c r="C1575" s="11">
        <v>155.19999999999999</v>
      </c>
      <c r="D1575" s="11">
        <v>2016</v>
      </c>
    </row>
    <row r="1576" spans="1:4" ht="19.95" customHeight="1" x14ac:dyDescent="0.25">
      <c r="A1576" s="10" t="s">
        <v>16</v>
      </c>
      <c r="B1576" s="11" t="s">
        <v>42</v>
      </c>
      <c r="C1576" s="11">
        <v>108.68</v>
      </c>
      <c r="D1576" s="11">
        <v>2016</v>
      </c>
    </row>
    <row r="1577" spans="1:4" ht="19.95" customHeight="1" x14ac:dyDescent="0.25">
      <c r="A1577" s="10" t="s">
        <v>17</v>
      </c>
      <c r="B1577" s="11" t="s">
        <v>42</v>
      </c>
      <c r="C1577" s="11">
        <v>133.07</v>
      </c>
      <c r="D1577" s="11">
        <v>2016</v>
      </c>
    </row>
    <row r="1578" spans="1:4" ht="19.95" customHeight="1" x14ac:dyDescent="0.25">
      <c r="A1578" s="10" t="s">
        <v>2</v>
      </c>
      <c r="B1578" s="11" t="s">
        <v>42</v>
      </c>
      <c r="C1578" s="11">
        <v>161.88999999999999</v>
      </c>
      <c r="D1578" s="11">
        <v>2016</v>
      </c>
    </row>
    <row r="1579" spans="1:4" ht="19.95" customHeight="1" x14ac:dyDescent="0.25">
      <c r="A1579" s="10" t="s">
        <v>18</v>
      </c>
      <c r="B1579" s="11" t="s">
        <v>42</v>
      </c>
      <c r="C1579" s="11">
        <v>135.65</v>
      </c>
      <c r="D1579" s="11">
        <v>2016</v>
      </c>
    </row>
    <row r="1580" spans="1:4" ht="19.95" customHeight="1" x14ac:dyDescent="0.25">
      <c r="A1580" s="10" t="s">
        <v>19</v>
      </c>
      <c r="B1580" s="11" t="s">
        <v>42</v>
      </c>
      <c r="C1580" s="11">
        <v>157.13</v>
      </c>
      <c r="D1580" s="11">
        <v>2016</v>
      </c>
    </row>
    <row r="1581" spans="1:4" ht="19.95" customHeight="1" x14ac:dyDescent="0.25">
      <c r="A1581" s="10" t="s">
        <v>20</v>
      </c>
      <c r="B1581" s="11" t="s">
        <v>42</v>
      </c>
      <c r="C1581" s="11">
        <v>125.56</v>
      </c>
      <c r="D1581" s="11">
        <v>2016</v>
      </c>
    </row>
    <row r="1582" spans="1:4" ht="19.95" customHeight="1" x14ac:dyDescent="0.25">
      <c r="A1582" s="10" t="s">
        <v>21</v>
      </c>
      <c r="B1582" s="11" t="s">
        <v>42</v>
      </c>
      <c r="C1582" s="11"/>
      <c r="D1582" s="11">
        <v>2016</v>
      </c>
    </row>
    <row r="1583" spans="1:4" ht="19.95" customHeight="1" x14ac:dyDescent="0.25">
      <c r="A1583" s="10" t="s">
        <v>22</v>
      </c>
      <c r="B1583" s="11" t="s">
        <v>42</v>
      </c>
      <c r="C1583" s="11">
        <v>135.80000000000001</v>
      </c>
      <c r="D1583" s="11">
        <v>2016</v>
      </c>
    </row>
    <row r="1584" spans="1:4" ht="19.95" customHeight="1" x14ac:dyDescent="0.25">
      <c r="A1584" s="10" t="s">
        <v>23</v>
      </c>
      <c r="B1584" s="11" t="s">
        <v>42</v>
      </c>
      <c r="C1584" s="11">
        <v>121.29</v>
      </c>
      <c r="D1584" s="11">
        <v>2016</v>
      </c>
    </row>
    <row r="1585" spans="1:4" ht="19.95" customHeight="1" x14ac:dyDescent="0.25">
      <c r="A1585" s="10" t="s">
        <v>24</v>
      </c>
      <c r="B1585" s="11" t="s">
        <v>42</v>
      </c>
      <c r="C1585" s="11">
        <v>147.18</v>
      </c>
      <c r="D1585" s="11">
        <v>2016</v>
      </c>
    </row>
    <row r="1586" spans="1:4" ht="19.95" customHeight="1" x14ac:dyDescent="0.25">
      <c r="A1586" s="10" t="s">
        <v>25</v>
      </c>
      <c r="B1586" s="11" t="s">
        <v>42</v>
      </c>
      <c r="C1586" s="11">
        <v>175.83</v>
      </c>
      <c r="D1586" s="11">
        <v>2016</v>
      </c>
    </row>
    <row r="1587" spans="1:4" ht="19.95" customHeight="1" x14ac:dyDescent="0.25">
      <c r="A1587" s="10" t="s">
        <v>26</v>
      </c>
      <c r="B1587" s="11" t="s">
        <v>42</v>
      </c>
      <c r="C1587" s="11">
        <v>97.43</v>
      </c>
      <c r="D1587" s="11">
        <v>2016</v>
      </c>
    </row>
    <row r="1588" spans="1:4" ht="19.95" customHeight="1" x14ac:dyDescent="0.25">
      <c r="A1588" s="10" t="s">
        <v>27</v>
      </c>
      <c r="B1588" s="11" t="s">
        <v>42</v>
      </c>
      <c r="C1588" s="11">
        <v>149.72999999999999</v>
      </c>
      <c r="D1588" s="11">
        <v>2016</v>
      </c>
    </row>
    <row r="1589" spans="1:4" ht="19.95" customHeight="1" x14ac:dyDescent="0.25">
      <c r="A1589" s="10" t="s">
        <v>29</v>
      </c>
      <c r="B1589" s="11" t="s">
        <v>42</v>
      </c>
      <c r="C1589" s="11">
        <v>135.83000000000001</v>
      </c>
      <c r="D1589" s="11">
        <v>2016</v>
      </c>
    </row>
    <row r="1590" spans="1:4" ht="19.95" customHeight="1" x14ac:dyDescent="0.25">
      <c r="A1590" s="10" t="s">
        <v>30</v>
      </c>
      <c r="B1590" s="11" t="s">
        <v>42</v>
      </c>
      <c r="C1590" s="11">
        <v>137.83000000000001</v>
      </c>
      <c r="D1590" s="11">
        <v>2016</v>
      </c>
    </row>
    <row r="1591" spans="1:4" ht="19.95" customHeight="1" x14ac:dyDescent="0.25">
      <c r="A1591" s="10" t="s">
        <v>31</v>
      </c>
      <c r="B1591" s="11" t="s">
        <v>42</v>
      </c>
      <c r="C1591" s="11">
        <v>128.52000000000001</v>
      </c>
      <c r="D1591" s="11">
        <v>2016</v>
      </c>
    </row>
    <row r="1592" spans="1:4" ht="19.95" customHeight="1" x14ac:dyDescent="0.25">
      <c r="A1592" s="10" t="s">
        <v>32</v>
      </c>
      <c r="B1592" s="11" t="s">
        <v>42</v>
      </c>
      <c r="C1592" s="11">
        <v>176.35</v>
      </c>
      <c r="D1592" s="11">
        <v>2016</v>
      </c>
    </row>
    <row r="1593" spans="1:4" ht="19.95" customHeight="1" x14ac:dyDescent="0.25">
      <c r="A1593" s="10" t="s">
        <v>33</v>
      </c>
      <c r="B1593" s="11" t="s">
        <v>42</v>
      </c>
      <c r="C1593" s="11">
        <v>140.61000000000001</v>
      </c>
      <c r="D1593" s="11">
        <v>2016</v>
      </c>
    </row>
    <row r="1594" spans="1:4" ht="19.95" customHeight="1" x14ac:dyDescent="0.25">
      <c r="A1594" s="10" t="s">
        <v>34</v>
      </c>
      <c r="B1594" s="11" t="s">
        <v>42</v>
      </c>
      <c r="C1594" s="11">
        <v>111.36</v>
      </c>
      <c r="D1594" s="11">
        <v>2016</v>
      </c>
    </row>
    <row r="1595" spans="1:4" ht="19.95" customHeight="1" x14ac:dyDescent="0.25">
      <c r="A1595" s="10" t="s">
        <v>35</v>
      </c>
      <c r="B1595" s="11" t="s">
        <v>42</v>
      </c>
      <c r="C1595" s="11">
        <v>131.27000000000001</v>
      </c>
      <c r="D1595" s="11">
        <v>2016</v>
      </c>
    </row>
    <row r="1596" spans="1:4" ht="19.95" customHeight="1" x14ac:dyDescent="0.25">
      <c r="A1596" s="10" t="s">
        <v>36</v>
      </c>
      <c r="B1596" s="11" t="s">
        <v>42</v>
      </c>
      <c r="C1596" s="11">
        <v>155.46</v>
      </c>
      <c r="D1596" s="11">
        <v>2016</v>
      </c>
    </row>
    <row r="1597" spans="1:4" ht="19.95" customHeight="1" x14ac:dyDescent="0.25">
      <c r="A1597" s="10" t="s">
        <v>37</v>
      </c>
      <c r="B1597" s="11" t="s">
        <v>42</v>
      </c>
      <c r="C1597" s="11">
        <v>168.95</v>
      </c>
      <c r="D1597" s="11">
        <v>2016</v>
      </c>
    </row>
    <row r="1598" spans="1:4" ht="19.95" customHeight="1" x14ac:dyDescent="0.25">
      <c r="A1598" s="10" t="s">
        <v>38</v>
      </c>
      <c r="B1598" s="11" t="s">
        <v>42</v>
      </c>
      <c r="C1598" s="11">
        <v>98.31</v>
      </c>
      <c r="D1598" s="11">
        <v>2016</v>
      </c>
    </row>
    <row r="1599" spans="1:4" ht="19.95" customHeight="1" x14ac:dyDescent="0.25">
      <c r="A1599" s="10" t="s">
        <v>39</v>
      </c>
      <c r="B1599" s="11" t="s">
        <v>42</v>
      </c>
      <c r="C1599" s="11">
        <v>179.77</v>
      </c>
      <c r="D1599" s="11">
        <v>2016</v>
      </c>
    </row>
    <row r="1600" spans="1:4" ht="19.95" customHeight="1" x14ac:dyDescent="0.25">
      <c r="A1600" s="10" t="s">
        <v>40</v>
      </c>
      <c r="B1600" s="11" t="s">
        <v>42</v>
      </c>
      <c r="C1600" s="11">
        <v>88.75</v>
      </c>
      <c r="D1600" s="11">
        <v>2016</v>
      </c>
    </row>
    <row r="1601" spans="1:4" ht="19.95" customHeight="1" x14ac:dyDescent="0.25">
      <c r="A1601" s="10" t="s">
        <v>10</v>
      </c>
      <c r="B1601" s="11" t="s">
        <v>42</v>
      </c>
      <c r="C1601" s="11"/>
      <c r="D1601" s="11">
        <v>2017</v>
      </c>
    </row>
    <row r="1602" spans="1:4" ht="19.95" customHeight="1" x14ac:dyDescent="0.25">
      <c r="A1602" s="10" t="s">
        <v>13</v>
      </c>
      <c r="B1602" s="11" t="s">
        <v>42</v>
      </c>
      <c r="C1602" s="11"/>
      <c r="D1602" s="11">
        <v>2017</v>
      </c>
    </row>
    <row r="1603" spans="1:4" ht="19.95" customHeight="1" x14ac:dyDescent="0.25">
      <c r="A1603" s="10" t="s">
        <v>15</v>
      </c>
      <c r="B1603" s="11" t="s">
        <v>42</v>
      </c>
      <c r="C1603" s="11"/>
      <c r="D1603" s="11">
        <v>2017</v>
      </c>
    </row>
    <row r="1604" spans="1:4" ht="19.95" customHeight="1" x14ac:dyDescent="0.25">
      <c r="A1604" s="10" t="s">
        <v>16</v>
      </c>
      <c r="B1604" s="11" t="s">
        <v>42</v>
      </c>
      <c r="C1604" s="11"/>
      <c r="D1604" s="11">
        <v>2017</v>
      </c>
    </row>
    <row r="1605" spans="1:4" ht="19.95" customHeight="1" x14ac:dyDescent="0.25">
      <c r="A1605" s="10" t="s">
        <v>17</v>
      </c>
      <c r="B1605" s="11" t="s">
        <v>42</v>
      </c>
      <c r="C1605" s="11"/>
      <c r="D1605" s="11">
        <v>2017</v>
      </c>
    </row>
    <row r="1606" spans="1:4" ht="19.95" customHeight="1" x14ac:dyDescent="0.25">
      <c r="A1606" s="10" t="s">
        <v>2</v>
      </c>
      <c r="B1606" s="11" t="s">
        <v>42</v>
      </c>
      <c r="C1606" s="11"/>
      <c r="D1606" s="11">
        <v>2017</v>
      </c>
    </row>
    <row r="1607" spans="1:4" ht="19.95" customHeight="1" x14ac:dyDescent="0.25">
      <c r="A1607" s="10" t="s">
        <v>18</v>
      </c>
      <c r="B1607" s="11" t="s">
        <v>42</v>
      </c>
      <c r="C1607" s="11"/>
      <c r="D1607" s="11">
        <v>2017</v>
      </c>
    </row>
    <row r="1608" spans="1:4" ht="19.95" customHeight="1" x14ac:dyDescent="0.25">
      <c r="A1608" s="10" t="s">
        <v>19</v>
      </c>
      <c r="B1608" s="11" t="s">
        <v>42</v>
      </c>
      <c r="C1608" s="11"/>
      <c r="D1608" s="11">
        <v>2017</v>
      </c>
    </row>
    <row r="1609" spans="1:4" ht="19.95" customHeight="1" x14ac:dyDescent="0.25">
      <c r="A1609" s="10" t="s">
        <v>20</v>
      </c>
      <c r="B1609" s="11" t="s">
        <v>42</v>
      </c>
      <c r="C1609" s="11"/>
      <c r="D1609" s="11">
        <v>2017</v>
      </c>
    </row>
    <row r="1610" spans="1:4" ht="19.95" customHeight="1" x14ac:dyDescent="0.25">
      <c r="A1610" s="10" t="s">
        <v>21</v>
      </c>
      <c r="B1610" s="11" t="s">
        <v>42</v>
      </c>
      <c r="C1610" s="11"/>
      <c r="D1610" s="11">
        <v>2017</v>
      </c>
    </row>
    <row r="1611" spans="1:4" ht="19.95" customHeight="1" x14ac:dyDescent="0.25">
      <c r="A1611" s="10" t="s">
        <v>22</v>
      </c>
      <c r="B1611" s="11" t="s">
        <v>42</v>
      </c>
      <c r="C1611" s="11"/>
      <c r="D1611" s="11">
        <v>2017</v>
      </c>
    </row>
    <row r="1612" spans="1:4" ht="19.95" customHeight="1" x14ac:dyDescent="0.25">
      <c r="A1612" s="10" t="s">
        <v>23</v>
      </c>
      <c r="B1612" s="11" t="s">
        <v>42</v>
      </c>
      <c r="C1612" s="11"/>
      <c r="D1612" s="11">
        <v>2017</v>
      </c>
    </row>
    <row r="1613" spans="1:4" ht="19.95" customHeight="1" x14ac:dyDescent="0.25">
      <c r="A1613" s="10" t="s">
        <v>24</v>
      </c>
      <c r="B1613" s="11" t="s">
        <v>42</v>
      </c>
      <c r="C1613" s="11"/>
      <c r="D1613" s="11">
        <v>2017</v>
      </c>
    </row>
    <row r="1614" spans="1:4" ht="19.95" customHeight="1" x14ac:dyDescent="0.25">
      <c r="A1614" s="10" t="s">
        <v>25</v>
      </c>
      <c r="B1614" s="11" t="s">
        <v>42</v>
      </c>
      <c r="C1614" s="11"/>
      <c r="D1614" s="11">
        <v>2017</v>
      </c>
    </row>
    <row r="1615" spans="1:4" ht="19.95" customHeight="1" x14ac:dyDescent="0.25">
      <c r="A1615" s="10" t="s">
        <v>26</v>
      </c>
      <c r="B1615" s="11" t="s">
        <v>42</v>
      </c>
      <c r="C1615" s="11"/>
      <c r="D1615" s="11">
        <v>2017</v>
      </c>
    </row>
    <row r="1616" spans="1:4" ht="19.95" customHeight="1" x14ac:dyDescent="0.25">
      <c r="A1616" s="10" t="s">
        <v>27</v>
      </c>
      <c r="B1616" s="11" t="s">
        <v>42</v>
      </c>
      <c r="C1616" s="11"/>
      <c r="D1616" s="11">
        <v>2017</v>
      </c>
    </row>
    <row r="1617" spans="1:4" ht="19.95" customHeight="1" x14ac:dyDescent="0.25">
      <c r="A1617" s="10" t="s">
        <v>29</v>
      </c>
      <c r="B1617" s="11" t="s">
        <v>42</v>
      </c>
      <c r="C1617" s="11"/>
      <c r="D1617" s="11">
        <v>2017</v>
      </c>
    </row>
    <row r="1618" spans="1:4" ht="19.95" customHeight="1" x14ac:dyDescent="0.25">
      <c r="A1618" s="10" t="s">
        <v>30</v>
      </c>
      <c r="B1618" s="11" t="s">
        <v>42</v>
      </c>
      <c r="C1618" s="11"/>
      <c r="D1618" s="11">
        <v>2017</v>
      </c>
    </row>
    <row r="1619" spans="1:4" ht="19.95" customHeight="1" x14ac:dyDescent="0.25">
      <c r="A1619" s="10" t="s">
        <v>31</v>
      </c>
      <c r="B1619" s="11" t="s">
        <v>42</v>
      </c>
      <c r="C1619" s="11"/>
      <c r="D1619" s="11">
        <v>2017</v>
      </c>
    </row>
    <row r="1620" spans="1:4" ht="19.95" customHeight="1" x14ac:dyDescent="0.25">
      <c r="A1620" s="10" t="s">
        <v>32</v>
      </c>
      <c r="B1620" s="11" t="s">
        <v>42</v>
      </c>
      <c r="C1620" s="11"/>
      <c r="D1620" s="11">
        <v>2017</v>
      </c>
    </row>
    <row r="1621" spans="1:4" ht="19.95" customHeight="1" x14ac:dyDescent="0.25">
      <c r="A1621" s="10" t="s">
        <v>33</v>
      </c>
      <c r="B1621" s="11" t="s">
        <v>42</v>
      </c>
      <c r="C1621" s="11"/>
      <c r="D1621" s="11">
        <v>2017</v>
      </c>
    </row>
    <row r="1622" spans="1:4" ht="19.95" customHeight="1" x14ac:dyDescent="0.25">
      <c r="A1622" s="10" t="s">
        <v>34</v>
      </c>
      <c r="B1622" s="11" t="s">
        <v>42</v>
      </c>
      <c r="C1622" s="11"/>
      <c r="D1622" s="11">
        <v>2017</v>
      </c>
    </row>
    <row r="1623" spans="1:4" ht="19.95" customHeight="1" x14ac:dyDescent="0.25">
      <c r="A1623" s="10" t="s">
        <v>35</v>
      </c>
      <c r="B1623" s="11" t="s">
        <v>42</v>
      </c>
      <c r="C1623" s="11"/>
      <c r="D1623" s="11">
        <v>2017</v>
      </c>
    </row>
    <row r="1624" spans="1:4" ht="19.95" customHeight="1" x14ac:dyDescent="0.25">
      <c r="A1624" s="10" t="s">
        <v>36</v>
      </c>
      <c r="B1624" s="11" t="s">
        <v>42</v>
      </c>
      <c r="C1624" s="11"/>
      <c r="D1624" s="11">
        <v>2017</v>
      </c>
    </row>
    <row r="1625" spans="1:4" ht="19.95" customHeight="1" x14ac:dyDescent="0.25">
      <c r="A1625" s="10" t="s">
        <v>37</v>
      </c>
      <c r="B1625" s="11" t="s">
        <v>42</v>
      </c>
      <c r="C1625" s="11"/>
      <c r="D1625" s="11">
        <v>2017</v>
      </c>
    </row>
    <row r="1626" spans="1:4" ht="19.95" customHeight="1" x14ac:dyDescent="0.25">
      <c r="A1626" s="10" t="s">
        <v>38</v>
      </c>
      <c r="B1626" s="11" t="s">
        <v>42</v>
      </c>
      <c r="C1626" s="11"/>
      <c r="D1626" s="11">
        <v>2017</v>
      </c>
    </row>
    <row r="1627" spans="1:4" ht="19.95" customHeight="1" x14ac:dyDescent="0.25">
      <c r="A1627" s="10" t="s">
        <v>39</v>
      </c>
      <c r="B1627" s="11" t="s">
        <v>42</v>
      </c>
      <c r="C1627" s="11"/>
      <c r="D1627" s="11">
        <v>2017</v>
      </c>
    </row>
    <row r="1628" spans="1:4" ht="19.95" customHeight="1" x14ac:dyDescent="0.25">
      <c r="A1628" s="10" t="s">
        <v>40</v>
      </c>
      <c r="B1628" s="11" t="s">
        <v>42</v>
      </c>
      <c r="C1628" s="11"/>
      <c r="D1628" s="11">
        <v>2017</v>
      </c>
    </row>
  </sheetData>
  <mergeCells count="4">
    <mergeCell ref="G2:K2"/>
    <mergeCell ref="J4:K4"/>
    <mergeCell ref="J97:S97"/>
    <mergeCell ref="J98:S101"/>
  </mergeCells>
  <phoneticPr fontId="1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nlever">
                <anchor moveWithCells="1" sizeWithCells="1">
                  <from>
                    <xdr:col>4</xdr:col>
                    <xdr:colOff>792480</xdr:colOff>
                    <xdr:row>6</xdr:row>
                    <xdr:rowOff>137160</xdr:rowOff>
                  </from>
                  <to>
                    <xdr:col>5</xdr:col>
                    <xdr:colOff>998220</xdr:colOff>
                    <xdr:row>8</xdr:row>
                    <xdr:rowOff>7620</xdr:rowOff>
                  </to>
                </anchor>
              </controlPr>
            </control>
          </mc:Choice>
        </mc:AlternateContent>
        <mc:AlternateContent xmlns:mc="http://schemas.openxmlformats.org/markup-compatibility/2006">
          <mc:Choice Requires="x14">
            <control shapeId="4098" r:id="rId5" name="Button 2">
              <controlPr defaultSize="0" print="0" autoFill="0" autoPict="0" macro="[0]!afficher">
                <anchor moveWithCells="1" sizeWithCells="1">
                  <from>
                    <xdr:col>5</xdr:col>
                    <xdr:colOff>0</xdr:colOff>
                    <xdr:row>3</xdr:row>
                    <xdr:rowOff>274320</xdr:rowOff>
                  </from>
                  <to>
                    <xdr:col>5</xdr:col>
                    <xdr:colOff>1013460</xdr:colOff>
                    <xdr:row>5</xdr:row>
                    <xdr:rowOff>160020</xdr:rowOff>
                  </to>
                </anchor>
              </controlPr>
            </control>
          </mc:Choice>
        </mc:AlternateContent>
        <mc:AlternateContent xmlns:mc="http://schemas.openxmlformats.org/markup-compatibility/2006">
          <mc:Choice Requires="x14">
            <control shapeId="4099" r:id="rId6" name="comite 4">
              <controlPr defaultSize="0" print="0" autoFill="0" autoPict="0" macro="[0]!SelectSheet">
                <anchor moveWithCells="1" sizeWithCells="1">
                  <from>
                    <xdr:col>4</xdr:col>
                    <xdr:colOff>800100</xdr:colOff>
                    <xdr:row>8</xdr:row>
                    <xdr:rowOff>152400</xdr:rowOff>
                  </from>
                  <to>
                    <xdr:col>5</xdr:col>
                    <xdr:colOff>990600</xdr:colOff>
                    <xdr:row>10</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2:K1629"/>
  <sheetViews>
    <sheetView showGridLines="0" topLeftCell="E16" zoomScale="80" zoomScaleNormal="80" workbookViewId="0">
      <selection activeCell="G2" sqref="G2:K2"/>
    </sheetView>
  </sheetViews>
  <sheetFormatPr defaultColWidth="8" defaultRowHeight="19.95" customHeight="1" x14ac:dyDescent="0.25"/>
  <cols>
    <col min="1" max="1" width="19.3984375" style="1" hidden="1" customWidth="1"/>
    <col min="2" max="2" width="52.69921875" style="1" hidden="1" customWidth="1"/>
    <col min="3" max="3" width="14.59765625" style="1" hidden="1" customWidth="1"/>
    <col min="4" max="4" width="8"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8" width="12.59765625" style="1" bestFit="1" customWidth="1"/>
    <col min="19" max="19" width="7.8984375" style="1" bestFit="1" customWidth="1"/>
    <col min="20" max="24" width="12.59765625" style="1" bestFit="1" customWidth="1"/>
    <col min="25" max="25" width="12.8984375" style="1" bestFit="1" customWidth="1"/>
    <col min="26" max="30" width="12.59765625" style="1" bestFit="1" customWidth="1"/>
    <col min="31" max="31" width="22.3984375" style="1" bestFit="1" customWidth="1"/>
    <col min="32" max="38" width="12.59765625" style="1" bestFit="1" customWidth="1"/>
    <col min="39" max="39" width="12.3984375" style="1" bestFit="1" customWidth="1"/>
    <col min="40" max="65" width="21" style="1" bestFit="1" customWidth="1"/>
    <col min="66" max="66" width="14.59765625" style="1" bestFit="1" customWidth="1"/>
    <col min="67" max="67" width="14.5" style="1" bestFit="1" customWidth="1"/>
    <col min="68" max="16384" width="8" style="1"/>
  </cols>
  <sheetData>
    <row r="2" spans="1:11" ht="25.2" customHeight="1" x14ac:dyDescent="0.25">
      <c r="G2" s="34" t="s">
        <v>48</v>
      </c>
      <c r="H2" s="34"/>
      <c r="I2" s="34"/>
      <c r="J2" s="34"/>
      <c r="K2" s="34"/>
    </row>
    <row r="3" spans="1:11" ht="10.199999999999999" customHeight="1" x14ac:dyDescent="0.25"/>
    <row r="4" spans="1:11" ht="22.2" customHeight="1" thickBot="1" x14ac:dyDescent="0.3">
      <c r="A4" s="34" t="s">
        <v>43</v>
      </c>
      <c r="B4" s="40"/>
      <c r="C4" s="40"/>
      <c r="D4" s="40"/>
      <c r="H4" s="16" t="s">
        <v>8</v>
      </c>
      <c r="J4" s="38" t="s">
        <v>9</v>
      </c>
      <c r="K4" s="38"/>
    </row>
    <row r="5" spans="1:11" ht="19.95" customHeight="1" thickTop="1" x14ac:dyDescent="0.25">
      <c r="A5" s="5" t="s">
        <v>4</v>
      </c>
      <c r="B5" s="5" t="s">
        <v>5</v>
      </c>
      <c r="C5" s="5" t="s">
        <v>6</v>
      </c>
      <c r="D5" s="5" t="s">
        <v>7</v>
      </c>
      <c r="J5" s="24" t="s">
        <v>12</v>
      </c>
      <c r="K5" s="24" t="s">
        <v>4</v>
      </c>
    </row>
    <row r="6" spans="1:11" ht="19.95" customHeight="1" x14ac:dyDescent="0.25">
      <c r="A6" s="7" t="s">
        <v>10</v>
      </c>
      <c r="B6" s="19" t="s">
        <v>44</v>
      </c>
      <c r="C6" s="8"/>
      <c r="D6" s="8">
        <v>1960</v>
      </c>
      <c r="J6" s="25" t="s">
        <v>7</v>
      </c>
      <c r="K6" s="25" t="s">
        <v>29</v>
      </c>
    </row>
    <row r="7" spans="1:11" ht="19.95" customHeight="1" x14ac:dyDescent="0.25">
      <c r="A7" s="7" t="s">
        <v>13</v>
      </c>
      <c r="B7" s="19" t="s">
        <v>45</v>
      </c>
      <c r="C7" s="8"/>
      <c r="D7" s="8">
        <v>1960</v>
      </c>
      <c r="J7" s="22">
        <v>1990</v>
      </c>
      <c r="K7" s="29">
        <v>43.701879194620702</v>
      </c>
    </row>
    <row r="8" spans="1:11" ht="19.95" customHeight="1" x14ac:dyDescent="0.25">
      <c r="A8" s="7" t="s">
        <v>15</v>
      </c>
      <c r="B8" s="19" t="s">
        <v>44</v>
      </c>
      <c r="C8" s="8"/>
      <c r="D8" s="8">
        <v>1960</v>
      </c>
      <c r="J8" s="22">
        <v>1995</v>
      </c>
      <c r="K8" s="29">
        <v>43.816870362701202</v>
      </c>
    </row>
    <row r="9" spans="1:11" ht="19.95" customHeight="1" x14ac:dyDescent="0.25">
      <c r="A9" s="7" t="s">
        <v>16</v>
      </c>
      <c r="B9" s="19" t="s">
        <v>45</v>
      </c>
      <c r="C9" s="8"/>
      <c r="D9" s="8">
        <v>1960</v>
      </c>
      <c r="J9" s="22">
        <v>2000</v>
      </c>
      <c r="K9" s="29">
        <v>44.227207948034</v>
      </c>
    </row>
    <row r="10" spans="1:11" ht="19.95" customHeight="1" x14ac:dyDescent="0.25">
      <c r="A10" s="7" t="s">
        <v>17</v>
      </c>
      <c r="B10" s="19" t="s">
        <v>45</v>
      </c>
      <c r="C10" s="8"/>
      <c r="D10" s="8">
        <v>1960</v>
      </c>
      <c r="J10" s="22">
        <v>2005</v>
      </c>
      <c r="K10" s="29">
        <v>48.0010895231636</v>
      </c>
    </row>
    <row r="11" spans="1:11" ht="19.95" customHeight="1" x14ac:dyDescent="0.25">
      <c r="A11" s="7" t="s">
        <v>2</v>
      </c>
      <c r="B11" s="19" t="s">
        <v>45</v>
      </c>
      <c r="C11" s="8"/>
      <c r="D11" s="8">
        <v>1960</v>
      </c>
      <c r="J11" s="22">
        <v>2010</v>
      </c>
      <c r="K11" s="29">
        <v>45.834166775704198</v>
      </c>
    </row>
    <row r="12" spans="1:11" ht="19.95" customHeight="1" x14ac:dyDescent="0.25">
      <c r="A12" s="7" t="s">
        <v>18</v>
      </c>
      <c r="B12" s="19" t="s">
        <v>45</v>
      </c>
      <c r="C12" s="8"/>
      <c r="D12" s="8">
        <v>1960</v>
      </c>
      <c r="J12" s="22">
        <v>2011</v>
      </c>
      <c r="K12" s="29">
        <v>45.922495148855702</v>
      </c>
    </row>
    <row r="13" spans="1:11" ht="19.95" customHeight="1" x14ac:dyDescent="0.25">
      <c r="A13" s="7" t="s">
        <v>19</v>
      </c>
      <c r="B13" s="19" t="s">
        <v>45</v>
      </c>
      <c r="C13" s="8"/>
      <c r="D13" s="8">
        <v>1960</v>
      </c>
      <c r="J13" s="22">
        <v>2012</v>
      </c>
      <c r="K13" s="29">
        <v>48.2268903647252</v>
      </c>
    </row>
    <row r="14" spans="1:11" ht="19.95" customHeight="1" x14ac:dyDescent="0.25">
      <c r="A14" s="7" t="s">
        <v>20</v>
      </c>
      <c r="B14" s="19" t="s">
        <v>45</v>
      </c>
      <c r="C14" s="8"/>
      <c r="D14" s="8">
        <v>1960</v>
      </c>
      <c r="J14" s="22">
        <v>2013</v>
      </c>
      <c r="K14" s="29">
        <v>51.1129131584606</v>
      </c>
    </row>
    <row r="15" spans="1:11" ht="19.95" customHeight="1" x14ac:dyDescent="0.25">
      <c r="A15" s="7" t="s">
        <v>21</v>
      </c>
      <c r="B15" s="19" t="s">
        <v>45</v>
      </c>
      <c r="C15" s="8"/>
      <c r="D15" s="8">
        <v>1960</v>
      </c>
      <c r="J15" s="22">
        <v>2014</v>
      </c>
      <c r="K15" s="29">
        <v>52.428392853048599</v>
      </c>
    </row>
    <row r="16" spans="1:11" ht="19.95" customHeight="1" x14ac:dyDescent="0.25">
      <c r="A16" s="7" t="s">
        <v>22</v>
      </c>
      <c r="B16" s="19" t="s">
        <v>45</v>
      </c>
      <c r="C16" s="8"/>
      <c r="D16" s="8">
        <v>1960</v>
      </c>
      <c r="J16" s="22">
        <v>2015</v>
      </c>
      <c r="K16" s="29">
        <v>49.018417395899199</v>
      </c>
    </row>
    <row r="17" spans="1:11" ht="19.95" customHeight="1" x14ac:dyDescent="0.25">
      <c r="A17" s="7" t="s">
        <v>23</v>
      </c>
      <c r="B17" s="19" t="s">
        <v>45</v>
      </c>
      <c r="C17" s="8"/>
      <c r="D17" s="8">
        <v>1960</v>
      </c>
      <c r="J17" s="23">
        <v>2016</v>
      </c>
      <c r="K17" s="30">
        <v>48.811358811618703</v>
      </c>
    </row>
    <row r="18" spans="1:11" ht="19.95" customHeight="1" x14ac:dyDescent="0.25">
      <c r="A18" s="7" t="s">
        <v>24</v>
      </c>
      <c r="B18" s="19" t="s">
        <v>45</v>
      </c>
      <c r="C18" s="8"/>
      <c r="D18" s="8">
        <v>1960</v>
      </c>
    </row>
    <row r="19" spans="1:11" ht="19.95" customHeight="1" x14ac:dyDescent="0.25">
      <c r="A19" s="7" t="s">
        <v>25</v>
      </c>
      <c r="B19" s="19" t="s">
        <v>45</v>
      </c>
      <c r="C19" s="8"/>
      <c r="D19" s="8">
        <v>1960</v>
      </c>
      <c r="J19" s="20"/>
      <c r="K19" s="20"/>
    </row>
    <row r="20" spans="1:11" ht="22.2" customHeight="1" x14ac:dyDescent="0.25">
      <c r="A20" s="7" t="s">
        <v>26</v>
      </c>
      <c r="B20" s="19" t="s">
        <v>45</v>
      </c>
      <c r="C20" s="8"/>
      <c r="D20" s="8">
        <v>1960</v>
      </c>
      <c r="H20" s="4" t="s">
        <v>28</v>
      </c>
    </row>
    <row r="21" spans="1:11" ht="19.95" customHeight="1" x14ac:dyDescent="0.25">
      <c r="A21" s="7" t="s">
        <v>27</v>
      </c>
      <c r="B21" s="19" t="s">
        <v>45</v>
      </c>
      <c r="C21" s="8"/>
      <c r="D21" s="8">
        <v>1960</v>
      </c>
    </row>
    <row r="22" spans="1:11" ht="19.95" customHeight="1" x14ac:dyDescent="0.25">
      <c r="A22" s="7" t="s">
        <v>29</v>
      </c>
      <c r="B22" s="19" t="s">
        <v>45</v>
      </c>
      <c r="C22" s="8"/>
      <c r="D22" s="8">
        <v>1960</v>
      </c>
    </row>
    <row r="23" spans="1:11" ht="19.95" customHeight="1" x14ac:dyDescent="0.25">
      <c r="A23" s="7" t="s">
        <v>30</v>
      </c>
      <c r="B23" s="19" t="s">
        <v>45</v>
      </c>
      <c r="C23" s="8"/>
      <c r="D23" s="8">
        <v>1960</v>
      </c>
    </row>
    <row r="24" spans="1:11" ht="19.95" customHeight="1" x14ac:dyDescent="0.25">
      <c r="A24" s="7" t="s">
        <v>31</v>
      </c>
      <c r="B24" s="19" t="s">
        <v>45</v>
      </c>
      <c r="C24" s="8"/>
      <c r="D24" s="8">
        <v>1960</v>
      </c>
    </row>
    <row r="25" spans="1:11" ht="19.95" customHeight="1" x14ac:dyDescent="0.25">
      <c r="A25" s="7" t="s">
        <v>32</v>
      </c>
      <c r="B25" s="19" t="s">
        <v>45</v>
      </c>
      <c r="C25" s="8"/>
      <c r="D25" s="8">
        <v>1960</v>
      </c>
    </row>
    <row r="26" spans="1:11" ht="19.95" customHeight="1" x14ac:dyDescent="0.25">
      <c r="A26" s="7" t="s">
        <v>33</v>
      </c>
      <c r="B26" s="19" t="s">
        <v>45</v>
      </c>
      <c r="C26" s="8"/>
      <c r="D26" s="8">
        <v>1960</v>
      </c>
    </row>
    <row r="27" spans="1:11" ht="19.95" customHeight="1" x14ac:dyDescent="0.25">
      <c r="A27" s="7" t="s">
        <v>34</v>
      </c>
      <c r="B27" s="19" t="s">
        <v>45</v>
      </c>
      <c r="C27" s="8"/>
      <c r="D27" s="8">
        <v>1960</v>
      </c>
    </row>
    <row r="28" spans="1:11" ht="19.95" customHeight="1" x14ac:dyDescent="0.25">
      <c r="A28" s="7" t="s">
        <v>35</v>
      </c>
      <c r="B28" s="19" t="s">
        <v>45</v>
      </c>
      <c r="C28" s="8"/>
      <c r="D28" s="8">
        <v>1960</v>
      </c>
    </row>
    <row r="29" spans="1:11" ht="19.95" customHeight="1" x14ac:dyDescent="0.25">
      <c r="A29" s="7" t="s">
        <v>36</v>
      </c>
      <c r="B29" s="19" t="s">
        <v>45</v>
      </c>
      <c r="C29" s="8"/>
      <c r="D29" s="8">
        <v>1960</v>
      </c>
    </row>
    <row r="30" spans="1:11" ht="19.95" customHeight="1" x14ac:dyDescent="0.25">
      <c r="A30" s="7" t="s">
        <v>37</v>
      </c>
      <c r="B30" s="19" t="s">
        <v>45</v>
      </c>
      <c r="C30" s="8"/>
      <c r="D30" s="8">
        <v>1960</v>
      </c>
    </row>
    <row r="31" spans="1:11" ht="19.95" customHeight="1" x14ac:dyDescent="0.25">
      <c r="A31" s="7" t="s">
        <v>38</v>
      </c>
      <c r="B31" s="19" t="s">
        <v>45</v>
      </c>
      <c r="C31" s="8"/>
      <c r="D31" s="8">
        <v>1960</v>
      </c>
    </row>
    <row r="32" spans="1:11" ht="19.95" customHeight="1" x14ac:dyDescent="0.25">
      <c r="A32" s="7" t="s">
        <v>39</v>
      </c>
      <c r="B32" s="19" t="s">
        <v>45</v>
      </c>
      <c r="C32" s="8"/>
      <c r="D32" s="8">
        <v>1960</v>
      </c>
    </row>
    <row r="33" spans="1:11" ht="19.95" customHeight="1" x14ac:dyDescent="0.25">
      <c r="A33" s="7" t="s">
        <v>40</v>
      </c>
      <c r="B33" s="19" t="s">
        <v>45</v>
      </c>
      <c r="C33" s="8"/>
      <c r="D33" s="8">
        <v>1960</v>
      </c>
    </row>
    <row r="34" spans="1:11" ht="19.95" customHeight="1" x14ac:dyDescent="0.25">
      <c r="A34" s="10" t="s">
        <v>10</v>
      </c>
      <c r="B34" s="21" t="s">
        <v>45</v>
      </c>
      <c r="C34" s="11"/>
      <c r="D34" s="11">
        <v>1961</v>
      </c>
    </row>
    <row r="35" spans="1:11" ht="19.95" customHeight="1" x14ac:dyDescent="0.25">
      <c r="A35" s="10" t="s">
        <v>13</v>
      </c>
      <c r="B35" s="21" t="s">
        <v>45</v>
      </c>
      <c r="C35" s="11"/>
      <c r="D35" s="11">
        <v>1961</v>
      </c>
    </row>
    <row r="36" spans="1:11" ht="22.2" customHeight="1" x14ac:dyDescent="0.25">
      <c r="A36" s="10" t="s">
        <v>15</v>
      </c>
      <c r="B36" s="21" t="s">
        <v>45</v>
      </c>
      <c r="C36" s="11"/>
      <c r="D36" s="11">
        <v>1961</v>
      </c>
      <c r="K36" s="20"/>
    </row>
    <row r="37" spans="1:11" ht="19.95" customHeight="1" x14ac:dyDescent="0.25">
      <c r="A37" s="10" t="s">
        <v>16</v>
      </c>
      <c r="B37" s="21" t="s">
        <v>45</v>
      </c>
      <c r="C37" s="11"/>
      <c r="D37" s="11">
        <v>1961</v>
      </c>
    </row>
    <row r="38" spans="1:11" ht="19.95" customHeight="1" x14ac:dyDescent="0.25">
      <c r="A38" s="10" t="s">
        <v>17</v>
      </c>
      <c r="B38" s="21" t="s">
        <v>45</v>
      </c>
      <c r="C38" s="11"/>
      <c r="D38" s="11">
        <v>1961</v>
      </c>
    </row>
    <row r="39" spans="1:11" ht="19.95" customHeight="1" x14ac:dyDescent="0.25">
      <c r="A39" s="10" t="s">
        <v>2</v>
      </c>
      <c r="B39" s="21" t="s">
        <v>45</v>
      </c>
      <c r="C39" s="11"/>
      <c r="D39" s="11">
        <v>1961</v>
      </c>
    </row>
    <row r="40" spans="1:11" ht="19.95" customHeight="1" x14ac:dyDescent="0.25">
      <c r="A40" s="10" t="s">
        <v>18</v>
      </c>
      <c r="B40" s="21" t="s">
        <v>45</v>
      </c>
      <c r="C40" s="11"/>
      <c r="D40" s="11">
        <v>1961</v>
      </c>
    </row>
    <row r="41" spans="1:11" ht="19.95" customHeight="1" x14ac:dyDescent="0.25">
      <c r="A41" s="10" t="s">
        <v>19</v>
      </c>
      <c r="B41" s="21" t="s">
        <v>45</v>
      </c>
      <c r="C41" s="11"/>
      <c r="D41" s="11">
        <v>1961</v>
      </c>
    </row>
    <row r="42" spans="1:11" ht="19.95" customHeight="1" x14ac:dyDescent="0.25">
      <c r="A42" s="10" t="s">
        <v>20</v>
      </c>
      <c r="B42" s="21" t="s">
        <v>45</v>
      </c>
      <c r="C42" s="11"/>
      <c r="D42" s="11">
        <v>1961</v>
      </c>
    </row>
    <row r="43" spans="1:11" ht="19.95" customHeight="1" x14ac:dyDescent="0.25">
      <c r="A43" s="10" t="s">
        <v>21</v>
      </c>
      <c r="B43" s="21" t="s">
        <v>45</v>
      </c>
      <c r="C43" s="11"/>
      <c r="D43" s="11">
        <v>1961</v>
      </c>
    </row>
    <row r="44" spans="1:11" ht="19.95" customHeight="1" x14ac:dyDescent="0.25">
      <c r="A44" s="10" t="s">
        <v>22</v>
      </c>
      <c r="B44" s="21" t="s">
        <v>45</v>
      </c>
      <c r="C44" s="11"/>
      <c r="D44" s="11">
        <v>1961</v>
      </c>
    </row>
    <row r="45" spans="1:11" ht="19.95" customHeight="1" x14ac:dyDescent="0.25">
      <c r="A45" s="10" t="s">
        <v>23</v>
      </c>
      <c r="B45" s="21" t="s">
        <v>45</v>
      </c>
      <c r="C45" s="11"/>
      <c r="D45" s="11">
        <v>1961</v>
      </c>
    </row>
    <row r="46" spans="1:11" ht="19.95" customHeight="1" x14ac:dyDescent="0.25">
      <c r="A46" s="10" t="s">
        <v>24</v>
      </c>
      <c r="B46" s="21" t="s">
        <v>45</v>
      </c>
      <c r="C46" s="11"/>
      <c r="D46" s="11">
        <v>1961</v>
      </c>
    </row>
    <row r="47" spans="1:11" ht="19.95" customHeight="1" x14ac:dyDescent="0.25">
      <c r="A47" s="10" t="s">
        <v>25</v>
      </c>
      <c r="B47" s="21" t="s">
        <v>45</v>
      </c>
      <c r="C47" s="11"/>
      <c r="D47" s="11">
        <v>1961</v>
      </c>
    </row>
    <row r="48" spans="1:11" ht="19.95" customHeight="1" x14ac:dyDescent="0.25">
      <c r="A48" s="10" t="s">
        <v>26</v>
      </c>
      <c r="B48" s="21" t="s">
        <v>45</v>
      </c>
      <c r="C48" s="11"/>
      <c r="D48" s="11">
        <v>1961</v>
      </c>
    </row>
    <row r="49" spans="1:11" ht="19.95" customHeight="1" x14ac:dyDescent="0.25">
      <c r="A49" s="10" t="s">
        <v>27</v>
      </c>
      <c r="B49" s="21" t="s">
        <v>45</v>
      </c>
      <c r="C49" s="11"/>
      <c r="D49" s="11">
        <v>1961</v>
      </c>
    </row>
    <row r="50" spans="1:11" ht="19.95" customHeight="1" x14ac:dyDescent="0.25">
      <c r="A50" s="10" t="s">
        <v>29</v>
      </c>
      <c r="B50" s="21" t="s">
        <v>45</v>
      </c>
      <c r="C50" s="11"/>
      <c r="D50" s="11">
        <v>1961</v>
      </c>
    </row>
    <row r="51" spans="1:11" ht="19.95" customHeight="1" x14ac:dyDescent="0.25">
      <c r="A51" s="10" t="s">
        <v>30</v>
      </c>
      <c r="B51" s="21" t="s">
        <v>45</v>
      </c>
      <c r="C51" s="11"/>
      <c r="D51" s="11">
        <v>1961</v>
      </c>
      <c r="J51" s="9"/>
      <c r="K51" s="9"/>
    </row>
    <row r="52" spans="1:11" ht="19.95" customHeight="1" x14ac:dyDescent="0.25">
      <c r="A52" s="10" t="s">
        <v>31</v>
      </c>
      <c r="B52" s="21" t="s">
        <v>45</v>
      </c>
      <c r="C52" s="11"/>
      <c r="D52" s="11">
        <v>1961</v>
      </c>
      <c r="J52" s="12"/>
      <c r="K52" s="12"/>
    </row>
    <row r="53" spans="1:11" ht="19.95" customHeight="1" x14ac:dyDescent="0.25">
      <c r="A53" s="10" t="s">
        <v>32</v>
      </c>
      <c r="B53" s="21" t="s">
        <v>45</v>
      </c>
      <c r="C53" s="11"/>
      <c r="D53" s="11">
        <v>1961</v>
      </c>
      <c r="J53" s="12"/>
      <c r="K53" s="12"/>
    </row>
    <row r="54" spans="1:11" ht="19.95" customHeight="1" x14ac:dyDescent="0.25">
      <c r="A54" s="10" t="s">
        <v>33</v>
      </c>
      <c r="B54" s="21" t="s">
        <v>45</v>
      </c>
      <c r="C54" s="11"/>
      <c r="D54" s="11">
        <v>1961</v>
      </c>
    </row>
    <row r="55" spans="1:11" ht="19.95" customHeight="1" x14ac:dyDescent="0.25">
      <c r="A55" s="10" t="s">
        <v>34</v>
      </c>
      <c r="B55" s="21" t="s">
        <v>45</v>
      </c>
      <c r="C55" s="11"/>
      <c r="D55" s="11">
        <v>1961</v>
      </c>
    </row>
    <row r="56" spans="1:11" ht="19.95" customHeight="1" x14ac:dyDescent="0.25">
      <c r="A56" s="10" t="s">
        <v>35</v>
      </c>
      <c r="B56" s="21" t="s">
        <v>45</v>
      </c>
      <c r="C56" s="11"/>
      <c r="D56" s="11">
        <v>1961</v>
      </c>
    </row>
    <row r="57" spans="1:11" ht="19.95" customHeight="1" x14ac:dyDescent="0.25">
      <c r="A57" s="10" t="s">
        <v>36</v>
      </c>
      <c r="B57" s="21" t="s">
        <v>45</v>
      </c>
      <c r="C57" s="11"/>
      <c r="D57" s="11">
        <v>1961</v>
      </c>
    </row>
    <row r="58" spans="1:11" ht="19.95" customHeight="1" x14ac:dyDescent="0.25">
      <c r="A58" s="10" t="s">
        <v>37</v>
      </c>
      <c r="B58" s="21" t="s">
        <v>45</v>
      </c>
      <c r="C58" s="11"/>
      <c r="D58" s="11">
        <v>1961</v>
      </c>
    </row>
    <row r="59" spans="1:11" ht="19.95" customHeight="1" x14ac:dyDescent="0.25">
      <c r="A59" s="10" t="s">
        <v>38</v>
      </c>
      <c r="B59" s="21" t="s">
        <v>45</v>
      </c>
      <c r="C59" s="11"/>
      <c r="D59" s="11">
        <v>1961</v>
      </c>
    </row>
    <row r="60" spans="1:11" ht="19.95" customHeight="1" x14ac:dyDescent="0.25">
      <c r="A60" s="10" t="s">
        <v>39</v>
      </c>
      <c r="B60" s="21" t="s">
        <v>45</v>
      </c>
      <c r="C60" s="11"/>
      <c r="D60" s="11">
        <v>1961</v>
      </c>
    </row>
    <row r="61" spans="1:11" ht="19.95" customHeight="1" x14ac:dyDescent="0.25">
      <c r="A61" s="10" t="s">
        <v>40</v>
      </c>
      <c r="B61" s="21" t="s">
        <v>45</v>
      </c>
      <c r="C61" s="11"/>
      <c r="D61" s="11">
        <v>1961</v>
      </c>
    </row>
    <row r="62" spans="1:11" ht="19.95" customHeight="1" x14ac:dyDescent="0.25">
      <c r="A62" s="10" t="s">
        <v>10</v>
      </c>
      <c r="B62" s="21" t="s">
        <v>45</v>
      </c>
      <c r="C62" s="11"/>
      <c r="D62" s="11">
        <v>1962</v>
      </c>
    </row>
    <row r="63" spans="1:11" ht="19.95" customHeight="1" x14ac:dyDescent="0.25">
      <c r="A63" s="10" t="s">
        <v>13</v>
      </c>
      <c r="B63" s="21" t="s">
        <v>45</v>
      </c>
      <c r="C63" s="11"/>
      <c r="D63" s="11">
        <v>1962</v>
      </c>
    </row>
    <row r="64" spans="1:11" ht="19.95" customHeight="1" x14ac:dyDescent="0.25">
      <c r="A64" s="10" t="s">
        <v>15</v>
      </c>
      <c r="B64" s="21" t="s">
        <v>45</v>
      </c>
      <c r="C64" s="11"/>
      <c r="D64" s="11">
        <v>1962</v>
      </c>
    </row>
    <row r="65" spans="1:4" ht="19.95" customHeight="1" x14ac:dyDescent="0.25">
      <c r="A65" s="10" t="s">
        <v>16</v>
      </c>
      <c r="B65" s="21" t="s">
        <v>45</v>
      </c>
      <c r="C65" s="11"/>
      <c r="D65" s="11">
        <v>1962</v>
      </c>
    </row>
    <row r="66" spans="1:4" ht="19.95" customHeight="1" x14ac:dyDescent="0.25">
      <c r="A66" s="10" t="s">
        <v>17</v>
      </c>
      <c r="B66" s="21" t="s">
        <v>45</v>
      </c>
      <c r="C66" s="11"/>
      <c r="D66" s="11">
        <v>1962</v>
      </c>
    </row>
    <row r="67" spans="1:4" ht="19.95" customHeight="1" x14ac:dyDescent="0.25">
      <c r="A67" s="10" t="s">
        <v>2</v>
      </c>
      <c r="B67" s="21" t="s">
        <v>45</v>
      </c>
      <c r="C67" s="11"/>
      <c r="D67" s="11">
        <v>1962</v>
      </c>
    </row>
    <row r="68" spans="1:4" ht="19.95" customHeight="1" x14ac:dyDescent="0.25">
      <c r="A68" s="10" t="s">
        <v>18</v>
      </c>
      <c r="B68" s="21" t="s">
        <v>45</v>
      </c>
      <c r="C68" s="11"/>
      <c r="D68" s="11">
        <v>1962</v>
      </c>
    </row>
    <row r="69" spans="1:4" ht="19.95" customHeight="1" x14ac:dyDescent="0.25">
      <c r="A69" s="10" t="s">
        <v>19</v>
      </c>
      <c r="B69" s="21" t="s">
        <v>45</v>
      </c>
      <c r="C69" s="11"/>
      <c r="D69" s="11">
        <v>1962</v>
      </c>
    </row>
    <row r="70" spans="1:4" ht="19.95" customHeight="1" x14ac:dyDescent="0.25">
      <c r="A70" s="10" t="s">
        <v>20</v>
      </c>
      <c r="B70" s="21" t="s">
        <v>45</v>
      </c>
      <c r="C70" s="11"/>
      <c r="D70" s="11">
        <v>1962</v>
      </c>
    </row>
    <row r="71" spans="1:4" ht="19.95" customHeight="1" x14ac:dyDescent="0.25">
      <c r="A71" s="10" t="s">
        <v>21</v>
      </c>
      <c r="B71" s="21" t="s">
        <v>45</v>
      </c>
      <c r="C71" s="11"/>
      <c r="D71" s="11">
        <v>1962</v>
      </c>
    </row>
    <row r="72" spans="1:4" ht="19.95" customHeight="1" x14ac:dyDescent="0.25">
      <c r="A72" s="10" t="s">
        <v>22</v>
      </c>
      <c r="B72" s="21" t="s">
        <v>45</v>
      </c>
      <c r="C72" s="11"/>
      <c r="D72" s="11">
        <v>1962</v>
      </c>
    </row>
    <row r="73" spans="1:4" ht="19.95" customHeight="1" x14ac:dyDescent="0.25">
      <c r="A73" s="10" t="s">
        <v>23</v>
      </c>
      <c r="B73" s="21" t="s">
        <v>45</v>
      </c>
      <c r="C73" s="11"/>
      <c r="D73" s="11">
        <v>1962</v>
      </c>
    </row>
    <row r="74" spans="1:4" ht="19.95" customHeight="1" x14ac:dyDescent="0.25">
      <c r="A74" s="10" t="s">
        <v>24</v>
      </c>
      <c r="B74" s="21" t="s">
        <v>45</v>
      </c>
      <c r="C74" s="11"/>
      <c r="D74" s="11">
        <v>1962</v>
      </c>
    </row>
    <row r="75" spans="1:4" ht="19.95" customHeight="1" x14ac:dyDescent="0.25">
      <c r="A75" s="10" t="s">
        <v>25</v>
      </c>
      <c r="B75" s="21" t="s">
        <v>45</v>
      </c>
      <c r="C75" s="11"/>
      <c r="D75" s="11">
        <v>1962</v>
      </c>
    </row>
    <row r="76" spans="1:4" ht="19.95" customHeight="1" x14ac:dyDescent="0.25">
      <c r="A76" s="10" t="s">
        <v>26</v>
      </c>
      <c r="B76" s="21" t="s">
        <v>45</v>
      </c>
      <c r="C76" s="11"/>
      <c r="D76" s="11">
        <v>1962</v>
      </c>
    </row>
    <row r="77" spans="1:4" ht="19.95" customHeight="1" x14ac:dyDescent="0.25">
      <c r="A77" s="10" t="s">
        <v>27</v>
      </c>
      <c r="B77" s="21" t="s">
        <v>45</v>
      </c>
      <c r="C77" s="11"/>
      <c r="D77" s="11">
        <v>1962</v>
      </c>
    </row>
    <row r="78" spans="1:4" ht="19.95" customHeight="1" x14ac:dyDescent="0.25">
      <c r="A78" s="10" t="s">
        <v>29</v>
      </c>
      <c r="B78" s="21" t="s">
        <v>45</v>
      </c>
      <c r="C78" s="11"/>
      <c r="D78" s="11">
        <v>1962</v>
      </c>
    </row>
    <row r="79" spans="1:4" ht="19.95" customHeight="1" x14ac:dyDescent="0.25">
      <c r="A79" s="10" t="s">
        <v>30</v>
      </c>
      <c r="B79" s="21" t="s">
        <v>45</v>
      </c>
      <c r="C79" s="11"/>
      <c r="D79" s="11">
        <v>1962</v>
      </c>
    </row>
    <row r="80" spans="1:4" ht="19.95" customHeight="1" x14ac:dyDescent="0.25">
      <c r="A80" s="10" t="s">
        <v>31</v>
      </c>
      <c r="B80" s="21" t="s">
        <v>45</v>
      </c>
      <c r="C80" s="11"/>
      <c r="D80" s="11">
        <v>1962</v>
      </c>
    </row>
    <row r="81" spans="1:4" ht="19.95" customHeight="1" x14ac:dyDescent="0.25">
      <c r="A81" s="10" t="s">
        <v>32</v>
      </c>
      <c r="B81" s="21" t="s">
        <v>45</v>
      </c>
      <c r="C81" s="11"/>
      <c r="D81" s="11">
        <v>1962</v>
      </c>
    </row>
    <row r="82" spans="1:4" ht="19.95" customHeight="1" x14ac:dyDescent="0.25">
      <c r="A82" s="10" t="s">
        <v>33</v>
      </c>
      <c r="B82" s="21" t="s">
        <v>45</v>
      </c>
      <c r="C82" s="11"/>
      <c r="D82" s="11">
        <v>1962</v>
      </c>
    </row>
    <row r="83" spans="1:4" ht="19.95" customHeight="1" x14ac:dyDescent="0.25">
      <c r="A83" s="10" t="s">
        <v>34</v>
      </c>
      <c r="B83" s="21" t="s">
        <v>45</v>
      </c>
      <c r="C83" s="11"/>
      <c r="D83" s="11">
        <v>1962</v>
      </c>
    </row>
    <row r="84" spans="1:4" ht="19.95" customHeight="1" x14ac:dyDescent="0.25">
      <c r="A84" s="10" t="s">
        <v>35</v>
      </c>
      <c r="B84" s="21" t="s">
        <v>45</v>
      </c>
      <c r="C84" s="11"/>
      <c r="D84" s="11">
        <v>1962</v>
      </c>
    </row>
    <row r="85" spans="1:4" ht="19.95" customHeight="1" x14ac:dyDescent="0.25">
      <c r="A85" s="10" t="s">
        <v>36</v>
      </c>
      <c r="B85" s="21" t="s">
        <v>45</v>
      </c>
      <c r="C85" s="11"/>
      <c r="D85" s="11">
        <v>1962</v>
      </c>
    </row>
    <row r="86" spans="1:4" ht="19.95" customHeight="1" x14ac:dyDescent="0.25">
      <c r="A86" s="10" t="s">
        <v>37</v>
      </c>
      <c r="B86" s="21" t="s">
        <v>45</v>
      </c>
      <c r="C86" s="11"/>
      <c r="D86" s="11">
        <v>1962</v>
      </c>
    </row>
    <row r="87" spans="1:4" ht="19.95" customHeight="1" x14ac:dyDescent="0.25">
      <c r="A87" s="10" t="s">
        <v>38</v>
      </c>
      <c r="B87" s="21" t="s">
        <v>45</v>
      </c>
      <c r="C87" s="11"/>
      <c r="D87" s="11">
        <v>1962</v>
      </c>
    </row>
    <row r="88" spans="1:4" ht="19.95" customHeight="1" x14ac:dyDescent="0.25">
      <c r="A88" s="10" t="s">
        <v>39</v>
      </c>
      <c r="B88" s="21" t="s">
        <v>45</v>
      </c>
      <c r="C88" s="11"/>
      <c r="D88" s="11">
        <v>1962</v>
      </c>
    </row>
    <row r="89" spans="1:4" ht="19.95" customHeight="1" x14ac:dyDescent="0.25">
      <c r="A89" s="10" t="s">
        <v>40</v>
      </c>
      <c r="B89" s="21" t="s">
        <v>45</v>
      </c>
      <c r="C89" s="11"/>
      <c r="D89" s="11">
        <v>1962</v>
      </c>
    </row>
    <row r="90" spans="1:4" ht="19.95" customHeight="1" x14ac:dyDescent="0.25">
      <c r="A90" s="10" t="s">
        <v>10</v>
      </c>
      <c r="B90" s="21" t="s">
        <v>45</v>
      </c>
      <c r="C90" s="11"/>
      <c r="D90" s="11">
        <v>1963</v>
      </c>
    </row>
    <row r="91" spans="1:4" ht="19.95" customHeight="1" x14ac:dyDescent="0.25">
      <c r="A91" s="10" t="s">
        <v>13</v>
      </c>
      <c r="B91" s="21" t="s">
        <v>45</v>
      </c>
      <c r="C91" s="11"/>
      <c r="D91" s="11">
        <v>1963</v>
      </c>
    </row>
    <row r="92" spans="1:4" ht="19.95" customHeight="1" x14ac:dyDescent="0.25">
      <c r="A92" s="10" t="s">
        <v>15</v>
      </c>
      <c r="B92" s="21" t="s">
        <v>45</v>
      </c>
      <c r="C92" s="11"/>
      <c r="D92" s="11">
        <v>1963</v>
      </c>
    </row>
    <row r="93" spans="1:4" ht="19.95" customHeight="1" x14ac:dyDescent="0.25">
      <c r="A93" s="10" t="s">
        <v>16</v>
      </c>
      <c r="B93" s="21" t="s">
        <v>45</v>
      </c>
      <c r="C93" s="11"/>
      <c r="D93" s="11">
        <v>1963</v>
      </c>
    </row>
    <row r="94" spans="1:4" ht="19.95" customHeight="1" x14ac:dyDescent="0.25">
      <c r="A94" s="10" t="s">
        <v>17</v>
      </c>
      <c r="B94" s="21" t="s">
        <v>45</v>
      </c>
      <c r="C94" s="11"/>
      <c r="D94" s="11">
        <v>1963</v>
      </c>
    </row>
    <row r="95" spans="1:4" ht="19.95" customHeight="1" x14ac:dyDescent="0.25">
      <c r="A95" s="10" t="s">
        <v>2</v>
      </c>
      <c r="B95" s="21" t="s">
        <v>45</v>
      </c>
      <c r="C95" s="11"/>
      <c r="D95" s="11">
        <v>1963</v>
      </c>
    </row>
    <row r="96" spans="1:4" ht="19.95" customHeight="1" x14ac:dyDescent="0.25">
      <c r="A96" s="10" t="s">
        <v>18</v>
      </c>
      <c r="B96" s="21" t="s">
        <v>45</v>
      </c>
      <c r="C96" s="11"/>
      <c r="D96" s="11">
        <v>1963</v>
      </c>
    </row>
    <row r="97" spans="1:4" ht="19.95" customHeight="1" x14ac:dyDescent="0.25">
      <c r="A97" s="10" t="s">
        <v>19</v>
      </c>
      <c r="B97" s="21" t="s">
        <v>45</v>
      </c>
      <c r="C97" s="11"/>
      <c r="D97" s="11">
        <v>1963</v>
      </c>
    </row>
    <row r="98" spans="1:4" ht="19.95" customHeight="1" x14ac:dyDescent="0.25">
      <c r="A98" s="10" t="s">
        <v>20</v>
      </c>
      <c r="B98" s="21" t="s">
        <v>45</v>
      </c>
      <c r="C98" s="11"/>
      <c r="D98" s="11">
        <v>1963</v>
      </c>
    </row>
    <row r="99" spans="1:4" ht="19.95" customHeight="1" x14ac:dyDescent="0.25">
      <c r="A99" s="10" t="s">
        <v>21</v>
      </c>
      <c r="B99" s="21" t="s">
        <v>45</v>
      </c>
      <c r="C99" s="11"/>
      <c r="D99" s="11">
        <v>1963</v>
      </c>
    </row>
    <row r="100" spans="1:4" ht="19.95" customHeight="1" x14ac:dyDescent="0.25">
      <c r="A100" s="10" t="s">
        <v>22</v>
      </c>
      <c r="B100" s="21" t="s">
        <v>45</v>
      </c>
      <c r="C100" s="11"/>
      <c r="D100" s="11">
        <v>1963</v>
      </c>
    </row>
    <row r="101" spans="1:4" ht="19.95" customHeight="1" x14ac:dyDescent="0.25">
      <c r="A101" s="10" t="s">
        <v>23</v>
      </c>
      <c r="B101" s="21" t="s">
        <v>45</v>
      </c>
      <c r="C101" s="11"/>
      <c r="D101" s="11">
        <v>1963</v>
      </c>
    </row>
    <row r="102" spans="1:4" ht="19.95" customHeight="1" x14ac:dyDescent="0.25">
      <c r="A102" s="10" t="s">
        <v>24</v>
      </c>
      <c r="B102" s="21" t="s">
        <v>45</v>
      </c>
      <c r="C102" s="11"/>
      <c r="D102" s="11">
        <v>1963</v>
      </c>
    </row>
    <row r="103" spans="1:4" ht="19.95" customHeight="1" x14ac:dyDescent="0.25">
      <c r="A103" s="10" t="s">
        <v>25</v>
      </c>
      <c r="B103" s="21" t="s">
        <v>45</v>
      </c>
      <c r="C103" s="11"/>
      <c r="D103" s="11">
        <v>1963</v>
      </c>
    </row>
    <row r="104" spans="1:4" ht="19.95" customHeight="1" x14ac:dyDescent="0.25">
      <c r="A104" s="10" t="s">
        <v>26</v>
      </c>
      <c r="B104" s="21" t="s">
        <v>45</v>
      </c>
      <c r="C104" s="11"/>
      <c r="D104" s="11">
        <v>1963</v>
      </c>
    </row>
    <row r="105" spans="1:4" ht="19.95" customHeight="1" x14ac:dyDescent="0.25">
      <c r="A105" s="10" t="s">
        <v>27</v>
      </c>
      <c r="B105" s="21" t="s">
        <v>45</v>
      </c>
      <c r="C105" s="11"/>
      <c r="D105" s="11">
        <v>1963</v>
      </c>
    </row>
    <row r="106" spans="1:4" ht="19.95" customHeight="1" x14ac:dyDescent="0.25">
      <c r="A106" s="10" t="s">
        <v>29</v>
      </c>
      <c r="B106" s="21" t="s">
        <v>45</v>
      </c>
      <c r="C106" s="11"/>
      <c r="D106" s="11">
        <v>1963</v>
      </c>
    </row>
    <row r="107" spans="1:4" ht="19.95" customHeight="1" x14ac:dyDescent="0.25">
      <c r="A107" s="10" t="s">
        <v>30</v>
      </c>
      <c r="B107" s="21" t="s">
        <v>45</v>
      </c>
      <c r="C107" s="11"/>
      <c r="D107" s="11">
        <v>1963</v>
      </c>
    </row>
    <row r="108" spans="1:4" ht="19.95" customHeight="1" x14ac:dyDescent="0.25">
      <c r="A108" s="10" t="s">
        <v>31</v>
      </c>
      <c r="B108" s="21" t="s">
        <v>45</v>
      </c>
      <c r="C108" s="11"/>
      <c r="D108" s="11">
        <v>1963</v>
      </c>
    </row>
    <row r="109" spans="1:4" ht="19.95" customHeight="1" x14ac:dyDescent="0.25">
      <c r="A109" s="10" t="s">
        <v>32</v>
      </c>
      <c r="B109" s="21" t="s">
        <v>45</v>
      </c>
      <c r="C109" s="11"/>
      <c r="D109" s="11">
        <v>1963</v>
      </c>
    </row>
    <row r="110" spans="1:4" ht="19.95" customHeight="1" x14ac:dyDescent="0.25">
      <c r="A110" s="10" t="s">
        <v>33</v>
      </c>
      <c r="B110" s="21" t="s">
        <v>45</v>
      </c>
      <c r="C110" s="11"/>
      <c r="D110" s="11">
        <v>1963</v>
      </c>
    </row>
    <row r="111" spans="1:4" ht="19.95" customHeight="1" x14ac:dyDescent="0.25">
      <c r="A111" s="10" t="s">
        <v>34</v>
      </c>
      <c r="B111" s="21" t="s">
        <v>45</v>
      </c>
      <c r="C111" s="11"/>
      <c r="D111" s="11">
        <v>1963</v>
      </c>
    </row>
    <row r="112" spans="1:4" ht="19.95" customHeight="1" x14ac:dyDescent="0.25">
      <c r="A112" s="10" t="s">
        <v>35</v>
      </c>
      <c r="B112" s="21" t="s">
        <v>45</v>
      </c>
      <c r="C112" s="11"/>
      <c r="D112" s="11">
        <v>1963</v>
      </c>
    </row>
    <row r="113" spans="1:4" ht="19.95" customHeight="1" x14ac:dyDescent="0.25">
      <c r="A113" s="10" t="s">
        <v>36</v>
      </c>
      <c r="B113" s="21" t="s">
        <v>45</v>
      </c>
      <c r="C113" s="11"/>
      <c r="D113" s="11">
        <v>1963</v>
      </c>
    </row>
    <row r="114" spans="1:4" ht="19.95" customHeight="1" x14ac:dyDescent="0.25">
      <c r="A114" s="10" t="s">
        <v>37</v>
      </c>
      <c r="B114" s="21" t="s">
        <v>45</v>
      </c>
      <c r="C114" s="11"/>
      <c r="D114" s="11">
        <v>1963</v>
      </c>
    </row>
    <row r="115" spans="1:4" ht="19.95" customHeight="1" x14ac:dyDescent="0.25">
      <c r="A115" s="10" t="s">
        <v>38</v>
      </c>
      <c r="B115" s="21" t="s">
        <v>45</v>
      </c>
      <c r="C115" s="11"/>
      <c r="D115" s="11">
        <v>1963</v>
      </c>
    </row>
    <row r="116" spans="1:4" ht="19.95" customHeight="1" x14ac:dyDescent="0.25">
      <c r="A116" s="10" t="s">
        <v>39</v>
      </c>
      <c r="B116" s="21" t="s">
        <v>45</v>
      </c>
      <c r="C116" s="11"/>
      <c r="D116" s="11">
        <v>1963</v>
      </c>
    </row>
    <row r="117" spans="1:4" ht="19.95" customHeight="1" x14ac:dyDescent="0.25">
      <c r="A117" s="10" t="s">
        <v>40</v>
      </c>
      <c r="B117" s="21" t="s">
        <v>45</v>
      </c>
      <c r="C117" s="11"/>
      <c r="D117" s="11">
        <v>1963</v>
      </c>
    </row>
    <row r="118" spans="1:4" ht="19.95" customHeight="1" x14ac:dyDescent="0.25">
      <c r="A118" s="10" t="s">
        <v>10</v>
      </c>
      <c r="B118" s="21" t="s">
        <v>45</v>
      </c>
      <c r="C118" s="11"/>
      <c r="D118" s="11">
        <v>1964</v>
      </c>
    </row>
    <row r="119" spans="1:4" ht="19.95" customHeight="1" x14ac:dyDescent="0.25">
      <c r="A119" s="10" t="s">
        <v>13</v>
      </c>
      <c r="B119" s="21" t="s">
        <v>45</v>
      </c>
      <c r="C119" s="11"/>
      <c r="D119" s="11">
        <v>1964</v>
      </c>
    </row>
    <row r="120" spans="1:4" ht="19.95" customHeight="1" x14ac:dyDescent="0.25">
      <c r="A120" s="10" t="s">
        <v>15</v>
      </c>
      <c r="B120" s="21" t="s">
        <v>45</v>
      </c>
      <c r="C120" s="11"/>
      <c r="D120" s="11">
        <v>1964</v>
      </c>
    </row>
    <row r="121" spans="1:4" ht="19.95" customHeight="1" x14ac:dyDescent="0.25">
      <c r="A121" s="10" t="s">
        <v>16</v>
      </c>
      <c r="B121" s="21" t="s">
        <v>45</v>
      </c>
      <c r="C121" s="11"/>
      <c r="D121" s="11">
        <v>1964</v>
      </c>
    </row>
    <row r="122" spans="1:4" ht="19.95" customHeight="1" x14ac:dyDescent="0.25">
      <c r="A122" s="10" t="s">
        <v>17</v>
      </c>
      <c r="B122" s="21" t="s">
        <v>45</v>
      </c>
      <c r="C122" s="11"/>
      <c r="D122" s="11">
        <v>1964</v>
      </c>
    </row>
    <row r="123" spans="1:4" ht="19.95" customHeight="1" x14ac:dyDescent="0.25">
      <c r="A123" s="10" t="s">
        <v>2</v>
      </c>
      <c r="B123" s="21" t="s">
        <v>45</v>
      </c>
      <c r="C123" s="11"/>
      <c r="D123" s="11">
        <v>1964</v>
      </c>
    </row>
    <row r="124" spans="1:4" ht="19.95" customHeight="1" x14ac:dyDescent="0.25">
      <c r="A124" s="10" t="s">
        <v>18</v>
      </c>
      <c r="B124" s="21" t="s">
        <v>45</v>
      </c>
      <c r="C124" s="11"/>
      <c r="D124" s="11">
        <v>1964</v>
      </c>
    </row>
    <row r="125" spans="1:4" ht="19.95" customHeight="1" x14ac:dyDescent="0.25">
      <c r="A125" s="10" t="s">
        <v>19</v>
      </c>
      <c r="B125" s="21" t="s">
        <v>45</v>
      </c>
      <c r="C125" s="11"/>
      <c r="D125" s="11">
        <v>1964</v>
      </c>
    </row>
    <row r="126" spans="1:4" ht="19.95" customHeight="1" x14ac:dyDescent="0.25">
      <c r="A126" s="10" t="s">
        <v>20</v>
      </c>
      <c r="B126" s="21" t="s">
        <v>45</v>
      </c>
      <c r="C126" s="11"/>
      <c r="D126" s="11">
        <v>1964</v>
      </c>
    </row>
    <row r="127" spans="1:4" ht="19.95" customHeight="1" x14ac:dyDescent="0.25">
      <c r="A127" s="10" t="s">
        <v>21</v>
      </c>
      <c r="B127" s="21" t="s">
        <v>45</v>
      </c>
      <c r="C127" s="11"/>
      <c r="D127" s="11">
        <v>1964</v>
      </c>
    </row>
    <row r="128" spans="1:4" ht="19.95" customHeight="1" x14ac:dyDescent="0.25">
      <c r="A128" s="10" t="s">
        <v>22</v>
      </c>
      <c r="B128" s="21" t="s">
        <v>45</v>
      </c>
      <c r="C128" s="11"/>
      <c r="D128" s="11">
        <v>1964</v>
      </c>
    </row>
    <row r="129" spans="1:4" ht="19.95" customHeight="1" x14ac:dyDescent="0.25">
      <c r="A129" s="10" t="s">
        <v>23</v>
      </c>
      <c r="B129" s="21" t="s">
        <v>45</v>
      </c>
      <c r="C129" s="11"/>
      <c r="D129" s="11">
        <v>1964</v>
      </c>
    </row>
    <row r="130" spans="1:4" ht="19.95" customHeight="1" x14ac:dyDescent="0.25">
      <c r="A130" s="10" t="s">
        <v>24</v>
      </c>
      <c r="B130" s="21" t="s">
        <v>45</v>
      </c>
      <c r="C130" s="11"/>
      <c r="D130" s="11">
        <v>1964</v>
      </c>
    </row>
    <row r="131" spans="1:4" ht="19.95" customHeight="1" x14ac:dyDescent="0.25">
      <c r="A131" s="10" t="s">
        <v>25</v>
      </c>
      <c r="B131" s="21" t="s">
        <v>45</v>
      </c>
      <c r="C131" s="11"/>
      <c r="D131" s="11">
        <v>1964</v>
      </c>
    </row>
    <row r="132" spans="1:4" ht="19.95" customHeight="1" x14ac:dyDescent="0.25">
      <c r="A132" s="10" t="s">
        <v>26</v>
      </c>
      <c r="B132" s="21" t="s">
        <v>45</v>
      </c>
      <c r="C132" s="11"/>
      <c r="D132" s="11">
        <v>1964</v>
      </c>
    </row>
    <row r="133" spans="1:4" ht="19.95" customHeight="1" x14ac:dyDescent="0.25">
      <c r="A133" s="10" t="s">
        <v>27</v>
      </c>
      <c r="B133" s="21" t="s">
        <v>45</v>
      </c>
      <c r="C133" s="11"/>
      <c r="D133" s="11">
        <v>1964</v>
      </c>
    </row>
    <row r="134" spans="1:4" ht="19.95" customHeight="1" x14ac:dyDescent="0.25">
      <c r="A134" s="10" t="s">
        <v>29</v>
      </c>
      <c r="B134" s="21" t="s">
        <v>45</v>
      </c>
      <c r="C134" s="11"/>
      <c r="D134" s="11">
        <v>1964</v>
      </c>
    </row>
    <row r="135" spans="1:4" ht="19.95" customHeight="1" x14ac:dyDescent="0.25">
      <c r="A135" s="10" t="s">
        <v>30</v>
      </c>
      <c r="B135" s="21" t="s">
        <v>45</v>
      </c>
      <c r="C135" s="11"/>
      <c r="D135" s="11">
        <v>1964</v>
      </c>
    </row>
    <row r="136" spans="1:4" ht="19.95" customHeight="1" x14ac:dyDescent="0.25">
      <c r="A136" s="10" t="s">
        <v>31</v>
      </c>
      <c r="B136" s="21" t="s">
        <v>45</v>
      </c>
      <c r="C136" s="11"/>
      <c r="D136" s="11">
        <v>1964</v>
      </c>
    </row>
    <row r="137" spans="1:4" ht="19.95" customHeight="1" x14ac:dyDescent="0.25">
      <c r="A137" s="10" t="s">
        <v>32</v>
      </c>
      <c r="B137" s="21" t="s">
        <v>45</v>
      </c>
      <c r="C137" s="11"/>
      <c r="D137" s="11">
        <v>1964</v>
      </c>
    </row>
    <row r="138" spans="1:4" ht="19.95" customHeight="1" x14ac:dyDescent="0.25">
      <c r="A138" s="10" t="s">
        <v>33</v>
      </c>
      <c r="B138" s="21" t="s">
        <v>45</v>
      </c>
      <c r="C138" s="11"/>
      <c r="D138" s="11">
        <v>1964</v>
      </c>
    </row>
    <row r="139" spans="1:4" ht="19.95" customHeight="1" x14ac:dyDescent="0.25">
      <c r="A139" s="10" t="s">
        <v>34</v>
      </c>
      <c r="B139" s="21" t="s">
        <v>45</v>
      </c>
      <c r="C139" s="11"/>
      <c r="D139" s="11">
        <v>1964</v>
      </c>
    </row>
    <row r="140" spans="1:4" ht="19.95" customHeight="1" x14ac:dyDescent="0.25">
      <c r="A140" s="10" t="s">
        <v>35</v>
      </c>
      <c r="B140" s="21" t="s">
        <v>45</v>
      </c>
      <c r="C140" s="11"/>
      <c r="D140" s="11">
        <v>1964</v>
      </c>
    </row>
    <row r="141" spans="1:4" ht="19.95" customHeight="1" x14ac:dyDescent="0.25">
      <c r="A141" s="10" t="s">
        <v>36</v>
      </c>
      <c r="B141" s="21" t="s">
        <v>45</v>
      </c>
      <c r="C141" s="11"/>
      <c r="D141" s="11">
        <v>1964</v>
      </c>
    </row>
    <row r="142" spans="1:4" ht="19.95" customHeight="1" x14ac:dyDescent="0.25">
      <c r="A142" s="10" t="s">
        <v>37</v>
      </c>
      <c r="B142" s="21" t="s">
        <v>45</v>
      </c>
      <c r="C142" s="11"/>
      <c r="D142" s="11">
        <v>1964</v>
      </c>
    </row>
    <row r="143" spans="1:4" ht="19.95" customHeight="1" x14ac:dyDescent="0.25">
      <c r="A143" s="10" t="s">
        <v>38</v>
      </c>
      <c r="B143" s="21" t="s">
        <v>45</v>
      </c>
      <c r="C143" s="11"/>
      <c r="D143" s="11">
        <v>1964</v>
      </c>
    </row>
    <row r="144" spans="1:4" ht="19.95" customHeight="1" x14ac:dyDescent="0.25">
      <c r="A144" s="10" t="s">
        <v>39</v>
      </c>
      <c r="B144" s="21" t="s">
        <v>45</v>
      </c>
      <c r="C144" s="11"/>
      <c r="D144" s="11">
        <v>1964</v>
      </c>
    </row>
    <row r="145" spans="1:4" ht="19.95" customHeight="1" x14ac:dyDescent="0.25">
      <c r="A145" s="10" t="s">
        <v>40</v>
      </c>
      <c r="B145" s="21" t="s">
        <v>45</v>
      </c>
      <c r="C145" s="11"/>
      <c r="D145" s="11">
        <v>1964</v>
      </c>
    </row>
    <row r="146" spans="1:4" ht="19.95" customHeight="1" x14ac:dyDescent="0.25">
      <c r="A146" s="10" t="s">
        <v>10</v>
      </c>
      <c r="B146" s="21" t="s">
        <v>45</v>
      </c>
      <c r="C146" s="11"/>
      <c r="D146" s="11">
        <v>1965</v>
      </c>
    </row>
    <row r="147" spans="1:4" ht="19.95" customHeight="1" x14ac:dyDescent="0.25">
      <c r="A147" s="10" t="s">
        <v>13</v>
      </c>
      <c r="B147" s="21" t="s">
        <v>45</v>
      </c>
      <c r="C147" s="11"/>
      <c r="D147" s="11">
        <v>1965</v>
      </c>
    </row>
    <row r="148" spans="1:4" ht="19.95" customHeight="1" x14ac:dyDescent="0.25">
      <c r="A148" s="10" t="s">
        <v>15</v>
      </c>
      <c r="B148" s="21" t="s">
        <v>45</v>
      </c>
      <c r="C148" s="11"/>
      <c r="D148" s="11">
        <v>1965</v>
      </c>
    </row>
    <row r="149" spans="1:4" ht="19.95" customHeight="1" x14ac:dyDescent="0.25">
      <c r="A149" s="10" t="s">
        <v>16</v>
      </c>
      <c r="B149" s="21" t="s">
        <v>45</v>
      </c>
      <c r="C149" s="11"/>
      <c r="D149" s="11">
        <v>1965</v>
      </c>
    </row>
    <row r="150" spans="1:4" ht="19.95" customHeight="1" x14ac:dyDescent="0.25">
      <c r="A150" s="10" t="s">
        <v>17</v>
      </c>
      <c r="B150" s="21" t="s">
        <v>45</v>
      </c>
      <c r="C150" s="11"/>
      <c r="D150" s="11">
        <v>1965</v>
      </c>
    </row>
    <row r="151" spans="1:4" ht="19.95" customHeight="1" x14ac:dyDescent="0.25">
      <c r="A151" s="10" t="s">
        <v>2</v>
      </c>
      <c r="B151" s="21" t="s">
        <v>45</v>
      </c>
      <c r="C151" s="11"/>
      <c r="D151" s="11">
        <v>1965</v>
      </c>
    </row>
    <row r="152" spans="1:4" ht="19.95" customHeight="1" x14ac:dyDescent="0.25">
      <c r="A152" s="10" t="s">
        <v>18</v>
      </c>
      <c r="B152" s="21" t="s">
        <v>45</v>
      </c>
      <c r="C152" s="11"/>
      <c r="D152" s="11">
        <v>1965</v>
      </c>
    </row>
    <row r="153" spans="1:4" ht="19.95" customHeight="1" x14ac:dyDescent="0.25">
      <c r="A153" s="10" t="s">
        <v>19</v>
      </c>
      <c r="B153" s="21" t="s">
        <v>45</v>
      </c>
      <c r="C153" s="11"/>
      <c r="D153" s="11">
        <v>1965</v>
      </c>
    </row>
    <row r="154" spans="1:4" ht="19.95" customHeight="1" x14ac:dyDescent="0.25">
      <c r="A154" s="10" t="s">
        <v>20</v>
      </c>
      <c r="B154" s="21" t="s">
        <v>45</v>
      </c>
      <c r="C154" s="11"/>
      <c r="D154" s="11">
        <v>1965</v>
      </c>
    </row>
    <row r="155" spans="1:4" ht="19.95" customHeight="1" x14ac:dyDescent="0.25">
      <c r="A155" s="10" t="s">
        <v>21</v>
      </c>
      <c r="B155" s="21" t="s">
        <v>45</v>
      </c>
      <c r="C155" s="11"/>
      <c r="D155" s="11">
        <v>1965</v>
      </c>
    </row>
    <row r="156" spans="1:4" ht="19.95" customHeight="1" x14ac:dyDescent="0.25">
      <c r="A156" s="10" t="s">
        <v>22</v>
      </c>
      <c r="B156" s="21" t="s">
        <v>45</v>
      </c>
      <c r="C156" s="11"/>
      <c r="D156" s="11">
        <v>1965</v>
      </c>
    </row>
    <row r="157" spans="1:4" ht="19.95" customHeight="1" x14ac:dyDescent="0.25">
      <c r="A157" s="10" t="s">
        <v>23</v>
      </c>
      <c r="B157" s="21" t="s">
        <v>45</v>
      </c>
      <c r="C157" s="11"/>
      <c r="D157" s="11">
        <v>1965</v>
      </c>
    </row>
    <row r="158" spans="1:4" ht="19.95" customHeight="1" x14ac:dyDescent="0.25">
      <c r="A158" s="10" t="s">
        <v>24</v>
      </c>
      <c r="B158" s="21" t="s">
        <v>45</v>
      </c>
      <c r="C158" s="11"/>
      <c r="D158" s="11">
        <v>1965</v>
      </c>
    </row>
    <row r="159" spans="1:4" ht="19.95" customHeight="1" x14ac:dyDescent="0.25">
      <c r="A159" s="10" t="s">
        <v>25</v>
      </c>
      <c r="B159" s="21" t="s">
        <v>45</v>
      </c>
      <c r="C159" s="11"/>
      <c r="D159" s="11">
        <v>1965</v>
      </c>
    </row>
    <row r="160" spans="1:4" ht="19.95" customHeight="1" x14ac:dyDescent="0.25">
      <c r="A160" s="10" t="s">
        <v>26</v>
      </c>
      <c r="B160" s="21" t="s">
        <v>45</v>
      </c>
      <c r="C160" s="11"/>
      <c r="D160" s="11">
        <v>1965</v>
      </c>
    </row>
    <row r="161" spans="1:4" ht="19.95" customHeight="1" x14ac:dyDescent="0.25">
      <c r="A161" s="10" t="s">
        <v>27</v>
      </c>
      <c r="B161" s="21" t="s">
        <v>45</v>
      </c>
      <c r="C161" s="11"/>
      <c r="D161" s="11">
        <v>1965</v>
      </c>
    </row>
    <row r="162" spans="1:4" ht="19.95" customHeight="1" x14ac:dyDescent="0.25">
      <c r="A162" s="10" t="s">
        <v>29</v>
      </c>
      <c r="B162" s="21" t="s">
        <v>45</v>
      </c>
      <c r="C162" s="11"/>
      <c r="D162" s="11">
        <v>1965</v>
      </c>
    </row>
    <row r="163" spans="1:4" ht="19.95" customHeight="1" x14ac:dyDescent="0.25">
      <c r="A163" s="10" t="s">
        <v>30</v>
      </c>
      <c r="B163" s="21" t="s">
        <v>45</v>
      </c>
      <c r="C163" s="11"/>
      <c r="D163" s="11">
        <v>1965</v>
      </c>
    </row>
    <row r="164" spans="1:4" ht="19.95" customHeight="1" x14ac:dyDescent="0.25">
      <c r="A164" s="10" t="s">
        <v>31</v>
      </c>
      <c r="B164" s="21" t="s">
        <v>45</v>
      </c>
      <c r="C164" s="11"/>
      <c r="D164" s="11">
        <v>1965</v>
      </c>
    </row>
    <row r="165" spans="1:4" ht="19.95" customHeight="1" x14ac:dyDescent="0.25">
      <c r="A165" s="10" t="s">
        <v>32</v>
      </c>
      <c r="B165" s="21" t="s">
        <v>45</v>
      </c>
      <c r="C165" s="11"/>
      <c r="D165" s="11">
        <v>1965</v>
      </c>
    </row>
    <row r="166" spans="1:4" ht="19.95" customHeight="1" x14ac:dyDescent="0.25">
      <c r="A166" s="10" t="s">
        <v>33</v>
      </c>
      <c r="B166" s="21" t="s">
        <v>45</v>
      </c>
      <c r="C166" s="11"/>
      <c r="D166" s="11">
        <v>1965</v>
      </c>
    </row>
    <row r="167" spans="1:4" ht="19.95" customHeight="1" x14ac:dyDescent="0.25">
      <c r="A167" s="10" t="s">
        <v>34</v>
      </c>
      <c r="B167" s="21" t="s">
        <v>45</v>
      </c>
      <c r="C167" s="11"/>
      <c r="D167" s="11">
        <v>1965</v>
      </c>
    </row>
    <row r="168" spans="1:4" ht="19.95" customHeight="1" x14ac:dyDescent="0.25">
      <c r="A168" s="10" t="s">
        <v>35</v>
      </c>
      <c r="B168" s="21" t="s">
        <v>45</v>
      </c>
      <c r="C168" s="11"/>
      <c r="D168" s="11">
        <v>1965</v>
      </c>
    </row>
    <row r="169" spans="1:4" ht="19.95" customHeight="1" x14ac:dyDescent="0.25">
      <c r="A169" s="10" t="s">
        <v>36</v>
      </c>
      <c r="B169" s="21" t="s">
        <v>45</v>
      </c>
      <c r="C169" s="11"/>
      <c r="D169" s="11">
        <v>1965</v>
      </c>
    </row>
    <row r="170" spans="1:4" ht="19.95" customHeight="1" x14ac:dyDescent="0.25">
      <c r="A170" s="10" t="s">
        <v>37</v>
      </c>
      <c r="B170" s="21" t="s">
        <v>45</v>
      </c>
      <c r="C170" s="11"/>
      <c r="D170" s="11">
        <v>1965</v>
      </c>
    </row>
    <row r="171" spans="1:4" ht="19.95" customHeight="1" x14ac:dyDescent="0.25">
      <c r="A171" s="10" t="s">
        <v>38</v>
      </c>
      <c r="B171" s="21" t="s">
        <v>45</v>
      </c>
      <c r="C171" s="11"/>
      <c r="D171" s="11">
        <v>1965</v>
      </c>
    </row>
    <row r="172" spans="1:4" ht="19.95" customHeight="1" x14ac:dyDescent="0.25">
      <c r="A172" s="10" t="s">
        <v>39</v>
      </c>
      <c r="B172" s="21" t="s">
        <v>45</v>
      </c>
      <c r="C172" s="11"/>
      <c r="D172" s="11">
        <v>1965</v>
      </c>
    </row>
    <row r="173" spans="1:4" ht="19.95" customHeight="1" x14ac:dyDescent="0.25">
      <c r="A173" s="10" t="s">
        <v>40</v>
      </c>
      <c r="B173" s="21" t="s">
        <v>45</v>
      </c>
      <c r="C173" s="11"/>
      <c r="D173" s="11">
        <v>1965</v>
      </c>
    </row>
    <row r="174" spans="1:4" ht="19.95" customHeight="1" x14ac:dyDescent="0.25">
      <c r="A174" s="10" t="s">
        <v>10</v>
      </c>
      <c r="B174" s="21" t="s">
        <v>45</v>
      </c>
      <c r="C174" s="11"/>
      <c r="D174" s="11">
        <v>1966</v>
      </c>
    </row>
    <row r="175" spans="1:4" ht="19.95" customHeight="1" x14ac:dyDescent="0.25">
      <c r="A175" s="10" t="s">
        <v>13</v>
      </c>
      <c r="B175" s="21" t="s">
        <v>45</v>
      </c>
      <c r="C175" s="11"/>
      <c r="D175" s="11">
        <v>1966</v>
      </c>
    </row>
    <row r="176" spans="1:4" ht="19.95" customHeight="1" x14ac:dyDescent="0.25">
      <c r="A176" s="10" t="s">
        <v>15</v>
      </c>
      <c r="B176" s="21" t="s">
        <v>45</v>
      </c>
      <c r="C176" s="11"/>
      <c r="D176" s="11">
        <v>1966</v>
      </c>
    </row>
    <row r="177" spans="1:4" ht="19.95" customHeight="1" x14ac:dyDescent="0.25">
      <c r="A177" s="10" t="s">
        <v>16</v>
      </c>
      <c r="B177" s="21" t="s">
        <v>45</v>
      </c>
      <c r="C177" s="11"/>
      <c r="D177" s="11">
        <v>1966</v>
      </c>
    </row>
    <row r="178" spans="1:4" ht="19.95" customHeight="1" x14ac:dyDescent="0.25">
      <c r="A178" s="10" t="s">
        <v>17</v>
      </c>
      <c r="B178" s="21" t="s">
        <v>45</v>
      </c>
      <c r="C178" s="11"/>
      <c r="D178" s="11">
        <v>1966</v>
      </c>
    </row>
    <row r="179" spans="1:4" ht="19.95" customHeight="1" x14ac:dyDescent="0.25">
      <c r="A179" s="10" t="s">
        <v>2</v>
      </c>
      <c r="B179" s="21" t="s">
        <v>45</v>
      </c>
      <c r="C179" s="11"/>
      <c r="D179" s="11">
        <v>1966</v>
      </c>
    </row>
    <row r="180" spans="1:4" ht="19.95" customHeight="1" x14ac:dyDescent="0.25">
      <c r="A180" s="10" t="s">
        <v>18</v>
      </c>
      <c r="B180" s="21" t="s">
        <v>45</v>
      </c>
      <c r="C180" s="11"/>
      <c r="D180" s="11">
        <v>1966</v>
      </c>
    </row>
    <row r="181" spans="1:4" ht="19.95" customHeight="1" x14ac:dyDescent="0.25">
      <c r="A181" s="10" t="s">
        <v>19</v>
      </c>
      <c r="B181" s="21" t="s">
        <v>45</v>
      </c>
      <c r="C181" s="11"/>
      <c r="D181" s="11">
        <v>1966</v>
      </c>
    </row>
    <row r="182" spans="1:4" ht="19.95" customHeight="1" x14ac:dyDescent="0.25">
      <c r="A182" s="10" t="s">
        <v>20</v>
      </c>
      <c r="B182" s="21" t="s">
        <v>45</v>
      </c>
      <c r="C182" s="11"/>
      <c r="D182" s="11">
        <v>1966</v>
      </c>
    </row>
    <row r="183" spans="1:4" ht="19.95" customHeight="1" x14ac:dyDescent="0.25">
      <c r="A183" s="10" t="s">
        <v>21</v>
      </c>
      <c r="B183" s="21" t="s">
        <v>45</v>
      </c>
      <c r="C183" s="11"/>
      <c r="D183" s="11">
        <v>1966</v>
      </c>
    </row>
    <row r="184" spans="1:4" ht="19.95" customHeight="1" x14ac:dyDescent="0.25">
      <c r="A184" s="10" t="s">
        <v>22</v>
      </c>
      <c r="B184" s="21" t="s">
        <v>45</v>
      </c>
      <c r="C184" s="11"/>
      <c r="D184" s="11">
        <v>1966</v>
      </c>
    </row>
    <row r="185" spans="1:4" ht="19.95" customHeight="1" x14ac:dyDescent="0.25">
      <c r="A185" s="10" t="s">
        <v>23</v>
      </c>
      <c r="B185" s="21" t="s">
        <v>45</v>
      </c>
      <c r="C185" s="11"/>
      <c r="D185" s="11">
        <v>1966</v>
      </c>
    </row>
    <row r="186" spans="1:4" ht="19.95" customHeight="1" x14ac:dyDescent="0.25">
      <c r="A186" s="10" t="s">
        <v>24</v>
      </c>
      <c r="B186" s="21" t="s">
        <v>45</v>
      </c>
      <c r="C186" s="11"/>
      <c r="D186" s="11">
        <v>1966</v>
      </c>
    </row>
    <row r="187" spans="1:4" ht="19.95" customHeight="1" x14ac:dyDescent="0.25">
      <c r="A187" s="10" t="s">
        <v>25</v>
      </c>
      <c r="B187" s="21" t="s">
        <v>45</v>
      </c>
      <c r="C187" s="11"/>
      <c r="D187" s="11">
        <v>1966</v>
      </c>
    </row>
    <row r="188" spans="1:4" ht="19.95" customHeight="1" x14ac:dyDescent="0.25">
      <c r="A188" s="10" t="s">
        <v>26</v>
      </c>
      <c r="B188" s="21" t="s">
        <v>45</v>
      </c>
      <c r="C188" s="11"/>
      <c r="D188" s="11">
        <v>1966</v>
      </c>
    </row>
    <row r="189" spans="1:4" ht="19.95" customHeight="1" x14ac:dyDescent="0.25">
      <c r="A189" s="10" t="s">
        <v>27</v>
      </c>
      <c r="B189" s="21" t="s">
        <v>45</v>
      </c>
      <c r="C189" s="11"/>
      <c r="D189" s="11">
        <v>1966</v>
      </c>
    </row>
    <row r="190" spans="1:4" ht="19.95" customHeight="1" x14ac:dyDescent="0.25">
      <c r="A190" s="10" t="s">
        <v>29</v>
      </c>
      <c r="B190" s="21" t="s">
        <v>45</v>
      </c>
      <c r="C190" s="11"/>
      <c r="D190" s="11">
        <v>1966</v>
      </c>
    </row>
    <row r="191" spans="1:4" ht="19.95" customHeight="1" x14ac:dyDescent="0.25">
      <c r="A191" s="10" t="s">
        <v>30</v>
      </c>
      <c r="B191" s="21" t="s">
        <v>45</v>
      </c>
      <c r="C191" s="11"/>
      <c r="D191" s="11">
        <v>1966</v>
      </c>
    </row>
    <row r="192" spans="1:4" ht="19.95" customHeight="1" x14ac:dyDescent="0.25">
      <c r="A192" s="10" t="s">
        <v>31</v>
      </c>
      <c r="B192" s="21" t="s">
        <v>45</v>
      </c>
      <c r="C192" s="11"/>
      <c r="D192" s="11">
        <v>1966</v>
      </c>
    </row>
    <row r="193" spans="1:4" ht="19.95" customHeight="1" x14ac:dyDescent="0.25">
      <c r="A193" s="10" t="s">
        <v>32</v>
      </c>
      <c r="B193" s="21" t="s">
        <v>45</v>
      </c>
      <c r="C193" s="11"/>
      <c r="D193" s="11">
        <v>1966</v>
      </c>
    </row>
    <row r="194" spans="1:4" ht="19.95" customHeight="1" x14ac:dyDescent="0.25">
      <c r="A194" s="10" t="s">
        <v>33</v>
      </c>
      <c r="B194" s="21" t="s">
        <v>45</v>
      </c>
      <c r="C194" s="11"/>
      <c r="D194" s="11">
        <v>1966</v>
      </c>
    </row>
    <row r="195" spans="1:4" ht="19.95" customHeight="1" x14ac:dyDescent="0.25">
      <c r="A195" s="10" t="s">
        <v>34</v>
      </c>
      <c r="B195" s="21" t="s">
        <v>45</v>
      </c>
      <c r="C195" s="11"/>
      <c r="D195" s="11">
        <v>1966</v>
      </c>
    </row>
    <row r="196" spans="1:4" ht="19.95" customHeight="1" x14ac:dyDescent="0.25">
      <c r="A196" s="10" t="s">
        <v>35</v>
      </c>
      <c r="B196" s="21" t="s">
        <v>45</v>
      </c>
      <c r="C196" s="11"/>
      <c r="D196" s="11">
        <v>1966</v>
      </c>
    </row>
    <row r="197" spans="1:4" ht="19.95" customHeight="1" x14ac:dyDescent="0.25">
      <c r="A197" s="10" t="s">
        <v>36</v>
      </c>
      <c r="B197" s="21" t="s">
        <v>45</v>
      </c>
      <c r="C197" s="11"/>
      <c r="D197" s="11">
        <v>1966</v>
      </c>
    </row>
    <row r="198" spans="1:4" ht="19.95" customHeight="1" x14ac:dyDescent="0.25">
      <c r="A198" s="10" t="s">
        <v>37</v>
      </c>
      <c r="B198" s="21" t="s">
        <v>45</v>
      </c>
      <c r="C198" s="11"/>
      <c r="D198" s="11">
        <v>1966</v>
      </c>
    </row>
    <row r="199" spans="1:4" ht="19.95" customHeight="1" x14ac:dyDescent="0.25">
      <c r="A199" s="10" t="s">
        <v>38</v>
      </c>
      <c r="B199" s="21" t="s">
        <v>45</v>
      </c>
      <c r="C199" s="11"/>
      <c r="D199" s="11">
        <v>1966</v>
      </c>
    </row>
    <row r="200" spans="1:4" ht="19.95" customHeight="1" x14ac:dyDescent="0.25">
      <c r="A200" s="10" t="s">
        <v>39</v>
      </c>
      <c r="B200" s="21" t="s">
        <v>45</v>
      </c>
      <c r="C200" s="11"/>
      <c r="D200" s="11">
        <v>1966</v>
      </c>
    </row>
    <row r="201" spans="1:4" ht="19.95" customHeight="1" x14ac:dyDescent="0.25">
      <c r="A201" s="10" t="s">
        <v>40</v>
      </c>
      <c r="B201" s="21" t="s">
        <v>45</v>
      </c>
      <c r="C201" s="11"/>
      <c r="D201" s="11">
        <v>1966</v>
      </c>
    </row>
    <row r="202" spans="1:4" ht="19.95" customHeight="1" x14ac:dyDescent="0.25">
      <c r="A202" s="10" t="s">
        <v>10</v>
      </c>
      <c r="B202" s="21" t="s">
        <v>45</v>
      </c>
      <c r="C202" s="11"/>
      <c r="D202" s="11">
        <v>1967</v>
      </c>
    </row>
    <row r="203" spans="1:4" ht="19.95" customHeight="1" x14ac:dyDescent="0.25">
      <c r="A203" s="10" t="s">
        <v>13</v>
      </c>
      <c r="B203" s="21" t="s">
        <v>45</v>
      </c>
      <c r="C203" s="11"/>
      <c r="D203" s="11">
        <v>1967</v>
      </c>
    </row>
    <row r="204" spans="1:4" ht="19.95" customHeight="1" x14ac:dyDescent="0.25">
      <c r="A204" s="10" t="s">
        <v>15</v>
      </c>
      <c r="B204" s="21" t="s">
        <v>45</v>
      </c>
      <c r="C204" s="11"/>
      <c r="D204" s="11">
        <v>1967</v>
      </c>
    </row>
    <row r="205" spans="1:4" ht="19.95" customHeight="1" x14ac:dyDescent="0.25">
      <c r="A205" s="10" t="s">
        <v>16</v>
      </c>
      <c r="B205" s="21" t="s">
        <v>45</v>
      </c>
      <c r="C205" s="11"/>
      <c r="D205" s="11">
        <v>1967</v>
      </c>
    </row>
    <row r="206" spans="1:4" ht="19.95" customHeight="1" x14ac:dyDescent="0.25">
      <c r="A206" s="10" t="s">
        <v>17</v>
      </c>
      <c r="B206" s="21" t="s">
        <v>45</v>
      </c>
      <c r="C206" s="11"/>
      <c r="D206" s="11">
        <v>1967</v>
      </c>
    </row>
    <row r="207" spans="1:4" ht="19.95" customHeight="1" x14ac:dyDescent="0.25">
      <c r="A207" s="10" t="s">
        <v>2</v>
      </c>
      <c r="B207" s="21" t="s">
        <v>45</v>
      </c>
      <c r="C207" s="11"/>
      <c r="D207" s="11">
        <v>1967</v>
      </c>
    </row>
    <row r="208" spans="1:4" ht="19.95" customHeight="1" x14ac:dyDescent="0.25">
      <c r="A208" s="10" t="s">
        <v>18</v>
      </c>
      <c r="B208" s="21" t="s">
        <v>45</v>
      </c>
      <c r="C208" s="11"/>
      <c r="D208" s="11">
        <v>1967</v>
      </c>
    </row>
    <row r="209" spans="1:4" ht="19.95" customHeight="1" x14ac:dyDescent="0.25">
      <c r="A209" s="10" t="s">
        <v>19</v>
      </c>
      <c r="B209" s="21" t="s">
        <v>45</v>
      </c>
      <c r="C209" s="11"/>
      <c r="D209" s="11">
        <v>1967</v>
      </c>
    </row>
    <row r="210" spans="1:4" ht="19.95" customHeight="1" x14ac:dyDescent="0.25">
      <c r="A210" s="10" t="s">
        <v>20</v>
      </c>
      <c r="B210" s="21" t="s">
        <v>45</v>
      </c>
      <c r="C210" s="11"/>
      <c r="D210" s="11">
        <v>1967</v>
      </c>
    </row>
    <row r="211" spans="1:4" ht="19.95" customHeight="1" x14ac:dyDescent="0.25">
      <c r="A211" s="10" t="s">
        <v>21</v>
      </c>
      <c r="B211" s="21" t="s">
        <v>45</v>
      </c>
      <c r="C211" s="11"/>
      <c r="D211" s="11">
        <v>1967</v>
      </c>
    </row>
    <row r="212" spans="1:4" ht="19.95" customHeight="1" x14ac:dyDescent="0.25">
      <c r="A212" s="10" t="s">
        <v>22</v>
      </c>
      <c r="B212" s="21" t="s">
        <v>45</v>
      </c>
      <c r="C212" s="11"/>
      <c r="D212" s="11">
        <v>1967</v>
      </c>
    </row>
    <row r="213" spans="1:4" ht="19.95" customHeight="1" x14ac:dyDescent="0.25">
      <c r="A213" s="10" t="s">
        <v>23</v>
      </c>
      <c r="B213" s="21" t="s">
        <v>45</v>
      </c>
      <c r="C213" s="11"/>
      <c r="D213" s="11">
        <v>1967</v>
      </c>
    </row>
    <row r="214" spans="1:4" ht="19.95" customHeight="1" x14ac:dyDescent="0.25">
      <c r="A214" s="10" t="s">
        <v>24</v>
      </c>
      <c r="B214" s="21" t="s">
        <v>45</v>
      </c>
      <c r="C214" s="11"/>
      <c r="D214" s="11">
        <v>1967</v>
      </c>
    </row>
    <row r="215" spans="1:4" ht="19.95" customHeight="1" x14ac:dyDescent="0.25">
      <c r="A215" s="10" t="s">
        <v>25</v>
      </c>
      <c r="B215" s="21" t="s">
        <v>45</v>
      </c>
      <c r="C215" s="11"/>
      <c r="D215" s="11">
        <v>1967</v>
      </c>
    </row>
    <row r="216" spans="1:4" ht="19.95" customHeight="1" x14ac:dyDescent="0.25">
      <c r="A216" s="10" t="s">
        <v>26</v>
      </c>
      <c r="B216" s="21" t="s">
        <v>45</v>
      </c>
      <c r="C216" s="11"/>
      <c r="D216" s="11">
        <v>1967</v>
      </c>
    </row>
    <row r="217" spans="1:4" ht="19.95" customHeight="1" x14ac:dyDescent="0.25">
      <c r="A217" s="10" t="s">
        <v>27</v>
      </c>
      <c r="B217" s="21" t="s">
        <v>45</v>
      </c>
      <c r="C217" s="11"/>
      <c r="D217" s="11">
        <v>1967</v>
      </c>
    </row>
    <row r="218" spans="1:4" ht="19.95" customHeight="1" x14ac:dyDescent="0.25">
      <c r="A218" s="10" t="s">
        <v>29</v>
      </c>
      <c r="B218" s="21" t="s">
        <v>45</v>
      </c>
      <c r="C218" s="11"/>
      <c r="D218" s="11">
        <v>1967</v>
      </c>
    </row>
    <row r="219" spans="1:4" ht="19.95" customHeight="1" x14ac:dyDescent="0.25">
      <c r="A219" s="10" t="s">
        <v>30</v>
      </c>
      <c r="B219" s="21" t="s">
        <v>45</v>
      </c>
      <c r="C219" s="11"/>
      <c r="D219" s="11">
        <v>1967</v>
      </c>
    </row>
    <row r="220" spans="1:4" ht="19.95" customHeight="1" x14ac:dyDescent="0.25">
      <c r="A220" s="10" t="s">
        <v>31</v>
      </c>
      <c r="B220" s="21" t="s">
        <v>45</v>
      </c>
      <c r="C220" s="11"/>
      <c r="D220" s="11">
        <v>1967</v>
      </c>
    </row>
    <row r="221" spans="1:4" ht="19.95" customHeight="1" x14ac:dyDescent="0.25">
      <c r="A221" s="10" t="s">
        <v>32</v>
      </c>
      <c r="B221" s="21" t="s">
        <v>45</v>
      </c>
      <c r="C221" s="11"/>
      <c r="D221" s="11">
        <v>1967</v>
      </c>
    </row>
    <row r="222" spans="1:4" ht="19.95" customHeight="1" x14ac:dyDescent="0.25">
      <c r="A222" s="10" t="s">
        <v>33</v>
      </c>
      <c r="B222" s="21" t="s">
        <v>45</v>
      </c>
      <c r="C222" s="11"/>
      <c r="D222" s="11">
        <v>1967</v>
      </c>
    </row>
    <row r="223" spans="1:4" ht="19.95" customHeight="1" x14ac:dyDescent="0.25">
      <c r="A223" s="10" t="s">
        <v>34</v>
      </c>
      <c r="B223" s="21" t="s">
        <v>45</v>
      </c>
      <c r="C223" s="11"/>
      <c r="D223" s="11">
        <v>1967</v>
      </c>
    </row>
    <row r="224" spans="1:4" ht="19.95" customHeight="1" x14ac:dyDescent="0.25">
      <c r="A224" s="10" t="s">
        <v>35</v>
      </c>
      <c r="B224" s="21" t="s">
        <v>45</v>
      </c>
      <c r="C224" s="11"/>
      <c r="D224" s="11">
        <v>1967</v>
      </c>
    </row>
    <row r="225" spans="1:4" ht="19.95" customHeight="1" x14ac:dyDescent="0.25">
      <c r="A225" s="10" t="s">
        <v>36</v>
      </c>
      <c r="B225" s="21" t="s">
        <v>45</v>
      </c>
      <c r="C225" s="11"/>
      <c r="D225" s="11">
        <v>1967</v>
      </c>
    </row>
    <row r="226" spans="1:4" ht="19.95" customHeight="1" x14ac:dyDescent="0.25">
      <c r="A226" s="10" t="s">
        <v>37</v>
      </c>
      <c r="B226" s="21" t="s">
        <v>45</v>
      </c>
      <c r="C226" s="11"/>
      <c r="D226" s="11">
        <v>1967</v>
      </c>
    </row>
    <row r="227" spans="1:4" ht="19.95" customHeight="1" x14ac:dyDescent="0.25">
      <c r="A227" s="10" t="s">
        <v>38</v>
      </c>
      <c r="B227" s="21" t="s">
        <v>45</v>
      </c>
      <c r="C227" s="11"/>
      <c r="D227" s="11">
        <v>1967</v>
      </c>
    </row>
    <row r="228" spans="1:4" ht="19.95" customHeight="1" x14ac:dyDescent="0.25">
      <c r="A228" s="10" t="s">
        <v>39</v>
      </c>
      <c r="B228" s="21" t="s">
        <v>45</v>
      </c>
      <c r="C228" s="11"/>
      <c r="D228" s="11">
        <v>1967</v>
      </c>
    </row>
    <row r="229" spans="1:4" ht="19.95" customHeight="1" x14ac:dyDescent="0.25">
      <c r="A229" s="10" t="s">
        <v>40</v>
      </c>
      <c r="B229" s="21" t="s">
        <v>45</v>
      </c>
      <c r="C229" s="11"/>
      <c r="D229" s="11">
        <v>1967</v>
      </c>
    </row>
    <row r="230" spans="1:4" ht="19.95" customHeight="1" x14ac:dyDescent="0.25">
      <c r="A230" s="10" t="s">
        <v>10</v>
      </c>
      <c r="B230" s="21" t="s">
        <v>45</v>
      </c>
      <c r="C230" s="11"/>
      <c r="D230" s="11">
        <v>1968</v>
      </c>
    </row>
    <row r="231" spans="1:4" ht="19.95" customHeight="1" x14ac:dyDescent="0.25">
      <c r="A231" s="10" t="s">
        <v>13</v>
      </c>
      <c r="B231" s="21" t="s">
        <v>45</v>
      </c>
      <c r="C231" s="11"/>
      <c r="D231" s="11">
        <v>1968</v>
      </c>
    </row>
    <row r="232" spans="1:4" ht="19.95" customHeight="1" x14ac:dyDescent="0.25">
      <c r="A232" s="10" t="s">
        <v>15</v>
      </c>
      <c r="B232" s="21" t="s">
        <v>45</v>
      </c>
      <c r="C232" s="11"/>
      <c r="D232" s="11">
        <v>1968</v>
      </c>
    </row>
    <row r="233" spans="1:4" ht="19.95" customHeight="1" x14ac:dyDescent="0.25">
      <c r="A233" s="10" t="s">
        <v>16</v>
      </c>
      <c r="B233" s="21" t="s">
        <v>45</v>
      </c>
      <c r="C233" s="11"/>
      <c r="D233" s="11">
        <v>1968</v>
      </c>
    </row>
    <row r="234" spans="1:4" ht="19.95" customHeight="1" x14ac:dyDescent="0.25">
      <c r="A234" s="10" t="s">
        <v>17</v>
      </c>
      <c r="B234" s="21" t="s">
        <v>45</v>
      </c>
      <c r="C234" s="11"/>
      <c r="D234" s="11">
        <v>1968</v>
      </c>
    </row>
    <row r="235" spans="1:4" ht="19.95" customHeight="1" x14ac:dyDescent="0.25">
      <c r="A235" s="10" t="s">
        <v>2</v>
      </c>
      <c r="B235" s="21" t="s">
        <v>45</v>
      </c>
      <c r="C235" s="11"/>
      <c r="D235" s="11">
        <v>1968</v>
      </c>
    </row>
    <row r="236" spans="1:4" ht="19.95" customHeight="1" x14ac:dyDescent="0.25">
      <c r="A236" s="10" t="s">
        <v>18</v>
      </c>
      <c r="B236" s="21" t="s">
        <v>45</v>
      </c>
      <c r="C236" s="11"/>
      <c r="D236" s="11">
        <v>1968</v>
      </c>
    </row>
    <row r="237" spans="1:4" ht="19.95" customHeight="1" x14ac:dyDescent="0.25">
      <c r="A237" s="10" t="s">
        <v>19</v>
      </c>
      <c r="B237" s="21" t="s">
        <v>45</v>
      </c>
      <c r="C237" s="11"/>
      <c r="D237" s="11">
        <v>1968</v>
      </c>
    </row>
    <row r="238" spans="1:4" ht="19.95" customHeight="1" x14ac:dyDescent="0.25">
      <c r="A238" s="10" t="s">
        <v>20</v>
      </c>
      <c r="B238" s="21" t="s">
        <v>45</v>
      </c>
      <c r="C238" s="11"/>
      <c r="D238" s="11">
        <v>1968</v>
      </c>
    </row>
    <row r="239" spans="1:4" ht="19.95" customHeight="1" x14ac:dyDescent="0.25">
      <c r="A239" s="10" t="s">
        <v>21</v>
      </c>
      <c r="B239" s="21" t="s">
        <v>45</v>
      </c>
      <c r="C239" s="11"/>
      <c r="D239" s="11">
        <v>1968</v>
      </c>
    </row>
    <row r="240" spans="1:4" ht="19.95" customHeight="1" x14ac:dyDescent="0.25">
      <c r="A240" s="10" t="s">
        <v>22</v>
      </c>
      <c r="B240" s="21" t="s">
        <v>45</v>
      </c>
      <c r="C240" s="11"/>
      <c r="D240" s="11">
        <v>1968</v>
      </c>
    </row>
    <row r="241" spans="1:4" ht="19.95" customHeight="1" x14ac:dyDescent="0.25">
      <c r="A241" s="10" t="s">
        <v>23</v>
      </c>
      <c r="B241" s="21" t="s">
        <v>45</v>
      </c>
      <c r="C241" s="11"/>
      <c r="D241" s="11">
        <v>1968</v>
      </c>
    </row>
    <row r="242" spans="1:4" ht="19.95" customHeight="1" x14ac:dyDescent="0.25">
      <c r="A242" s="10" t="s">
        <v>24</v>
      </c>
      <c r="B242" s="21" t="s">
        <v>45</v>
      </c>
      <c r="C242" s="11"/>
      <c r="D242" s="11">
        <v>1968</v>
      </c>
    </row>
    <row r="243" spans="1:4" ht="19.95" customHeight="1" x14ac:dyDescent="0.25">
      <c r="A243" s="10" t="s">
        <v>25</v>
      </c>
      <c r="B243" s="21" t="s">
        <v>45</v>
      </c>
      <c r="C243" s="11"/>
      <c r="D243" s="11">
        <v>1968</v>
      </c>
    </row>
    <row r="244" spans="1:4" ht="19.95" customHeight="1" x14ac:dyDescent="0.25">
      <c r="A244" s="10" t="s">
        <v>26</v>
      </c>
      <c r="B244" s="21" t="s">
        <v>45</v>
      </c>
      <c r="C244" s="11"/>
      <c r="D244" s="11">
        <v>1968</v>
      </c>
    </row>
    <row r="245" spans="1:4" ht="19.95" customHeight="1" x14ac:dyDescent="0.25">
      <c r="A245" s="10" t="s">
        <v>27</v>
      </c>
      <c r="B245" s="21" t="s">
        <v>45</v>
      </c>
      <c r="C245" s="11"/>
      <c r="D245" s="11">
        <v>1968</v>
      </c>
    </row>
    <row r="246" spans="1:4" ht="19.95" customHeight="1" x14ac:dyDescent="0.25">
      <c r="A246" s="10" t="s">
        <v>29</v>
      </c>
      <c r="B246" s="21" t="s">
        <v>45</v>
      </c>
      <c r="C246" s="11"/>
      <c r="D246" s="11">
        <v>1968</v>
      </c>
    </row>
    <row r="247" spans="1:4" ht="19.95" customHeight="1" x14ac:dyDescent="0.25">
      <c r="A247" s="10" t="s">
        <v>30</v>
      </c>
      <c r="B247" s="21" t="s">
        <v>45</v>
      </c>
      <c r="C247" s="11"/>
      <c r="D247" s="11">
        <v>1968</v>
      </c>
    </row>
    <row r="248" spans="1:4" ht="19.95" customHeight="1" x14ac:dyDescent="0.25">
      <c r="A248" s="10" t="s">
        <v>31</v>
      </c>
      <c r="B248" s="21" t="s">
        <v>45</v>
      </c>
      <c r="C248" s="11"/>
      <c r="D248" s="11">
        <v>1968</v>
      </c>
    </row>
    <row r="249" spans="1:4" ht="19.95" customHeight="1" x14ac:dyDescent="0.25">
      <c r="A249" s="10" t="s">
        <v>32</v>
      </c>
      <c r="B249" s="21" t="s">
        <v>45</v>
      </c>
      <c r="C249" s="11"/>
      <c r="D249" s="11">
        <v>1968</v>
      </c>
    </row>
    <row r="250" spans="1:4" ht="19.95" customHeight="1" x14ac:dyDescent="0.25">
      <c r="A250" s="10" t="s">
        <v>33</v>
      </c>
      <c r="B250" s="21" t="s">
        <v>45</v>
      </c>
      <c r="C250" s="11"/>
      <c r="D250" s="11">
        <v>1968</v>
      </c>
    </row>
    <row r="251" spans="1:4" ht="19.95" customHeight="1" x14ac:dyDescent="0.25">
      <c r="A251" s="10" t="s">
        <v>34</v>
      </c>
      <c r="B251" s="21" t="s">
        <v>45</v>
      </c>
      <c r="C251" s="11"/>
      <c r="D251" s="11">
        <v>1968</v>
      </c>
    </row>
    <row r="252" spans="1:4" ht="19.95" customHeight="1" x14ac:dyDescent="0.25">
      <c r="A252" s="10" t="s">
        <v>35</v>
      </c>
      <c r="B252" s="21" t="s">
        <v>45</v>
      </c>
      <c r="C252" s="11"/>
      <c r="D252" s="11">
        <v>1968</v>
      </c>
    </row>
    <row r="253" spans="1:4" ht="19.95" customHeight="1" x14ac:dyDescent="0.25">
      <c r="A253" s="10" t="s">
        <v>36</v>
      </c>
      <c r="B253" s="21" t="s">
        <v>45</v>
      </c>
      <c r="C253" s="11"/>
      <c r="D253" s="11">
        <v>1968</v>
      </c>
    </row>
    <row r="254" spans="1:4" ht="19.95" customHeight="1" x14ac:dyDescent="0.25">
      <c r="A254" s="10" t="s">
        <v>37</v>
      </c>
      <c r="B254" s="21" t="s">
        <v>45</v>
      </c>
      <c r="C254" s="11"/>
      <c r="D254" s="11">
        <v>1968</v>
      </c>
    </row>
    <row r="255" spans="1:4" ht="19.95" customHeight="1" x14ac:dyDescent="0.25">
      <c r="A255" s="10" t="s">
        <v>38</v>
      </c>
      <c r="B255" s="21" t="s">
        <v>45</v>
      </c>
      <c r="C255" s="11"/>
      <c r="D255" s="11">
        <v>1968</v>
      </c>
    </row>
    <row r="256" spans="1:4" ht="19.95" customHeight="1" x14ac:dyDescent="0.25">
      <c r="A256" s="10" t="s">
        <v>39</v>
      </c>
      <c r="B256" s="21" t="s">
        <v>45</v>
      </c>
      <c r="C256" s="11"/>
      <c r="D256" s="11">
        <v>1968</v>
      </c>
    </row>
    <row r="257" spans="1:4" ht="19.95" customHeight="1" x14ac:dyDescent="0.25">
      <c r="A257" s="10" t="s">
        <v>40</v>
      </c>
      <c r="B257" s="21" t="s">
        <v>45</v>
      </c>
      <c r="C257" s="11"/>
      <c r="D257" s="11">
        <v>1968</v>
      </c>
    </row>
    <row r="258" spans="1:4" ht="19.95" customHeight="1" x14ac:dyDescent="0.25">
      <c r="A258" s="10" t="s">
        <v>10</v>
      </c>
      <c r="B258" s="21" t="s">
        <v>45</v>
      </c>
      <c r="C258" s="11"/>
      <c r="D258" s="11">
        <v>1969</v>
      </c>
    </row>
    <row r="259" spans="1:4" ht="19.95" customHeight="1" x14ac:dyDescent="0.25">
      <c r="A259" s="10" t="s">
        <v>13</v>
      </c>
      <c r="B259" s="21" t="s">
        <v>45</v>
      </c>
      <c r="C259" s="11"/>
      <c r="D259" s="11">
        <v>1969</v>
      </c>
    </row>
    <row r="260" spans="1:4" ht="19.95" customHeight="1" x14ac:dyDescent="0.25">
      <c r="A260" s="10" t="s">
        <v>15</v>
      </c>
      <c r="B260" s="21" t="s">
        <v>45</v>
      </c>
      <c r="C260" s="11"/>
      <c r="D260" s="11">
        <v>1969</v>
      </c>
    </row>
    <row r="261" spans="1:4" ht="19.95" customHeight="1" x14ac:dyDescent="0.25">
      <c r="A261" s="10" t="s">
        <v>16</v>
      </c>
      <c r="B261" s="21" t="s">
        <v>45</v>
      </c>
      <c r="C261" s="11"/>
      <c r="D261" s="11">
        <v>1969</v>
      </c>
    </row>
    <row r="262" spans="1:4" ht="19.95" customHeight="1" x14ac:dyDescent="0.25">
      <c r="A262" s="10" t="s">
        <v>17</v>
      </c>
      <c r="B262" s="21" t="s">
        <v>45</v>
      </c>
      <c r="C262" s="11"/>
      <c r="D262" s="11">
        <v>1969</v>
      </c>
    </row>
    <row r="263" spans="1:4" ht="19.95" customHeight="1" x14ac:dyDescent="0.25">
      <c r="A263" s="10" t="s">
        <v>2</v>
      </c>
      <c r="B263" s="21" t="s">
        <v>45</v>
      </c>
      <c r="C263" s="11"/>
      <c r="D263" s="11">
        <v>1969</v>
      </c>
    </row>
    <row r="264" spans="1:4" ht="19.95" customHeight="1" x14ac:dyDescent="0.25">
      <c r="A264" s="10" t="s">
        <v>18</v>
      </c>
      <c r="B264" s="21" t="s">
        <v>45</v>
      </c>
      <c r="C264" s="11"/>
      <c r="D264" s="11">
        <v>1969</v>
      </c>
    </row>
    <row r="265" spans="1:4" ht="19.95" customHeight="1" x14ac:dyDescent="0.25">
      <c r="A265" s="10" t="s">
        <v>19</v>
      </c>
      <c r="B265" s="21" t="s">
        <v>45</v>
      </c>
      <c r="C265" s="11"/>
      <c r="D265" s="11">
        <v>1969</v>
      </c>
    </row>
    <row r="266" spans="1:4" ht="19.95" customHeight="1" x14ac:dyDescent="0.25">
      <c r="A266" s="10" t="s">
        <v>20</v>
      </c>
      <c r="B266" s="21" t="s">
        <v>45</v>
      </c>
      <c r="C266" s="11"/>
      <c r="D266" s="11">
        <v>1969</v>
      </c>
    </row>
    <row r="267" spans="1:4" ht="19.95" customHeight="1" x14ac:dyDescent="0.25">
      <c r="A267" s="10" t="s">
        <v>21</v>
      </c>
      <c r="B267" s="21" t="s">
        <v>45</v>
      </c>
      <c r="C267" s="11"/>
      <c r="D267" s="11">
        <v>1969</v>
      </c>
    </row>
    <row r="268" spans="1:4" ht="19.95" customHeight="1" x14ac:dyDescent="0.25">
      <c r="A268" s="10" t="s">
        <v>22</v>
      </c>
      <c r="B268" s="21" t="s">
        <v>45</v>
      </c>
      <c r="C268" s="11"/>
      <c r="D268" s="11">
        <v>1969</v>
      </c>
    </row>
    <row r="269" spans="1:4" ht="19.95" customHeight="1" x14ac:dyDescent="0.25">
      <c r="A269" s="10" t="s">
        <v>23</v>
      </c>
      <c r="B269" s="21" t="s">
        <v>45</v>
      </c>
      <c r="C269" s="11"/>
      <c r="D269" s="11">
        <v>1969</v>
      </c>
    </row>
    <row r="270" spans="1:4" ht="19.95" customHeight="1" x14ac:dyDescent="0.25">
      <c r="A270" s="10" t="s">
        <v>24</v>
      </c>
      <c r="B270" s="21" t="s">
        <v>45</v>
      </c>
      <c r="C270" s="11"/>
      <c r="D270" s="11">
        <v>1969</v>
      </c>
    </row>
    <row r="271" spans="1:4" ht="19.95" customHeight="1" x14ac:dyDescent="0.25">
      <c r="A271" s="10" t="s">
        <v>25</v>
      </c>
      <c r="B271" s="21" t="s">
        <v>45</v>
      </c>
      <c r="C271" s="11"/>
      <c r="D271" s="11">
        <v>1969</v>
      </c>
    </row>
    <row r="272" spans="1:4" ht="19.95" customHeight="1" x14ac:dyDescent="0.25">
      <c r="A272" s="10" t="s">
        <v>26</v>
      </c>
      <c r="B272" s="21" t="s">
        <v>45</v>
      </c>
      <c r="C272" s="11"/>
      <c r="D272" s="11">
        <v>1969</v>
      </c>
    </row>
    <row r="273" spans="1:4" ht="19.95" customHeight="1" x14ac:dyDescent="0.25">
      <c r="A273" s="10" t="s">
        <v>27</v>
      </c>
      <c r="B273" s="21" t="s">
        <v>45</v>
      </c>
      <c r="C273" s="11"/>
      <c r="D273" s="11">
        <v>1969</v>
      </c>
    </row>
    <row r="274" spans="1:4" ht="19.95" customHeight="1" x14ac:dyDescent="0.25">
      <c r="A274" s="10" t="s">
        <v>29</v>
      </c>
      <c r="B274" s="21" t="s">
        <v>45</v>
      </c>
      <c r="C274" s="11"/>
      <c r="D274" s="11">
        <v>1969</v>
      </c>
    </row>
    <row r="275" spans="1:4" ht="19.95" customHeight="1" x14ac:dyDescent="0.25">
      <c r="A275" s="10" t="s">
        <v>30</v>
      </c>
      <c r="B275" s="21" t="s">
        <v>45</v>
      </c>
      <c r="C275" s="11"/>
      <c r="D275" s="11">
        <v>1969</v>
      </c>
    </row>
    <row r="276" spans="1:4" ht="19.95" customHeight="1" x14ac:dyDescent="0.25">
      <c r="A276" s="10" t="s">
        <v>31</v>
      </c>
      <c r="B276" s="21" t="s">
        <v>45</v>
      </c>
      <c r="C276" s="11"/>
      <c r="D276" s="11">
        <v>1969</v>
      </c>
    </row>
    <row r="277" spans="1:4" ht="19.95" customHeight="1" x14ac:dyDescent="0.25">
      <c r="A277" s="10" t="s">
        <v>32</v>
      </c>
      <c r="B277" s="21" t="s">
        <v>45</v>
      </c>
      <c r="C277" s="11"/>
      <c r="D277" s="11">
        <v>1969</v>
      </c>
    </row>
    <row r="278" spans="1:4" ht="19.95" customHeight="1" x14ac:dyDescent="0.25">
      <c r="A278" s="10" t="s">
        <v>33</v>
      </c>
      <c r="B278" s="21" t="s">
        <v>45</v>
      </c>
      <c r="C278" s="11"/>
      <c r="D278" s="11">
        <v>1969</v>
      </c>
    </row>
    <row r="279" spans="1:4" ht="19.95" customHeight="1" x14ac:dyDescent="0.25">
      <c r="A279" s="10" t="s">
        <v>34</v>
      </c>
      <c r="B279" s="21" t="s">
        <v>45</v>
      </c>
      <c r="C279" s="11"/>
      <c r="D279" s="11">
        <v>1969</v>
      </c>
    </row>
    <row r="280" spans="1:4" ht="19.95" customHeight="1" x14ac:dyDescent="0.25">
      <c r="A280" s="10" t="s">
        <v>35</v>
      </c>
      <c r="B280" s="21" t="s">
        <v>45</v>
      </c>
      <c r="C280" s="11"/>
      <c r="D280" s="11">
        <v>1969</v>
      </c>
    </row>
    <row r="281" spans="1:4" ht="19.95" customHeight="1" x14ac:dyDescent="0.25">
      <c r="A281" s="10" t="s">
        <v>36</v>
      </c>
      <c r="B281" s="21" t="s">
        <v>45</v>
      </c>
      <c r="C281" s="11"/>
      <c r="D281" s="11">
        <v>1969</v>
      </c>
    </row>
    <row r="282" spans="1:4" ht="19.95" customHeight="1" x14ac:dyDescent="0.25">
      <c r="A282" s="10" t="s">
        <v>37</v>
      </c>
      <c r="B282" s="21" t="s">
        <v>45</v>
      </c>
      <c r="C282" s="11"/>
      <c r="D282" s="11">
        <v>1969</v>
      </c>
    </row>
    <row r="283" spans="1:4" ht="19.95" customHeight="1" x14ac:dyDescent="0.25">
      <c r="A283" s="10" t="s">
        <v>38</v>
      </c>
      <c r="B283" s="21" t="s">
        <v>45</v>
      </c>
      <c r="C283" s="11"/>
      <c r="D283" s="11">
        <v>1969</v>
      </c>
    </row>
    <row r="284" spans="1:4" ht="19.95" customHeight="1" x14ac:dyDescent="0.25">
      <c r="A284" s="10" t="s">
        <v>39</v>
      </c>
      <c r="B284" s="21" t="s">
        <v>45</v>
      </c>
      <c r="C284" s="11"/>
      <c r="D284" s="11">
        <v>1969</v>
      </c>
    </row>
    <row r="285" spans="1:4" ht="19.95" customHeight="1" x14ac:dyDescent="0.25">
      <c r="A285" s="10" t="s">
        <v>40</v>
      </c>
      <c r="B285" s="21" t="s">
        <v>45</v>
      </c>
      <c r="C285" s="11"/>
      <c r="D285" s="11">
        <v>1969</v>
      </c>
    </row>
    <row r="286" spans="1:4" ht="19.95" customHeight="1" x14ac:dyDescent="0.25">
      <c r="A286" s="10" t="s">
        <v>10</v>
      </c>
      <c r="B286" s="21" t="s">
        <v>45</v>
      </c>
      <c r="C286" s="11"/>
      <c r="D286" s="11">
        <v>1970</v>
      </c>
    </row>
    <row r="287" spans="1:4" ht="19.95" customHeight="1" x14ac:dyDescent="0.25">
      <c r="A287" s="10" t="s">
        <v>13</v>
      </c>
      <c r="B287" s="21" t="s">
        <v>45</v>
      </c>
      <c r="C287" s="11"/>
      <c r="D287" s="11">
        <v>1970</v>
      </c>
    </row>
    <row r="288" spans="1:4" ht="19.95" customHeight="1" x14ac:dyDescent="0.25">
      <c r="A288" s="10" t="s">
        <v>15</v>
      </c>
      <c r="B288" s="21" t="s">
        <v>45</v>
      </c>
      <c r="C288" s="11"/>
      <c r="D288" s="11">
        <v>1970</v>
      </c>
    </row>
    <row r="289" spans="1:4" ht="19.95" customHeight="1" x14ac:dyDescent="0.25">
      <c r="A289" s="10" t="s">
        <v>16</v>
      </c>
      <c r="B289" s="21" t="s">
        <v>45</v>
      </c>
      <c r="C289" s="11"/>
      <c r="D289" s="11">
        <v>1970</v>
      </c>
    </row>
    <row r="290" spans="1:4" ht="19.95" customHeight="1" x14ac:dyDescent="0.25">
      <c r="A290" s="10" t="s">
        <v>17</v>
      </c>
      <c r="B290" s="21" t="s">
        <v>45</v>
      </c>
      <c r="C290" s="11"/>
      <c r="D290" s="11">
        <v>1970</v>
      </c>
    </row>
    <row r="291" spans="1:4" ht="19.95" customHeight="1" x14ac:dyDescent="0.25">
      <c r="A291" s="10" t="s">
        <v>2</v>
      </c>
      <c r="B291" s="21" t="s">
        <v>45</v>
      </c>
      <c r="C291" s="11"/>
      <c r="D291" s="11">
        <v>1970</v>
      </c>
    </row>
    <row r="292" spans="1:4" ht="19.95" customHeight="1" x14ac:dyDescent="0.25">
      <c r="A292" s="10" t="s">
        <v>18</v>
      </c>
      <c r="B292" s="21" t="s">
        <v>45</v>
      </c>
      <c r="C292" s="11"/>
      <c r="D292" s="11">
        <v>1970</v>
      </c>
    </row>
    <row r="293" spans="1:4" ht="19.95" customHeight="1" x14ac:dyDescent="0.25">
      <c r="A293" s="10" t="s">
        <v>19</v>
      </c>
      <c r="B293" s="21" t="s">
        <v>45</v>
      </c>
      <c r="C293" s="11"/>
      <c r="D293" s="11">
        <v>1970</v>
      </c>
    </row>
    <row r="294" spans="1:4" ht="19.95" customHeight="1" x14ac:dyDescent="0.25">
      <c r="A294" s="10" t="s">
        <v>20</v>
      </c>
      <c r="B294" s="21" t="s">
        <v>45</v>
      </c>
      <c r="C294" s="11"/>
      <c r="D294" s="11">
        <v>1970</v>
      </c>
    </row>
    <row r="295" spans="1:4" ht="19.95" customHeight="1" x14ac:dyDescent="0.25">
      <c r="A295" s="10" t="s">
        <v>21</v>
      </c>
      <c r="B295" s="21" t="s">
        <v>45</v>
      </c>
      <c r="C295" s="11"/>
      <c r="D295" s="11">
        <v>1970</v>
      </c>
    </row>
    <row r="296" spans="1:4" ht="19.95" customHeight="1" x14ac:dyDescent="0.25">
      <c r="A296" s="10" t="s">
        <v>22</v>
      </c>
      <c r="B296" s="21" t="s">
        <v>45</v>
      </c>
      <c r="C296" s="11"/>
      <c r="D296" s="11">
        <v>1970</v>
      </c>
    </row>
    <row r="297" spans="1:4" ht="19.95" customHeight="1" x14ac:dyDescent="0.25">
      <c r="A297" s="10" t="s">
        <v>23</v>
      </c>
      <c r="B297" s="21" t="s">
        <v>45</v>
      </c>
      <c r="C297" s="11"/>
      <c r="D297" s="11">
        <v>1970</v>
      </c>
    </row>
    <row r="298" spans="1:4" ht="19.95" customHeight="1" x14ac:dyDescent="0.25">
      <c r="A298" s="10" t="s">
        <v>24</v>
      </c>
      <c r="B298" s="21" t="s">
        <v>45</v>
      </c>
      <c r="C298" s="11"/>
      <c r="D298" s="11">
        <v>1970</v>
      </c>
    </row>
    <row r="299" spans="1:4" ht="19.95" customHeight="1" x14ac:dyDescent="0.25">
      <c r="A299" s="10" t="s">
        <v>25</v>
      </c>
      <c r="B299" s="21" t="s">
        <v>45</v>
      </c>
      <c r="C299" s="11"/>
      <c r="D299" s="11">
        <v>1970</v>
      </c>
    </row>
    <row r="300" spans="1:4" ht="19.95" customHeight="1" x14ac:dyDescent="0.25">
      <c r="A300" s="10" t="s">
        <v>26</v>
      </c>
      <c r="B300" s="21" t="s">
        <v>45</v>
      </c>
      <c r="C300" s="11"/>
      <c r="D300" s="11">
        <v>1970</v>
      </c>
    </row>
    <row r="301" spans="1:4" ht="19.95" customHeight="1" x14ac:dyDescent="0.25">
      <c r="A301" s="10" t="s">
        <v>27</v>
      </c>
      <c r="B301" s="21" t="s">
        <v>45</v>
      </c>
      <c r="C301" s="11"/>
      <c r="D301" s="11">
        <v>1970</v>
      </c>
    </row>
    <row r="302" spans="1:4" ht="19.95" customHeight="1" x14ac:dyDescent="0.25">
      <c r="A302" s="10" t="s">
        <v>29</v>
      </c>
      <c r="B302" s="21" t="s">
        <v>45</v>
      </c>
      <c r="C302" s="11"/>
      <c r="D302" s="11">
        <v>1970</v>
      </c>
    </row>
    <row r="303" spans="1:4" ht="19.95" customHeight="1" x14ac:dyDescent="0.25">
      <c r="A303" s="10" t="s">
        <v>30</v>
      </c>
      <c r="B303" s="21" t="s">
        <v>45</v>
      </c>
      <c r="C303" s="11"/>
      <c r="D303" s="11">
        <v>1970</v>
      </c>
    </row>
    <row r="304" spans="1:4" ht="19.95" customHeight="1" x14ac:dyDescent="0.25">
      <c r="A304" s="10" t="s">
        <v>31</v>
      </c>
      <c r="B304" s="21" t="s">
        <v>45</v>
      </c>
      <c r="C304" s="11"/>
      <c r="D304" s="11">
        <v>1970</v>
      </c>
    </row>
    <row r="305" spans="1:4" ht="19.95" customHeight="1" x14ac:dyDescent="0.25">
      <c r="A305" s="10" t="s">
        <v>32</v>
      </c>
      <c r="B305" s="21" t="s">
        <v>45</v>
      </c>
      <c r="C305" s="11"/>
      <c r="D305" s="11">
        <v>1970</v>
      </c>
    </row>
    <row r="306" spans="1:4" ht="19.95" customHeight="1" x14ac:dyDescent="0.25">
      <c r="A306" s="10" t="s">
        <v>33</v>
      </c>
      <c r="B306" s="21" t="s">
        <v>45</v>
      </c>
      <c r="C306" s="11"/>
      <c r="D306" s="11">
        <v>1970</v>
      </c>
    </row>
    <row r="307" spans="1:4" ht="19.95" customHeight="1" x14ac:dyDescent="0.25">
      <c r="A307" s="10" t="s">
        <v>34</v>
      </c>
      <c r="B307" s="21" t="s">
        <v>45</v>
      </c>
      <c r="C307" s="11"/>
      <c r="D307" s="11">
        <v>1970</v>
      </c>
    </row>
    <row r="308" spans="1:4" ht="19.95" customHeight="1" x14ac:dyDescent="0.25">
      <c r="A308" s="10" t="s">
        <v>35</v>
      </c>
      <c r="B308" s="21" t="s">
        <v>45</v>
      </c>
      <c r="C308" s="11"/>
      <c r="D308" s="11">
        <v>1970</v>
      </c>
    </row>
    <row r="309" spans="1:4" ht="19.95" customHeight="1" x14ac:dyDescent="0.25">
      <c r="A309" s="10" t="s">
        <v>36</v>
      </c>
      <c r="B309" s="21" t="s">
        <v>45</v>
      </c>
      <c r="C309" s="11"/>
      <c r="D309" s="11">
        <v>1970</v>
      </c>
    </row>
    <row r="310" spans="1:4" ht="19.95" customHeight="1" x14ac:dyDescent="0.25">
      <c r="A310" s="10" t="s">
        <v>37</v>
      </c>
      <c r="B310" s="21" t="s">
        <v>45</v>
      </c>
      <c r="C310" s="11"/>
      <c r="D310" s="11">
        <v>1970</v>
      </c>
    </row>
    <row r="311" spans="1:4" ht="19.95" customHeight="1" x14ac:dyDescent="0.25">
      <c r="A311" s="10" t="s">
        <v>38</v>
      </c>
      <c r="B311" s="21" t="s">
        <v>45</v>
      </c>
      <c r="C311" s="11"/>
      <c r="D311" s="11">
        <v>1970</v>
      </c>
    </row>
    <row r="312" spans="1:4" ht="19.95" customHeight="1" x14ac:dyDescent="0.25">
      <c r="A312" s="10" t="s">
        <v>39</v>
      </c>
      <c r="B312" s="21" t="s">
        <v>45</v>
      </c>
      <c r="C312" s="11"/>
      <c r="D312" s="11">
        <v>1970</v>
      </c>
    </row>
    <row r="313" spans="1:4" ht="19.95" customHeight="1" x14ac:dyDescent="0.25">
      <c r="A313" s="10" t="s">
        <v>40</v>
      </c>
      <c r="B313" s="21" t="s">
        <v>45</v>
      </c>
      <c r="C313" s="11"/>
      <c r="D313" s="11">
        <v>1970</v>
      </c>
    </row>
    <row r="314" spans="1:4" ht="19.95" customHeight="1" x14ac:dyDescent="0.25">
      <c r="A314" s="10" t="s">
        <v>10</v>
      </c>
      <c r="B314" s="21" t="s">
        <v>45</v>
      </c>
      <c r="C314" s="11"/>
      <c r="D314" s="11">
        <v>1971</v>
      </c>
    </row>
    <row r="315" spans="1:4" ht="19.95" customHeight="1" x14ac:dyDescent="0.25">
      <c r="A315" s="10" t="s">
        <v>13</v>
      </c>
      <c r="B315" s="21" t="s">
        <v>45</v>
      </c>
      <c r="C315" s="11"/>
      <c r="D315" s="11">
        <v>1971</v>
      </c>
    </row>
    <row r="316" spans="1:4" ht="19.95" customHeight="1" x14ac:dyDescent="0.25">
      <c r="A316" s="10" t="s">
        <v>15</v>
      </c>
      <c r="B316" s="21" t="s">
        <v>45</v>
      </c>
      <c r="C316" s="11"/>
      <c r="D316" s="11">
        <v>1971</v>
      </c>
    </row>
    <row r="317" spans="1:4" ht="19.95" customHeight="1" x14ac:dyDescent="0.25">
      <c r="A317" s="10" t="s">
        <v>16</v>
      </c>
      <c r="B317" s="21" t="s">
        <v>45</v>
      </c>
      <c r="C317" s="11"/>
      <c r="D317" s="11">
        <v>1971</v>
      </c>
    </row>
    <row r="318" spans="1:4" ht="19.95" customHeight="1" x14ac:dyDescent="0.25">
      <c r="A318" s="10" t="s">
        <v>17</v>
      </c>
      <c r="B318" s="21" t="s">
        <v>45</v>
      </c>
      <c r="C318" s="11"/>
      <c r="D318" s="11">
        <v>1971</v>
      </c>
    </row>
    <row r="319" spans="1:4" ht="19.95" customHeight="1" x14ac:dyDescent="0.25">
      <c r="A319" s="10" t="s">
        <v>2</v>
      </c>
      <c r="B319" s="21" t="s">
        <v>45</v>
      </c>
      <c r="C319" s="11"/>
      <c r="D319" s="11">
        <v>1971</v>
      </c>
    </row>
    <row r="320" spans="1:4" ht="19.95" customHeight="1" x14ac:dyDescent="0.25">
      <c r="A320" s="10" t="s">
        <v>18</v>
      </c>
      <c r="B320" s="21" t="s">
        <v>45</v>
      </c>
      <c r="C320" s="11"/>
      <c r="D320" s="11">
        <v>1971</v>
      </c>
    </row>
    <row r="321" spans="1:4" ht="19.95" customHeight="1" x14ac:dyDescent="0.25">
      <c r="A321" s="10" t="s">
        <v>19</v>
      </c>
      <c r="B321" s="21" t="s">
        <v>45</v>
      </c>
      <c r="C321" s="11"/>
      <c r="D321" s="11">
        <v>1971</v>
      </c>
    </row>
    <row r="322" spans="1:4" ht="19.95" customHeight="1" x14ac:dyDescent="0.25">
      <c r="A322" s="10" t="s">
        <v>20</v>
      </c>
      <c r="B322" s="21" t="s">
        <v>45</v>
      </c>
      <c r="C322" s="11"/>
      <c r="D322" s="11">
        <v>1971</v>
      </c>
    </row>
    <row r="323" spans="1:4" ht="19.95" customHeight="1" x14ac:dyDescent="0.25">
      <c r="A323" s="10" t="s">
        <v>21</v>
      </c>
      <c r="B323" s="21" t="s">
        <v>45</v>
      </c>
      <c r="C323" s="11"/>
      <c r="D323" s="11">
        <v>1971</v>
      </c>
    </row>
    <row r="324" spans="1:4" ht="19.95" customHeight="1" x14ac:dyDescent="0.25">
      <c r="A324" s="10" t="s">
        <v>22</v>
      </c>
      <c r="B324" s="21" t="s">
        <v>45</v>
      </c>
      <c r="C324" s="11"/>
      <c r="D324" s="11">
        <v>1971</v>
      </c>
    </row>
    <row r="325" spans="1:4" ht="19.95" customHeight="1" x14ac:dyDescent="0.25">
      <c r="A325" s="10" t="s">
        <v>23</v>
      </c>
      <c r="B325" s="21" t="s">
        <v>45</v>
      </c>
      <c r="C325" s="11"/>
      <c r="D325" s="11">
        <v>1971</v>
      </c>
    </row>
    <row r="326" spans="1:4" ht="19.95" customHeight="1" x14ac:dyDescent="0.25">
      <c r="A326" s="10" t="s">
        <v>24</v>
      </c>
      <c r="B326" s="21" t="s">
        <v>45</v>
      </c>
      <c r="C326" s="11"/>
      <c r="D326" s="11">
        <v>1971</v>
      </c>
    </row>
    <row r="327" spans="1:4" ht="19.95" customHeight="1" x14ac:dyDescent="0.25">
      <c r="A327" s="10" t="s">
        <v>25</v>
      </c>
      <c r="B327" s="21" t="s">
        <v>45</v>
      </c>
      <c r="C327" s="11"/>
      <c r="D327" s="11">
        <v>1971</v>
      </c>
    </row>
    <row r="328" spans="1:4" ht="19.95" customHeight="1" x14ac:dyDescent="0.25">
      <c r="A328" s="10" t="s">
        <v>26</v>
      </c>
      <c r="B328" s="21" t="s">
        <v>45</v>
      </c>
      <c r="C328" s="11"/>
      <c r="D328" s="11">
        <v>1971</v>
      </c>
    </row>
    <row r="329" spans="1:4" ht="19.95" customHeight="1" x14ac:dyDescent="0.25">
      <c r="A329" s="10" t="s">
        <v>27</v>
      </c>
      <c r="B329" s="21" t="s">
        <v>45</v>
      </c>
      <c r="C329" s="11"/>
      <c r="D329" s="11">
        <v>1971</v>
      </c>
    </row>
    <row r="330" spans="1:4" ht="19.95" customHeight="1" x14ac:dyDescent="0.25">
      <c r="A330" s="10" t="s">
        <v>29</v>
      </c>
      <c r="B330" s="21" t="s">
        <v>45</v>
      </c>
      <c r="C330" s="11"/>
      <c r="D330" s="11">
        <v>1971</v>
      </c>
    </row>
    <row r="331" spans="1:4" ht="19.95" customHeight="1" x14ac:dyDescent="0.25">
      <c r="A331" s="10" t="s">
        <v>30</v>
      </c>
      <c r="B331" s="21" t="s">
        <v>45</v>
      </c>
      <c r="C331" s="11"/>
      <c r="D331" s="11">
        <v>1971</v>
      </c>
    </row>
    <row r="332" spans="1:4" ht="19.95" customHeight="1" x14ac:dyDescent="0.25">
      <c r="A332" s="10" t="s">
        <v>31</v>
      </c>
      <c r="B332" s="21" t="s">
        <v>45</v>
      </c>
      <c r="C332" s="11"/>
      <c r="D332" s="11">
        <v>1971</v>
      </c>
    </row>
    <row r="333" spans="1:4" ht="19.95" customHeight="1" x14ac:dyDescent="0.25">
      <c r="A333" s="10" t="s">
        <v>32</v>
      </c>
      <c r="B333" s="21" t="s">
        <v>45</v>
      </c>
      <c r="C333" s="11"/>
      <c r="D333" s="11">
        <v>1971</v>
      </c>
    </row>
    <row r="334" spans="1:4" ht="19.95" customHeight="1" x14ac:dyDescent="0.25">
      <c r="A334" s="10" t="s">
        <v>33</v>
      </c>
      <c r="B334" s="21" t="s">
        <v>45</v>
      </c>
      <c r="C334" s="11"/>
      <c r="D334" s="11">
        <v>1971</v>
      </c>
    </row>
    <row r="335" spans="1:4" ht="19.95" customHeight="1" x14ac:dyDescent="0.25">
      <c r="A335" s="10" t="s">
        <v>34</v>
      </c>
      <c r="B335" s="21" t="s">
        <v>45</v>
      </c>
      <c r="C335" s="11"/>
      <c r="D335" s="11">
        <v>1971</v>
      </c>
    </row>
    <row r="336" spans="1:4" ht="19.95" customHeight="1" x14ac:dyDescent="0.25">
      <c r="A336" s="10" t="s">
        <v>35</v>
      </c>
      <c r="B336" s="21" t="s">
        <v>45</v>
      </c>
      <c r="C336" s="11"/>
      <c r="D336" s="11">
        <v>1971</v>
      </c>
    </row>
    <row r="337" spans="1:4" ht="19.95" customHeight="1" x14ac:dyDescent="0.25">
      <c r="A337" s="10" t="s">
        <v>36</v>
      </c>
      <c r="B337" s="21" t="s">
        <v>45</v>
      </c>
      <c r="C337" s="11"/>
      <c r="D337" s="11">
        <v>1971</v>
      </c>
    </row>
    <row r="338" spans="1:4" ht="19.95" customHeight="1" x14ac:dyDescent="0.25">
      <c r="A338" s="10" t="s">
        <v>37</v>
      </c>
      <c r="B338" s="21" t="s">
        <v>45</v>
      </c>
      <c r="C338" s="11"/>
      <c r="D338" s="11">
        <v>1971</v>
      </c>
    </row>
    <row r="339" spans="1:4" ht="19.95" customHeight="1" x14ac:dyDescent="0.25">
      <c r="A339" s="10" t="s">
        <v>38</v>
      </c>
      <c r="B339" s="21" t="s">
        <v>45</v>
      </c>
      <c r="C339" s="11"/>
      <c r="D339" s="11">
        <v>1971</v>
      </c>
    </row>
    <row r="340" spans="1:4" ht="19.95" customHeight="1" x14ac:dyDescent="0.25">
      <c r="A340" s="10" t="s">
        <v>39</v>
      </c>
      <c r="B340" s="21" t="s">
        <v>45</v>
      </c>
      <c r="C340" s="11"/>
      <c r="D340" s="11">
        <v>1971</v>
      </c>
    </row>
    <row r="341" spans="1:4" ht="19.95" customHeight="1" x14ac:dyDescent="0.25">
      <c r="A341" s="10" t="s">
        <v>40</v>
      </c>
      <c r="B341" s="21" t="s">
        <v>45</v>
      </c>
      <c r="C341" s="11"/>
      <c r="D341" s="11">
        <v>1971</v>
      </c>
    </row>
    <row r="342" spans="1:4" ht="19.95" customHeight="1" x14ac:dyDescent="0.25">
      <c r="A342" s="10" t="s">
        <v>10</v>
      </c>
      <c r="B342" s="21" t="s">
        <v>45</v>
      </c>
      <c r="C342" s="11"/>
      <c r="D342" s="11">
        <v>1972</v>
      </c>
    </row>
    <row r="343" spans="1:4" ht="19.95" customHeight="1" x14ac:dyDescent="0.25">
      <c r="A343" s="10" t="s">
        <v>13</v>
      </c>
      <c r="B343" s="21" t="s">
        <v>45</v>
      </c>
      <c r="C343" s="11"/>
      <c r="D343" s="11">
        <v>1972</v>
      </c>
    </row>
    <row r="344" spans="1:4" ht="19.95" customHeight="1" x14ac:dyDescent="0.25">
      <c r="A344" s="10" t="s">
        <v>15</v>
      </c>
      <c r="B344" s="21" t="s">
        <v>45</v>
      </c>
      <c r="C344" s="11"/>
      <c r="D344" s="11">
        <v>1972</v>
      </c>
    </row>
    <row r="345" spans="1:4" ht="19.95" customHeight="1" x14ac:dyDescent="0.25">
      <c r="A345" s="10" t="s">
        <v>16</v>
      </c>
      <c r="B345" s="21" t="s">
        <v>45</v>
      </c>
      <c r="C345" s="11"/>
      <c r="D345" s="11">
        <v>1972</v>
      </c>
    </row>
    <row r="346" spans="1:4" ht="19.95" customHeight="1" x14ac:dyDescent="0.25">
      <c r="A346" s="10" t="s">
        <v>17</v>
      </c>
      <c r="B346" s="21" t="s">
        <v>45</v>
      </c>
      <c r="C346" s="11"/>
      <c r="D346" s="11">
        <v>1972</v>
      </c>
    </row>
    <row r="347" spans="1:4" ht="19.95" customHeight="1" x14ac:dyDescent="0.25">
      <c r="A347" s="10" t="s">
        <v>2</v>
      </c>
      <c r="B347" s="21" t="s">
        <v>45</v>
      </c>
      <c r="C347" s="11"/>
      <c r="D347" s="11">
        <v>1972</v>
      </c>
    </row>
    <row r="348" spans="1:4" ht="19.95" customHeight="1" x14ac:dyDescent="0.25">
      <c r="A348" s="10" t="s">
        <v>18</v>
      </c>
      <c r="B348" s="21" t="s">
        <v>45</v>
      </c>
      <c r="C348" s="11"/>
      <c r="D348" s="11">
        <v>1972</v>
      </c>
    </row>
    <row r="349" spans="1:4" ht="19.95" customHeight="1" x14ac:dyDescent="0.25">
      <c r="A349" s="10" t="s">
        <v>19</v>
      </c>
      <c r="B349" s="21" t="s">
        <v>45</v>
      </c>
      <c r="C349" s="11"/>
      <c r="D349" s="11">
        <v>1972</v>
      </c>
    </row>
    <row r="350" spans="1:4" ht="19.95" customHeight="1" x14ac:dyDescent="0.25">
      <c r="A350" s="10" t="s">
        <v>20</v>
      </c>
      <c r="B350" s="21" t="s">
        <v>45</v>
      </c>
      <c r="C350" s="11"/>
      <c r="D350" s="11">
        <v>1972</v>
      </c>
    </row>
    <row r="351" spans="1:4" ht="19.95" customHeight="1" x14ac:dyDescent="0.25">
      <c r="A351" s="10" t="s">
        <v>21</v>
      </c>
      <c r="B351" s="21" t="s">
        <v>45</v>
      </c>
      <c r="C351" s="11"/>
      <c r="D351" s="11">
        <v>1972</v>
      </c>
    </row>
    <row r="352" spans="1:4" ht="19.95" customHeight="1" x14ac:dyDescent="0.25">
      <c r="A352" s="10" t="s">
        <v>22</v>
      </c>
      <c r="B352" s="21" t="s">
        <v>45</v>
      </c>
      <c r="C352" s="11"/>
      <c r="D352" s="11">
        <v>1972</v>
      </c>
    </row>
    <row r="353" spans="1:4" ht="19.95" customHeight="1" x14ac:dyDescent="0.25">
      <c r="A353" s="10" t="s">
        <v>23</v>
      </c>
      <c r="B353" s="21" t="s">
        <v>45</v>
      </c>
      <c r="C353" s="11"/>
      <c r="D353" s="11">
        <v>1972</v>
      </c>
    </row>
    <row r="354" spans="1:4" ht="19.95" customHeight="1" x14ac:dyDescent="0.25">
      <c r="A354" s="10" t="s">
        <v>24</v>
      </c>
      <c r="B354" s="21" t="s">
        <v>45</v>
      </c>
      <c r="C354" s="11"/>
      <c r="D354" s="11">
        <v>1972</v>
      </c>
    </row>
    <row r="355" spans="1:4" ht="19.95" customHeight="1" x14ac:dyDescent="0.25">
      <c r="A355" s="10" t="s">
        <v>25</v>
      </c>
      <c r="B355" s="21" t="s">
        <v>45</v>
      </c>
      <c r="C355" s="11"/>
      <c r="D355" s="11">
        <v>1972</v>
      </c>
    </row>
    <row r="356" spans="1:4" ht="19.95" customHeight="1" x14ac:dyDescent="0.25">
      <c r="A356" s="10" t="s">
        <v>26</v>
      </c>
      <c r="B356" s="21" t="s">
        <v>45</v>
      </c>
      <c r="C356" s="11"/>
      <c r="D356" s="11">
        <v>1972</v>
      </c>
    </row>
    <row r="357" spans="1:4" ht="19.95" customHeight="1" x14ac:dyDescent="0.25">
      <c r="A357" s="10" t="s">
        <v>27</v>
      </c>
      <c r="B357" s="21" t="s">
        <v>45</v>
      </c>
      <c r="C357" s="11"/>
      <c r="D357" s="11">
        <v>1972</v>
      </c>
    </row>
    <row r="358" spans="1:4" ht="19.95" customHeight="1" x14ac:dyDescent="0.25">
      <c r="A358" s="10" t="s">
        <v>29</v>
      </c>
      <c r="B358" s="21" t="s">
        <v>45</v>
      </c>
      <c r="C358" s="11"/>
      <c r="D358" s="11">
        <v>1972</v>
      </c>
    </row>
    <row r="359" spans="1:4" ht="19.95" customHeight="1" x14ac:dyDescent="0.25">
      <c r="A359" s="10" t="s">
        <v>30</v>
      </c>
      <c r="B359" s="21" t="s">
        <v>45</v>
      </c>
      <c r="C359" s="11"/>
      <c r="D359" s="11">
        <v>1972</v>
      </c>
    </row>
    <row r="360" spans="1:4" ht="19.95" customHeight="1" x14ac:dyDescent="0.25">
      <c r="A360" s="10" t="s">
        <v>31</v>
      </c>
      <c r="B360" s="21" t="s">
        <v>45</v>
      </c>
      <c r="C360" s="11"/>
      <c r="D360" s="11">
        <v>1972</v>
      </c>
    </row>
    <row r="361" spans="1:4" ht="19.95" customHeight="1" x14ac:dyDescent="0.25">
      <c r="A361" s="10" t="s">
        <v>32</v>
      </c>
      <c r="B361" s="21" t="s">
        <v>45</v>
      </c>
      <c r="C361" s="11"/>
      <c r="D361" s="11">
        <v>1972</v>
      </c>
    </row>
    <row r="362" spans="1:4" ht="19.95" customHeight="1" x14ac:dyDescent="0.25">
      <c r="A362" s="10" t="s">
        <v>33</v>
      </c>
      <c r="B362" s="21" t="s">
        <v>45</v>
      </c>
      <c r="C362" s="11"/>
      <c r="D362" s="11">
        <v>1972</v>
      </c>
    </row>
    <row r="363" spans="1:4" ht="19.95" customHeight="1" x14ac:dyDescent="0.25">
      <c r="A363" s="10" t="s">
        <v>34</v>
      </c>
      <c r="B363" s="21" t="s">
        <v>45</v>
      </c>
      <c r="C363" s="11"/>
      <c r="D363" s="11">
        <v>1972</v>
      </c>
    </row>
    <row r="364" spans="1:4" ht="19.95" customHeight="1" x14ac:dyDescent="0.25">
      <c r="A364" s="10" t="s">
        <v>35</v>
      </c>
      <c r="B364" s="21" t="s">
        <v>45</v>
      </c>
      <c r="C364" s="11"/>
      <c r="D364" s="11">
        <v>1972</v>
      </c>
    </row>
    <row r="365" spans="1:4" ht="19.95" customHeight="1" x14ac:dyDescent="0.25">
      <c r="A365" s="10" t="s">
        <v>36</v>
      </c>
      <c r="B365" s="21" t="s">
        <v>45</v>
      </c>
      <c r="C365" s="11"/>
      <c r="D365" s="11">
        <v>1972</v>
      </c>
    </row>
    <row r="366" spans="1:4" ht="19.95" customHeight="1" x14ac:dyDescent="0.25">
      <c r="A366" s="10" t="s">
        <v>37</v>
      </c>
      <c r="B366" s="21" t="s">
        <v>45</v>
      </c>
      <c r="C366" s="11"/>
      <c r="D366" s="11">
        <v>1972</v>
      </c>
    </row>
    <row r="367" spans="1:4" ht="19.95" customHeight="1" x14ac:dyDescent="0.25">
      <c r="A367" s="10" t="s">
        <v>38</v>
      </c>
      <c r="B367" s="21" t="s">
        <v>45</v>
      </c>
      <c r="C367" s="11"/>
      <c r="D367" s="11">
        <v>1972</v>
      </c>
    </row>
    <row r="368" spans="1:4" ht="19.95" customHeight="1" x14ac:dyDescent="0.25">
      <c r="A368" s="10" t="s">
        <v>39</v>
      </c>
      <c r="B368" s="21" t="s">
        <v>45</v>
      </c>
      <c r="C368" s="11"/>
      <c r="D368" s="11">
        <v>1972</v>
      </c>
    </row>
    <row r="369" spans="1:4" ht="19.95" customHeight="1" x14ac:dyDescent="0.25">
      <c r="A369" s="10" t="s">
        <v>40</v>
      </c>
      <c r="B369" s="21" t="s">
        <v>45</v>
      </c>
      <c r="C369" s="11"/>
      <c r="D369" s="11">
        <v>1972</v>
      </c>
    </row>
    <row r="370" spans="1:4" ht="19.95" customHeight="1" x14ac:dyDescent="0.25">
      <c r="A370" s="10" t="s">
        <v>10</v>
      </c>
      <c r="B370" s="21" t="s">
        <v>45</v>
      </c>
      <c r="C370" s="11"/>
      <c r="D370" s="11">
        <v>1973</v>
      </c>
    </row>
    <row r="371" spans="1:4" ht="19.95" customHeight="1" x14ac:dyDescent="0.25">
      <c r="A371" s="10" t="s">
        <v>13</v>
      </c>
      <c r="B371" s="21" t="s">
        <v>45</v>
      </c>
      <c r="C371" s="11"/>
      <c r="D371" s="11">
        <v>1973</v>
      </c>
    </row>
    <row r="372" spans="1:4" ht="19.95" customHeight="1" x14ac:dyDescent="0.25">
      <c r="A372" s="10" t="s">
        <v>15</v>
      </c>
      <c r="B372" s="21" t="s">
        <v>45</v>
      </c>
      <c r="C372" s="11"/>
      <c r="D372" s="11">
        <v>1973</v>
      </c>
    </row>
    <row r="373" spans="1:4" ht="19.95" customHeight="1" x14ac:dyDescent="0.25">
      <c r="A373" s="10" t="s">
        <v>16</v>
      </c>
      <c r="B373" s="21" t="s">
        <v>45</v>
      </c>
      <c r="C373" s="11"/>
      <c r="D373" s="11">
        <v>1973</v>
      </c>
    </row>
    <row r="374" spans="1:4" ht="19.95" customHeight="1" x14ac:dyDescent="0.25">
      <c r="A374" s="10" t="s">
        <v>17</v>
      </c>
      <c r="B374" s="21" t="s">
        <v>45</v>
      </c>
      <c r="C374" s="11"/>
      <c r="D374" s="11">
        <v>1973</v>
      </c>
    </row>
    <row r="375" spans="1:4" ht="19.95" customHeight="1" x14ac:dyDescent="0.25">
      <c r="A375" s="10" t="s">
        <v>2</v>
      </c>
      <c r="B375" s="21" t="s">
        <v>45</v>
      </c>
      <c r="C375" s="11"/>
      <c r="D375" s="11">
        <v>1973</v>
      </c>
    </row>
    <row r="376" spans="1:4" ht="19.95" customHeight="1" x14ac:dyDescent="0.25">
      <c r="A376" s="10" t="s">
        <v>18</v>
      </c>
      <c r="B376" s="21" t="s">
        <v>45</v>
      </c>
      <c r="C376" s="11"/>
      <c r="D376" s="11">
        <v>1973</v>
      </c>
    </row>
    <row r="377" spans="1:4" ht="19.95" customHeight="1" x14ac:dyDescent="0.25">
      <c r="A377" s="10" t="s">
        <v>19</v>
      </c>
      <c r="B377" s="21" t="s">
        <v>45</v>
      </c>
      <c r="C377" s="11"/>
      <c r="D377" s="11">
        <v>1973</v>
      </c>
    </row>
    <row r="378" spans="1:4" ht="19.95" customHeight="1" x14ac:dyDescent="0.25">
      <c r="A378" s="10" t="s">
        <v>20</v>
      </c>
      <c r="B378" s="21" t="s">
        <v>45</v>
      </c>
      <c r="C378" s="11"/>
      <c r="D378" s="11">
        <v>1973</v>
      </c>
    </row>
    <row r="379" spans="1:4" ht="19.95" customHeight="1" x14ac:dyDescent="0.25">
      <c r="A379" s="10" t="s">
        <v>21</v>
      </c>
      <c r="B379" s="21" t="s">
        <v>45</v>
      </c>
      <c r="C379" s="11"/>
      <c r="D379" s="11">
        <v>1973</v>
      </c>
    </row>
    <row r="380" spans="1:4" ht="19.95" customHeight="1" x14ac:dyDescent="0.25">
      <c r="A380" s="10" t="s">
        <v>22</v>
      </c>
      <c r="B380" s="21" t="s">
        <v>45</v>
      </c>
      <c r="C380" s="11"/>
      <c r="D380" s="11">
        <v>1973</v>
      </c>
    </row>
    <row r="381" spans="1:4" ht="19.95" customHeight="1" x14ac:dyDescent="0.25">
      <c r="A381" s="10" t="s">
        <v>23</v>
      </c>
      <c r="B381" s="21" t="s">
        <v>45</v>
      </c>
      <c r="C381" s="11"/>
      <c r="D381" s="11">
        <v>1973</v>
      </c>
    </row>
    <row r="382" spans="1:4" ht="19.95" customHeight="1" x14ac:dyDescent="0.25">
      <c r="A382" s="10" t="s">
        <v>24</v>
      </c>
      <c r="B382" s="21" t="s">
        <v>45</v>
      </c>
      <c r="C382" s="11"/>
      <c r="D382" s="11">
        <v>1973</v>
      </c>
    </row>
    <row r="383" spans="1:4" ht="19.95" customHeight="1" x14ac:dyDescent="0.25">
      <c r="A383" s="10" t="s">
        <v>25</v>
      </c>
      <c r="B383" s="21" t="s">
        <v>45</v>
      </c>
      <c r="C383" s="11"/>
      <c r="D383" s="11">
        <v>1973</v>
      </c>
    </row>
    <row r="384" spans="1:4" ht="19.95" customHeight="1" x14ac:dyDescent="0.25">
      <c r="A384" s="10" t="s">
        <v>26</v>
      </c>
      <c r="B384" s="21" t="s">
        <v>45</v>
      </c>
      <c r="C384" s="11"/>
      <c r="D384" s="11">
        <v>1973</v>
      </c>
    </row>
    <row r="385" spans="1:4" ht="19.95" customHeight="1" x14ac:dyDescent="0.25">
      <c r="A385" s="10" t="s">
        <v>27</v>
      </c>
      <c r="B385" s="21" t="s">
        <v>45</v>
      </c>
      <c r="C385" s="11"/>
      <c r="D385" s="11">
        <v>1973</v>
      </c>
    </row>
    <row r="386" spans="1:4" ht="19.95" customHeight="1" x14ac:dyDescent="0.25">
      <c r="A386" s="10" t="s">
        <v>29</v>
      </c>
      <c r="B386" s="21" t="s">
        <v>45</v>
      </c>
      <c r="C386" s="11"/>
      <c r="D386" s="11">
        <v>1973</v>
      </c>
    </row>
    <row r="387" spans="1:4" ht="19.95" customHeight="1" x14ac:dyDescent="0.25">
      <c r="A387" s="10" t="s">
        <v>30</v>
      </c>
      <c r="B387" s="21" t="s">
        <v>45</v>
      </c>
      <c r="C387" s="11"/>
      <c r="D387" s="11">
        <v>1973</v>
      </c>
    </row>
    <row r="388" spans="1:4" ht="19.95" customHeight="1" x14ac:dyDescent="0.25">
      <c r="A388" s="10" t="s">
        <v>31</v>
      </c>
      <c r="B388" s="21" t="s">
        <v>45</v>
      </c>
      <c r="C388" s="11"/>
      <c r="D388" s="11">
        <v>1973</v>
      </c>
    </row>
    <row r="389" spans="1:4" ht="19.95" customHeight="1" x14ac:dyDescent="0.25">
      <c r="A389" s="10" t="s">
        <v>32</v>
      </c>
      <c r="B389" s="21" t="s">
        <v>45</v>
      </c>
      <c r="C389" s="11"/>
      <c r="D389" s="11">
        <v>1973</v>
      </c>
    </row>
    <row r="390" spans="1:4" ht="19.95" customHeight="1" x14ac:dyDescent="0.25">
      <c r="A390" s="10" t="s">
        <v>33</v>
      </c>
      <c r="B390" s="21" t="s">
        <v>45</v>
      </c>
      <c r="C390" s="11"/>
      <c r="D390" s="11">
        <v>1973</v>
      </c>
    </row>
    <row r="391" spans="1:4" ht="19.95" customHeight="1" x14ac:dyDescent="0.25">
      <c r="A391" s="10" t="s">
        <v>34</v>
      </c>
      <c r="B391" s="21" t="s">
        <v>45</v>
      </c>
      <c r="C391" s="11"/>
      <c r="D391" s="11">
        <v>1973</v>
      </c>
    </row>
    <row r="392" spans="1:4" ht="19.95" customHeight="1" x14ac:dyDescent="0.25">
      <c r="A392" s="10" t="s">
        <v>35</v>
      </c>
      <c r="B392" s="21" t="s">
        <v>45</v>
      </c>
      <c r="C392" s="11"/>
      <c r="D392" s="11">
        <v>1973</v>
      </c>
    </row>
    <row r="393" spans="1:4" ht="19.95" customHeight="1" x14ac:dyDescent="0.25">
      <c r="A393" s="10" t="s">
        <v>36</v>
      </c>
      <c r="B393" s="21" t="s">
        <v>45</v>
      </c>
      <c r="C393" s="11"/>
      <c r="D393" s="11">
        <v>1973</v>
      </c>
    </row>
    <row r="394" spans="1:4" ht="19.95" customHeight="1" x14ac:dyDescent="0.25">
      <c r="A394" s="10" t="s">
        <v>37</v>
      </c>
      <c r="B394" s="21" t="s">
        <v>45</v>
      </c>
      <c r="C394" s="11"/>
      <c r="D394" s="11">
        <v>1973</v>
      </c>
    </row>
    <row r="395" spans="1:4" ht="19.95" customHeight="1" x14ac:dyDescent="0.25">
      <c r="A395" s="10" t="s">
        <v>38</v>
      </c>
      <c r="B395" s="21" t="s">
        <v>45</v>
      </c>
      <c r="C395" s="11"/>
      <c r="D395" s="11">
        <v>1973</v>
      </c>
    </row>
    <row r="396" spans="1:4" ht="19.95" customHeight="1" x14ac:dyDescent="0.25">
      <c r="A396" s="10" t="s">
        <v>39</v>
      </c>
      <c r="B396" s="21" t="s">
        <v>45</v>
      </c>
      <c r="C396" s="11"/>
      <c r="D396" s="11">
        <v>1973</v>
      </c>
    </row>
    <row r="397" spans="1:4" ht="19.95" customHeight="1" x14ac:dyDescent="0.25">
      <c r="A397" s="10" t="s">
        <v>40</v>
      </c>
      <c r="B397" s="21" t="s">
        <v>45</v>
      </c>
      <c r="C397" s="11"/>
      <c r="D397" s="11">
        <v>1973</v>
      </c>
    </row>
    <row r="398" spans="1:4" ht="19.95" customHeight="1" x14ac:dyDescent="0.25">
      <c r="A398" s="10" t="s">
        <v>10</v>
      </c>
      <c r="B398" s="21" t="s">
        <v>45</v>
      </c>
      <c r="C398" s="11"/>
      <c r="D398" s="11">
        <v>1974</v>
      </c>
    </row>
    <row r="399" spans="1:4" ht="19.95" customHeight="1" x14ac:dyDescent="0.25">
      <c r="A399" s="10" t="s">
        <v>13</v>
      </c>
      <c r="B399" s="21" t="s">
        <v>45</v>
      </c>
      <c r="C399" s="11"/>
      <c r="D399" s="11">
        <v>1974</v>
      </c>
    </row>
    <row r="400" spans="1:4" ht="19.95" customHeight="1" x14ac:dyDescent="0.25">
      <c r="A400" s="10" t="s">
        <v>15</v>
      </c>
      <c r="B400" s="21" t="s">
        <v>45</v>
      </c>
      <c r="C400" s="11"/>
      <c r="D400" s="11">
        <v>1974</v>
      </c>
    </row>
    <row r="401" spans="1:4" ht="19.95" customHeight="1" x14ac:dyDescent="0.25">
      <c r="A401" s="10" t="s">
        <v>16</v>
      </c>
      <c r="B401" s="21" t="s">
        <v>45</v>
      </c>
      <c r="C401" s="11"/>
      <c r="D401" s="11">
        <v>1974</v>
      </c>
    </row>
    <row r="402" spans="1:4" ht="19.95" customHeight="1" x14ac:dyDescent="0.25">
      <c r="A402" s="10" t="s">
        <v>17</v>
      </c>
      <c r="B402" s="21" t="s">
        <v>45</v>
      </c>
      <c r="C402" s="11"/>
      <c r="D402" s="11">
        <v>1974</v>
      </c>
    </row>
    <row r="403" spans="1:4" ht="19.95" customHeight="1" x14ac:dyDescent="0.25">
      <c r="A403" s="10" t="s">
        <v>2</v>
      </c>
      <c r="B403" s="21" t="s">
        <v>45</v>
      </c>
      <c r="C403" s="11"/>
      <c r="D403" s="11">
        <v>1974</v>
      </c>
    </row>
    <row r="404" spans="1:4" ht="19.95" customHeight="1" x14ac:dyDescent="0.25">
      <c r="A404" s="10" t="s">
        <v>18</v>
      </c>
      <c r="B404" s="21" t="s">
        <v>45</v>
      </c>
      <c r="C404" s="11"/>
      <c r="D404" s="11">
        <v>1974</v>
      </c>
    </row>
    <row r="405" spans="1:4" ht="19.95" customHeight="1" x14ac:dyDescent="0.25">
      <c r="A405" s="10" t="s">
        <v>19</v>
      </c>
      <c r="B405" s="21" t="s">
        <v>45</v>
      </c>
      <c r="C405" s="11"/>
      <c r="D405" s="11">
        <v>1974</v>
      </c>
    </row>
    <row r="406" spans="1:4" ht="19.95" customHeight="1" x14ac:dyDescent="0.25">
      <c r="A406" s="10" t="s">
        <v>20</v>
      </c>
      <c r="B406" s="21" t="s">
        <v>45</v>
      </c>
      <c r="C406" s="11"/>
      <c r="D406" s="11">
        <v>1974</v>
      </c>
    </row>
    <row r="407" spans="1:4" ht="19.95" customHeight="1" x14ac:dyDescent="0.25">
      <c r="A407" s="10" t="s">
        <v>21</v>
      </c>
      <c r="B407" s="21" t="s">
        <v>45</v>
      </c>
      <c r="C407" s="11"/>
      <c r="D407" s="11">
        <v>1974</v>
      </c>
    </row>
    <row r="408" spans="1:4" ht="19.95" customHeight="1" x14ac:dyDescent="0.25">
      <c r="A408" s="10" t="s">
        <v>22</v>
      </c>
      <c r="B408" s="21" t="s">
        <v>45</v>
      </c>
      <c r="C408" s="11"/>
      <c r="D408" s="11">
        <v>1974</v>
      </c>
    </row>
    <row r="409" spans="1:4" ht="19.95" customHeight="1" x14ac:dyDescent="0.25">
      <c r="A409" s="10" t="s">
        <v>23</v>
      </c>
      <c r="B409" s="21" t="s">
        <v>45</v>
      </c>
      <c r="C409" s="11"/>
      <c r="D409" s="11">
        <v>1974</v>
      </c>
    </row>
    <row r="410" spans="1:4" ht="19.95" customHeight="1" x14ac:dyDescent="0.25">
      <c r="A410" s="10" t="s">
        <v>24</v>
      </c>
      <c r="B410" s="21" t="s">
        <v>45</v>
      </c>
      <c r="C410" s="11"/>
      <c r="D410" s="11">
        <v>1974</v>
      </c>
    </row>
    <row r="411" spans="1:4" ht="19.95" customHeight="1" x14ac:dyDescent="0.25">
      <c r="A411" s="10" t="s">
        <v>25</v>
      </c>
      <c r="B411" s="21" t="s">
        <v>45</v>
      </c>
      <c r="C411" s="11"/>
      <c r="D411" s="11">
        <v>1974</v>
      </c>
    </row>
    <row r="412" spans="1:4" ht="19.95" customHeight="1" x14ac:dyDescent="0.25">
      <c r="A412" s="10" t="s">
        <v>26</v>
      </c>
      <c r="B412" s="21" t="s">
        <v>45</v>
      </c>
      <c r="C412" s="11"/>
      <c r="D412" s="11">
        <v>1974</v>
      </c>
    </row>
    <row r="413" spans="1:4" ht="19.95" customHeight="1" x14ac:dyDescent="0.25">
      <c r="A413" s="10" t="s">
        <v>27</v>
      </c>
      <c r="B413" s="21" t="s">
        <v>45</v>
      </c>
      <c r="C413" s="11"/>
      <c r="D413" s="11">
        <v>1974</v>
      </c>
    </row>
    <row r="414" spans="1:4" ht="19.95" customHeight="1" x14ac:dyDescent="0.25">
      <c r="A414" s="10" t="s">
        <v>29</v>
      </c>
      <c r="B414" s="21" t="s">
        <v>45</v>
      </c>
      <c r="C414" s="11"/>
      <c r="D414" s="11">
        <v>1974</v>
      </c>
    </row>
    <row r="415" spans="1:4" ht="19.95" customHeight="1" x14ac:dyDescent="0.25">
      <c r="A415" s="10" t="s">
        <v>30</v>
      </c>
      <c r="B415" s="21" t="s">
        <v>45</v>
      </c>
      <c r="C415" s="11"/>
      <c r="D415" s="11">
        <v>1974</v>
      </c>
    </row>
    <row r="416" spans="1:4" ht="19.95" customHeight="1" x14ac:dyDescent="0.25">
      <c r="A416" s="10" t="s">
        <v>31</v>
      </c>
      <c r="B416" s="21" t="s">
        <v>45</v>
      </c>
      <c r="C416" s="11"/>
      <c r="D416" s="11">
        <v>1974</v>
      </c>
    </row>
    <row r="417" spans="1:4" ht="19.95" customHeight="1" x14ac:dyDescent="0.25">
      <c r="A417" s="10" t="s">
        <v>32</v>
      </c>
      <c r="B417" s="21" t="s">
        <v>45</v>
      </c>
      <c r="C417" s="11"/>
      <c r="D417" s="11">
        <v>1974</v>
      </c>
    </row>
    <row r="418" spans="1:4" ht="19.95" customHeight="1" x14ac:dyDescent="0.25">
      <c r="A418" s="10" t="s">
        <v>33</v>
      </c>
      <c r="B418" s="21" t="s">
        <v>45</v>
      </c>
      <c r="C418" s="11"/>
      <c r="D418" s="11">
        <v>1974</v>
      </c>
    </row>
    <row r="419" spans="1:4" ht="19.95" customHeight="1" x14ac:dyDescent="0.25">
      <c r="A419" s="10" t="s">
        <v>34</v>
      </c>
      <c r="B419" s="21" t="s">
        <v>45</v>
      </c>
      <c r="C419" s="11"/>
      <c r="D419" s="11">
        <v>1974</v>
      </c>
    </row>
    <row r="420" spans="1:4" ht="19.95" customHeight="1" x14ac:dyDescent="0.25">
      <c r="A420" s="10" t="s">
        <v>35</v>
      </c>
      <c r="B420" s="21" t="s">
        <v>45</v>
      </c>
      <c r="C420" s="11"/>
      <c r="D420" s="11">
        <v>1974</v>
      </c>
    </row>
    <row r="421" spans="1:4" ht="19.95" customHeight="1" x14ac:dyDescent="0.25">
      <c r="A421" s="10" t="s">
        <v>36</v>
      </c>
      <c r="B421" s="21" t="s">
        <v>45</v>
      </c>
      <c r="C421" s="11"/>
      <c r="D421" s="11">
        <v>1974</v>
      </c>
    </row>
    <row r="422" spans="1:4" ht="19.95" customHeight="1" x14ac:dyDescent="0.25">
      <c r="A422" s="10" t="s">
        <v>37</v>
      </c>
      <c r="B422" s="21" t="s">
        <v>45</v>
      </c>
      <c r="C422" s="11"/>
      <c r="D422" s="11">
        <v>1974</v>
      </c>
    </row>
    <row r="423" spans="1:4" ht="19.95" customHeight="1" x14ac:dyDescent="0.25">
      <c r="A423" s="10" t="s">
        <v>38</v>
      </c>
      <c r="B423" s="21" t="s">
        <v>45</v>
      </c>
      <c r="C423" s="11"/>
      <c r="D423" s="11">
        <v>1974</v>
      </c>
    </row>
    <row r="424" spans="1:4" ht="19.95" customHeight="1" x14ac:dyDescent="0.25">
      <c r="A424" s="10" t="s">
        <v>39</v>
      </c>
      <c r="B424" s="21" t="s">
        <v>45</v>
      </c>
      <c r="C424" s="11"/>
      <c r="D424" s="11">
        <v>1974</v>
      </c>
    </row>
    <row r="425" spans="1:4" ht="19.95" customHeight="1" x14ac:dyDescent="0.25">
      <c r="A425" s="10" t="s">
        <v>40</v>
      </c>
      <c r="B425" s="21" t="s">
        <v>45</v>
      </c>
      <c r="C425" s="11"/>
      <c r="D425" s="11">
        <v>1974</v>
      </c>
    </row>
    <row r="426" spans="1:4" ht="19.95" customHeight="1" x14ac:dyDescent="0.25">
      <c r="A426" s="10" t="s">
        <v>10</v>
      </c>
      <c r="B426" s="21" t="s">
        <v>45</v>
      </c>
      <c r="C426" s="11"/>
      <c r="D426" s="11">
        <v>1975</v>
      </c>
    </row>
    <row r="427" spans="1:4" ht="19.95" customHeight="1" x14ac:dyDescent="0.25">
      <c r="A427" s="10" t="s">
        <v>13</v>
      </c>
      <c r="B427" s="21" t="s">
        <v>45</v>
      </c>
      <c r="C427" s="11"/>
      <c r="D427" s="11">
        <v>1975</v>
      </c>
    </row>
    <row r="428" spans="1:4" ht="19.95" customHeight="1" x14ac:dyDescent="0.25">
      <c r="A428" s="10" t="s">
        <v>15</v>
      </c>
      <c r="B428" s="21" t="s">
        <v>45</v>
      </c>
      <c r="C428" s="11"/>
      <c r="D428" s="11">
        <v>1975</v>
      </c>
    </row>
    <row r="429" spans="1:4" ht="19.95" customHeight="1" x14ac:dyDescent="0.25">
      <c r="A429" s="10" t="s">
        <v>16</v>
      </c>
      <c r="B429" s="21" t="s">
        <v>45</v>
      </c>
      <c r="C429" s="11"/>
      <c r="D429" s="11">
        <v>1975</v>
      </c>
    </row>
    <row r="430" spans="1:4" ht="19.95" customHeight="1" x14ac:dyDescent="0.25">
      <c r="A430" s="10" t="s">
        <v>17</v>
      </c>
      <c r="B430" s="21" t="s">
        <v>45</v>
      </c>
      <c r="C430" s="11"/>
      <c r="D430" s="11">
        <v>1975</v>
      </c>
    </row>
    <row r="431" spans="1:4" ht="19.95" customHeight="1" x14ac:dyDescent="0.25">
      <c r="A431" s="10" t="s">
        <v>2</v>
      </c>
      <c r="B431" s="21" t="s">
        <v>45</v>
      </c>
      <c r="C431" s="11"/>
      <c r="D431" s="11">
        <v>1975</v>
      </c>
    </row>
    <row r="432" spans="1:4" ht="19.95" customHeight="1" x14ac:dyDescent="0.25">
      <c r="A432" s="10" t="s">
        <v>18</v>
      </c>
      <c r="B432" s="21" t="s">
        <v>45</v>
      </c>
      <c r="C432" s="11"/>
      <c r="D432" s="11">
        <v>1975</v>
      </c>
    </row>
    <row r="433" spans="1:4" ht="19.95" customHeight="1" x14ac:dyDescent="0.25">
      <c r="A433" s="10" t="s">
        <v>19</v>
      </c>
      <c r="B433" s="21" t="s">
        <v>45</v>
      </c>
      <c r="C433" s="11"/>
      <c r="D433" s="11">
        <v>1975</v>
      </c>
    </row>
    <row r="434" spans="1:4" ht="19.95" customHeight="1" x14ac:dyDescent="0.25">
      <c r="A434" s="10" t="s">
        <v>20</v>
      </c>
      <c r="B434" s="21" t="s">
        <v>45</v>
      </c>
      <c r="C434" s="11"/>
      <c r="D434" s="11">
        <v>1975</v>
      </c>
    </row>
    <row r="435" spans="1:4" ht="19.95" customHeight="1" x14ac:dyDescent="0.25">
      <c r="A435" s="10" t="s">
        <v>21</v>
      </c>
      <c r="B435" s="21" t="s">
        <v>45</v>
      </c>
      <c r="C435" s="11"/>
      <c r="D435" s="11">
        <v>1975</v>
      </c>
    </row>
    <row r="436" spans="1:4" ht="19.95" customHeight="1" x14ac:dyDescent="0.25">
      <c r="A436" s="10" t="s">
        <v>22</v>
      </c>
      <c r="B436" s="21" t="s">
        <v>45</v>
      </c>
      <c r="C436" s="11"/>
      <c r="D436" s="11">
        <v>1975</v>
      </c>
    </row>
    <row r="437" spans="1:4" ht="19.95" customHeight="1" x14ac:dyDescent="0.25">
      <c r="A437" s="10" t="s">
        <v>23</v>
      </c>
      <c r="B437" s="21" t="s">
        <v>45</v>
      </c>
      <c r="C437" s="11"/>
      <c r="D437" s="11">
        <v>1975</v>
      </c>
    </row>
    <row r="438" spans="1:4" ht="19.95" customHeight="1" x14ac:dyDescent="0.25">
      <c r="A438" s="10" t="s">
        <v>24</v>
      </c>
      <c r="B438" s="21" t="s">
        <v>45</v>
      </c>
      <c r="C438" s="11"/>
      <c r="D438" s="11">
        <v>1975</v>
      </c>
    </row>
    <row r="439" spans="1:4" ht="19.95" customHeight="1" x14ac:dyDescent="0.25">
      <c r="A439" s="10" t="s">
        <v>25</v>
      </c>
      <c r="B439" s="21" t="s">
        <v>45</v>
      </c>
      <c r="C439" s="11"/>
      <c r="D439" s="11">
        <v>1975</v>
      </c>
    </row>
    <row r="440" spans="1:4" ht="19.95" customHeight="1" x14ac:dyDescent="0.25">
      <c r="A440" s="10" t="s">
        <v>26</v>
      </c>
      <c r="B440" s="21" t="s">
        <v>45</v>
      </c>
      <c r="C440" s="11"/>
      <c r="D440" s="11">
        <v>1975</v>
      </c>
    </row>
    <row r="441" spans="1:4" ht="19.95" customHeight="1" x14ac:dyDescent="0.25">
      <c r="A441" s="10" t="s">
        <v>27</v>
      </c>
      <c r="B441" s="21" t="s">
        <v>45</v>
      </c>
      <c r="C441" s="11"/>
      <c r="D441" s="11">
        <v>1975</v>
      </c>
    </row>
    <row r="442" spans="1:4" ht="19.95" customHeight="1" x14ac:dyDescent="0.25">
      <c r="A442" s="10" t="s">
        <v>29</v>
      </c>
      <c r="B442" s="21" t="s">
        <v>45</v>
      </c>
      <c r="C442" s="11"/>
      <c r="D442" s="11">
        <v>1975</v>
      </c>
    </row>
    <row r="443" spans="1:4" ht="19.95" customHeight="1" x14ac:dyDescent="0.25">
      <c r="A443" s="10" t="s">
        <v>30</v>
      </c>
      <c r="B443" s="21" t="s">
        <v>45</v>
      </c>
      <c r="C443" s="11"/>
      <c r="D443" s="11">
        <v>1975</v>
      </c>
    </row>
    <row r="444" spans="1:4" ht="19.95" customHeight="1" x14ac:dyDescent="0.25">
      <c r="A444" s="10" t="s">
        <v>31</v>
      </c>
      <c r="B444" s="21" t="s">
        <v>45</v>
      </c>
      <c r="C444" s="11"/>
      <c r="D444" s="11">
        <v>1975</v>
      </c>
    </row>
    <row r="445" spans="1:4" ht="19.95" customHeight="1" x14ac:dyDescent="0.25">
      <c r="A445" s="10" t="s">
        <v>32</v>
      </c>
      <c r="B445" s="21" t="s">
        <v>45</v>
      </c>
      <c r="C445" s="11"/>
      <c r="D445" s="11">
        <v>1975</v>
      </c>
    </row>
    <row r="446" spans="1:4" ht="19.95" customHeight="1" x14ac:dyDescent="0.25">
      <c r="A446" s="10" t="s">
        <v>33</v>
      </c>
      <c r="B446" s="21" t="s">
        <v>45</v>
      </c>
      <c r="C446" s="11"/>
      <c r="D446" s="11">
        <v>1975</v>
      </c>
    </row>
    <row r="447" spans="1:4" ht="19.95" customHeight="1" x14ac:dyDescent="0.25">
      <c r="A447" s="10" t="s">
        <v>34</v>
      </c>
      <c r="B447" s="21" t="s">
        <v>45</v>
      </c>
      <c r="C447" s="11"/>
      <c r="D447" s="11">
        <v>1975</v>
      </c>
    </row>
    <row r="448" spans="1:4" ht="19.95" customHeight="1" x14ac:dyDescent="0.25">
      <c r="A448" s="10" t="s">
        <v>35</v>
      </c>
      <c r="B448" s="21" t="s">
        <v>45</v>
      </c>
      <c r="C448" s="11"/>
      <c r="D448" s="11">
        <v>1975</v>
      </c>
    </row>
    <row r="449" spans="1:4" ht="19.95" customHeight="1" x14ac:dyDescent="0.25">
      <c r="A449" s="10" t="s">
        <v>36</v>
      </c>
      <c r="B449" s="21" t="s">
        <v>45</v>
      </c>
      <c r="C449" s="11"/>
      <c r="D449" s="11">
        <v>1975</v>
      </c>
    </row>
    <row r="450" spans="1:4" ht="19.95" customHeight="1" x14ac:dyDescent="0.25">
      <c r="A450" s="10" t="s">
        <v>37</v>
      </c>
      <c r="B450" s="21" t="s">
        <v>45</v>
      </c>
      <c r="C450" s="11"/>
      <c r="D450" s="11">
        <v>1975</v>
      </c>
    </row>
    <row r="451" spans="1:4" ht="19.95" customHeight="1" x14ac:dyDescent="0.25">
      <c r="A451" s="10" t="s">
        <v>38</v>
      </c>
      <c r="B451" s="21" t="s">
        <v>45</v>
      </c>
      <c r="C451" s="11"/>
      <c r="D451" s="11">
        <v>1975</v>
      </c>
    </row>
    <row r="452" spans="1:4" ht="19.95" customHeight="1" x14ac:dyDescent="0.25">
      <c r="A452" s="10" t="s">
        <v>39</v>
      </c>
      <c r="B452" s="21" t="s">
        <v>45</v>
      </c>
      <c r="C452" s="11"/>
      <c r="D452" s="11">
        <v>1975</v>
      </c>
    </row>
    <row r="453" spans="1:4" ht="19.95" customHeight="1" x14ac:dyDescent="0.25">
      <c r="A453" s="10" t="s">
        <v>40</v>
      </c>
      <c r="B453" s="21" t="s">
        <v>45</v>
      </c>
      <c r="C453" s="11"/>
      <c r="D453" s="11">
        <v>1975</v>
      </c>
    </row>
    <row r="454" spans="1:4" ht="19.95" customHeight="1" x14ac:dyDescent="0.25">
      <c r="A454" s="10" t="s">
        <v>10</v>
      </c>
      <c r="B454" s="21" t="s">
        <v>45</v>
      </c>
      <c r="C454" s="11"/>
      <c r="D454" s="11">
        <v>1976</v>
      </c>
    </row>
    <row r="455" spans="1:4" ht="19.95" customHeight="1" x14ac:dyDescent="0.25">
      <c r="A455" s="10" t="s">
        <v>13</v>
      </c>
      <c r="B455" s="21" t="s">
        <v>45</v>
      </c>
      <c r="C455" s="11"/>
      <c r="D455" s="11">
        <v>1976</v>
      </c>
    </row>
    <row r="456" spans="1:4" ht="19.95" customHeight="1" x14ac:dyDescent="0.25">
      <c r="A456" s="10" t="s">
        <v>15</v>
      </c>
      <c r="B456" s="21" t="s">
        <v>45</v>
      </c>
      <c r="C456" s="11"/>
      <c r="D456" s="11">
        <v>1976</v>
      </c>
    </row>
    <row r="457" spans="1:4" ht="19.95" customHeight="1" x14ac:dyDescent="0.25">
      <c r="A457" s="10" t="s">
        <v>16</v>
      </c>
      <c r="B457" s="21" t="s">
        <v>45</v>
      </c>
      <c r="C457" s="11"/>
      <c r="D457" s="11">
        <v>1976</v>
      </c>
    </row>
    <row r="458" spans="1:4" ht="19.95" customHeight="1" x14ac:dyDescent="0.25">
      <c r="A458" s="10" t="s">
        <v>17</v>
      </c>
      <c r="B458" s="21" t="s">
        <v>45</v>
      </c>
      <c r="C458" s="11"/>
      <c r="D458" s="11">
        <v>1976</v>
      </c>
    </row>
    <row r="459" spans="1:4" ht="19.95" customHeight="1" x14ac:dyDescent="0.25">
      <c r="A459" s="10" t="s">
        <v>2</v>
      </c>
      <c r="B459" s="21" t="s">
        <v>45</v>
      </c>
      <c r="C459" s="11"/>
      <c r="D459" s="11">
        <v>1976</v>
      </c>
    </row>
    <row r="460" spans="1:4" ht="19.95" customHeight="1" x14ac:dyDescent="0.25">
      <c r="A460" s="10" t="s">
        <v>18</v>
      </c>
      <c r="B460" s="21" t="s">
        <v>45</v>
      </c>
      <c r="C460" s="11"/>
      <c r="D460" s="11">
        <v>1976</v>
      </c>
    </row>
    <row r="461" spans="1:4" ht="19.95" customHeight="1" x14ac:dyDescent="0.25">
      <c r="A461" s="10" t="s">
        <v>19</v>
      </c>
      <c r="B461" s="21" t="s">
        <v>45</v>
      </c>
      <c r="C461" s="11"/>
      <c r="D461" s="11">
        <v>1976</v>
      </c>
    </row>
    <row r="462" spans="1:4" ht="19.95" customHeight="1" x14ac:dyDescent="0.25">
      <c r="A462" s="10" t="s">
        <v>20</v>
      </c>
      <c r="B462" s="21" t="s">
        <v>45</v>
      </c>
      <c r="C462" s="11"/>
      <c r="D462" s="11">
        <v>1976</v>
      </c>
    </row>
    <row r="463" spans="1:4" ht="19.95" customHeight="1" x14ac:dyDescent="0.25">
      <c r="A463" s="10" t="s">
        <v>21</v>
      </c>
      <c r="B463" s="21" t="s">
        <v>45</v>
      </c>
      <c r="C463" s="11"/>
      <c r="D463" s="11">
        <v>1976</v>
      </c>
    </row>
    <row r="464" spans="1:4" ht="19.95" customHeight="1" x14ac:dyDescent="0.25">
      <c r="A464" s="10" t="s">
        <v>22</v>
      </c>
      <c r="B464" s="21" t="s">
        <v>45</v>
      </c>
      <c r="C464" s="11"/>
      <c r="D464" s="11">
        <v>1976</v>
      </c>
    </row>
    <row r="465" spans="1:4" ht="19.95" customHeight="1" x14ac:dyDescent="0.25">
      <c r="A465" s="10" t="s">
        <v>23</v>
      </c>
      <c r="B465" s="21" t="s">
        <v>45</v>
      </c>
      <c r="C465" s="11"/>
      <c r="D465" s="11">
        <v>1976</v>
      </c>
    </row>
    <row r="466" spans="1:4" ht="19.95" customHeight="1" x14ac:dyDescent="0.25">
      <c r="A466" s="10" t="s">
        <v>24</v>
      </c>
      <c r="B466" s="21" t="s">
        <v>45</v>
      </c>
      <c r="C466" s="11"/>
      <c r="D466" s="11">
        <v>1976</v>
      </c>
    </row>
    <row r="467" spans="1:4" ht="19.95" customHeight="1" x14ac:dyDescent="0.25">
      <c r="A467" s="10" t="s">
        <v>25</v>
      </c>
      <c r="B467" s="21" t="s">
        <v>45</v>
      </c>
      <c r="C467" s="11"/>
      <c r="D467" s="11">
        <v>1976</v>
      </c>
    </row>
    <row r="468" spans="1:4" ht="19.95" customHeight="1" x14ac:dyDescent="0.25">
      <c r="A468" s="10" t="s">
        <v>26</v>
      </c>
      <c r="B468" s="21" t="s">
        <v>45</v>
      </c>
      <c r="C468" s="11"/>
      <c r="D468" s="11">
        <v>1976</v>
      </c>
    </row>
    <row r="469" spans="1:4" ht="19.95" customHeight="1" x14ac:dyDescent="0.25">
      <c r="A469" s="10" t="s">
        <v>27</v>
      </c>
      <c r="B469" s="21" t="s">
        <v>45</v>
      </c>
      <c r="C469" s="11"/>
      <c r="D469" s="11">
        <v>1976</v>
      </c>
    </row>
    <row r="470" spans="1:4" ht="19.95" customHeight="1" x14ac:dyDescent="0.25">
      <c r="A470" s="10" t="s">
        <v>29</v>
      </c>
      <c r="B470" s="21" t="s">
        <v>45</v>
      </c>
      <c r="C470" s="11"/>
      <c r="D470" s="11">
        <v>1976</v>
      </c>
    </row>
    <row r="471" spans="1:4" ht="19.95" customHeight="1" x14ac:dyDescent="0.25">
      <c r="A471" s="10" t="s">
        <v>30</v>
      </c>
      <c r="B471" s="21" t="s">
        <v>45</v>
      </c>
      <c r="C471" s="11"/>
      <c r="D471" s="11">
        <v>1976</v>
      </c>
    </row>
    <row r="472" spans="1:4" ht="19.95" customHeight="1" x14ac:dyDescent="0.25">
      <c r="A472" s="10" t="s">
        <v>31</v>
      </c>
      <c r="B472" s="21" t="s">
        <v>45</v>
      </c>
      <c r="C472" s="11"/>
      <c r="D472" s="11">
        <v>1976</v>
      </c>
    </row>
    <row r="473" spans="1:4" ht="19.95" customHeight="1" x14ac:dyDescent="0.25">
      <c r="A473" s="10" t="s">
        <v>32</v>
      </c>
      <c r="B473" s="21" t="s">
        <v>45</v>
      </c>
      <c r="C473" s="11"/>
      <c r="D473" s="11">
        <v>1976</v>
      </c>
    </row>
    <row r="474" spans="1:4" ht="19.95" customHeight="1" x14ac:dyDescent="0.25">
      <c r="A474" s="10" t="s">
        <v>33</v>
      </c>
      <c r="B474" s="21" t="s">
        <v>45</v>
      </c>
      <c r="C474" s="11"/>
      <c r="D474" s="11">
        <v>1976</v>
      </c>
    </row>
    <row r="475" spans="1:4" ht="19.95" customHeight="1" x14ac:dyDescent="0.25">
      <c r="A475" s="10" t="s">
        <v>34</v>
      </c>
      <c r="B475" s="21" t="s">
        <v>45</v>
      </c>
      <c r="C475" s="11"/>
      <c r="D475" s="11">
        <v>1976</v>
      </c>
    </row>
    <row r="476" spans="1:4" ht="19.95" customHeight="1" x14ac:dyDescent="0.25">
      <c r="A476" s="10" t="s">
        <v>35</v>
      </c>
      <c r="B476" s="21" t="s">
        <v>45</v>
      </c>
      <c r="C476" s="11"/>
      <c r="D476" s="11">
        <v>1976</v>
      </c>
    </row>
    <row r="477" spans="1:4" ht="19.95" customHeight="1" x14ac:dyDescent="0.25">
      <c r="A477" s="10" t="s">
        <v>36</v>
      </c>
      <c r="B477" s="21" t="s">
        <v>45</v>
      </c>
      <c r="C477" s="11"/>
      <c r="D477" s="11">
        <v>1976</v>
      </c>
    </row>
    <row r="478" spans="1:4" ht="19.95" customHeight="1" x14ac:dyDescent="0.25">
      <c r="A478" s="10" t="s">
        <v>37</v>
      </c>
      <c r="B478" s="21" t="s">
        <v>45</v>
      </c>
      <c r="C478" s="11"/>
      <c r="D478" s="11">
        <v>1976</v>
      </c>
    </row>
    <row r="479" spans="1:4" ht="19.95" customHeight="1" x14ac:dyDescent="0.25">
      <c r="A479" s="10" t="s">
        <v>38</v>
      </c>
      <c r="B479" s="21" t="s">
        <v>45</v>
      </c>
      <c r="C479" s="11"/>
      <c r="D479" s="11">
        <v>1976</v>
      </c>
    </row>
    <row r="480" spans="1:4" ht="19.95" customHeight="1" x14ac:dyDescent="0.25">
      <c r="A480" s="10" t="s">
        <v>39</v>
      </c>
      <c r="B480" s="21" t="s">
        <v>45</v>
      </c>
      <c r="C480" s="11"/>
      <c r="D480" s="11">
        <v>1976</v>
      </c>
    </row>
    <row r="481" spans="1:4" ht="19.95" customHeight="1" x14ac:dyDescent="0.25">
      <c r="A481" s="10" t="s">
        <v>40</v>
      </c>
      <c r="B481" s="21" t="s">
        <v>45</v>
      </c>
      <c r="C481" s="11"/>
      <c r="D481" s="11">
        <v>1976</v>
      </c>
    </row>
    <row r="482" spans="1:4" ht="19.95" customHeight="1" x14ac:dyDescent="0.25">
      <c r="A482" s="10" t="s">
        <v>10</v>
      </c>
      <c r="B482" s="21" t="s">
        <v>45</v>
      </c>
      <c r="C482" s="11"/>
      <c r="D482" s="11">
        <v>1977</v>
      </c>
    </row>
    <row r="483" spans="1:4" ht="19.95" customHeight="1" x14ac:dyDescent="0.25">
      <c r="A483" s="10" t="s">
        <v>13</v>
      </c>
      <c r="B483" s="21" t="s">
        <v>45</v>
      </c>
      <c r="C483" s="11"/>
      <c r="D483" s="11">
        <v>1977</v>
      </c>
    </row>
    <row r="484" spans="1:4" ht="19.95" customHeight="1" x14ac:dyDescent="0.25">
      <c r="A484" s="10" t="s">
        <v>15</v>
      </c>
      <c r="B484" s="21" t="s">
        <v>45</v>
      </c>
      <c r="C484" s="11"/>
      <c r="D484" s="11">
        <v>1977</v>
      </c>
    </row>
    <row r="485" spans="1:4" ht="19.95" customHeight="1" x14ac:dyDescent="0.25">
      <c r="A485" s="10" t="s">
        <v>16</v>
      </c>
      <c r="B485" s="21" t="s">
        <v>45</v>
      </c>
      <c r="C485" s="11"/>
      <c r="D485" s="11">
        <v>1977</v>
      </c>
    </row>
    <row r="486" spans="1:4" ht="19.95" customHeight="1" x14ac:dyDescent="0.25">
      <c r="A486" s="10" t="s">
        <v>17</v>
      </c>
      <c r="B486" s="21" t="s">
        <v>45</v>
      </c>
      <c r="C486" s="11"/>
      <c r="D486" s="11">
        <v>1977</v>
      </c>
    </row>
    <row r="487" spans="1:4" ht="19.95" customHeight="1" x14ac:dyDescent="0.25">
      <c r="A487" s="10" t="s">
        <v>2</v>
      </c>
      <c r="B487" s="21" t="s">
        <v>45</v>
      </c>
      <c r="C487" s="11"/>
      <c r="D487" s="11">
        <v>1977</v>
      </c>
    </row>
    <row r="488" spans="1:4" ht="19.95" customHeight="1" x14ac:dyDescent="0.25">
      <c r="A488" s="10" t="s">
        <v>18</v>
      </c>
      <c r="B488" s="21" t="s">
        <v>45</v>
      </c>
      <c r="C488" s="11"/>
      <c r="D488" s="11">
        <v>1977</v>
      </c>
    </row>
    <row r="489" spans="1:4" ht="19.95" customHeight="1" x14ac:dyDescent="0.25">
      <c r="A489" s="10" t="s">
        <v>19</v>
      </c>
      <c r="B489" s="21" t="s">
        <v>45</v>
      </c>
      <c r="C489" s="11"/>
      <c r="D489" s="11">
        <v>1977</v>
      </c>
    </row>
    <row r="490" spans="1:4" ht="19.95" customHeight="1" x14ac:dyDescent="0.25">
      <c r="A490" s="10" t="s">
        <v>20</v>
      </c>
      <c r="B490" s="21" t="s">
        <v>45</v>
      </c>
      <c r="C490" s="11"/>
      <c r="D490" s="11">
        <v>1977</v>
      </c>
    </row>
    <row r="491" spans="1:4" ht="19.95" customHeight="1" x14ac:dyDescent="0.25">
      <c r="A491" s="10" t="s">
        <v>21</v>
      </c>
      <c r="B491" s="21" t="s">
        <v>45</v>
      </c>
      <c r="C491" s="11"/>
      <c r="D491" s="11">
        <v>1977</v>
      </c>
    </row>
    <row r="492" spans="1:4" ht="19.95" customHeight="1" x14ac:dyDescent="0.25">
      <c r="A492" s="10" t="s">
        <v>22</v>
      </c>
      <c r="B492" s="21" t="s">
        <v>45</v>
      </c>
      <c r="C492" s="11"/>
      <c r="D492" s="11">
        <v>1977</v>
      </c>
    </row>
    <row r="493" spans="1:4" ht="19.95" customHeight="1" x14ac:dyDescent="0.25">
      <c r="A493" s="10" t="s">
        <v>23</v>
      </c>
      <c r="B493" s="21" t="s">
        <v>45</v>
      </c>
      <c r="C493" s="11"/>
      <c r="D493" s="11">
        <v>1977</v>
      </c>
    </row>
    <row r="494" spans="1:4" ht="19.95" customHeight="1" x14ac:dyDescent="0.25">
      <c r="A494" s="10" t="s">
        <v>24</v>
      </c>
      <c r="B494" s="21" t="s">
        <v>45</v>
      </c>
      <c r="C494" s="11"/>
      <c r="D494" s="11">
        <v>1977</v>
      </c>
    </row>
    <row r="495" spans="1:4" ht="19.95" customHeight="1" x14ac:dyDescent="0.25">
      <c r="A495" s="10" t="s">
        <v>25</v>
      </c>
      <c r="B495" s="21" t="s">
        <v>45</v>
      </c>
      <c r="C495" s="11"/>
      <c r="D495" s="11">
        <v>1977</v>
      </c>
    </row>
    <row r="496" spans="1:4" ht="19.95" customHeight="1" x14ac:dyDescent="0.25">
      <c r="A496" s="10" t="s">
        <v>26</v>
      </c>
      <c r="B496" s="21" t="s">
        <v>45</v>
      </c>
      <c r="C496" s="11"/>
      <c r="D496" s="11">
        <v>1977</v>
      </c>
    </row>
    <row r="497" spans="1:4" ht="19.95" customHeight="1" x14ac:dyDescent="0.25">
      <c r="A497" s="10" t="s">
        <v>27</v>
      </c>
      <c r="B497" s="21" t="s">
        <v>45</v>
      </c>
      <c r="C497" s="11"/>
      <c r="D497" s="11">
        <v>1977</v>
      </c>
    </row>
    <row r="498" spans="1:4" ht="19.95" customHeight="1" x14ac:dyDescent="0.25">
      <c r="A498" s="10" t="s">
        <v>29</v>
      </c>
      <c r="B498" s="21" t="s">
        <v>45</v>
      </c>
      <c r="C498" s="11"/>
      <c r="D498" s="11">
        <v>1977</v>
      </c>
    </row>
    <row r="499" spans="1:4" ht="19.95" customHeight="1" x14ac:dyDescent="0.25">
      <c r="A499" s="10" t="s">
        <v>30</v>
      </c>
      <c r="B499" s="21" t="s">
        <v>45</v>
      </c>
      <c r="C499" s="11"/>
      <c r="D499" s="11">
        <v>1977</v>
      </c>
    </row>
    <row r="500" spans="1:4" ht="19.95" customHeight="1" x14ac:dyDescent="0.25">
      <c r="A500" s="10" t="s">
        <v>31</v>
      </c>
      <c r="B500" s="21" t="s">
        <v>45</v>
      </c>
      <c r="C500" s="11"/>
      <c r="D500" s="11">
        <v>1977</v>
      </c>
    </row>
    <row r="501" spans="1:4" ht="19.95" customHeight="1" x14ac:dyDescent="0.25">
      <c r="A501" s="10" t="s">
        <v>32</v>
      </c>
      <c r="B501" s="21" t="s">
        <v>45</v>
      </c>
      <c r="C501" s="11"/>
      <c r="D501" s="11">
        <v>1977</v>
      </c>
    </row>
    <row r="502" spans="1:4" ht="19.95" customHeight="1" x14ac:dyDescent="0.25">
      <c r="A502" s="10" t="s">
        <v>33</v>
      </c>
      <c r="B502" s="21" t="s">
        <v>45</v>
      </c>
      <c r="C502" s="11"/>
      <c r="D502" s="11">
        <v>1977</v>
      </c>
    </row>
    <row r="503" spans="1:4" ht="19.95" customHeight="1" x14ac:dyDescent="0.25">
      <c r="A503" s="10" t="s">
        <v>34</v>
      </c>
      <c r="B503" s="21" t="s">
        <v>45</v>
      </c>
      <c r="C503" s="11"/>
      <c r="D503" s="11">
        <v>1977</v>
      </c>
    </row>
    <row r="504" spans="1:4" ht="19.95" customHeight="1" x14ac:dyDescent="0.25">
      <c r="A504" s="10" t="s">
        <v>35</v>
      </c>
      <c r="B504" s="21" t="s">
        <v>45</v>
      </c>
      <c r="C504" s="11"/>
      <c r="D504" s="11">
        <v>1977</v>
      </c>
    </row>
    <row r="505" spans="1:4" ht="19.95" customHeight="1" x14ac:dyDescent="0.25">
      <c r="A505" s="10" t="s">
        <v>36</v>
      </c>
      <c r="B505" s="21" t="s">
        <v>45</v>
      </c>
      <c r="C505" s="11"/>
      <c r="D505" s="11">
        <v>1977</v>
      </c>
    </row>
    <row r="506" spans="1:4" ht="19.95" customHeight="1" x14ac:dyDescent="0.25">
      <c r="A506" s="10" t="s">
        <v>37</v>
      </c>
      <c r="B506" s="21" t="s">
        <v>45</v>
      </c>
      <c r="C506" s="11"/>
      <c r="D506" s="11">
        <v>1977</v>
      </c>
    </row>
    <row r="507" spans="1:4" ht="19.95" customHeight="1" x14ac:dyDescent="0.25">
      <c r="A507" s="10" t="s">
        <v>38</v>
      </c>
      <c r="B507" s="21" t="s">
        <v>45</v>
      </c>
      <c r="C507" s="11"/>
      <c r="D507" s="11">
        <v>1977</v>
      </c>
    </row>
    <row r="508" spans="1:4" ht="19.95" customHeight="1" x14ac:dyDescent="0.25">
      <c r="A508" s="10" t="s">
        <v>39</v>
      </c>
      <c r="B508" s="21" t="s">
        <v>45</v>
      </c>
      <c r="C508" s="11"/>
      <c r="D508" s="11">
        <v>1977</v>
      </c>
    </row>
    <row r="509" spans="1:4" ht="19.95" customHeight="1" x14ac:dyDescent="0.25">
      <c r="A509" s="10" t="s">
        <v>40</v>
      </c>
      <c r="B509" s="21" t="s">
        <v>45</v>
      </c>
      <c r="C509" s="11"/>
      <c r="D509" s="11">
        <v>1977</v>
      </c>
    </row>
    <row r="510" spans="1:4" ht="19.95" customHeight="1" x14ac:dyDescent="0.25">
      <c r="A510" s="10" t="s">
        <v>10</v>
      </c>
      <c r="B510" s="21" t="s">
        <v>45</v>
      </c>
      <c r="C510" s="11"/>
      <c r="D510" s="11">
        <v>1978</v>
      </c>
    </row>
    <row r="511" spans="1:4" ht="19.95" customHeight="1" x14ac:dyDescent="0.25">
      <c r="A511" s="10" t="s">
        <v>13</v>
      </c>
      <c r="B511" s="21" t="s">
        <v>45</v>
      </c>
      <c r="C511" s="11"/>
      <c r="D511" s="11">
        <v>1978</v>
      </c>
    </row>
    <row r="512" spans="1:4" ht="19.95" customHeight="1" x14ac:dyDescent="0.25">
      <c r="A512" s="10" t="s">
        <v>15</v>
      </c>
      <c r="B512" s="21" t="s">
        <v>45</v>
      </c>
      <c r="C512" s="11"/>
      <c r="D512" s="11">
        <v>1978</v>
      </c>
    </row>
    <row r="513" spans="1:4" ht="19.95" customHeight="1" x14ac:dyDescent="0.25">
      <c r="A513" s="10" t="s">
        <v>16</v>
      </c>
      <c r="B513" s="21" t="s">
        <v>45</v>
      </c>
      <c r="C513" s="11"/>
      <c r="D513" s="11">
        <v>1978</v>
      </c>
    </row>
    <row r="514" spans="1:4" ht="19.95" customHeight="1" x14ac:dyDescent="0.25">
      <c r="A514" s="10" t="s">
        <v>17</v>
      </c>
      <c r="B514" s="21" t="s">
        <v>45</v>
      </c>
      <c r="C514" s="11"/>
      <c r="D514" s="11">
        <v>1978</v>
      </c>
    </row>
    <row r="515" spans="1:4" ht="19.95" customHeight="1" x14ac:dyDescent="0.25">
      <c r="A515" s="10" t="s">
        <v>2</v>
      </c>
      <c r="B515" s="21" t="s">
        <v>45</v>
      </c>
      <c r="C515" s="11"/>
      <c r="D515" s="11">
        <v>1978</v>
      </c>
    </row>
    <row r="516" spans="1:4" ht="19.95" customHeight="1" x14ac:dyDescent="0.25">
      <c r="A516" s="10" t="s">
        <v>18</v>
      </c>
      <c r="B516" s="21" t="s">
        <v>45</v>
      </c>
      <c r="C516" s="11"/>
      <c r="D516" s="11">
        <v>1978</v>
      </c>
    </row>
    <row r="517" spans="1:4" ht="19.95" customHeight="1" x14ac:dyDescent="0.25">
      <c r="A517" s="10" t="s">
        <v>19</v>
      </c>
      <c r="B517" s="21" t="s">
        <v>45</v>
      </c>
      <c r="C517" s="11"/>
      <c r="D517" s="11">
        <v>1978</v>
      </c>
    </row>
    <row r="518" spans="1:4" ht="19.95" customHeight="1" x14ac:dyDescent="0.25">
      <c r="A518" s="10" t="s">
        <v>20</v>
      </c>
      <c r="B518" s="21" t="s">
        <v>45</v>
      </c>
      <c r="C518" s="11"/>
      <c r="D518" s="11">
        <v>1978</v>
      </c>
    </row>
    <row r="519" spans="1:4" ht="19.95" customHeight="1" x14ac:dyDescent="0.25">
      <c r="A519" s="10" t="s">
        <v>21</v>
      </c>
      <c r="B519" s="21" t="s">
        <v>45</v>
      </c>
      <c r="C519" s="11"/>
      <c r="D519" s="11">
        <v>1978</v>
      </c>
    </row>
    <row r="520" spans="1:4" ht="19.95" customHeight="1" x14ac:dyDescent="0.25">
      <c r="A520" s="10" t="s">
        <v>22</v>
      </c>
      <c r="B520" s="21" t="s">
        <v>45</v>
      </c>
      <c r="C520" s="11"/>
      <c r="D520" s="11">
        <v>1978</v>
      </c>
    </row>
    <row r="521" spans="1:4" ht="19.95" customHeight="1" x14ac:dyDescent="0.25">
      <c r="A521" s="10" t="s">
        <v>23</v>
      </c>
      <c r="B521" s="21" t="s">
        <v>45</v>
      </c>
      <c r="C521" s="11"/>
      <c r="D521" s="11">
        <v>1978</v>
      </c>
    </row>
    <row r="522" spans="1:4" ht="19.95" customHeight="1" x14ac:dyDescent="0.25">
      <c r="A522" s="10" t="s">
        <v>24</v>
      </c>
      <c r="B522" s="21" t="s">
        <v>45</v>
      </c>
      <c r="C522" s="11"/>
      <c r="D522" s="11">
        <v>1978</v>
      </c>
    </row>
    <row r="523" spans="1:4" ht="19.95" customHeight="1" x14ac:dyDescent="0.25">
      <c r="A523" s="10" t="s">
        <v>25</v>
      </c>
      <c r="B523" s="21" t="s">
        <v>45</v>
      </c>
      <c r="C523" s="11"/>
      <c r="D523" s="11">
        <v>1978</v>
      </c>
    </row>
    <row r="524" spans="1:4" ht="19.95" customHeight="1" x14ac:dyDescent="0.25">
      <c r="A524" s="10" t="s">
        <v>26</v>
      </c>
      <c r="B524" s="21" t="s">
        <v>45</v>
      </c>
      <c r="C524" s="11"/>
      <c r="D524" s="11">
        <v>1978</v>
      </c>
    </row>
    <row r="525" spans="1:4" ht="19.95" customHeight="1" x14ac:dyDescent="0.25">
      <c r="A525" s="10" t="s">
        <v>27</v>
      </c>
      <c r="B525" s="21" t="s">
        <v>45</v>
      </c>
      <c r="C525" s="11"/>
      <c r="D525" s="11">
        <v>1978</v>
      </c>
    </row>
    <row r="526" spans="1:4" ht="19.95" customHeight="1" x14ac:dyDescent="0.25">
      <c r="A526" s="10" t="s">
        <v>29</v>
      </c>
      <c r="B526" s="21" t="s">
        <v>45</v>
      </c>
      <c r="C526" s="11"/>
      <c r="D526" s="11">
        <v>1978</v>
      </c>
    </row>
    <row r="527" spans="1:4" ht="19.95" customHeight="1" x14ac:dyDescent="0.25">
      <c r="A527" s="10" t="s">
        <v>30</v>
      </c>
      <c r="B527" s="21" t="s">
        <v>45</v>
      </c>
      <c r="C527" s="11"/>
      <c r="D527" s="11">
        <v>1978</v>
      </c>
    </row>
    <row r="528" spans="1:4" ht="19.95" customHeight="1" x14ac:dyDescent="0.25">
      <c r="A528" s="10" t="s">
        <v>31</v>
      </c>
      <c r="B528" s="21" t="s">
        <v>45</v>
      </c>
      <c r="C528" s="11"/>
      <c r="D528" s="11">
        <v>1978</v>
      </c>
    </row>
    <row r="529" spans="1:4" ht="19.95" customHeight="1" x14ac:dyDescent="0.25">
      <c r="A529" s="10" t="s">
        <v>32</v>
      </c>
      <c r="B529" s="21" t="s">
        <v>45</v>
      </c>
      <c r="C529" s="11"/>
      <c r="D529" s="11">
        <v>1978</v>
      </c>
    </row>
    <row r="530" spans="1:4" ht="19.95" customHeight="1" x14ac:dyDescent="0.25">
      <c r="A530" s="10" t="s">
        <v>33</v>
      </c>
      <c r="B530" s="21" t="s">
        <v>45</v>
      </c>
      <c r="C530" s="11"/>
      <c r="D530" s="11">
        <v>1978</v>
      </c>
    </row>
    <row r="531" spans="1:4" ht="19.95" customHeight="1" x14ac:dyDescent="0.25">
      <c r="A531" s="10" t="s">
        <v>34</v>
      </c>
      <c r="B531" s="21" t="s">
        <v>45</v>
      </c>
      <c r="C531" s="11"/>
      <c r="D531" s="11">
        <v>1978</v>
      </c>
    </row>
    <row r="532" spans="1:4" ht="19.95" customHeight="1" x14ac:dyDescent="0.25">
      <c r="A532" s="10" t="s">
        <v>35</v>
      </c>
      <c r="B532" s="21" t="s">
        <v>45</v>
      </c>
      <c r="C532" s="11"/>
      <c r="D532" s="11">
        <v>1978</v>
      </c>
    </row>
    <row r="533" spans="1:4" ht="19.95" customHeight="1" x14ac:dyDescent="0.25">
      <c r="A533" s="10" t="s">
        <v>36</v>
      </c>
      <c r="B533" s="21" t="s">
        <v>45</v>
      </c>
      <c r="C533" s="11"/>
      <c r="D533" s="11">
        <v>1978</v>
      </c>
    </row>
    <row r="534" spans="1:4" ht="19.95" customHeight="1" x14ac:dyDescent="0.25">
      <c r="A534" s="10" t="s">
        <v>37</v>
      </c>
      <c r="B534" s="21" t="s">
        <v>45</v>
      </c>
      <c r="C534" s="11"/>
      <c r="D534" s="11">
        <v>1978</v>
      </c>
    </row>
    <row r="535" spans="1:4" ht="19.95" customHeight="1" x14ac:dyDescent="0.25">
      <c r="A535" s="10" t="s">
        <v>38</v>
      </c>
      <c r="B535" s="21" t="s">
        <v>45</v>
      </c>
      <c r="C535" s="11"/>
      <c r="D535" s="11">
        <v>1978</v>
      </c>
    </row>
    <row r="536" spans="1:4" ht="19.95" customHeight="1" x14ac:dyDescent="0.25">
      <c r="A536" s="10" t="s">
        <v>39</v>
      </c>
      <c r="B536" s="21" t="s">
        <v>45</v>
      </c>
      <c r="C536" s="11"/>
      <c r="D536" s="11">
        <v>1978</v>
      </c>
    </row>
    <row r="537" spans="1:4" ht="19.95" customHeight="1" x14ac:dyDescent="0.25">
      <c r="A537" s="10" t="s">
        <v>40</v>
      </c>
      <c r="B537" s="21" t="s">
        <v>45</v>
      </c>
      <c r="C537" s="11"/>
      <c r="D537" s="11">
        <v>1978</v>
      </c>
    </row>
    <row r="538" spans="1:4" ht="19.95" customHeight="1" x14ac:dyDescent="0.25">
      <c r="A538" s="10" t="s">
        <v>10</v>
      </c>
      <c r="B538" s="21" t="s">
        <v>45</v>
      </c>
      <c r="C538" s="11"/>
      <c r="D538" s="11">
        <v>1979</v>
      </c>
    </row>
    <row r="539" spans="1:4" ht="19.95" customHeight="1" x14ac:dyDescent="0.25">
      <c r="A539" s="10" t="s">
        <v>13</v>
      </c>
      <c r="B539" s="21" t="s">
        <v>45</v>
      </c>
      <c r="C539" s="11"/>
      <c r="D539" s="11">
        <v>1979</v>
      </c>
    </row>
    <row r="540" spans="1:4" ht="19.95" customHeight="1" x14ac:dyDescent="0.25">
      <c r="A540" s="10" t="s">
        <v>15</v>
      </c>
      <c r="B540" s="21" t="s">
        <v>45</v>
      </c>
      <c r="C540" s="11"/>
      <c r="D540" s="11">
        <v>1979</v>
      </c>
    </row>
    <row r="541" spans="1:4" ht="19.95" customHeight="1" x14ac:dyDescent="0.25">
      <c r="A541" s="10" t="s">
        <v>16</v>
      </c>
      <c r="B541" s="21" t="s">
        <v>45</v>
      </c>
      <c r="C541" s="11"/>
      <c r="D541" s="11">
        <v>1979</v>
      </c>
    </row>
    <row r="542" spans="1:4" ht="19.95" customHeight="1" x14ac:dyDescent="0.25">
      <c r="A542" s="10" t="s">
        <v>17</v>
      </c>
      <c r="B542" s="21" t="s">
        <v>45</v>
      </c>
      <c r="C542" s="11"/>
      <c r="D542" s="11">
        <v>1979</v>
      </c>
    </row>
    <row r="543" spans="1:4" ht="19.95" customHeight="1" x14ac:dyDescent="0.25">
      <c r="A543" s="10" t="s">
        <v>2</v>
      </c>
      <c r="B543" s="21" t="s">
        <v>45</v>
      </c>
      <c r="C543" s="11"/>
      <c r="D543" s="11">
        <v>1979</v>
      </c>
    </row>
    <row r="544" spans="1:4" ht="19.95" customHeight="1" x14ac:dyDescent="0.25">
      <c r="A544" s="10" t="s">
        <v>18</v>
      </c>
      <c r="B544" s="21" t="s">
        <v>45</v>
      </c>
      <c r="C544" s="11"/>
      <c r="D544" s="11">
        <v>1979</v>
      </c>
    </row>
    <row r="545" spans="1:4" ht="19.95" customHeight="1" x14ac:dyDescent="0.25">
      <c r="A545" s="10" t="s">
        <v>19</v>
      </c>
      <c r="B545" s="21" t="s">
        <v>45</v>
      </c>
      <c r="C545" s="11"/>
      <c r="D545" s="11">
        <v>1979</v>
      </c>
    </row>
    <row r="546" spans="1:4" ht="19.95" customHeight="1" x14ac:dyDescent="0.25">
      <c r="A546" s="10" t="s">
        <v>20</v>
      </c>
      <c r="B546" s="21" t="s">
        <v>45</v>
      </c>
      <c r="C546" s="11"/>
      <c r="D546" s="11">
        <v>1979</v>
      </c>
    </row>
    <row r="547" spans="1:4" ht="19.95" customHeight="1" x14ac:dyDescent="0.25">
      <c r="A547" s="10" t="s">
        <v>21</v>
      </c>
      <c r="B547" s="21" t="s">
        <v>45</v>
      </c>
      <c r="C547" s="11"/>
      <c r="D547" s="11">
        <v>1979</v>
      </c>
    </row>
    <row r="548" spans="1:4" ht="19.95" customHeight="1" x14ac:dyDescent="0.25">
      <c r="A548" s="10" t="s">
        <v>22</v>
      </c>
      <c r="B548" s="21" t="s">
        <v>45</v>
      </c>
      <c r="C548" s="11"/>
      <c r="D548" s="11">
        <v>1979</v>
      </c>
    </row>
    <row r="549" spans="1:4" ht="19.95" customHeight="1" x14ac:dyDescent="0.25">
      <c r="A549" s="10" t="s">
        <v>23</v>
      </c>
      <c r="B549" s="21" t="s">
        <v>45</v>
      </c>
      <c r="C549" s="11"/>
      <c r="D549" s="11">
        <v>1979</v>
      </c>
    </row>
    <row r="550" spans="1:4" ht="19.95" customHeight="1" x14ac:dyDescent="0.25">
      <c r="A550" s="10" t="s">
        <v>24</v>
      </c>
      <c r="B550" s="21" t="s">
        <v>45</v>
      </c>
      <c r="C550" s="11"/>
      <c r="D550" s="11">
        <v>1979</v>
      </c>
    </row>
    <row r="551" spans="1:4" ht="19.95" customHeight="1" x14ac:dyDescent="0.25">
      <c r="A551" s="10" t="s">
        <v>25</v>
      </c>
      <c r="B551" s="21" t="s">
        <v>45</v>
      </c>
      <c r="C551" s="11"/>
      <c r="D551" s="11">
        <v>1979</v>
      </c>
    </row>
    <row r="552" spans="1:4" ht="19.95" customHeight="1" x14ac:dyDescent="0.25">
      <c r="A552" s="10" t="s">
        <v>26</v>
      </c>
      <c r="B552" s="21" t="s">
        <v>45</v>
      </c>
      <c r="C552" s="11"/>
      <c r="D552" s="11">
        <v>1979</v>
      </c>
    </row>
    <row r="553" spans="1:4" ht="19.95" customHeight="1" x14ac:dyDescent="0.25">
      <c r="A553" s="10" t="s">
        <v>27</v>
      </c>
      <c r="B553" s="21" t="s">
        <v>45</v>
      </c>
      <c r="C553" s="11"/>
      <c r="D553" s="11">
        <v>1979</v>
      </c>
    </row>
    <row r="554" spans="1:4" ht="19.95" customHeight="1" x14ac:dyDescent="0.25">
      <c r="A554" s="10" t="s">
        <v>29</v>
      </c>
      <c r="B554" s="21" t="s">
        <v>45</v>
      </c>
      <c r="C554" s="11"/>
      <c r="D554" s="11">
        <v>1979</v>
      </c>
    </row>
    <row r="555" spans="1:4" ht="19.95" customHeight="1" x14ac:dyDescent="0.25">
      <c r="A555" s="10" t="s">
        <v>30</v>
      </c>
      <c r="B555" s="21" t="s">
        <v>45</v>
      </c>
      <c r="C555" s="11"/>
      <c r="D555" s="11">
        <v>1979</v>
      </c>
    </row>
    <row r="556" spans="1:4" ht="19.95" customHeight="1" x14ac:dyDescent="0.25">
      <c r="A556" s="10" t="s">
        <v>31</v>
      </c>
      <c r="B556" s="21" t="s">
        <v>45</v>
      </c>
      <c r="C556" s="11"/>
      <c r="D556" s="11">
        <v>1979</v>
      </c>
    </row>
    <row r="557" spans="1:4" ht="19.95" customHeight="1" x14ac:dyDescent="0.25">
      <c r="A557" s="10" t="s">
        <v>32</v>
      </c>
      <c r="B557" s="21" t="s">
        <v>45</v>
      </c>
      <c r="C557" s="11"/>
      <c r="D557" s="11">
        <v>1979</v>
      </c>
    </row>
    <row r="558" spans="1:4" ht="19.95" customHeight="1" x14ac:dyDescent="0.25">
      <c r="A558" s="10" t="s">
        <v>33</v>
      </c>
      <c r="B558" s="21" t="s">
        <v>45</v>
      </c>
      <c r="C558" s="11"/>
      <c r="D558" s="11">
        <v>1979</v>
      </c>
    </row>
    <row r="559" spans="1:4" ht="19.95" customHeight="1" x14ac:dyDescent="0.25">
      <c r="A559" s="10" t="s">
        <v>34</v>
      </c>
      <c r="B559" s="21" t="s">
        <v>45</v>
      </c>
      <c r="C559" s="11"/>
      <c r="D559" s="11">
        <v>1979</v>
      </c>
    </row>
    <row r="560" spans="1:4" ht="19.95" customHeight="1" x14ac:dyDescent="0.25">
      <c r="A560" s="10" t="s">
        <v>35</v>
      </c>
      <c r="B560" s="21" t="s">
        <v>45</v>
      </c>
      <c r="C560" s="11"/>
      <c r="D560" s="11">
        <v>1979</v>
      </c>
    </row>
    <row r="561" spans="1:4" ht="19.95" customHeight="1" x14ac:dyDescent="0.25">
      <c r="A561" s="10" t="s">
        <v>36</v>
      </c>
      <c r="B561" s="21" t="s">
        <v>45</v>
      </c>
      <c r="C561" s="11"/>
      <c r="D561" s="11">
        <v>1979</v>
      </c>
    </row>
    <row r="562" spans="1:4" ht="19.95" customHeight="1" x14ac:dyDescent="0.25">
      <c r="A562" s="10" t="s">
        <v>37</v>
      </c>
      <c r="B562" s="21" t="s">
        <v>45</v>
      </c>
      <c r="C562" s="11"/>
      <c r="D562" s="11">
        <v>1979</v>
      </c>
    </row>
    <row r="563" spans="1:4" ht="19.95" customHeight="1" x14ac:dyDescent="0.25">
      <c r="A563" s="10" t="s">
        <v>38</v>
      </c>
      <c r="B563" s="21" t="s">
        <v>45</v>
      </c>
      <c r="C563" s="11"/>
      <c r="D563" s="11">
        <v>1979</v>
      </c>
    </row>
    <row r="564" spans="1:4" ht="19.95" customHeight="1" x14ac:dyDescent="0.25">
      <c r="A564" s="10" t="s">
        <v>39</v>
      </c>
      <c r="B564" s="21" t="s">
        <v>45</v>
      </c>
      <c r="C564" s="11"/>
      <c r="D564" s="11">
        <v>1979</v>
      </c>
    </row>
    <row r="565" spans="1:4" ht="19.95" customHeight="1" x14ac:dyDescent="0.25">
      <c r="A565" s="10" t="s">
        <v>40</v>
      </c>
      <c r="B565" s="21" t="s">
        <v>45</v>
      </c>
      <c r="C565" s="11"/>
      <c r="D565" s="11">
        <v>1979</v>
      </c>
    </row>
    <row r="566" spans="1:4" ht="19.95" customHeight="1" x14ac:dyDescent="0.25">
      <c r="A566" s="10" t="s">
        <v>10</v>
      </c>
      <c r="B566" s="21" t="s">
        <v>45</v>
      </c>
      <c r="C566" s="11"/>
      <c r="D566" s="11">
        <v>1980</v>
      </c>
    </row>
    <row r="567" spans="1:4" ht="19.95" customHeight="1" x14ac:dyDescent="0.25">
      <c r="A567" s="10" t="s">
        <v>13</v>
      </c>
      <c r="B567" s="21" t="s">
        <v>45</v>
      </c>
      <c r="C567" s="11"/>
      <c r="D567" s="11">
        <v>1980</v>
      </c>
    </row>
    <row r="568" spans="1:4" ht="19.95" customHeight="1" x14ac:dyDescent="0.25">
      <c r="A568" s="10" t="s">
        <v>15</v>
      </c>
      <c r="B568" s="21" t="s">
        <v>45</v>
      </c>
      <c r="C568" s="11"/>
      <c r="D568" s="11">
        <v>1980</v>
      </c>
    </row>
    <row r="569" spans="1:4" ht="19.95" customHeight="1" x14ac:dyDescent="0.25">
      <c r="A569" s="10" t="s">
        <v>16</v>
      </c>
      <c r="B569" s="21" t="s">
        <v>45</v>
      </c>
      <c r="C569" s="11"/>
      <c r="D569" s="11">
        <v>1980</v>
      </c>
    </row>
    <row r="570" spans="1:4" ht="19.95" customHeight="1" x14ac:dyDescent="0.25">
      <c r="A570" s="10" t="s">
        <v>17</v>
      </c>
      <c r="B570" s="21" t="s">
        <v>45</v>
      </c>
      <c r="C570" s="11"/>
      <c r="D570" s="11">
        <v>1980</v>
      </c>
    </row>
    <row r="571" spans="1:4" ht="19.95" customHeight="1" x14ac:dyDescent="0.25">
      <c r="A571" s="10" t="s">
        <v>2</v>
      </c>
      <c r="B571" s="21" t="s">
        <v>45</v>
      </c>
      <c r="C571" s="11"/>
      <c r="D571" s="11">
        <v>1980</v>
      </c>
    </row>
    <row r="572" spans="1:4" ht="19.95" customHeight="1" x14ac:dyDescent="0.25">
      <c r="A572" s="10" t="s">
        <v>18</v>
      </c>
      <c r="B572" s="21" t="s">
        <v>45</v>
      </c>
      <c r="C572" s="11"/>
      <c r="D572" s="11">
        <v>1980</v>
      </c>
    </row>
    <row r="573" spans="1:4" ht="19.95" customHeight="1" x14ac:dyDescent="0.25">
      <c r="A573" s="10" t="s">
        <v>19</v>
      </c>
      <c r="B573" s="21" t="s">
        <v>45</v>
      </c>
      <c r="C573" s="11"/>
      <c r="D573" s="11">
        <v>1980</v>
      </c>
    </row>
    <row r="574" spans="1:4" ht="19.95" customHeight="1" x14ac:dyDescent="0.25">
      <c r="A574" s="10" t="s">
        <v>20</v>
      </c>
      <c r="B574" s="21" t="s">
        <v>45</v>
      </c>
      <c r="C574" s="11"/>
      <c r="D574" s="11">
        <v>1980</v>
      </c>
    </row>
    <row r="575" spans="1:4" ht="19.95" customHeight="1" x14ac:dyDescent="0.25">
      <c r="A575" s="10" t="s">
        <v>21</v>
      </c>
      <c r="B575" s="21" t="s">
        <v>45</v>
      </c>
      <c r="C575" s="11"/>
      <c r="D575" s="11">
        <v>1980</v>
      </c>
    </row>
    <row r="576" spans="1:4" ht="19.95" customHeight="1" x14ac:dyDescent="0.25">
      <c r="A576" s="10" t="s">
        <v>22</v>
      </c>
      <c r="B576" s="21" t="s">
        <v>45</v>
      </c>
      <c r="C576" s="11"/>
      <c r="D576" s="11">
        <v>1980</v>
      </c>
    </row>
    <row r="577" spans="1:4" ht="19.95" customHeight="1" x14ac:dyDescent="0.25">
      <c r="A577" s="10" t="s">
        <v>23</v>
      </c>
      <c r="B577" s="21" t="s">
        <v>45</v>
      </c>
      <c r="C577" s="11"/>
      <c r="D577" s="11">
        <v>1980</v>
      </c>
    </row>
    <row r="578" spans="1:4" ht="19.95" customHeight="1" x14ac:dyDescent="0.25">
      <c r="A578" s="10" t="s">
        <v>24</v>
      </c>
      <c r="B578" s="21" t="s">
        <v>45</v>
      </c>
      <c r="C578" s="11"/>
      <c r="D578" s="11">
        <v>1980</v>
      </c>
    </row>
    <row r="579" spans="1:4" ht="19.95" customHeight="1" x14ac:dyDescent="0.25">
      <c r="A579" s="10" t="s">
        <v>25</v>
      </c>
      <c r="B579" s="21" t="s">
        <v>45</v>
      </c>
      <c r="C579" s="11"/>
      <c r="D579" s="11">
        <v>1980</v>
      </c>
    </row>
    <row r="580" spans="1:4" ht="19.95" customHeight="1" x14ac:dyDescent="0.25">
      <c r="A580" s="10" t="s">
        <v>26</v>
      </c>
      <c r="B580" s="21" t="s">
        <v>45</v>
      </c>
      <c r="C580" s="11"/>
      <c r="D580" s="11">
        <v>1980</v>
      </c>
    </row>
    <row r="581" spans="1:4" ht="19.95" customHeight="1" x14ac:dyDescent="0.25">
      <c r="A581" s="10" t="s">
        <v>27</v>
      </c>
      <c r="B581" s="21" t="s">
        <v>45</v>
      </c>
      <c r="C581" s="11"/>
      <c r="D581" s="11">
        <v>1980</v>
      </c>
    </row>
    <row r="582" spans="1:4" ht="19.95" customHeight="1" x14ac:dyDescent="0.25">
      <c r="A582" s="10" t="s">
        <v>29</v>
      </c>
      <c r="B582" s="21" t="s">
        <v>45</v>
      </c>
      <c r="C582" s="11"/>
      <c r="D582" s="11">
        <v>1980</v>
      </c>
    </row>
    <row r="583" spans="1:4" ht="19.95" customHeight="1" x14ac:dyDescent="0.25">
      <c r="A583" s="10" t="s">
        <v>30</v>
      </c>
      <c r="B583" s="21" t="s">
        <v>45</v>
      </c>
      <c r="C583" s="11"/>
      <c r="D583" s="11">
        <v>1980</v>
      </c>
    </row>
    <row r="584" spans="1:4" ht="19.95" customHeight="1" x14ac:dyDescent="0.25">
      <c r="A584" s="10" t="s">
        <v>31</v>
      </c>
      <c r="B584" s="21" t="s">
        <v>45</v>
      </c>
      <c r="C584" s="11"/>
      <c r="D584" s="11">
        <v>1980</v>
      </c>
    </row>
    <row r="585" spans="1:4" ht="19.95" customHeight="1" x14ac:dyDescent="0.25">
      <c r="A585" s="10" t="s">
        <v>32</v>
      </c>
      <c r="B585" s="21" t="s">
        <v>45</v>
      </c>
      <c r="C585" s="11"/>
      <c r="D585" s="11">
        <v>1980</v>
      </c>
    </row>
    <row r="586" spans="1:4" ht="19.95" customHeight="1" x14ac:dyDescent="0.25">
      <c r="A586" s="10" t="s">
        <v>33</v>
      </c>
      <c r="B586" s="21" t="s">
        <v>45</v>
      </c>
      <c r="C586" s="11"/>
      <c r="D586" s="11">
        <v>1980</v>
      </c>
    </row>
    <row r="587" spans="1:4" ht="19.95" customHeight="1" x14ac:dyDescent="0.25">
      <c r="A587" s="10" t="s">
        <v>34</v>
      </c>
      <c r="B587" s="21" t="s">
        <v>45</v>
      </c>
      <c r="C587" s="11"/>
      <c r="D587" s="11">
        <v>1980</v>
      </c>
    </row>
    <row r="588" spans="1:4" ht="19.95" customHeight="1" x14ac:dyDescent="0.25">
      <c r="A588" s="10" t="s">
        <v>35</v>
      </c>
      <c r="B588" s="21" t="s">
        <v>45</v>
      </c>
      <c r="C588" s="11"/>
      <c r="D588" s="11">
        <v>1980</v>
      </c>
    </row>
    <row r="589" spans="1:4" ht="19.95" customHeight="1" x14ac:dyDescent="0.25">
      <c r="A589" s="10" t="s">
        <v>36</v>
      </c>
      <c r="B589" s="21" t="s">
        <v>45</v>
      </c>
      <c r="C589" s="11"/>
      <c r="D589" s="11">
        <v>1980</v>
      </c>
    </row>
    <row r="590" spans="1:4" ht="19.95" customHeight="1" x14ac:dyDescent="0.25">
      <c r="A590" s="10" t="s">
        <v>37</v>
      </c>
      <c r="B590" s="21" t="s">
        <v>45</v>
      </c>
      <c r="C590" s="11"/>
      <c r="D590" s="11">
        <v>1980</v>
      </c>
    </row>
    <row r="591" spans="1:4" ht="19.95" customHeight="1" x14ac:dyDescent="0.25">
      <c r="A591" s="10" t="s">
        <v>38</v>
      </c>
      <c r="B591" s="21" t="s">
        <v>45</v>
      </c>
      <c r="C591" s="11"/>
      <c r="D591" s="11">
        <v>1980</v>
      </c>
    </row>
    <row r="592" spans="1:4" ht="19.95" customHeight="1" x14ac:dyDescent="0.25">
      <c r="A592" s="10" t="s">
        <v>39</v>
      </c>
      <c r="B592" s="21" t="s">
        <v>45</v>
      </c>
      <c r="C592" s="11"/>
      <c r="D592" s="11">
        <v>1980</v>
      </c>
    </row>
    <row r="593" spans="1:4" ht="19.95" customHeight="1" x14ac:dyDescent="0.25">
      <c r="A593" s="10" t="s">
        <v>40</v>
      </c>
      <c r="B593" s="21" t="s">
        <v>45</v>
      </c>
      <c r="C593" s="11"/>
      <c r="D593" s="11">
        <v>1980</v>
      </c>
    </row>
    <row r="594" spans="1:4" ht="19.95" customHeight="1" x14ac:dyDescent="0.25">
      <c r="A594" s="10" t="s">
        <v>10</v>
      </c>
      <c r="B594" s="21" t="s">
        <v>45</v>
      </c>
      <c r="C594" s="11"/>
      <c r="D594" s="11">
        <v>1981</v>
      </c>
    </row>
    <row r="595" spans="1:4" ht="19.95" customHeight="1" x14ac:dyDescent="0.25">
      <c r="A595" s="10" t="s">
        <v>13</v>
      </c>
      <c r="B595" s="21" t="s">
        <v>45</v>
      </c>
      <c r="C595" s="11"/>
      <c r="D595" s="11">
        <v>1981</v>
      </c>
    </row>
    <row r="596" spans="1:4" ht="19.95" customHeight="1" x14ac:dyDescent="0.25">
      <c r="A596" s="10" t="s">
        <v>15</v>
      </c>
      <c r="B596" s="21" t="s">
        <v>45</v>
      </c>
      <c r="C596" s="11"/>
      <c r="D596" s="11">
        <v>1981</v>
      </c>
    </row>
    <row r="597" spans="1:4" ht="19.95" customHeight="1" x14ac:dyDescent="0.25">
      <c r="A597" s="10" t="s">
        <v>16</v>
      </c>
      <c r="B597" s="21" t="s">
        <v>45</v>
      </c>
      <c r="C597" s="11"/>
      <c r="D597" s="11">
        <v>1981</v>
      </c>
    </row>
    <row r="598" spans="1:4" ht="19.95" customHeight="1" x14ac:dyDescent="0.25">
      <c r="A598" s="10" t="s">
        <v>17</v>
      </c>
      <c r="B598" s="21" t="s">
        <v>45</v>
      </c>
      <c r="C598" s="11"/>
      <c r="D598" s="11">
        <v>1981</v>
      </c>
    </row>
    <row r="599" spans="1:4" ht="19.95" customHeight="1" x14ac:dyDescent="0.25">
      <c r="A599" s="10" t="s">
        <v>2</v>
      </c>
      <c r="B599" s="21" t="s">
        <v>45</v>
      </c>
      <c r="C599" s="11"/>
      <c r="D599" s="11">
        <v>1981</v>
      </c>
    </row>
    <row r="600" spans="1:4" ht="19.95" customHeight="1" x14ac:dyDescent="0.25">
      <c r="A600" s="10" t="s">
        <v>18</v>
      </c>
      <c r="B600" s="21" t="s">
        <v>45</v>
      </c>
      <c r="C600" s="11"/>
      <c r="D600" s="11">
        <v>1981</v>
      </c>
    </row>
    <row r="601" spans="1:4" ht="19.95" customHeight="1" x14ac:dyDescent="0.25">
      <c r="A601" s="10" t="s">
        <v>19</v>
      </c>
      <c r="B601" s="21" t="s">
        <v>45</v>
      </c>
      <c r="C601" s="11"/>
      <c r="D601" s="11">
        <v>1981</v>
      </c>
    </row>
    <row r="602" spans="1:4" ht="19.95" customHeight="1" x14ac:dyDescent="0.25">
      <c r="A602" s="10" t="s">
        <v>20</v>
      </c>
      <c r="B602" s="21" t="s">
        <v>45</v>
      </c>
      <c r="C602" s="11"/>
      <c r="D602" s="11">
        <v>1981</v>
      </c>
    </row>
    <row r="603" spans="1:4" ht="19.95" customHeight="1" x14ac:dyDescent="0.25">
      <c r="A603" s="10" t="s">
        <v>21</v>
      </c>
      <c r="B603" s="21" t="s">
        <v>45</v>
      </c>
      <c r="C603" s="11"/>
      <c r="D603" s="11">
        <v>1981</v>
      </c>
    </row>
    <row r="604" spans="1:4" ht="19.95" customHeight="1" x14ac:dyDescent="0.25">
      <c r="A604" s="10" t="s">
        <v>22</v>
      </c>
      <c r="B604" s="21" t="s">
        <v>45</v>
      </c>
      <c r="C604" s="11"/>
      <c r="D604" s="11">
        <v>1981</v>
      </c>
    </row>
    <row r="605" spans="1:4" ht="19.95" customHeight="1" x14ac:dyDescent="0.25">
      <c r="A605" s="10" t="s">
        <v>23</v>
      </c>
      <c r="B605" s="21" t="s">
        <v>45</v>
      </c>
      <c r="C605" s="11"/>
      <c r="D605" s="11">
        <v>1981</v>
      </c>
    </row>
    <row r="606" spans="1:4" ht="19.95" customHeight="1" x14ac:dyDescent="0.25">
      <c r="A606" s="10" t="s">
        <v>24</v>
      </c>
      <c r="B606" s="21" t="s">
        <v>45</v>
      </c>
      <c r="C606" s="11"/>
      <c r="D606" s="11">
        <v>1981</v>
      </c>
    </row>
    <row r="607" spans="1:4" ht="19.95" customHeight="1" x14ac:dyDescent="0.25">
      <c r="A607" s="10" t="s">
        <v>25</v>
      </c>
      <c r="B607" s="21" t="s">
        <v>45</v>
      </c>
      <c r="C607" s="11"/>
      <c r="D607" s="11">
        <v>1981</v>
      </c>
    </row>
    <row r="608" spans="1:4" ht="19.95" customHeight="1" x14ac:dyDescent="0.25">
      <c r="A608" s="10" t="s">
        <v>26</v>
      </c>
      <c r="B608" s="21" t="s">
        <v>45</v>
      </c>
      <c r="C608" s="11"/>
      <c r="D608" s="11">
        <v>1981</v>
      </c>
    </row>
    <row r="609" spans="1:4" ht="19.95" customHeight="1" x14ac:dyDescent="0.25">
      <c r="A609" s="10" t="s">
        <v>27</v>
      </c>
      <c r="B609" s="21" t="s">
        <v>45</v>
      </c>
      <c r="C609" s="11"/>
      <c r="D609" s="11">
        <v>1981</v>
      </c>
    </row>
    <row r="610" spans="1:4" ht="19.95" customHeight="1" x14ac:dyDescent="0.25">
      <c r="A610" s="10" t="s">
        <v>29</v>
      </c>
      <c r="B610" s="21" t="s">
        <v>45</v>
      </c>
      <c r="C610" s="11"/>
      <c r="D610" s="11">
        <v>1981</v>
      </c>
    </row>
    <row r="611" spans="1:4" ht="19.95" customHeight="1" x14ac:dyDescent="0.25">
      <c r="A611" s="10" t="s">
        <v>30</v>
      </c>
      <c r="B611" s="21" t="s">
        <v>45</v>
      </c>
      <c r="C611" s="11"/>
      <c r="D611" s="11">
        <v>1981</v>
      </c>
    </row>
    <row r="612" spans="1:4" ht="19.95" customHeight="1" x14ac:dyDescent="0.25">
      <c r="A612" s="10" t="s">
        <v>31</v>
      </c>
      <c r="B612" s="21" t="s">
        <v>45</v>
      </c>
      <c r="C612" s="11"/>
      <c r="D612" s="11">
        <v>1981</v>
      </c>
    </row>
    <row r="613" spans="1:4" ht="19.95" customHeight="1" x14ac:dyDescent="0.25">
      <c r="A613" s="10" t="s">
        <v>32</v>
      </c>
      <c r="B613" s="21" t="s">
        <v>45</v>
      </c>
      <c r="C613" s="11"/>
      <c r="D613" s="11">
        <v>1981</v>
      </c>
    </row>
    <row r="614" spans="1:4" ht="19.95" customHeight="1" x14ac:dyDescent="0.25">
      <c r="A614" s="10" t="s">
        <v>33</v>
      </c>
      <c r="B614" s="21" t="s">
        <v>45</v>
      </c>
      <c r="C614" s="11"/>
      <c r="D614" s="11">
        <v>1981</v>
      </c>
    </row>
    <row r="615" spans="1:4" ht="19.95" customHeight="1" x14ac:dyDescent="0.25">
      <c r="A615" s="10" t="s">
        <v>34</v>
      </c>
      <c r="B615" s="21" t="s">
        <v>45</v>
      </c>
      <c r="C615" s="11"/>
      <c r="D615" s="11">
        <v>1981</v>
      </c>
    </row>
    <row r="616" spans="1:4" ht="19.95" customHeight="1" x14ac:dyDescent="0.25">
      <c r="A616" s="10" t="s">
        <v>35</v>
      </c>
      <c r="B616" s="21" t="s">
        <v>45</v>
      </c>
      <c r="C616" s="11"/>
      <c r="D616" s="11">
        <v>1981</v>
      </c>
    </row>
    <row r="617" spans="1:4" ht="19.95" customHeight="1" x14ac:dyDescent="0.25">
      <c r="A617" s="10" t="s">
        <v>36</v>
      </c>
      <c r="B617" s="21" t="s">
        <v>45</v>
      </c>
      <c r="C617" s="11"/>
      <c r="D617" s="11">
        <v>1981</v>
      </c>
    </row>
    <row r="618" spans="1:4" ht="19.95" customHeight="1" x14ac:dyDescent="0.25">
      <c r="A618" s="10" t="s">
        <v>37</v>
      </c>
      <c r="B618" s="21" t="s">
        <v>45</v>
      </c>
      <c r="C618" s="11"/>
      <c r="D618" s="11">
        <v>1981</v>
      </c>
    </row>
    <row r="619" spans="1:4" ht="19.95" customHeight="1" x14ac:dyDescent="0.25">
      <c r="A619" s="10" t="s">
        <v>38</v>
      </c>
      <c r="B619" s="21" t="s">
        <v>45</v>
      </c>
      <c r="C619" s="11"/>
      <c r="D619" s="11">
        <v>1981</v>
      </c>
    </row>
    <row r="620" spans="1:4" ht="19.95" customHeight="1" x14ac:dyDescent="0.25">
      <c r="A620" s="10" t="s">
        <v>39</v>
      </c>
      <c r="B620" s="21" t="s">
        <v>45</v>
      </c>
      <c r="C620" s="11"/>
      <c r="D620" s="11">
        <v>1981</v>
      </c>
    </row>
    <row r="621" spans="1:4" ht="19.95" customHeight="1" x14ac:dyDescent="0.25">
      <c r="A621" s="10" t="s">
        <v>40</v>
      </c>
      <c r="B621" s="21" t="s">
        <v>45</v>
      </c>
      <c r="C621" s="11"/>
      <c r="D621" s="11">
        <v>1981</v>
      </c>
    </row>
    <row r="622" spans="1:4" ht="19.95" customHeight="1" x14ac:dyDescent="0.25">
      <c r="A622" s="10" t="s">
        <v>10</v>
      </c>
      <c r="B622" s="21" t="s">
        <v>45</v>
      </c>
      <c r="C622" s="11"/>
      <c r="D622" s="11">
        <v>1982</v>
      </c>
    </row>
    <row r="623" spans="1:4" ht="19.95" customHeight="1" x14ac:dyDescent="0.25">
      <c r="A623" s="10" t="s">
        <v>13</v>
      </c>
      <c r="B623" s="21" t="s">
        <v>45</v>
      </c>
      <c r="C623" s="11"/>
      <c r="D623" s="11">
        <v>1982</v>
      </c>
    </row>
    <row r="624" spans="1:4" ht="19.95" customHeight="1" x14ac:dyDescent="0.25">
      <c r="A624" s="10" t="s">
        <v>15</v>
      </c>
      <c r="B624" s="21" t="s">
        <v>45</v>
      </c>
      <c r="C624" s="11"/>
      <c r="D624" s="11">
        <v>1982</v>
      </c>
    </row>
    <row r="625" spans="1:4" ht="19.95" customHeight="1" x14ac:dyDescent="0.25">
      <c r="A625" s="10" t="s">
        <v>16</v>
      </c>
      <c r="B625" s="21" t="s">
        <v>45</v>
      </c>
      <c r="C625" s="11"/>
      <c r="D625" s="11">
        <v>1982</v>
      </c>
    </row>
    <row r="626" spans="1:4" ht="19.95" customHeight="1" x14ac:dyDescent="0.25">
      <c r="A626" s="10" t="s">
        <v>17</v>
      </c>
      <c r="B626" s="21" t="s">
        <v>45</v>
      </c>
      <c r="C626" s="11"/>
      <c r="D626" s="11">
        <v>1982</v>
      </c>
    </row>
    <row r="627" spans="1:4" ht="19.95" customHeight="1" x14ac:dyDescent="0.25">
      <c r="A627" s="10" t="s">
        <v>2</v>
      </c>
      <c r="B627" s="21" t="s">
        <v>45</v>
      </c>
      <c r="C627" s="11"/>
      <c r="D627" s="11">
        <v>1982</v>
      </c>
    </row>
    <row r="628" spans="1:4" ht="19.95" customHeight="1" x14ac:dyDescent="0.25">
      <c r="A628" s="10" t="s">
        <v>18</v>
      </c>
      <c r="B628" s="21" t="s">
        <v>45</v>
      </c>
      <c r="C628" s="11"/>
      <c r="D628" s="11">
        <v>1982</v>
      </c>
    </row>
    <row r="629" spans="1:4" ht="19.95" customHeight="1" x14ac:dyDescent="0.25">
      <c r="A629" s="10" t="s">
        <v>19</v>
      </c>
      <c r="B629" s="21" t="s">
        <v>45</v>
      </c>
      <c r="C629" s="11"/>
      <c r="D629" s="11">
        <v>1982</v>
      </c>
    </row>
    <row r="630" spans="1:4" ht="19.95" customHeight="1" x14ac:dyDescent="0.25">
      <c r="A630" s="10" t="s">
        <v>20</v>
      </c>
      <c r="B630" s="21" t="s">
        <v>45</v>
      </c>
      <c r="C630" s="11"/>
      <c r="D630" s="11">
        <v>1982</v>
      </c>
    </row>
    <row r="631" spans="1:4" ht="19.95" customHeight="1" x14ac:dyDescent="0.25">
      <c r="A631" s="10" t="s">
        <v>21</v>
      </c>
      <c r="B631" s="21" t="s">
        <v>45</v>
      </c>
      <c r="C631" s="11"/>
      <c r="D631" s="11">
        <v>1982</v>
      </c>
    </row>
    <row r="632" spans="1:4" ht="19.95" customHeight="1" x14ac:dyDescent="0.25">
      <c r="A632" s="10" t="s">
        <v>22</v>
      </c>
      <c r="B632" s="21" t="s">
        <v>45</v>
      </c>
      <c r="C632" s="11"/>
      <c r="D632" s="11">
        <v>1982</v>
      </c>
    </row>
    <row r="633" spans="1:4" ht="19.95" customHeight="1" x14ac:dyDescent="0.25">
      <c r="A633" s="10" t="s">
        <v>23</v>
      </c>
      <c r="B633" s="21" t="s">
        <v>45</v>
      </c>
      <c r="C633" s="11"/>
      <c r="D633" s="11">
        <v>1982</v>
      </c>
    </row>
    <row r="634" spans="1:4" ht="19.95" customHeight="1" x14ac:dyDescent="0.25">
      <c r="A634" s="10" t="s">
        <v>24</v>
      </c>
      <c r="B634" s="21" t="s">
        <v>45</v>
      </c>
      <c r="C634" s="11"/>
      <c r="D634" s="11">
        <v>1982</v>
      </c>
    </row>
    <row r="635" spans="1:4" ht="19.95" customHeight="1" x14ac:dyDescent="0.25">
      <c r="A635" s="10" t="s">
        <v>25</v>
      </c>
      <c r="B635" s="21" t="s">
        <v>45</v>
      </c>
      <c r="C635" s="11"/>
      <c r="D635" s="11">
        <v>1982</v>
      </c>
    </row>
    <row r="636" spans="1:4" ht="19.95" customHeight="1" x14ac:dyDescent="0.25">
      <c r="A636" s="10" t="s">
        <v>26</v>
      </c>
      <c r="B636" s="21" t="s">
        <v>45</v>
      </c>
      <c r="C636" s="11"/>
      <c r="D636" s="11">
        <v>1982</v>
      </c>
    </row>
    <row r="637" spans="1:4" ht="19.95" customHeight="1" x14ac:dyDescent="0.25">
      <c r="A637" s="10" t="s">
        <v>27</v>
      </c>
      <c r="B637" s="21" t="s">
        <v>45</v>
      </c>
      <c r="C637" s="11"/>
      <c r="D637" s="11">
        <v>1982</v>
      </c>
    </row>
    <row r="638" spans="1:4" ht="19.95" customHeight="1" x14ac:dyDescent="0.25">
      <c r="A638" s="10" t="s">
        <v>29</v>
      </c>
      <c r="B638" s="21" t="s">
        <v>45</v>
      </c>
      <c r="C638" s="11"/>
      <c r="D638" s="11">
        <v>1982</v>
      </c>
    </row>
    <row r="639" spans="1:4" ht="19.95" customHeight="1" x14ac:dyDescent="0.25">
      <c r="A639" s="10" t="s">
        <v>30</v>
      </c>
      <c r="B639" s="21" t="s">
        <v>45</v>
      </c>
      <c r="C639" s="11"/>
      <c r="D639" s="11">
        <v>1982</v>
      </c>
    </row>
    <row r="640" spans="1:4" ht="19.95" customHeight="1" x14ac:dyDescent="0.25">
      <c r="A640" s="10" t="s">
        <v>31</v>
      </c>
      <c r="B640" s="21" t="s">
        <v>45</v>
      </c>
      <c r="C640" s="11"/>
      <c r="D640" s="11">
        <v>1982</v>
      </c>
    </row>
    <row r="641" spans="1:4" ht="19.95" customHeight="1" x14ac:dyDescent="0.25">
      <c r="A641" s="10" t="s">
        <v>32</v>
      </c>
      <c r="B641" s="21" t="s">
        <v>45</v>
      </c>
      <c r="C641" s="11"/>
      <c r="D641" s="11">
        <v>1982</v>
      </c>
    </row>
    <row r="642" spans="1:4" ht="19.95" customHeight="1" x14ac:dyDescent="0.25">
      <c r="A642" s="10" t="s">
        <v>33</v>
      </c>
      <c r="B642" s="21" t="s">
        <v>45</v>
      </c>
      <c r="C642" s="11"/>
      <c r="D642" s="11">
        <v>1982</v>
      </c>
    </row>
    <row r="643" spans="1:4" ht="19.95" customHeight="1" x14ac:dyDescent="0.25">
      <c r="A643" s="10" t="s">
        <v>34</v>
      </c>
      <c r="B643" s="21" t="s">
        <v>45</v>
      </c>
      <c r="C643" s="11"/>
      <c r="D643" s="11">
        <v>1982</v>
      </c>
    </row>
    <row r="644" spans="1:4" ht="19.95" customHeight="1" x14ac:dyDescent="0.25">
      <c r="A644" s="10" t="s">
        <v>35</v>
      </c>
      <c r="B644" s="21" t="s">
        <v>45</v>
      </c>
      <c r="C644" s="11"/>
      <c r="D644" s="11">
        <v>1982</v>
      </c>
    </row>
    <row r="645" spans="1:4" ht="19.95" customHeight="1" x14ac:dyDescent="0.25">
      <c r="A645" s="10" t="s">
        <v>36</v>
      </c>
      <c r="B645" s="21" t="s">
        <v>45</v>
      </c>
      <c r="C645" s="11"/>
      <c r="D645" s="11">
        <v>1982</v>
      </c>
    </row>
    <row r="646" spans="1:4" ht="19.95" customHeight="1" x14ac:dyDescent="0.25">
      <c r="A646" s="10" t="s">
        <v>37</v>
      </c>
      <c r="B646" s="21" t="s">
        <v>45</v>
      </c>
      <c r="C646" s="11"/>
      <c r="D646" s="11">
        <v>1982</v>
      </c>
    </row>
    <row r="647" spans="1:4" ht="19.95" customHeight="1" x14ac:dyDescent="0.25">
      <c r="A647" s="10" t="s">
        <v>38</v>
      </c>
      <c r="B647" s="21" t="s">
        <v>45</v>
      </c>
      <c r="C647" s="11"/>
      <c r="D647" s="11">
        <v>1982</v>
      </c>
    </row>
    <row r="648" spans="1:4" ht="19.95" customHeight="1" x14ac:dyDescent="0.25">
      <c r="A648" s="10" t="s">
        <v>39</v>
      </c>
      <c r="B648" s="21" t="s">
        <v>45</v>
      </c>
      <c r="C648" s="11"/>
      <c r="D648" s="11">
        <v>1982</v>
      </c>
    </row>
    <row r="649" spans="1:4" ht="19.95" customHeight="1" x14ac:dyDescent="0.25">
      <c r="A649" s="10" t="s">
        <v>40</v>
      </c>
      <c r="B649" s="21" t="s">
        <v>45</v>
      </c>
      <c r="C649" s="11"/>
      <c r="D649" s="11">
        <v>1982</v>
      </c>
    </row>
    <row r="650" spans="1:4" ht="19.95" customHeight="1" x14ac:dyDescent="0.25">
      <c r="A650" s="10" t="s">
        <v>10</v>
      </c>
      <c r="B650" s="21" t="s">
        <v>45</v>
      </c>
      <c r="C650" s="11"/>
      <c r="D650" s="11">
        <v>1983</v>
      </c>
    </row>
    <row r="651" spans="1:4" ht="19.95" customHeight="1" x14ac:dyDescent="0.25">
      <c r="A651" s="10" t="s">
        <v>13</v>
      </c>
      <c r="B651" s="21" t="s">
        <v>45</v>
      </c>
      <c r="C651" s="11"/>
      <c r="D651" s="11">
        <v>1983</v>
      </c>
    </row>
    <row r="652" spans="1:4" ht="19.95" customHeight="1" x14ac:dyDescent="0.25">
      <c r="A652" s="10" t="s">
        <v>15</v>
      </c>
      <c r="B652" s="21" t="s">
        <v>45</v>
      </c>
      <c r="C652" s="11"/>
      <c r="D652" s="11">
        <v>1983</v>
      </c>
    </row>
    <row r="653" spans="1:4" ht="19.95" customHeight="1" x14ac:dyDescent="0.25">
      <c r="A653" s="10" t="s">
        <v>16</v>
      </c>
      <c r="B653" s="21" t="s">
        <v>45</v>
      </c>
      <c r="C653" s="11"/>
      <c r="D653" s="11">
        <v>1983</v>
      </c>
    </row>
    <row r="654" spans="1:4" ht="19.95" customHeight="1" x14ac:dyDescent="0.25">
      <c r="A654" s="10" t="s">
        <v>17</v>
      </c>
      <c r="B654" s="21" t="s">
        <v>45</v>
      </c>
      <c r="C654" s="11"/>
      <c r="D654" s="11">
        <v>1983</v>
      </c>
    </row>
    <row r="655" spans="1:4" ht="19.95" customHeight="1" x14ac:dyDescent="0.25">
      <c r="A655" s="10" t="s">
        <v>2</v>
      </c>
      <c r="B655" s="21" t="s">
        <v>45</v>
      </c>
      <c r="C655" s="11"/>
      <c r="D655" s="11">
        <v>1983</v>
      </c>
    </row>
    <row r="656" spans="1:4" ht="19.95" customHeight="1" x14ac:dyDescent="0.25">
      <c r="A656" s="10" t="s">
        <v>18</v>
      </c>
      <c r="B656" s="21" t="s">
        <v>45</v>
      </c>
      <c r="C656" s="11"/>
      <c r="D656" s="11">
        <v>1983</v>
      </c>
    </row>
    <row r="657" spans="1:4" ht="19.95" customHeight="1" x14ac:dyDescent="0.25">
      <c r="A657" s="10" t="s">
        <v>19</v>
      </c>
      <c r="B657" s="21" t="s">
        <v>45</v>
      </c>
      <c r="C657" s="11"/>
      <c r="D657" s="11">
        <v>1983</v>
      </c>
    </row>
    <row r="658" spans="1:4" ht="19.95" customHeight="1" x14ac:dyDescent="0.25">
      <c r="A658" s="10" t="s">
        <v>20</v>
      </c>
      <c r="B658" s="21" t="s">
        <v>45</v>
      </c>
      <c r="C658" s="11"/>
      <c r="D658" s="11">
        <v>1983</v>
      </c>
    </row>
    <row r="659" spans="1:4" ht="19.95" customHeight="1" x14ac:dyDescent="0.25">
      <c r="A659" s="10" t="s">
        <v>21</v>
      </c>
      <c r="B659" s="21" t="s">
        <v>45</v>
      </c>
      <c r="C659" s="11"/>
      <c r="D659" s="11">
        <v>1983</v>
      </c>
    </row>
    <row r="660" spans="1:4" ht="19.95" customHeight="1" x14ac:dyDescent="0.25">
      <c r="A660" s="10" t="s">
        <v>22</v>
      </c>
      <c r="B660" s="21" t="s">
        <v>45</v>
      </c>
      <c r="C660" s="11"/>
      <c r="D660" s="11">
        <v>1983</v>
      </c>
    </row>
    <row r="661" spans="1:4" ht="19.95" customHeight="1" x14ac:dyDescent="0.25">
      <c r="A661" s="10" t="s">
        <v>23</v>
      </c>
      <c r="B661" s="21" t="s">
        <v>45</v>
      </c>
      <c r="C661" s="11"/>
      <c r="D661" s="11">
        <v>1983</v>
      </c>
    </row>
    <row r="662" spans="1:4" ht="19.95" customHeight="1" x14ac:dyDescent="0.25">
      <c r="A662" s="10" t="s">
        <v>24</v>
      </c>
      <c r="B662" s="21" t="s">
        <v>45</v>
      </c>
      <c r="C662" s="11"/>
      <c r="D662" s="11">
        <v>1983</v>
      </c>
    </row>
    <row r="663" spans="1:4" ht="19.95" customHeight="1" x14ac:dyDescent="0.25">
      <c r="A663" s="10" t="s">
        <v>25</v>
      </c>
      <c r="B663" s="21" t="s">
        <v>45</v>
      </c>
      <c r="C663" s="11"/>
      <c r="D663" s="11">
        <v>1983</v>
      </c>
    </row>
    <row r="664" spans="1:4" ht="19.95" customHeight="1" x14ac:dyDescent="0.25">
      <c r="A664" s="10" t="s">
        <v>26</v>
      </c>
      <c r="B664" s="21" t="s">
        <v>45</v>
      </c>
      <c r="C664" s="11"/>
      <c r="D664" s="11">
        <v>1983</v>
      </c>
    </row>
    <row r="665" spans="1:4" ht="19.95" customHeight="1" x14ac:dyDescent="0.25">
      <c r="A665" s="10" t="s">
        <v>27</v>
      </c>
      <c r="B665" s="21" t="s">
        <v>45</v>
      </c>
      <c r="C665" s="11"/>
      <c r="D665" s="11">
        <v>1983</v>
      </c>
    </row>
    <row r="666" spans="1:4" ht="19.95" customHeight="1" x14ac:dyDescent="0.25">
      <c r="A666" s="10" t="s">
        <v>29</v>
      </c>
      <c r="B666" s="21" t="s">
        <v>45</v>
      </c>
      <c r="C666" s="11"/>
      <c r="D666" s="11">
        <v>1983</v>
      </c>
    </row>
    <row r="667" spans="1:4" ht="19.95" customHeight="1" x14ac:dyDescent="0.25">
      <c r="A667" s="10" t="s">
        <v>30</v>
      </c>
      <c r="B667" s="21" t="s">
        <v>45</v>
      </c>
      <c r="C667" s="11"/>
      <c r="D667" s="11">
        <v>1983</v>
      </c>
    </row>
    <row r="668" spans="1:4" ht="19.95" customHeight="1" x14ac:dyDescent="0.25">
      <c r="A668" s="10" t="s">
        <v>31</v>
      </c>
      <c r="B668" s="21" t="s">
        <v>45</v>
      </c>
      <c r="C668" s="11"/>
      <c r="D668" s="11">
        <v>1983</v>
      </c>
    </row>
    <row r="669" spans="1:4" ht="19.95" customHeight="1" x14ac:dyDescent="0.25">
      <c r="A669" s="10" t="s">
        <v>32</v>
      </c>
      <c r="B669" s="21" t="s">
        <v>45</v>
      </c>
      <c r="C669" s="11"/>
      <c r="D669" s="11">
        <v>1983</v>
      </c>
    </row>
    <row r="670" spans="1:4" ht="19.95" customHeight="1" x14ac:dyDescent="0.25">
      <c r="A670" s="10" t="s">
        <v>33</v>
      </c>
      <c r="B670" s="21" t="s">
        <v>45</v>
      </c>
      <c r="C670" s="11"/>
      <c r="D670" s="11">
        <v>1983</v>
      </c>
    </row>
    <row r="671" spans="1:4" ht="19.95" customHeight="1" x14ac:dyDescent="0.25">
      <c r="A671" s="10" t="s">
        <v>34</v>
      </c>
      <c r="B671" s="21" t="s">
        <v>45</v>
      </c>
      <c r="C671" s="11"/>
      <c r="D671" s="11">
        <v>1983</v>
      </c>
    </row>
    <row r="672" spans="1:4" ht="19.95" customHeight="1" x14ac:dyDescent="0.25">
      <c r="A672" s="10" t="s">
        <v>35</v>
      </c>
      <c r="B672" s="21" t="s">
        <v>45</v>
      </c>
      <c r="C672" s="11"/>
      <c r="D672" s="11">
        <v>1983</v>
      </c>
    </row>
    <row r="673" spans="1:4" ht="19.95" customHeight="1" x14ac:dyDescent="0.25">
      <c r="A673" s="10" t="s">
        <v>36</v>
      </c>
      <c r="B673" s="21" t="s">
        <v>45</v>
      </c>
      <c r="C673" s="11"/>
      <c r="D673" s="11">
        <v>1983</v>
      </c>
    </row>
    <row r="674" spans="1:4" ht="19.95" customHeight="1" x14ac:dyDescent="0.25">
      <c r="A674" s="10" t="s">
        <v>37</v>
      </c>
      <c r="B674" s="21" t="s">
        <v>45</v>
      </c>
      <c r="C674" s="11"/>
      <c r="D674" s="11">
        <v>1983</v>
      </c>
    </row>
    <row r="675" spans="1:4" ht="19.95" customHeight="1" x14ac:dyDescent="0.25">
      <c r="A675" s="10" t="s">
        <v>38</v>
      </c>
      <c r="B675" s="21" t="s">
        <v>45</v>
      </c>
      <c r="C675" s="11"/>
      <c r="D675" s="11">
        <v>1983</v>
      </c>
    </row>
    <row r="676" spans="1:4" ht="19.95" customHeight="1" x14ac:dyDescent="0.25">
      <c r="A676" s="10" t="s">
        <v>39</v>
      </c>
      <c r="B676" s="21" t="s">
        <v>45</v>
      </c>
      <c r="C676" s="11"/>
      <c r="D676" s="11">
        <v>1983</v>
      </c>
    </row>
    <row r="677" spans="1:4" ht="19.95" customHeight="1" x14ac:dyDescent="0.25">
      <c r="A677" s="10" t="s">
        <v>40</v>
      </c>
      <c r="B677" s="21" t="s">
        <v>45</v>
      </c>
      <c r="C677" s="11"/>
      <c r="D677" s="11">
        <v>1983</v>
      </c>
    </row>
    <row r="678" spans="1:4" ht="19.95" customHeight="1" x14ac:dyDescent="0.25">
      <c r="A678" s="10" t="s">
        <v>10</v>
      </c>
      <c r="B678" s="21" t="s">
        <v>45</v>
      </c>
      <c r="C678" s="11"/>
      <c r="D678" s="11">
        <v>1984</v>
      </c>
    </row>
    <row r="679" spans="1:4" ht="19.95" customHeight="1" x14ac:dyDescent="0.25">
      <c r="A679" s="10" t="s">
        <v>13</v>
      </c>
      <c r="B679" s="21" t="s">
        <v>45</v>
      </c>
      <c r="C679" s="11"/>
      <c r="D679" s="11">
        <v>1984</v>
      </c>
    </row>
    <row r="680" spans="1:4" ht="19.95" customHeight="1" x14ac:dyDescent="0.25">
      <c r="A680" s="10" t="s">
        <v>15</v>
      </c>
      <c r="B680" s="21" t="s">
        <v>45</v>
      </c>
      <c r="C680" s="11"/>
      <c r="D680" s="11">
        <v>1984</v>
      </c>
    </row>
    <row r="681" spans="1:4" ht="19.95" customHeight="1" x14ac:dyDescent="0.25">
      <c r="A681" s="10" t="s">
        <v>16</v>
      </c>
      <c r="B681" s="21" t="s">
        <v>45</v>
      </c>
      <c r="C681" s="11"/>
      <c r="D681" s="11">
        <v>1984</v>
      </c>
    </row>
    <row r="682" spans="1:4" ht="19.95" customHeight="1" x14ac:dyDescent="0.25">
      <c r="A682" s="10" t="s">
        <v>17</v>
      </c>
      <c r="B682" s="21" t="s">
        <v>45</v>
      </c>
      <c r="C682" s="11"/>
      <c r="D682" s="11">
        <v>1984</v>
      </c>
    </row>
    <row r="683" spans="1:4" ht="19.95" customHeight="1" x14ac:dyDescent="0.25">
      <c r="A683" s="10" t="s">
        <v>2</v>
      </c>
      <c r="B683" s="21" t="s">
        <v>45</v>
      </c>
      <c r="C683" s="11"/>
      <c r="D683" s="11">
        <v>1984</v>
      </c>
    </row>
    <row r="684" spans="1:4" ht="19.95" customHeight="1" x14ac:dyDescent="0.25">
      <c r="A684" s="10" t="s">
        <v>18</v>
      </c>
      <c r="B684" s="21" t="s">
        <v>45</v>
      </c>
      <c r="C684" s="11"/>
      <c r="D684" s="11">
        <v>1984</v>
      </c>
    </row>
    <row r="685" spans="1:4" ht="19.95" customHeight="1" x14ac:dyDescent="0.25">
      <c r="A685" s="10" t="s">
        <v>19</v>
      </c>
      <c r="B685" s="21" t="s">
        <v>45</v>
      </c>
      <c r="C685" s="11"/>
      <c r="D685" s="11">
        <v>1984</v>
      </c>
    </row>
    <row r="686" spans="1:4" ht="19.95" customHeight="1" x14ac:dyDescent="0.25">
      <c r="A686" s="10" t="s">
        <v>20</v>
      </c>
      <c r="B686" s="21" t="s">
        <v>45</v>
      </c>
      <c r="C686" s="11"/>
      <c r="D686" s="11">
        <v>1984</v>
      </c>
    </row>
    <row r="687" spans="1:4" ht="19.95" customHeight="1" x14ac:dyDescent="0.25">
      <c r="A687" s="10" t="s">
        <v>21</v>
      </c>
      <c r="B687" s="21" t="s">
        <v>45</v>
      </c>
      <c r="C687" s="11"/>
      <c r="D687" s="11">
        <v>1984</v>
      </c>
    </row>
    <row r="688" spans="1:4" ht="19.95" customHeight="1" x14ac:dyDescent="0.25">
      <c r="A688" s="10" t="s">
        <v>22</v>
      </c>
      <c r="B688" s="21" t="s">
        <v>45</v>
      </c>
      <c r="C688" s="11"/>
      <c r="D688" s="11">
        <v>1984</v>
      </c>
    </row>
    <row r="689" spans="1:4" ht="19.95" customHeight="1" x14ac:dyDescent="0.25">
      <c r="A689" s="10" t="s">
        <v>23</v>
      </c>
      <c r="B689" s="21" t="s">
        <v>45</v>
      </c>
      <c r="C689" s="11"/>
      <c r="D689" s="11">
        <v>1984</v>
      </c>
    </row>
    <row r="690" spans="1:4" ht="19.95" customHeight="1" x14ac:dyDescent="0.25">
      <c r="A690" s="10" t="s">
        <v>24</v>
      </c>
      <c r="B690" s="21" t="s">
        <v>45</v>
      </c>
      <c r="C690" s="11"/>
      <c r="D690" s="11">
        <v>1984</v>
      </c>
    </row>
    <row r="691" spans="1:4" ht="19.95" customHeight="1" x14ac:dyDescent="0.25">
      <c r="A691" s="10" t="s">
        <v>25</v>
      </c>
      <c r="B691" s="21" t="s">
        <v>45</v>
      </c>
      <c r="C691" s="11"/>
      <c r="D691" s="11">
        <v>1984</v>
      </c>
    </row>
    <row r="692" spans="1:4" ht="19.95" customHeight="1" x14ac:dyDescent="0.25">
      <c r="A692" s="10" t="s">
        <v>26</v>
      </c>
      <c r="B692" s="21" t="s">
        <v>45</v>
      </c>
      <c r="C692" s="11"/>
      <c r="D692" s="11">
        <v>1984</v>
      </c>
    </row>
    <row r="693" spans="1:4" ht="19.95" customHeight="1" x14ac:dyDescent="0.25">
      <c r="A693" s="10" t="s">
        <v>27</v>
      </c>
      <c r="B693" s="21" t="s">
        <v>45</v>
      </c>
      <c r="C693" s="11"/>
      <c r="D693" s="11">
        <v>1984</v>
      </c>
    </row>
    <row r="694" spans="1:4" ht="19.95" customHeight="1" x14ac:dyDescent="0.25">
      <c r="A694" s="10" t="s">
        <v>29</v>
      </c>
      <c r="B694" s="21" t="s">
        <v>45</v>
      </c>
      <c r="C694" s="11"/>
      <c r="D694" s="11">
        <v>1984</v>
      </c>
    </row>
    <row r="695" spans="1:4" ht="19.95" customHeight="1" x14ac:dyDescent="0.25">
      <c r="A695" s="10" t="s">
        <v>30</v>
      </c>
      <c r="B695" s="21" t="s">
        <v>45</v>
      </c>
      <c r="C695" s="11"/>
      <c r="D695" s="11">
        <v>1984</v>
      </c>
    </row>
    <row r="696" spans="1:4" ht="19.95" customHeight="1" x14ac:dyDescent="0.25">
      <c r="A696" s="10" t="s">
        <v>31</v>
      </c>
      <c r="B696" s="21" t="s">
        <v>45</v>
      </c>
      <c r="C696" s="11"/>
      <c r="D696" s="11">
        <v>1984</v>
      </c>
    </row>
    <row r="697" spans="1:4" ht="19.95" customHeight="1" x14ac:dyDescent="0.25">
      <c r="A697" s="10" t="s">
        <v>32</v>
      </c>
      <c r="B697" s="21" t="s">
        <v>45</v>
      </c>
      <c r="C697" s="11"/>
      <c r="D697" s="11">
        <v>1984</v>
      </c>
    </row>
    <row r="698" spans="1:4" ht="19.95" customHeight="1" x14ac:dyDescent="0.25">
      <c r="A698" s="10" t="s">
        <v>33</v>
      </c>
      <c r="B698" s="21" t="s">
        <v>45</v>
      </c>
      <c r="C698" s="11"/>
      <c r="D698" s="11">
        <v>1984</v>
      </c>
    </row>
    <row r="699" spans="1:4" ht="19.95" customHeight="1" x14ac:dyDescent="0.25">
      <c r="A699" s="10" t="s">
        <v>34</v>
      </c>
      <c r="B699" s="21" t="s">
        <v>45</v>
      </c>
      <c r="C699" s="11"/>
      <c r="D699" s="11">
        <v>1984</v>
      </c>
    </row>
    <row r="700" spans="1:4" ht="19.95" customHeight="1" x14ac:dyDescent="0.25">
      <c r="A700" s="10" t="s">
        <v>35</v>
      </c>
      <c r="B700" s="21" t="s">
        <v>45</v>
      </c>
      <c r="C700" s="11"/>
      <c r="D700" s="11">
        <v>1984</v>
      </c>
    </row>
    <row r="701" spans="1:4" ht="19.95" customHeight="1" x14ac:dyDescent="0.25">
      <c r="A701" s="10" t="s">
        <v>36</v>
      </c>
      <c r="B701" s="21" t="s">
        <v>45</v>
      </c>
      <c r="C701" s="11"/>
      <c r="D701" s="11">
        <v>1984</v>
      </c>
    </row>
    <row r="702" spans="1:4" ht="19.95" customHeight="1" x14ac:dyDescent="0.25">
      <c r="A702" s="10" t="s">
        <v>37</v>
      </c>
      <c r="B702" s="21" t="s">
        <v>45</v>
      </c>
      <c r="C702" s="11"/>
      <c r="D702" s="11">
        <v>1984</v>
      </c>
    </row>
    <row r="703" spans="1:4" ht="19.95" customHeight="1" x14ac:dyDescent="0.25">
      <c r="A703" s="10" t="s">
        <v>38</v>
      </c>
      <c r="B703" s="21" t="s">
        <v>45</v>
      </c>
      <c r="C703" s="11"/>
      <c r="D703" s="11">
        <v>1984</v>
      </c>
    </row>
    <row r="704" spans="1:4" ht="19.95" customHeight="1" x14ac:dyDescent="0.25">
      <c r="A704" s="10" t="s">
        <v>39</v>
      </c>
      <c r="B704" s="21" t="s">
        <v>45</v>
      </c>
      <c r="C704" s="11"/>
      <c r="D704" s="11">
        <v>1984</v>
      </c>
    </row>
    <row r="705" spans="1:4" ht="19.95" customHeight="1" x14ac:dyDescent="0.25">
      <c r="A705" s="10" t="s">
        <v>40</v>
      </c>
      <c r="B705" s="21" t="s">
        <v>45</v>
      </c>
      <c r="C705" s="11"/>
      <c r="D705" s="11">
        <v>1984</v>
      </c>
    </row>
    <row r="706" spans="1:4" ht="19.95" customHeight="1" x14ac:dyDescent="0.25">
      <c r="A706" s="10" t="s">
        <v>10</v>
      </c>
      <c r="B706" s="21" t="s">
        <v>45</v>
      </c>
      <c r="C706" s="11"/>
      <c r="D706" s="11">
        <v>1985</v>
      </c>
    </row>
    <row r="707" spans="1:4" ht="19.95" customHeight="1" x14ac:dyDescent="0.25">
      <c r="A707" s="10" t="s">
        <v>13</v>
      </c>
      <c r="B707" s="21" t="s">
        <v>45</v>
      </c>
      <c r="C707" s="11"/>
      <c r="D707" s="11">
        <v>1985</v>
      </c>
    </row>
    <row r="708" spans="1:4" ht="19.95" customHeight="1" x14ac:dyDescent="0.25">
      <c r="A708" s="10" t="s">
        <v>15</v>
      </c>
      <c r="B708" s="21" t="s">
        <v>45</v>
      </c>
      <c r="C708" s="11"/>
      <c r="D708" s="11">
        <v>1985</v>
      </c>
    </row>
    <row r="709" spans="1:4" ht="19.95" customHeight="1" x14ac:dyDescent="0.25">
      <c r="A709" s="10" t="s">
        <v>16</v>
      </c>
      <c r="B709" s="21" t="s">
        <v>45</v>
      </c>
      <c r="C709" s="11"/>
      <c r="D709" s="11">
        <v>1985</v>
      </c>
    </row>
    <row r="710" spans="1:4" ht="19.95" customHeight="1" x14ac:dyDescent="0.25">
      <c r="A710" s="10" t="s">
        <v>17</v>
      </c>
      <c r="B710" s="21" t="s">
        <v>45</v>
      </c>
      <c r="C710" s="11"/>
      <c r="D710" s="11">
        <v>1985</v>
      </c>
    </row>
    <row r="711" spans="1:4" ht="19.95" customHeight="1" x14ac:dyDescent="0.25">
      <c r="A711" s="10" t="s">
        <v>2</v>
      </c>
      <c r="B711" s="21" t="s">
        <v>45</v>
      </c>
      <c r="C711" s="11"/>
      <c r="D711" s="11">
        <v>1985</v>
      </c>
    </row>
    <row r="712" spans="1:4" ht="19.95" customHeight="1" x14ac:dyDescent="0.25">
      <c r="A712" s="10" t="s">
        <v>18</v>
      </c>
      <c r="B712" s="21" t="s">
        <v>45</v>
      </c>
      <c r="C712" s="11"/>
      <c r="D712" s="11">
        <v>1985</v>
      </c>
    </row>
    <row r="713" spans="1:4" ht="19.95" customHeight="1" x14ac:dyDescent="0.25">
      <c r="A713" s="10" t="s">
        <v>19</v>
      </c>
      <c r="B713" s="21" t="s">
        <v>45</v>
      </c>
      <c r="C713" s="11"/>
      <c r="D713" s="11">
        <v>1985</v>
      </c>
    </row>
    <row r="714" spans="1:4" ht="19.95" customHeight="1" x14ac:dyDescent="0.25">
      <c r="A714" s="10" t="s">
        <v>20</v>
      </c>
      <c r="B714" s="21" t="s">
        <v>45</v>
      </c>
      <c r="C714" s="11"/>
      <c r="D714" s="11">
        <v>1985</v>
      </c>
    </row>
    <row r="715" spans="1:4" ht="19.95" customHeight="1" x14ac:dyDescent="0.25">
      <c r="A715" s="10" t="s">
        <v>21</v>
      </c>
      <c r="B715" s="21" t="s">
        <v>45</v>
      </c>
      <c r="C715" s="11"/>
      <c r="D715" s="11">
        <v>1985</v>
      </c>
    </row>
    <row r="716" spans="1:4" ht="19.95" customHeight="1" x14ac:dyDescent="0.25">
      <c r="A716" s="10" t="s">
        <v>22</v>
      </c>
      <c r="B716" s="21" t="s">
        <v>45</v>
      </c>
      <c r="C716" s="11"/>
      <c r="D716" s="11">
        <v>1985</v>
      </c>
    </row>
    <row r="717" spans="1:4" ht="19.95" customHeight="1" x14ac:dyDescent="0.25">
      <c r="A717" s="10" t="s">
        <v>23</v>
      </c>
      <c r="B717" s="21" t="s">
        <v>45</v>
      </c>
      <c r="C717" s="11"/>
      <c r="D717" s="11">
        <v>1985</v>
      </c>
    </row>
    <row r="718" spans="1:4" ht="19.95" customHeight="1" x14ac:dyDescent="0.25">
      <c r="A718" s="10" t="s">
        <v>24</v>
      </c>
      <c r="B718" s="21" t="s">
        <v>45</v>
      </c>
      <c r="C718" s="11"/>
      <c r="D718" s="11">
        <v>1985</v>
      </c>
    </row>
    <row r="719" spans="1:4" ht="19.95" customHeight="1" x14ac:dyDescent="0.25">
      <c r="A719" s="10" t="s">
        <v>25</v>
      </c>
      <c r="B719" s="21" t="s">
        <v>45</v>
      </c>
      <c r="C719" s="11"/>
      <c r="D719" s="11">
        <v>1985</v>
      </c>
    </row>
    <row r="720" spans="1:4" ht="19.95" customHeight="1" x14ac:dyDescent="0.25">
      <c r="A720" s="10" t="s">
        <v>26</v>
      </c>
      <c r="B720" s="21" t="s">
        <v>45</v>
      </c>
      <c r="C720" s="11"/>
      <c r="D720" s="11">
        <v>1985</v>
      </c>
    </row>
    <row r="721" spans="1:4" ht="19.95" customHeight="1" x14ac:dyDescent="0.25">
      <c r="A721" s="10" t="s">
        <v>27</v>
      </c>
      <c r="B721" s="21" t="s">
        <v>45</v>
      </c>
      <c r="C721" s="11"/>
      <c r="D721" s="11">
        <v>1985</v>
      </c>
    </row>
    <row r="722" spans="1:4" ht="19.95" customHeight="1" x14ac:dyDescent="0.25">
      <c r="A722" s="10" t="s">
        <v>29</v>
      </c>
      <c r="B722" s="21" t="s">
        <v>45</v>
      </c>
      <c r="C722" s="11"/>
      <c r="D722" s="11">
        <v>1985</v>
      </c>
    </row>
    <row r="723" spans="1:4" ht="19.95" customHeight="1" x14ac:dyDescent="0.25">
      <c r="A723" s="10" t="s">
        <v>30</v>
      </c>
      <c r="B723" s="21" t="s">
        <v>45</v>
      </c>
      <c r="C723" s="11"/>
      <c r="D723" s="11">
        <v>1985</v>
      </c>
    </row>
    <row r="724" spans="1:4" ht="19.95" customHeight="1" x14ac:dyDescent="0.25">
      <c r="A724" s="10" t="s">
        <v>31</v>
      </c>
      <c r="B724" s="21" t="s">
        <v>45</v>
      </c>
      <c r="C724" s="11"/>
      <c r="D724" s="11">
        <v>1985</v>
      </c>
    </row>
    <row r="725" spans="1:4" ht="19.95" customHeight="1" x14ac:dyDescent="0.25">
      <c r="A725" s="10" t="s">
        <v>32</v>
      </c>
      <c r="B725" s="21" t="s">
        <v>45</v>
      </c>
      <c r="C725" s="11"/>
      <c r="D725" s="11">
        <v>1985</v>
      </c>
    </row>
    <row r="726" spans="1:4" ht="19.95" customHeight="1" x14ac:dyDescent="0.25">
      <c r="A726" s="10" t="s">
        <v>33</v>
      </c>
      <c r="B726" s="21" t="s">
        <v>45</v>
      </c>
      <c r="C726" s="11"/>
      <c r="D726" s="11">
        <v>1985</v>
      </c>
    </row>
    <row r="727" spans="1:4" ht="19.95" customHeight="1" x14ac:dyDescent="0.25">
      <c r="A727" s="10" t="s">
        <v>34</v>
      </c>
      <c r="B727" s="21" t="s">
        <v>45</v>
      </c>
      <c r="C727" s="11"/>
      <c r="D727" s="11">
        <v>1985</v>
      </c>
    </row>
    <row r="728" spans="1:4" ht="19.95" customHeight="1" x14ac:dyDescent="0.25">
      <c r="A728" s="10" t="s">
        <v>35</v>
      </c>
      <c r="B728" s="21" t="s">
        <v>45</v>
      </c>
      <c r="C728" s="11"/>
      <c r="D728" s="11">
        <v>1985</v>
      </c>
    </row>
    <row r="729" spans="1:4" ht="19.95" customHeight="1" x14ac:dyDescent="0.25">
      <c r="A729" s="10" t="s">
        <v>36</v>
      </c>
      <c r="B729" s="21" t="s">
        <v>45</v>
      </c>
      <c r="C729" s="11"/>
      <c r="D729" s="11">
        <v>1985</v>
      </c>
    </row>
    <row r="730" spans="1:4" ht="19.95" customHeight="1" x14ac:dyDescent="0.25">
      <c r="A730" s="10" t="s">
        <v>37</v>
      </c>
      <c r="B730" s="21" t="s">
        <v>45</v>
      </c>
      <c r="C730" s="11"/>
      <c r="D730" s="11">
        <v>1985</v>
      </c>
    </row>
    <row r="731" spans="1:4" ht="19.95" customHeight="1" x14ac:dyDescent="0.25">
      <c r="A731" s="10" t="s">
        <v>38</v>
      </c>
      <c r="B731" s="21" t="s">
        <v>45</v>
      </c>
      <c r="C731" s="11"/>
      <c r="D731" s="11">
        <v>1985</v>
      </c>
    </row>
    <row r="732" spans="1:4" ht="19.95" customHeight="1" x14ac:dyDescent="0.25">
      <c r="A732" s="10" t="s">
        <v>39</v>
      </c>
      <c r="B732" s="21" t="s">
        <v>45</v>
      </c>
      <c r="C732" s="11"/>
      <c r="D732" s="11">
        <v>1985</v>
      </c>
    </row>
    <row r="733" spans="1:4" ht="19.95" customHeight="1" x14ac:dyDescent="0.25">
      <c r="A733" s="10" t="s">
        <v>40</v>
      </c>
      <c r="B733" s="21" t="s">
        <v>45</v>
      </c>
      <c r="C733" s="11"/>
      <c r="D733" s="11">
        <v>1985</v>
      </c>
    </row>
    <row r="734" spans="1:4" ht="19.95" customHeight="1" x14ac:dyDescent="0.25">
      <c r="A734" s="10" t="s">
        <v>10</v>
      </c>
      <c r="B734" s="21" t="s">
        <v>45</v>
      </c>
      <c r="C734" s="11"/>
      <c r="D734" s="11">
        <v>1986</v>
      </c>
    </row>
    <row r="735" spans="1:4" ht="19.95" customHeight="1" x14ac:dyDescent="0.25">
      <c r="A735" s="10" t="s">
        <v>13</v>
      </c>
      <c r="B735" s="21" t="s">
        <v>45</v>
      </c>
      <c r="C735" s="11"/>
      <c r="D735" s="11">
        <v>1986</v>
      </c>
    </row>
    <row r="736" spans="1:4" ht="19.95" customHeight="1" x14ac:dyDescent="0.25">
      <c r="A736" s="10" t="s">
        <v>15</v>
      </c>
      <c r="B736" s="21" t="s">
        <v>45</v>
      </c>
      <c r="C736" s="11"/>
      <c r="D736" s="11">
        <v>1986</v>
      </c>
    </row>
    <row r="737" spans="1:4" ht="19.95" customHeight="1" x14ac:dyDescent="0.25">
      <c r="A737" s="10" t="s">
        <v>16</v>
      </c>
      <c r="B737" s="21" t="s">
        <v>45</v>
      </c>
      <c r="C737" s="11"/>
      <c r="D737" s="11">
        <v>1986</v>
      </c>
    </row>
    <row r="738" spans="1:4" ht="19.95" customHeight="1" x14ac:dyDescent="0.25">
      <c r="A738" s="10" t="s">
        <v>17</v>
      </c>
      <c r="B738" s="21" t="s">
        <v>45</v>
      </c>
      <c r="C738" s="11"/>
      <c r="D738" s="11">
        <v>1986</v>
      </c>
    </row>
    <row r="739" spans="1:4" ht="19.95" customHeight="1" x14ac:dyDescent="0.25">
      <c r="A739" s="10" t="s">
        <v>2</v>
      </c>
      <c r="B739" s="21" t="s">
        <v>45</v>
      </c>
      <c r="C739" s="11"/>
      <c r="D739" s="11">
        <v>1986</v>
      </c>
    </row>
    <row r="740" spans="1:4" ht="19.95" customHeight="1" x14ac:dyDescent="0.25">
      <c r="A740" s="10" t="s">
        <v>18</v>
      </c>
      <c r="B740" s="21" t="s">
        <v>45</v>
      </c>
      <c r="C740" s="11"/>
      <c r="D740" s="11">
        <v>1986</v>
      </c>
    </row>
    <row r="741" spans="1:4" ht="19.95" customHeight="1" x14ac:dyDescent="0.25">
      <c r="A741" s="10" t="s">
        <v>19</v>
      </c>
      <c r="B741" s="21" t="s">
        <v>45</v>
      </c>
      <c r="C741" s="11"/>
      <c r="D741" s="11">
        <v>1986</v>
      </c>
    </row>
    <row r="742" spans="1:4" ht="19.95" customHeight="1" x14ac:dyDescent="0.25">
      <c r="A742" s="10" t="s">
        <v>20</v>
      </c>
      <c r="B742" s="21" t="s">
        <v>45</v>
      </c>
      <c r="C742" s="11"/>
      <c r="D742" s="11">
        <v>1986</v>
      </c>
    </row>
    <row r="743" spans="1:4" ht="19.95" customHeight="1" x14ac:dyDescent="0.25">
      <c r="A743" s="10" t="s">
        <v>21</v>
      </c>
      <c r="B743" s="21" t="s">
        <v>45</v>
      </c>
      <c r="C743" s="11"/>
      <c r="D743" s="11">
        <v>1986</v>
      </c>
    </row>
    <row r="744" spans="1:4" ht="19.95" customHeight="1" x14ac:dyDescent="0.25">
      <c r="A744" s="10" t="s">
        <v>22</v>
      </c>
      <c r="B744" s="21" t="s">
        <v>45</v>
      </c>
      <c r="C744" s="11"/>
      <c r="D744" s="11">
        <v>1986</v>
      </c>
    </row>
    <row r="745" spans="1:4" ht="19.95" customHeight="1" x14ac:dyDescent="0.25">
      <c r="A745" s="10" t="s">
        <v>23</v>
      </c>
      <c r="B745" s="21" t="s">
        <v>45</v>
      </c>
      <c r="C745" s="11"/>
      <c r="D745" s="11">
        <v>1986</v>
      </c>
    </row>
    <row r="746" spans="1:4" ht="19.95" customHeight="1" x14ac:dyDescent="0.25">
      <c r="A746" s="10" t="s">
        <v>24</v>
      </c>
      <c r="B746" s="21" t="s">
        <v>45</v>
      </c>
      <c r="C746" s="11"/>
      <c r="D746" s="11">
        <v>1986</v>
      </c>
    </row>
    <row r="747" spans="1:4" ht="19.95" customHeight="1" x14ac:dyDescent="0.25">
      <c r="A747" s="10" t="s">
        <v>25</v>
      </c>
      <c r="B747" s="21" t="s">
        <v>45</v>
      </c>
      <c r="C747" s="11"/>
      <c r="D747" s="11">
        <v>1986</v>
      </c>
    </row>
    <row r="748" spans="1:4" ht="19.95" customHeight="1" x14ac:dyDescent="0.25">
      <c r="A748" s="10" t="s">
        <v>26</v>
      </c>
      <c r="B748" s="21" t="s">
        <v>45</v>
      </c>
      <c r="C748" s="11"/>
      <c r="D748" s="11">
        <v>1986</v>
      </c>
    </row>
    <row r="749" spans="1:4" ht="19.95" customHeight="1" x14ac:dyDescent="0.25">
      <c r="A749" s="10" t="s">
        <v>27</v>
      </c>
      <c r="B749" s="21" t="s">
        <v>45</v>
      </c>
      <c r="C749" s="11"/>
      <c r="D749" s="11">
        <v>1986</v>
      </c>
    </row>
    <row r="750" spans="1:4" ht="19.95" customHeight="1" x14ac:dyDescent="0.25">
      <c r="A750" s="10" t="s">
        <v>29</v>
      </c>
      <c r="B750" s="21" t="s">
        <v>45</v>
      </c>
      <c r="C750" s="11"/>
      <c r="D750" s="11">
        <v>1986</v>
      </c>
    </row>
    <row r="751" spans="1:4" ht="19.95" customHeight="1" x14ac:dyDescent="0.25">
      <c r="A751" s="10" t="s">
        <v>30</v>
      </c>
      <c r="B751" s="21" t="s">
        <v>45</v>
      </c>
      <c r="C751" s="11"/>
      <c r="D751" s="11">
        <v>1986</v>
      </c>
    </row>
    <row r="752" spans="1:4" ht="19.95" customHeight="1" x14ac:dyDescent="0.25">
      <c r="A752" s="10" t="s">
        <v>31</v>
      </c>
      <c r="B752" s="21" t="s">
        <v>45</v>
      </c>
      <c r="C752" s="11"/>
      <c r="D752" s="11">
        <v>1986</v>
      </c>
    </row>
    <row r="753" spans="1:4" ht="19.95" customHeight="1" x14ac:dyDescent="0.25">
      <c r="A753" s="10" t="s">
        <v>32</v>
      </c>
      <c r="B753" s="21" t="s">
        <v>45</v>
      </c>
      <c r="C753" s="11"/>
      <c r="D753" s="11">
        <v>1986</v>
      </c>
    </row>
    <row r="754" spans="1:4" ht="19.95" customHeight="1" x14ac:dyDescent="0.25">
      <c r="A754" s="10" t="s">
        <v>33</v>
      </c>
      <c r="B754" s="21" t="s">
        <v>45</v>
      </c>
      <c r="C754" s="11"/>
      <c r="D754" s="11">
        <v>1986</v>
      </c>
    </row>
    <row r="755" spans="1:4" ht="19.95" customHeight="1" x14ac:dyDescent="0.25">
      <c r="A755" s="10" t="s">
        <v>34</v>
      </c>
      <c r="B755" s="21" t="s">
        <v>45</v>
      </c>
      <c r="C755" s="11"/>
      <c r="D755" s="11">
        <v>1986</v>
      </c>
    </row>
    <row r="756" spans="1:4" ht="19.95" customHeight="1" x14ac:dyDescent="0.25">
      <c r="A756" s="10" t="s">
        <v>35</v>
      </c>
      <c r="B756" s="21" t="s">
        <v>45</v>
      </c>
      <c r="C756" s="11"/>
      <c r="D756" s="11">
        <v>1986</v>
      </c>
    </row>
    <row r="757" spans="1:4" ht="19.95" customHeight="1" x14ac:dyDescent="0.25">
      <c r="A757" s="10" t="s">
        <v>36</v>
      </c>
      <c r="B757" s="21" t="s">
        <v>45</v>
      </c>
      <c r="C757" s="11"/>
      <c r="D757" s="11">
        <v>1986</v>
      </c>
    </row>
    <row r="758" spans="1:4" ht="19.95" customHeight="1" x14ac:dyDescent="0.25">
      <c r="A758" s="10" t="s">
        <v>37</v>
      </c>
      <c r="B758" s="21" t="s">
        <v>45</v>
      </c>
      <c r="C758" s="11"/>
      <c r="D758" s="11">
        <v>1986</v>
      </c>
    </row>
    <row r="759" spans="1:4" ht="19.95" customHeight="1" x14ac:dyDescent="0.25">
      <c r="A759" s="10" t="s">
        <v>38</v>
      </c>
      <c r="B759" s="21" t="s">
        <v>45</v>
      </c>
      <c r="C759" s="11"/>
      <c r="D759" s="11">
        <v>1986</v>
      </c>
    </row>
    <row r="760" spans="1:4" ht="19.95" customHeight="1" x14ac:dyDescent="0.25">
      <c r="A760" s="10" t="s">
        <v>39</v>
      </c>
      <c r="B760" s="21" t="s">
        <v>45</v>
      </c>
      <c r="C760" s="11"/>
      <c r="D760" s="11">
        <v>1986</v>
      </c>
    </row>
    <row r="761" spans="1:4" ht="19.95" customHeight="1" x14ac:dyDescent="0.25">
      <c r="A761" s="10" t="s">
        <v>40</v>
      </c>
      <c r="B761" s="21" t="s">
        <v>45</v>
      </c>
      <c r="C761" s="11"/>
      <c r="D761" s="11">
        <v>1986</v>
      </c>
    </row>
    <row r="762" spans="1:4" ht="19.95" customHeight="1" x14ac:dyDescent="0.25">
      <c r="A762" s="10" t="s">
        <v>10</v>
      </c>
      <c r="B762" s="21" t="s">
        <v>45</v>
      </c>
      <c r="C762" s="11"/>
      <c r="D762" s="11">
        <v>1987</v>
      </c>
    </row>
    <row r="763" spans="1:4" ht="19.95" customHeight="1" x14ac:dyDescent="0.25">
      <c r="A763" s="10" t="s">
        <v>13</v>
      </c>
      <c r="B763" s="21" t="s">
        <v>45</v>
      </c>
      <c r="C763" s="11"/>
      <c r="D763" s="11">
        <v>1987</v>
      </c>
    </row>
    <row r="764" spans="1:4" ht="19.95" customHeight="1" x14ac:dyDescent="0.25">
      <c r="A764" s="10" t="s">
        <v>15</v>
      </c>
      <c r="B764" s="21" t="s">
        <v>45</v>
      </c>
      <c r="C764" s="11"/>
      <c r="D764" s="11">
        <v>1987</v>
      </c>
    </row>
    <row r="765" spans="1:4" ht="19.95" customHeight="1" x14ac:dyDescent="0.25">
      <c r="A765" s="10" t="s">
        <v>16</v>
      </c>
      <c r="B765" s="21" t="s">
        <v>45</v>
      </c>
      <c r="C765" s="11"/>
      <c r="D765" s="11">
        <v>1987</v>
      </c>
    </row>
    <row r="766" spans="1:4" ht="19.95" customHeight="1" x14ac:dyDescent="0.25">
      <c r="A766" s="10" t="s">
        <v>17</v>
      </c>
      <c r="B766" s="21" t="s">
        <v>45</v>
      </c>
      <c r="C766" s="11"/>
      <c r="D766" s="11">
        <v>1987</v>
      </c>
    </row>
    <row r="767" spans="1:4" ht="19.95" customHeight="1" x14ac:dyDescent="0.25">
      <c r="A767" s="10" t="s">
        <v>2</v>
      </c>
      <c r="B767" s="21" t="s">
        <v>45</v>
      </c>
      <c r="C767" s="11"/>
      <c r="D767" s="11">
        <v>1987</v>
      </c>
    </row>
    <row r="768" spans="1:4" ht="19.95" customHeight="1" x14ac:dyDescent="0.25">
      <c r="A768" s="10" t="s">
        <v>18</v>
      </c>
      <c r="B768" s="21" t="s">
        <v>45</v>
      </c>
      <c r="C768" s="11"/>
      <c r="D768" s="11">
        <v>1987</v>
      </c>
    </row>
    <row r="769" spans="1:4" ht="19.95" customHeight="1" x14ac:dyDescent="0.25">
      <c r="A769" s="10" t="s">
        <v>19</v>
      </c>
      <c r="B769" s="21" t="s">
        <v>45</v>
      </c>
      <c r="C769" s="11"/>
      <c r="D769" s="11">
        <v>1987</v>
      </c>
    </row>
    <row r="770" spans="1:4" ht="19.95" customHeight="1" x14ac:dyDescent="0.25">
      <c r="A770" s="10" t="s">
        <v>20</v>
      </c>
      <c r="B770" s="21" t="s">
        <v>45</v>
      </c>
      <c r="C770" s="11"/>
      <c r="D770" s="11">
        <v>1987</v>
      </c>
    </row>
    <row r="771" spans="1:4" ht="19.95" customHeight="1" x14ac:dyDescent="0.25">
      <c r="A771" s="10" t="s">
        <v>21</v>
      </c>
      <c r="B771" s="21" t="s">
        <v>45</v>
      </c>
      <c r="C771" s="11"/>
      <c r="D771" s="11">
        <v>1987</v>
      </c>
    </row>
    <row r="772" spans="1:4" ht="19.95" customHeight="1" x14ac:dyDescent="0.25">
      <c r="A772" s="10" t="s">
        <v>22</v>
      </c>
      <c r="B772" s="21" t="s">
        <v>45</v>
      </c>
      <c r="C772" s="11"/>
      <c r="D772" s="11">
        <v>1987</v>
      </c>
    </row>
    <row r="773" spans="1:4" ht="19.95" customHeight="1" x14ac:dyDescent="0.25">
      <c r="A773" s="10" t="s">
        <v>23</v>
      </c>
      <c r="B773" s="21" t="s">
        <v>45</v>
      </c>
      <c r="C773" s="11"/>
      <c r="D773" s="11">
        <v>1987</v>
      </c>
    </row>
    <row r="774" spans="1:4" ht="19.95" customHeight="1" x14ac:dyDescent="0.25">
      <c r="A774" s="10" t="s">
        <v>24</v>
      </c>
      <c r="B774" s="21" t="s">
        <v>45</v>
      </c>
      <c r="C774" s="11"/>
      <c r="D774" s="11">
        <v>1987</v>
      </c>
    </row>
    <row r="775" spans="1:4" ht="19.95" customHeight="1" x14ac:dyDescent="0.25">
      <c r="A775" s="10" t="s">
        <v>25</v>
      </c>
      <c r="B775" s="21" t="s">
        <v>45</v>
      </c>
      <c r="C775" s="11"/>
      <c r="D775" s="11">
        <v>1987</v>
      </c>
    </row>
    <row r="776" spans="1:4" ht="19.95" customHeight="1" x14ac:dyDescent="0.25">
      <c r="A776" s="10" t="s">
        <v>26</v>
      </c>
      <c r="B776" s="21" t="s">
        <v>45</v>
      </c>
      <c r="C776" s="11"/>
      <c r="D776" s="11">
        <v>1987</v>
      </c>
    </row>
    <row r="777" spans="1:4" ht="19.95" customHeight="1" x14ac:dyDescent="0.25">
      <c r="A777" s="10" t="s">
        <v>27</v>
      </c>
      <c r="B777" s="21" t="s">
        <v>45</v>
      </c>
      <c r="C777" s="11"/>
      <c r="D777" s="11">
        <v>1987</v>
      </c>
    </row>
    <row r="778" spans="1:4" ht="19.95" customHeight="1" x14ac:dyDescent="0.25">
      <c r="A778" s="10" t="s">
        <v>29</v>
      </c>
      <c r="B778" s="21" t="s">
        <v>45</v>
      </c>
      <c r="C778" s="11"/>
      <c r="D778" s="11">
        <v>1987</v>
      </c>
    </row>
    <row r="779" spans="1:4" ht="19.95" customHeight="1" x14ac:dyDescent="0.25">
      <c r="A779" s="10" t="s">
        <v>30</v>
      </c>
      <c r="B779" s="21" t="s">
        <v>45</v>
      </c>
      <c r="C779" s="11"/>
      <c r="D779" s="11">
        <v>1987</v>
      </c>
    </row>
    <row r="780" spans="1:4" ht="19.95" customHeight="1" x14ac:dyDescent="0.25">
      <c r="A780" s="10" t="s">
        <v>31</v>
      </c>
      <c r="B780" s="21" t="s">
        <v>45</v>
      </c>
      <c r="C780" s="11"/>
      <c r="D780" s="11">
        <v>1987</v>
      </c>
    </row>
    <row r="781" spans="1:4" ht="19.95" customHeight="1" x14ac:dyDescent="0.25">
      <c r="A781" s="10" t="s">
        <v>32</v>
      </c>
      <c r="B781" s="21" t="s">
        <v>45</v>
      </c>
      <c r="C781" s="11"/>
      <c r="D781" s="11">
        <v>1987</v>
      </c>
    </row>
    <row r="782" spans="1:4" ht="19.95" customHeight="1" x14ac:dyDescent="0.25">
      <c r="A782" s="10" t="s">
        <v>33</v>
      </c>
      <c r="B782" s="21" t="s">
        <v>45</v>
      </c>
      <c r="C782" s="11"/>
      <c r="D782" s="11">
        <v>1987</v>
      </c>
    </row>
    <row r="783" spans="1:4" ht="19.95" customHeight="1" x14ac:dyDescent="0.25">
      <c r="A783" s="10" t="s">
        <v>34</v>
      </c>
      <c r="B783" s="21" t="s">
        <v>45</v>
      </c>
      <c r="C783" s="11"/>
      <c r="D783" s="11">
        <v>1987</v>
      </c>
    </row>
    <row r="784" spans="1:4" ht="19.95" customHeight="1" x14ac:dyDescent="0.25">
      <c r="A784" s="10" t="s">
        <v>35</v>
      </c>
      <c r="B784" s="21" t="s">
        <v>45</v>
      </c>
      <c r="C784" s="11"/>
      <c r="D784" s="11">
        <v>1987</v>
      </c>
    </row>
    <row r="785" spans="1:4" ht="19.95" customHeight="1" x14ac:dyDescent="0.25">
      <c r="A785" s="10" t="s">
        <v>36</v>
      </c>
      <c r="B785" s="21" t="s">
        <v>45</v>
      </c>
      <c r="C785" s="11"/>
      <c r="D785" s="11">
        <v>1987</v>
      </c>
    </row>
    <row r="786" spans="1:4" ht="19.95" customHeight="1" x14ac:dyDescent="0.25">
      <c r="A786" s="10" t="s">
        <v>37</v>
      </c>
      <c r="B786" s="21" t="s">
        <v>45</v>
      </c>
      <c r="C786" s="11"/>
      <c r="D786" s="11">
        <v>1987</v>
      </c>
    </row>
    <row r="787" spans="1:4" ht="19.95" customHeight="1" x14ac:dyDescent="0.25">
      <c r="A787" s="10" t="s">
        <v>38</v>
      </c>
      <c r="B787" s="21" t="s">
        <v>45</v>
      </c>
      <c r="C787" s="11"/>
      <c r="D787" s="11">
        <v>1987</v>
      </c>
    </row>
    <row r="788" spans="1:4" ht="19.95" customHeight="1" x14ac:dyDescent="0.25">
      <c r="A788" s="10" t="s">
        <v>39</v>
      </c>
      <c r="B788" s="21" t="s">
        <v>45</v>
      </c>
      <c r="C788" s="11"/>
      <c r="D788" s="11">
        <v>1987</v>
      </c>
    </row>
    <row r="789" spans="1:4" ht="19.95" customHeight="1" x14ac:dyDescent="0.25">
      <c r="A789" s="10" t="s">
        <v>40</v>
      </c>
      <c r="B789" s="21" t="s">
        <v>45</v>
      </c>
      <c r="C789" s="11"/>
      <c r="D789" s="11">
        <v>1987</v>
      </c>
    </row>
    <row r="790" spans="1:4" ht="19.95" customHeight="1" x14ac:dyDescent="0.25">
      <c r="A790" s="10" t="s">
        <v>10</v>
      </c>
      <c r="B790" s="21" t="s">
        <v>45</v>
      </c>
      <c r="C790" s="11"/>
      <c r="D790" s="11">
        <v>1988</v>
      </c>
    </row>
    <row r="791" spans="1:4" ht="19.95" customHeight="1" x14ac:dyDescent="0.25">
      <c r="A791" s="10" t="s">
        <v>13</v>
      </c>
      <c r="B791" s="21" t="s">
        <v>45</v>
      </c>
      <c r="C791" s="11"/>
      <c r="D791" s="11">
        <v>1988</v>
      </c>
    </row>
    <row r="792" spans="1:4" ht="19.95" customHeight="1" x14ac:dyDescent="0.25">
      <c r="A792" s="10" t="s">
        <v>15</v>
      </c>
      <c r="B792" s="21" t="s">
        <v>45</v>
      </c>
      <c r="C792" s="11"/>
      <c r="D792" s="11">
        <v>1988</v>
      </c>
    </row>
    <row r="793" spans="1:4" ht="19.95" customHeight="1" x14ac:dyDescent="0.25">
      <c r="A793" s="10" t="s">
        <v>16</v>
      </c>
      <c r="B793" s="21" t="s">
        <v>45</v>
      </c>
      <c r="C793" s="11"/>
      <c r="D793" s="11">
        <v>1988</v>
      </c>
    </row>
    <row r="794" spans="1:4" ht="19.95" customHeight="1" x14ac:dyDescent="0.25">
      <c r="A794" s="10" t="s">
        <v>17</v>
      </c>
      <c r="B794" s="21" t="s">
        <v>45</v>
      </c>
      <c r="C794" s="11"/>
      <c r="D794" s="11">
        <v>1988</v>
      </c>
    </row>
    <row r="795" spans="1:4" ht="19.95" customHeight="1" x14ac:dyDescent="0.25">
      <c r="A795" s="10" t="s">
        <v>2</v>
      </c>
      <c r="B795" s="21" t="s">
        <v>45</v>
      </c>
      <c r="C795" s="11"/>
      <c r="D795" s="11">
        <v>1988</v>
      </c>
    </row>
    <row r="796" spans="1:4" ht="19.95" customHeight="1" x14ac:dyDescent="0.25">
      <c r="A796" s="10" t="s">
        <v>18</v>
      </c>
      <c r="B796" s="21" t="s">
        <v>45</v>
      </c>
      <c r="C796" s="11"/>
      <c r="D796" s="11">
        <v>1988</v>
      </c>
    </row>
    <row r="797" spans="1:4" ht="19.95" customHeight="1" x14ac:dyDescent="0.25">
      <c r="A797" s="10" t="s">
        <v>19</v>
      </c>
      <c r="B797" s="21" t="s">
        <v>45</v>
      </c>
      <c r="C797" s="11"/>
      <c r="D797" s="11">
        <v>1988</v>
      </c>
    </row>
    <row r="798" spans="1:4" ht="19.95" customHeight="1" x14ac:dyDescent="0.25">
      <c r="A798" s="10" t="s">
        <v>20</v>
      </c>
      <c r="B798" s="21" t="s">
        <v>45</v>
      </c>
      <c r="C798" s="11"/>
      <c r="D798" s="11">
        <v>1988</v>
      </c>
    </row>
    <row r="799" spans="1:4" ht="19.95" customHeight="1" x14ac:dyDescent="0.25">
      <c r="A799" s="10" t="s">
        <v>21</v>
      </c>
      <c r="B799" s="21" t="s">
        <v>45</v>
      </c>
      <c r="C799" s="11"/>
      <c r="D799" s="11">
        <v>1988</v>
      </c>
    </row>
    <row r="800" spans="1:4" ht="19.95" customHeight="1" x14ac:dyDescent="0.25">
      <c r="A800" s="10" t="s">
        <v>22</v>
      </c>
      <c r="B800" s="21" t="s">
        <v>45</v>
      </c>
      <c r="C800" s="11"/>
      <c r="D800" s="11">
        <v>1988</v>
      </c>
    </row>
    <row r="801" spans="1:4" ht="19.95" customHeight="1" x14ac:dyDescent="0.25">
      <c r="A801" s="10" t="s">
        <v>23</v>
      </c>
      <c r="B801" s="21" t="s">
        <v>45</v>
      </c>
      <c r="C801" s="11"/>
      <c r="D801" s="11">
        <v>1988</v>
      </c>
    </row>
    <row r="802" spans="1:4" ht="19.95" customHeight="1" x14ac:dyDescent="0.25">
      <c r="A802" s="10" t="s">
        <v>24</v>
      </c>
      <c r="B802" s="21" t="s">
        <v>45</v>
      </c>
      <c r="C802" s="11"/>
      <c r="D802" s="11">
        <v>1988</v>
      </c>
    </row>
    <row r="803" spans="1:4" ht="19.95" customHeight="1" x14ac:dyDescent="0.25">
      <c r="A803" s="10" t="s">
        <v>25</v>
      </c>
      <c r="B803" s="21" t="s">
        <v>45</v>
      </c>
      <c r="C803" s="11"/>
      <c r="D803" s="11">
        <v>1988</v>
      </c>
    </row>
    <row r="804" spans="1:4" ht="19.95" customHeight="1" x14ac:dyDescent="0.25">
      <c r="A804" s="10" t="s">
        <v>26</v>
      </c>
      <c r="B804" s="21" t="s">
        <v>45</v>
      </c>
      <c r="C804" s="11"/>
      <c r="D804" s="11">
        <v>1988</v>
      </c>
    </row>
    <row r="805" spans="1:4" ht="19.95" customHeight="1" x14ac:dyDescent="0.25">
      <c r="A805" s="10" t="s">
        <v>27</v>
      </c>
      <c r="B805" s="21" t="s">
        <v>45</v>
      </c>
      <c r="C805" s="11"/>
      <c r="D805" s="11">
        <v>1988</v>
      </c>
    </row>
    <row r="806" spans="1:4" ht="19.95" customHeight="1" x14ac:dyDescent="0.25">
      <c r="A806" s="10" t="s">
        <v>29</v>
      </c>
      <c r="B806" s="21" t="s">
        <v>45</v>
      </c>
      <c r="C806" s="11"/>
      <c r="D806" s="11">
        <v>1988</v>
      </c>
    </row>
    <row r="807" spans="1:4" ht="19.95" customHeight="1" x14ac:dyDescent="0.25">
      <c r="A807" s="10" t="s">
        <v>30</v>
      </c>
      <c r="B807" s="21" t="s">
        <v>45</v>
      </c>
      <c r="C807" s="11"/>
      <c r="D807" s="11">
        <v>1988</v>
      </c>
    </row>
    <row r="808" spans="1:4" ht="19.95" customHeight="1" x14ac:dyDescent="0.25">
      <c r="A808" s="10" t="s">
        <v>31</v>
      </c>
      <c r="B808" s="21" t="s">
        <v>45</v>
      </c>
      <c r="C808" s="11"/>
      <c r="D808" s="11">
        <v>1988</v>
      </c>
    </row>
    <row r="809" spans="1:4" ht="19.95" customHeight="1" x14ac:dyDescent="0.25">
      <c r="A809" s="10" t="s">
        <v>32</v>
      </c>
      <c r="B809" s="21" t="s">
        <v>45</v>
      </c>
      <c r="C809" s="11"/>
      <c r="D809" s="11">
        <v>1988</v>
      </c>
    </row>
    <row r="810" spans="1:4" ht="19.95" customHeight="1" x14ac:dyDescent="0.25">
      <c r="A810" s="10" t="s">
        <v>33</v>
      </c>
      <c r="B810" s="21" t="s">
        <v>45</v>
      </c>
      <c r="C810" s="11"/>
      <c r="D810" s="11">
        <v>1988</v>
      </c>
    </row>
    <row r="811" spans="1:4" ht="19.95" customHeight="1" x14ac:dyDescent="0.25">
      <c r="A811" s="10" t="s">
        <v>34</v>
      </c>
      <c r="B811" s="21" t="s">
        <v>45</v>
      </c>
      <c r="C811" s="11"/>
      <c r="D811" s="11">
        <v>1988</v>
      </c>
    </row>
    <row r="812" spans="1:4" ht="19.95" customHeight="1" x14ac:dyDescent="0.25">
      <c r="A812" s="10" t="s">
        <v>35</v>
      </c>
      <c r="B812" s="21" t="s">
        <v>45</v>
      </c>
      <c r="C812" s="11"/>
      <c r="D812" s="11">
        <v>1988</v>
      </c>
    </row>
    <row r="813" spans="1:4" ht="19.95" customHeight="1" x14ac:dyDescent="0.25">
      <c r="A813" s="10" t="s">
        <v>36</v>
      </c>
      <c r="B813" s="21" t="s">
        <v>45</v>
      </c>
      <c r="C813" s="11"/>
      <c r="D813" s="11">
        <v>1988</v>
      </c>
    </row>
    <row r="814" spans="1:4" ht="19.95" customHeight="1" x14ac:dyDescent="0.25">
      <c r="A814" s="10" t="s">
        <v>37</v>
      </c>
      <c r="B814" s="21" t="s">
        <v>45</v>
      </c>
      <c r="C814" s="11"/>
      <c r="D814" s="11">
        <v>1988</v>
      </c>
    </row>
    <row r="815" spans="1:4" ht="19.95" customHeight="1" x14ac:dyDescent="0.25">
      <c r="A815" s="10" t="s">
        <v>38</v>
      </c>
      <c r="B815" s="21" t="s">
        <v>45</v>
      </c>
      <c r="C815" s="11"/>
      <c r="D815" s="11">
        <v>1988</v>
      </c>
    </row>
    <row r="816" spans="1:4" ht="19.95" customHeight="1" x14ac:dyDescent="0.25">
      <c r="A816" s="10" t="s">
        <v>39</v>
      </c>
      <c r="B816" s="21" t="s">
        <v>45</v>
      </c>
      <c r="C816" s="11"/>
      <c r="D816" s="11">
        <v>1988</v>
      </c>
    </row>
    <row r="817" spans="1:4" ht="19.95" customHeight="1" x14ac:dyDescent="0.25">
      <c r="A817" s="10" t="s">
        <v>40</v>
      </c>
      <c r="B817" s="21" t="s">
        <v>45</v>
      </c>
      <c r="C817" s="11"/>
      <c r="D817" s="11">
        <v>1988</v>
      </c>
    </row>
    <row r="818" spans="1:4" ht="19.95" customHeight="1" x14ac:dyDescent="0.25">
      <c r="A818" s="10" t="s">
        <v>10</v>
      </c>
      <c r="B818" s="21" t="s">
        <v>45</v>
      </c>
      <c r="C818" s="11"/>
      <c r="D818" s="11">
        <v>1989</v>
      </c>
    </row>
    <row r="819" spans="1:4" ht="19.95" customHeight="1" x14ac:dyDescent="0.25">
      <c r="A819" s="10" t="s">
        <v>13</v>
      </c>
      <c r="B819" s="21" t="s">
        <v>45</v>
      </c>
      <c r="C819" s="11"/>
      <c r="D819" s="11">
        <v>1989</v>
      </c>
    </row>
    <row r="820" spans="1:4" ht="19.95" customHeight="1" x14ac:dyDescent="0.25">
      <c r="A820" s="10" t="s">
        <v>15</v>
      </c>
      <c r="B820" s="21" t="s">
        <v>45</v>
      </c>
      <c r="C820" s="11"/>
      <c r="D820" s="11">
        <v>1989</v>
      </c>
    </row>
    <row r="821" spans="1:4" ht="19.95" customHeight="1" x14ac:dyDescent="0.25">
      <c r="A821" s="10" t="s">
        <v>16</v>
      </c>
      <c r="B821" s="21" t="s">
        <v>45</v>
      </c>
      <c r="C821" s="11"/>
      <c r="D821" s="11">
        <v>1989</v>
      </c>
    </row>
    <row r="822" spans="1:4" ht="19.95" customHeight="1" x14ac:dyDescent="0.25">
      <c r="A822" s="10" t="s">
        <v>17</v>
      </c>
      <c r="B822" s="21" t="s">
        <v>45</v>
      </c>
      <c r="C822" s="11"/>
      <c r="D822" s="11">
        <v>1989</v>
      </c>
    </row>
    <row r="823" spans="1:4" ht="19.95" customHeight="1" x14ac:dyDescent="0.25">
      <c r="A823" s="10" t="s">
        <v>2</v>
      </c>
      <c r="B823" s="21" t="s">
        <v>45</v>
      </c>
      <c r="C823" s="11"/>
      <c r="D823" s="11">
        <v>1989</v>
      </c>
    </row>
    <row r="824" spans="1:4" ht="19.95" customHeight="1" x14ac:dyDescent="0.25">
      <c r="A824" s="10" t="s">
        <v>18</v>
      </c>
      <c r="B824" s="21" t="s">
        <v>45</v>
      </c>
      <c r="C824" s="11"/>
      <c r="D824" s="11">
        <v>1989</v>
      </c>
    </row>
    <row r="825" spans="1:4" ht="19.95" customHeight="1" x14ac:dyDescent="0.25">
      <c r="A825" s="10" t="s">
        <v>19</v>
      </c>
      <c r="B825" s="21" t="s">
        <v>45</v>
      </c>
      <c r="C825" s="11"/>
      <c r="D825" s="11">
        <v>1989</v>
      </c>
    </row>
    <row r="826" spans="1:4" ht="19.95" customHeight="1" x14ac:dyDescent="0.25">
      <c r="A826" s="10" t="s">
        <v>20</v>
      </c>
      <c r="B826" s="21" t="s">
        <v>45</v>
      </c>
      <c r="C826" s="11"/>
      <c r="D826" s="11">
        <v>1989</v>
      </c>
    </row>
    <row r="827" spans="1:4" ht="19.95" customHeight="1" x14ac:dyDescent="0.25">
      <c r="A827" s="10" t="s">
        <v>21</v>
      </c>
      <c r="B827" s="21" t="s">
        <v>45</v>
      </c>
      <c r="C827" s="11"/>
      <c r="D827" s="11">
        <v>1989</v>
      </c>
    </row>
    <row r="828" spans="1:4" ht="19.95" customHeight="1" x14ac:dyDescent="0.25">
      <c r="A828" s="10" t="s">
        <v>22</v>
      </c>
      <c r="B828" s="21" t="s">
        <v>45</v>
      </c>
      <c r="C828" s="11"/>
      <c r="D828" s="11">
        <v>1989</v>
      </c>
    </row>
    <row r="829" spans="1:4" ht="19.95" customHeight="1" x14ac:dyDescent="0.25">
      <c r="A829" s="10" t="s">
        <v>23</v>
      </c>
      <c r="B829" s="21" t="s">
        <v>45</v>
      </c>
      <c r="C829" s="11"/>
      <c r="D829" s="11">
        <v>1989</v>
      </c>
    </row>
    <row r="830" spans="1:4" ht="19.95" customHeight="1" x14ac:dyDescent="0.25">
      <c r="A830" s="10" t="s">
        <v>24</v>
      </c>
      <c r="B830" s="21" t="s">
        <v>45</v>
      </c>
      <c r="C830" s="11"/>
      <c r="D830" s="11">
        <v>1989</v>
      </c>
    </row>
    <row r="831" spans="1:4" ht="19.95" customHeight="1" x14ac:dyDescent="0.25">
      <c r="A831" s="10" t="s">
        <v>25</v>
      </c>
      <c r="B831" s="21" t="s">
        <v>45</v>
      </c>
      <c r="C831" s="11"/>
      <c r="D831" s="11">
        <v>1989</v>
      </c>
    </row>
    <row r="832" spans="1:4" ht="19.95" customHeight="1" x14ac:dyDescent="0.25">
      <c r="A832" s="10" t="s">
        <v>26</v>
      </c>
      <c r="B832" s="21" t="s">
        <v>45</v>
      </c>
      <c r="C832" s="11"/>
      <c r="D832" s="11">
        <v>1989</v>
      </c>
    </row>
    <row r="833" spans="1:4" ht="19.95" customHeight="1" x14ac:dyDescent="0.25">
      <c r="A833" s="10" t="s">
        <v>27</v>
      </c>
      <c r="B833" s="21" t="s">
        <v>45</v>
      </c>
      <c r="C833" s="11"/>
      <c r="D833" s="11">
        <v>1989</v>
      </c>
    </row>
    <row r="834" spans="1:4" ht="19.95" customHeight="1" x14ac:dyDescent="0.25">
      <c r="A834" s="10" t="s">
        <v>29</v>
      </c>
      <c r="B834" s="21" t="s">
        <v>45</v>
      </c>
      <c r="C834" s="11"/>
      <c r="D834" s="11">
        <v>1989</v>
      </c>
    </row>
    <row r="835" spans="1:4" ht="19.95" customHeight="1" x14ac:dyDescent="0.25">
      <c r="A835" s="10" t="s">
        <v>30</v>
      </c>
      <c r="B835" s="21" t="s">
        <v>45</v>
      </c>
      <c r="C835" s="11"/>
      <c r="D835" s="11">
        <v>1989</v>
      </c>
    </row>
    <row r="836" spans="1:4" ht="19.95" customHeight="1" x14ac:dyDescent="0.25">
      <c r="A836" s="10" t="s">
        <v>31</v>
      </c>
      <c r="B836" s="21" t="s">
        <v>45</v>
      </c>
      <c r="C836" s="11"/>
      <c r="D836" s="11">
        <v>1989</v>
      </c>
    </row>
    <row r="837" spans="1:4" ht="19.95" customHeight="1" x14ac:dyDescent="0.25">
      <c r="A837" s="10" t="s">
        <v>32</v>
      </c>
      <c r="B837" s="21" t="s">
        <v>45</v>
      </c>
      <c r="C837" s="11"/>
      <c r="D837" s="11">
        <v>1989</v>
      </c>
    </row>
    <row r="838" spans="1:4" ht="19.95" customHeight="1" x14ac:dyDescent="0.25">
      <c r="A838" s="10" t="s">
        <v>33</v>
      </c>
      <c r="B838" s="21" t="s">
        <v>45</v>
      </c>
      <c r="C838" s="11"/>
      <c r="D838" s="11">
        <v>1989</v>
      </c>
    </row>
    <row r="839" spans="1:4" ht="19.95" customHeight="1" x14ac:dyDescent="0.25">
      <c r="A839" s="10" t="s">
        <v>34</v>
      </c>
      <c r="B839" s="21" t="s">
        <v>45</v>
      </c>
      <c r="C839" s="11"/>
      <c r="D839" s="11">
        <v>1989</v>
      </c>
    </row>
    <row r="840" spans="1:4" ht="19.95" customHeight="1" x14ac:dyDescent="0.25">
      <c r="A840" s="10" t="s">
        <v>35</v>
      </c>
      <c r="B840" s="21" t="s">
        <v>45</v>
      </c>
      <c r="C840" s="11"/>
      <c r="D840" s="11">
        <v>1989</v>
      </c>
    </row>
    <row r="841" spans="1:4" ht="19.95" customHeight="1" x14ac:dyDescent="0.25">
      <c r="A841" s="10" t="s">
        <v>36</v>
      </c>
      <c r="B841" s="21" t="s">
        <v>45</v>
      </c>
      <c r="C841" s="11"/>
      <c r="D841" s="11">
        <v>1989</v>
      </c>
    </row>
    <row r="842" spans="1:4" ht="19.95" customHeight="1" x14ac:dyDescent="0.25">
      <c r="A842" s="10" t="s">
        <v>37</v>
      </c>
      <c r="B842" s="21" t="s">
        <v>45</v>
      </c>
      <c r="C842" s="11"/>
      <c r="D842" s="11">
        <v>1989</v>
      </c>
    </row>
    <row r="843" spans="1:4" ht="19.95" customHeight="1" x14ac:dyDescent="0.25">
      <c r="A843" s="10" t="s">
        <v>38</v>
      </c>
      <c r="B843" s="21" t="s">
        <v>45</v>
      </c>
      <c r="C843" s="11"/>
      <c r="D843" s="11">
        <v>1989</v>
      </c>
    </row>
    <row r="844" spans="1:4" ht="19.95" customHeight="1" x14ac:dyDescent="0.25">
      <c r="A844" s="10" t="s">
        <v>39</v>
      </c>
      <c r="B844" s="21" t="s">
        <v>45</v>
      </c>
      <c r="C844" s="11"/>
      <c r="D844" s="11">
        <v>1989</v>
      </c>
    </row>
    <row r="845" spans="1:4" ht="19.95" customHeight="1" x14ac:dyDescent="0.25">
      <c r="A845" s="10" t="s">
        <v>40</v>
      </c>
      <c r="B845" s="21" t="s">
        <v>45</v>
      </c>
      <c r="C845" s="11"/>
      <c r="D845" s="11">
        <v>1989</v>
      </c>
    </row>
    <row r="846" spans="1:4" ht="19.95" customHeight="1" x14ac:dyDescent="0.25">
      <c r="A846" s="10" t="s">
        <v>10</v>
      </c>
      <c r="B846" s="21" t="s">
        <v>45</v>
      </c>
      <c r="C846" s="11">
        <v>46.456528792942599</v>
      </c>
      <c r="D846" s="11">
        <v>1990</v>
      </c>
    </row>
    <row r="847" spans="1:4" ht="19.95" customHeight="1" x14ac:dyDescent="0.25">
      <c r="A847" s="10" t="s">
        <v>13</v>
      </c>
      <c r="B847" s="21" t="s">
        <v>45</v>
      </c>
      <c r="C847" s="11">
        <v>105.811992395915</v>
      </c>
      <c r="D847" s="11">
        <v>1990</v>
      </c>
    </row>
    <row r="848" spans="1:4" ht="19.95" customHeight="1" x14ac:dyDescent="0.25">
      <c r="A848" s="10" t="s">
        <v>15</v>
      </c>
      <c r="B848" s="21" t="s">
        <v>45</v>
      </c>
      <c r="C848" s="11">
        <v>64.912882064522904</v>
      </c>
      <c r="D848" s="11">
        <v>1990</v>
      </c>
    </row>
    <row r="849" spans="1:4" ht="19.95" customHeight="1" x14ac:dyDescent="0.25">
      <c r="A849" s="10" t="s">
        <v>16</v>
      </c>
      <c r="B849" s="21" t="s">
        <v>45</v>
      </c>
      <c r="C849" s="11">
        <v>20.856187096623199</v>
      </c>
      <c r="D849" s="11">
        <v>1990</v>
      </c>
    </row>
    <row r="850" spans="1:4" ht="19.95" customHeight="1" x14ac:dyDescent="0.25">
      <c r="A850" s="10" t="s">
        <v>17</v>
      </c>
      <c r="B850" s="21" t="s">
        <v>45</v>
      </c>
      <c r="C850" s="11">
        <v>46.477486076042098</v>
      </c>
      <c r="D850" s="11">
        <v>1990</v>
      </c>
    </row>
    <row r="851" spans="1:4" ht="19.95" customHeight="1" x14ac:dyDescent="0.25">
      <c r="A851" s="10" t="s">
        <v>2</v>
      </c>
      <c r="B851" s="21" t="s">
        <v>45</v>
      </c>
      <c r="C851" s="11">
        <v>36.0180487473855</v>
      </c>
      <c r="D851" s="11">
        <v>1990</v>
      </c>
    </row>
    <row r="852" spans="1:4" ht="19.95" customHeight="1" x14ac:dyDescent="0.25">
      <c r="A852" s="10" t="s">
        <v>18</v>
      </c>
      <c r="B852" s="21" t="s">
        <v>45</v>
      </c>
      <c r="C852" s="11">
        <v>30.6727539559161</v>
      </c>
      <c r="D852" s="11">
        <v>1990</v>
      </c>
    </row>
    <row r="853" spans="1:4" ht="19.95" customHeight="1" x14ac:dyDescent="0.25">
      <c r="A853" s="10" t="s">
        <v>19</v>
      </c>
      <c r="B853" s="21" t="s">
        <v>45</v>
      </c>
      <c r="C853" s="11">
        <v>30.944960963339199</v>
      </c>
      <c r="D853" s="11">
        <v>1990</v>
      </c>
    </row>
    <row r="854" spans="1:4" ht="19.95" customHeight="1" x14ac:dyDescent="0.25">
      <c r="A854" s="10" t="s">
        <v>20</v>
      </c>
      <c r="B854" s="21" t="s">
        <v>45</v>
      </c>
      <c r="C854" s="11">
        <v>16.451322609320702</v>
      </c>
      <c r="D854" s="11">
        <v>1990</v>
      </c>
    </row>
    <row r="855" spans="1:4" ht="19.95" customHeight="1" x14ac:dyDescent="0.25">
      <c r="A855" s="10" t="s">
        <v>21</v>
      </c>
      <c r="B855" s="21" t="s">
        <v>45</v>
      </c>
      <c r="C855" s="11"/>
      <c r="D855" s="11">
        <v>1990</v>
      </c>
    </row>
    <row r="856" spans="1:4" ht="19.95" customHeight="1" x14ac:dyDescent="0.25">
      <c r="A856" s="10" t="s">
        <v>22</v>
      </c>
      <c r="B856" s="21" t="s">
        <v>45</v>
      </c>
      <c r="C856" s="11">
        <v>10.5566656199658</v>
      </c>
      <c r="D856" s="11">
        <v>1990</v>
      </c>
    </row>
    <row r="857" spans="1:4" ht="19.95" customHeight="1" x14ac:dyDescent="0.25">
      <c r="A857" s="10" t="s">
        <v>23</v>
      </c>
      <c r="B857" s="21" t="s">
        <v>45</v>
      </c>
      <c r="C857" s="11">
        <v>18.8322542340978</v>
      </c>
      <c r="D857" s="11">
        <v>1990</v>
      </c>
    </row>
    <row r="858" spans="1:4" ht="19.95" customHeight="1" x14ac:dyDescent="0.25">
      <c r="A858" s="10" t="s">
        <v>24</v>
      </c>
      <c r="B858" s="21" t="s">
        <v>45</v>
      </c>
      <c r="C858" s="11">
        <v>29.310142624090801</v>
      </c>
      <c r="D858" s="11">
        <v>1990</v>
      </c>
    </row>
    <row r="859" spans="1:4" ht="19.95" customHeight="1" x14ac:dyDescent="0.25">
      <c r="A859" s="10" t="s">
        <v>25</v>
      </c>
      <c r="B859" s="21" t="s">
        <v>45</v>
      </c>
      <c r="C859" s="11">
        <v>62.550961561504302</v>
      </c>
      <c r="D859" s="11">
        <v>1990</v>
      </c>
    </row>
    <row r="860" spans="1:4" ht="19.95" customHeight="1" x14ac:dyDescent="0.25">
      <c r="A860" s="10" t="s">
        <v>26</v>
      </c>
      <c r="B860" s="21" t="s">
        <v>45</v>
      </c>
      <c r="C860" s="11">
        <v>36.001817162034797</v>
      </c>
      <c r="D860" s="11">
        <v>1990</v>
      </c>
    </row>
    <row r="861" spans="1:4" ht="19.95" customHeight="1" x14ac:dyDescent="0.25">
      <c r="A861" s="10" t="s">
        <v>27</v>
      </c>
      <c r="B861" s="21" t="s">
        <v>45</v>
      </c>
      <c r="C861" s="11">
        <v>22.521247615027399</v>
      </c>
      <c r="D861" s="11">
        <v>1990</v>
      </c>
    </row>
    <row r="862" spans="1:4" ht="19.95" customHeight="1" x14ac:dyDescent="0.25">
      <c r="A862" s="10" t="s">
        <v>29</v>
      </c>
      <c r="B862" s="21" t="s">
        <v>45</v>
      </c>
      <c r="C862" s="11">
        <v>43.701879194620702</v>
      </c>
      <c r="D862" s="11">
        <v>1990</v>
      </c>
    </row>
    <row r="863" spans="1:4" ht="19.95" customHeight="1" x14ac:dyDescent="0.25">
      <c r="A863" s="10" t="s">
        <v>30</v>
      </c>
      <c r="B863" s="21" t="s">
        <v>45</v>
      </c>
      <c r="C863" s="11">
        <v>56.1455385699985</v>
      </c>
      <c r="D863" s="11">
        <v>1990</v>
      </c>
    </row>
    <row r="864" spans="1:4" ht="19.95" customHeight="1" x14ac:dyDescent="0.25">
      <c r="A864" s="10" t="s">
        <v>31</v>
      </c>
      <c r="B864" s="21" t="s">
        <v>45</v>
      </c>
      <c r="C864" s="11">
        <v>33.182169817317302</v>
      </c>
      <c r="D864" s="11">
        <v>1990</v>
      </c>
    </row>
    <row r="865" spans="1:4" ht="19.95" customHeight="1" x14ac:dyDescent="0.25">
      <c r="A865" s="10" t="s">
        <v>32</v>
      </c>
      <c r="B865" s="21" t="s">
        <v>45</v>
      </c>
      <c r="C865" s="11">
        <v>132.261486414979</v>
      </c>
      <c r="D865" s="11">
        <v>1990</v>
      </c>
    </row>
    <row r="866" spans="1:4" ht="19.95" customHeight="1" x14ac:dyDescent="0.25">
      <c r="A866" s="10" t="s">
        <v>33</v>
      </c>
      <c r="B866" s="21" t="s">
        <v>45</v>
      </c>
      <c r="C866" s="11">
        <v>52.948930388718303</v>
      </c>
      <c r="D866" s="11">
        <v>1990</v>
      </c>
    </row>
    <row r="867" spans="1:4" ht="19.95" customHeight="1" x14ac:dyDescent="0.25">
      <c r="A867" s="10" t="s">
        <v>34</v>
      </c>
      <c r="B867" s="21" t="s">
        <v>45</v>
      </c>
      <c r="C867" s="11">
        <v>16.033199913514501</v>
      </c>
      <c r="D867" s="11">
        <v>1990</v>
      </c>
    </row>
    <row r="868" spans="1:4" ht="19.95" customHeight="1" x14ac:dyDescent="0.25">
      <c r="A868" s="10" t="s">
        <v>35</v>
      </c>
      <c r="B868" s="21" t="s">
        <v>45</v>
      </c>
      <c r="C868" s="11">
        <v>29.945704698164899</v>
      </c>
      <c r="D868" s="11">
        <v>1990</v>
      </c>
    </row>
    <row r="869" spans="1:4" ht="19.95" customHeight="1" x14ac:dyDescent="0.25">
      <c r="A869" s="10" t="s">
        <v>36</v>
      </c>
      <c r="B869" s="21" t="s">
        <v>45</v>
      </c>
      <c r="C869" s="11">
        <v>74.023080857090804</v>
      </c>
      <c r="D869" s="11">
        <v>1990</v>
      </c>
    </row>
    <row r="870" spans="1:4" ht="19.95" customHeight="1" x14ac:dyDescent="0.25">
      <c r="A870" s="10" t="s">
        <v>37</v>
      </c>
      <c r="B870" s="21" t="s">
        <v>45</v>
      </c>
      <c r="C870" s="11">
        <v>21.014595443742099</v>
      </c>
      <c r="D870" s="11">
        <v>1990</v>
      </c>
    </row>
    <row r="871" spans="1:4" ht="19.95" customHeight="1" x14ac:dyDescent="0.25">
      <c r="A871" s="10" t="s">
        <v>38</v>
      </c>
      <c r="B871" s="21" t="s">
        <v>45</v>
      </c>
      <c r="C871" s="11">
        <v>60.621680465965603</v>
      </c>
      <c r="D871" s="11">
        <v>1990</v>
      </c>
    </row>
    <row r="872" spans="1:4" ht="19.95" customHeight="1" x14ac:dyDescent="0.25">
      <c r="A872" s="10" t="s">
        <v>39</v>
      </c>
      <c r="B872" s="21" t="s">
        <v>45</v>
      </c>
      <c r="C872" s="11">
        <v>32.444821613546701</v>
      </c>
      <c r="D872" s="11">
        <v>1990</v>
      </c>
    </row>
    <row r="873" spans="1:4" ht="19.95" customHeight="1" x14ac:dyDescent="0.25">
      <c r="A873" s="10" t="s">
        <v>40</v>
      </c>
      <c r="B873" s="21" t="s">
        <v>45</v>
      </c>
      <c r="C873" s="11">
        <v>26.2731157046872</v>
      </c>
      <c r="D873" s="11">
        <v>1990</v>
      </c>
    </row>
    <row r="874" spans="1:4" ht="19.95" customHeight="1" x14ac:dyDescent="0.25">
      <c r="A874" s="10" t="s">
        <v>10</v>
      </c>
      <c r="B874" s="21" t="s">
        <v>45</v>
      </c>
      <c r="C874" s="11"/>
      <c r="D874" s="11">
        <v>1991</v>
      </c>
    </row>
    <row r="875" spans="1:4" ht="19.95" customHeight="1" x14ac:dyDescent="0.25">
      <c r="A875" s="10" t="s">
        <v>13</v>
      </c>
      <c r="B875" s="21" t="s">
        <v>45</v>
      </c>
      <c r="C875" s="11"/>
      <c r="D875" s="11">
        <v>1991</v>
      </c>
    </row>
    <row r="876" spans="1:4" ht="19.95" customHeight="1" x14ac:dyDescent="0.25">
      <c r="A876" s="10" t="s">
        <v>15</v>
      </c>
      <c r="B876" s="21" t="s">
        <v>45</v>
      </c>
      <c r="C876" s="11"/>
      <c r="D876" s="11">
        <v>1991</v>
      </c>
    </row>
    <row r="877" spans="1:4" ht="19.95" customHeight="1" x14ac:dyDescent="0.25">
      <c r="A877" s="10" t="s">
        <v>16</v>
      </c>
      <c r="B877" s="21" t="s">
        <v>45</v>
      </c>
      <c r="C877" s="11"/>
      <c r="D877" s="11">
        <v>1991</v>
      </c>
    </row>
    <row r="878" spans="1:4" ht="19.95" customHeight="1" x14ac:dyDescent="0.25">
      <c r="A878" s="10" t="s">
        <v>17</v>
      </c>
      <c r="B878" s="21" t="s">
        <v>45</v>
      </c>
      <c r="C878" s="11"/>
      <c r="D878" s="11">
        <v>1991</v>
      </c>
    </row>
    <row r="879" spans="1:4" ht="19.95" customHeight="1" x14ac:dyDescent="0.25">
      <c r="A879" s="10" t="s">
        <v>2</v>
      </c>
      <c r="B879" s="21" t="s">
        <v>45</v>
      </c>
      <c r="C879" s="11"/>
      <c r="D879" s="11">
        <v>1991</v>
      </c>
    </row>
    <row r="880" spans="1:4" ht="19.95" customHeight="1" x14ac:dyDescent="0.25">
      <c r="A880" s="10" t="s">
        <v>18</v>
      </c>
      <c r="B880" s="21" t="s">
        <v>45</v>
      </c>
      <c r="C880" s="11"/>
      <c r="D880" s="11">
        <v>1991</v>
      </c>
    </row>
    <row r="881" spans="1:4" ht="19.95" customHeight="1" x14ac:dyDescent="0.25">
      <c r="A881" s="10" t="s">
        <v>19</v>
      </c>
      <c r="B881" s="21" t="s">
        <v>45</v>
      </c>
      <c r="C881" s="11"/>
      <c r="D881" s="11">
        <v>1991</v>
      </c>
    </row>
    <row r="882" spans="1:4" ht="19.95" customHeight="1" x14ac:dyDescent="0.25">
      <c r="A882" s="10" t="s">
        <v>20</v>
      </c>
      <c r="B882" s="21" t="s">
        <v>45</v>
      </c>
      <c r="C882" s="11"/>
      <c r="D882" s="11">
        <v>1991</v>
      </c>
    </row>
    <row r="883" spans="1:4" ht="19.95" customHeight="1" x14ac:dyDescent="0.25">
      <c r="A883" s="10" t="s">
        <v>21</v>
      </c>
      <c r="B883" s="21" t="s">
        <v>45</v>
      </c>
      <c r="C883" s="11"/>
      <c r="D883" s="11">
        <v>1991</v>
      </c>
    </row>
    <row r="884" spans="1:4" ht="19.95" customHeight="1" x14ac:dyDescent="0.25">
      <c r="A884" s="10" t="s">
        <v>22</v>
      </c>
      <c r="B884" s="21" t="s">
        <v>45</v>
      </c>
      <c r="C884" s="11"/>
      <c r="D884" s="11">
        <v>1991</v>
      </c>
    </row>
    <row r="885" spans="1:4" ht="19.95" customHeight="1" x14ac:dyDescent="0.25">
      <c r="A885" s="10" t="s">
        <v>23</v>
      </c>
      <c r="B885" s="21" t="s">
        <v>45</v>
      </c>
      <c r="C885" s="11"/>
      <c r="D885" s="11">
        <v>1991</v>
      </c>
    </row>
    <row r="886" spans="1:4" ht="19.95" customHeight="1" x14ac:dyDescent="0.25">
      <c r="A886" s="10" t="s">
        <v>24</v>
      </c>
      <c r="B886" s="21" t="s">
        <v>45</v>
      </c>
      <c r="C886" s="11"/>
      <c r="D886" s="11">
        <v>1991</v>
      </c>
    </row>
    <row r="887" spans="1:4" ht="19.95" customHeight="1" x14ac:dyDescent="0.25">
      <c r="A887" s="10" t="s">
        <v>25</v>
      </c>
      <c r="B887" s="21" t="s">
        <v>45</v>
      </c>
      <c r="C887" s="11"/>
      <c r="D887" s="11">
        <v>1991</v>
      </c>
    </row>
    <row r="888" spans="1:4" ht="19.95" customHeight="1" x14ac:dyDescent="0.25">
      <c r="A888" s="10" t="s">
        <v>26</v>
      </c>
      <c r="B888" s="21" t="s">
        <v>45</v>
      </c>
      <c r="C888" s="11"/>
      <c r="D888" s="11">
        <v>1991</v>
      </c>
    </row>
    <row r="889" spans="1:4" ht="19.95" customHeight="1" x14ac:dyDescent="0.25">
      <c r="A889" s="10" t="s">
        <v>27</v>
      </c>
      <c r="B889" s="21" t="s">
        <v>45</v>
      </c>
      <c r="C889" s="11"/>
      <c r="D889" s="11">
        <v>1991</v>
      </c>
    </row>
    <row r="890" spans="1:4" ht="19.95" customHeight="1" x14ac:dyDescent="0.25">
      <c r="A890" s="10" t="s">
        <v>29</v>
      </c>
      <c r="B890" s="21" t="s">
        <v>45</v>
      </c>
      <c r="C890" s="11"/>
      <c r="D890" s="11">
        <v>1991</v>
      </c>
    </row>
    <row r="891" spans="1:4" ht="19.95" customHeight="1" x14ac:dyDescent="0.25">
      <c r="A891" s="10" t="s">
        <v>30</v>
      </c>
      <c r="B891" s="21" t="s">
        <v>45</v>
      </c>
      <c r="C891" s="11"/>
      <c r="D891" s="11">
        <v>1991</v>
      </c>
    </row>
    <row r="892" spans="1:4" ht="19.95" customHeight="1" x14ac:dyDescent="0.25">
      <c r="A892" s="10" t="s">
        <v>31</v>
      </c>
      <c r="B892" s="21" t="s">
        <v>45</v>
      </c>
      <c r="C892" s="11"/>
      <c r="D892" s="11">
        <v>1991</v>
      </c>
    </row>
    <row r="893" spans="1:4" ht="19.95" customHeight="1" x14ac:dyDescent="0.25">
      <c r="A893" s="10" t="s">
        <v>32</v>
      </c>
      <c r="B893" s="21" t="s">
        <v>45</v>
      </c>
      <c r="C893" s="11"/>
      <c r="D893" s="11">
        <v>1991</v>
      </c>
    </row>
    <row r="894" spans="1:4" ht="19.95" customHeight="1" x14ac:dyDescent="0.25">
      <c r="A894" s="10" t="s">
        <v>33</v>
      </c>
      <c r="B894" s="21" t="s">
        <v>45</v>
      </c>
      <c r="C894" s="11"/>
      <c r="D894" s="11">
        <v>1991</v>
      </c>
    </row>
    <row r="895" spans="1:4" ht="19.95" customHeight="1" x14ac:dyDescent="0.25">
      <c r="A895" s="10" t="s">
        <v>34</v>
      </c>
      <c r="B895" s="21" t="s">
        <v>45</v>
      </c>
      <c r="C895" s="11"/>
      <c r="D895" s="11">
        <v>1991</v>
      </c>
    </row>
    <row r="896" spans="1:4" ht="19.95" customHeight="1" x14ac:dyDescent="0.25">
      <c r="A896" s="10" t="s">
        <v>35</v>
      </c>
      <c r="B896" s="21" t="s">
        <v>45</v>
      </c>
      <c r="C896" s="11"/>
      <c r="D896" s="11">
        <v>1991</v>
      </c>
    </row>
    <row r="897" spans="1:4" ht="19.95" customHeight="1" x14ac:dyDescent="0.25">
      <c r="A897" s="10" t="s">
        <v>36</v>
      </c>
      <c r="B897" s="21" t="s">
        <v>45</v>
      </c>
      <c r="C897" s="11"/>
      <c r="D897" s="11">
        <v>1991</v>
      </c>
    </row>
    <row r="898" spans="1:4" ht="19.95" customHeight="1" x14ac:dyDescent="0.25">
      <c r="A898" s="10" t="s">
        <v>37</v>
      </c>
      <c r="B898" s="21" t="s">
        <v>45</v>
      </c>
      <c r="C898" s="11"/>
      <c r="D898" s="11">
        <v>1991</v>
      </c>
    </row>
    <row r="899" spans="1:4" ht="19.95" customHeight="1" x14ac:dyDescent="0.25">
      <c r="A899" s="10" t="s">
        <v>38</v>
      </c>
      <c r="B899" s="21" t="s">
        <v>45</v>
      </c>
      <c r="C899" s="11"/>
      <c r="D899" s="11">
        <v>1991</v>
      </c>
    </row>
    <row r="900" spans="1:4" ht="19.95" customHeight="1" x14ac:dyDescent="0.25">
      <c r="A900" s="10" t="s">
        <v>39</v>
      </c>
      <c r="B900" s="21" t="s">
        <v>45</v>
      </c>
      <c r="C900" s="11"/>
      <c r="D900" s="11">
        <v>1991</v>
      </c>
    </row>
    <row r="901" spans="1:4" ht="19.95" customHeight="1" x14ac:dyDescent="0.25">
      <c r="A901" s="10" t="s">
        <v>40</v>
      </c>
      <c r="B901" s="21" t="s">
        <v>45</v>
      </c>
      <c r="C901" s="11"/>
      <c r="D901" s="11">
        <v>1991</v>
      </c>
    </row>
    <row r="902" spans="1:4" ht="19.95" customHeight="1" x14ac:dyDescent="0.25">
      <c r="A902" s="10" t="s">
        <v>10</v>
      </c>
      <c r="B902" s="21" t="s">
        <v>45</v>
      </c>
      <c r="C902" s="11"/>
      <c r="D902" s="11">
        <v>1992</v>
      </c>
    </row>
    <row r="903" spans="1:4" ht="19.95" customHeight="1" x14ac:dyDescent="0.25">
      <c r="A903" s="10" t="s">
        <v>13</v>
      </c>
      <c r="B903" s="21" t="s">
        <v>45</v>
      </c>
      <c r="C903" s="11"/>
      <c r="D903" s="11">
        <v>1992</v>
      </c>
    </row>
    <row r="904" spans="1:4" ht="19.95" customHeight="1" x14ac:dyDescent="0.25">
      <c r="A904" s="10" t="s">
        <v>15</v>
      </c>
      <c r="B904" s="21" t="s">
        <v>45</v>
      </c>
      <c r="C904" s="11"/>
      <c r="D904" s="11">
        <v>1992</v>
      </c>
    </row>
    <row r="905" spans="1:4" ht="19.95" customHeight="1" x14ac:dyDescent="0.25">
      <c r="A905" s="10" t="s">
        <v>16</v>
      </c>
      <c r="B905" s="21" t="s">
        <v>45</v>
      </c>
      <c r="C905" s="11"/>
      <c r="D905" s="11">
        <v>1992</v>
      </c>
    </row>
    <row r="906" spans="1:4" ht="19.95" customHeight="1" x14ac:dyDescent="0.25">
      <c r="A906" s="10" t="s">
        <v>17</v>
      </c>
      <c r="B906" s="21" t="s">
        <v>45</v>
      </c>
      <c r="C906" s="11"/>
      <c r="D906" s="11">
        <v>1992</v>
      </c>
    </row>
    <row r="907" spans="1:4" ht="19.95" customHeight="1" x14ac:dyDescent="0.25">
      <c r="A907" s="10" t="s">
        <v>2</v>
      </c>
      <c r="B907" s="21" t="s">
        <v>45</v>
      </c>
      <c r="C907" s="11"/>
      <c r="D907" s="11">
        <v>1992</v>
      </c>
    </row>
    <row r="908" spans="1:4" ht="19.95" customHeight="1" x14ac:dyDescent="0.25">
      <c r="A908" s="10" t="s">
        <v>18</v>
      </c>
      <c r="B908" s="21" t="s">
        <v>45</v>
      </c>
      <c r="C908" s="11"/>
      <c r="D908" s="11">
        <v>1992</v>
      </c>
    </row>
    <row r="909" spans="1:4" ht="19.95" customHeight="1" x14ac:dyDescent="0.25">
      <c r="A909" s="10" t="s">
        <v>19</v>
      </c>
      <c r="B909" s="21" t="s">
        <v>45</v>
      </c>
      <c r="C909" s="11"/>
      <c r="D909" s="11">
        <v>1992</v>
      </c>
    </row>
    <row r="910" spans="1:4" ht="19.95" customHeight="1" x14ac:dyDescent="0.25">
      <c r="A910" s="10" t="s">
        <v>20</v>
      </c>
      <c r="B910" s="21" t="s">
        <v>45</v>
      </c>
      <c r="C910" s="11"/>
      <c r="D910" s="11">
        <v>1992</v>
      </c>
    </row>
    <row r="911" spans="1:4" ht="19.95" customHeight="1" x14ac:dyDescent="0.25">
      <c r="A911" s="10" t="s">
        <v>21</v>
      </c>
      <c r="B911" s="21" t="s">
        <v>45</v>
      </c>
      <c r="C911" s="11"/>
      <c r="D911" s="11">
        <v>1992</v>
      </c>
    </row>
    <row r="912" spans="1:4" ht="19.95" customHeight="1" x14ac:dyDescent="0.25">
      <c r="A912" s="10" t="s">
        <v>22</v>
      </c>
      <c r="B912" s="21" t="s">
        <v>45</v>
      </c>
      <c r="C912" s="11"/>
      <c r="D912" s="11">
        <v>1992</v>
      </c>
    </row>
    <row r="913" spans="1:4" ht="19.95" customHeight="1" x14ac:dyDescent="0.25">
      <c r="A913" s="10" t="s">
        <v>23</v>
      </c>
      <c r="B913" s="21" t="s">
        <v>45</v>
      </c>
      <c r="C913" s="11"/>
      <c r="D913" s="11">
        <v>1992</v>
      </c>
    </row>
    <row r="914" spans="1:4" ht="19.95" customHeight="1" x14ac:dyDescent="0.25">
      <c r="A914" s="10" t="s">
        <v>24</v>
      </c>
      <c r="B914" s="21" t="s">
        <v>45</v>
      </c>
      <c r="C914" s="11"/>
      <c r="D914" s="11">
        <v>1992</v>
      </c>
    </row>
    <row r="915" spans="1:4" ht="19.95" customHeight="1" x14ac:dyDescent="0.25">
      <c r="A915" s="10" t="s">
        <v>25</v>
      </c>
      <c r="B915" s="21" t="s">
        <v>45</v>
      </c>
      <c r="C915" s="11"/>
      <c r="D915" s="11">
        <v>1992</v>
      </c>
    </row>
    <row r="916" spans="1:4" ht="19.95" customHeight="1" x14ac:dyDescent="0.25">
      <c r="A916" s="10" t="s">
        <v>26</v>
      </c>
      <c r="B916" s="21" t="s">
        <v>45</v>
      </c>
      <c r="C916" s="11"/>
      <c r="D916" s="11">
        <v>1992</v>
      </c>
    </row>
    <row r="917" spans="1:4" ht="19.95" customHeight="1" x14ac:dyDescent="0.25">
      <c r="A917" s="10" t="s">
        <v>27</v>
      </c>
      <c r="B917" s="21" t="s">
        <v>45</v>
      </c>
      <c r="C917" s="11"/>
      <c r="D917" s="11">
        <v>1992</v>
      </c>
    </row>
    <row r="918" spans="1:4" ht="19.95" customHeight="1" x14ac:dyDescent="0.25">
      <c r="A918" s="10" t="s">
        <v>29</v>
      </c>
      <c r="B918" s="21" t="s">
        <v>45</v>
      </c>
      <c r="C918" s="11"/>
      <c r="D918" s="11">
        <v>1992</v>
      </c>
    </row>
    <row r="919" spans="1:4" ht="19.95" customHeight="1" x14ac:dyDescent="0.25">
      <c r="A919" s="10" t="s">
        <v>30</v>
      </c>
      <c r="B919" s="21" t="s">
        <v>45</v>
      </c>
      <c r="C919" s="11"/>
      <c r="D919" s="11">
        <v>1992</v>
      </c>
    </row>
    <row r="920" spans="1:4" ht="19.95" customHeight="1" x14ac:dyDescent="0.25">
      <c r="A920" s="10" t="s">
        <v>31</v>
      </c>
      <c r="B920" s="21" t="s">
        <v>45</v>
      </c>
      <c r="C920" s="11"/>
      <c r="D920" s="11">
        <v>1992</v>
      </c>
    </row>
    <row r="921" spans="1:4" ht="19.95" customHeight="1" x14ac:dyDescent="0.25">
      <c r="A921" s="10" t="s">
        <v>32</v>
      </c>
      <c r="B921" s="21" t="s">
        <v>45</v>
      </c>
      <c r="C921" s="11"/>
      <c r="D921" s="11">
        <v>1992</v>
      </c>
    </row>
    <row r="922" spans="1:4" ht="19.95" customHeight="1" x14ac:dyDescent="0.25">
      <c r="A922" s="10" t="s">
        <v>33</v>
      </c>
      <c r="B922" s="21" t="s">
        <v>45</v>
      </c>
      <c r="C922" s="11"/>
      <c r="D922" s="11">
        <v>1992</v>
      </c>
    </row>
    <row r="923" spans="1:4" ht="19.95" customHeight="1" x14ac:dyDescent="0.25">
      <c r="A923" s="10" t="s">
        <v>34</v>
      </c>
      <c r="B923" s="21" t="s">
        <v>45</v>
      </c>
      <c r="C923" s="11"/>
      <c r="D923" s="11">
        <v>1992</v>
      </c>
    </row>
    <row r="924" spans="1:4" ht="19.95" customHeight="1" x14ac:dyDescent="0.25">
      <c r="A924" s="10" t="s">
        <v>35</v>
      </c>
      <c r="B924" s="21" t="s">
        <v>45</v>
      </c>
      <c r="C924" s="11"/>
      <c r="D924" s="11">
        <v>1992</v>
      </c>
    </row>
    <row r="925" spans="1:4" ht="19.95" customHeight="1" x14ac:dyDescent="0.25">
      <c r="A925" s="10" t="s">
        <v>36</v>
      </c>
      <c r="B925" s="21" t="s">
        <v>45</v>
      </c>
      <c r="C925" s="11"/>
      <c r="D925" s="11">
        <v>1992</v>
      </c>
    </row>
    <row r="926" spans="1:4" ht="19.95" customHeight="1" x14ac:dyDescent="0.25">
      <c r="A926" s="10" t="s">
        <v>37</v>
      </c>
      <c r="B926" s="21" t="s">
        <v>45</v>
      </c>
      <c r="C926" s="11"/>
      <c r="D926" s="11">
        <v>1992</v>
      </c>
    </row>
    <row r="927" spans="1:4" ht="19.95" customHeight="1" x14ac:dyDescent="0.25">
      <c r="A927" s="10" t="s">
        <v>38</v>
      </c>
      <c r="B927" s="21" t="s">
        <v>45</v>
      </c>
      <c r="C927" s="11"/>
      <c r="D927" s="11">
        <v>1992</v>
      </c>
    </row>
    <row r="928" spans="1:4" ht="19.95" customHeight="1" x14ac:dyDescent="0.25">
      <c r="A928" s="10" t="s">
        <v>39</v>
      </c>
      <c r="B928" s="21" t="s">
        <v>45</v>
      </c>
      <c r="C928" s="11"/>
      <c r="D928" s="11">
        <v>1992</v>
      </c>
    </row>
    <row r="929" spans="1:4" ht="19.95" customHeight="1" x14ac:dyDescent="0.25">
      <c r="A929" s="10" t="s">
        <v>40</v>
      </c>
      <c r="B929" s="21" t="s">
        <v>45</v>
      </c>
      <c r="C929" s="11"/>
      <c r="D929" s="11">
        <v>1992</v>
      </c>
    </row>
    <row r="930" spans="1:4" ht="19.95" customHeight="1" x14ac:dyDescent="0.25">
      <c r="A930" s="10" t="s">
        <v>10</v>
      </c>
      <c r="B930" s="21" t="s">
        <v>45</v>
      </c>
      <c r="C930" s="11"/>
      <c r="D930" s="11">
        <v>1993</v>
      </c>
    </row>
    <row r="931" spans="1:4" ht="19.95" customHeight="1" x14ac:dyDescent="0.25">
      <c r="A931" s="10" t="s">
        <v>13</v>
      </c>
      <c r="B931" s="21" t="s">
        <v>45</v>
      </c>
      <c r="C931" s="11"/>
      <c r="D931" s="11">
        <v>1993</v>
      </c>
    </row>
    <row r="932" spans="1:4" ht="19.95" customHeight="1" x14ac:dyDescent="0.25">
      <c r="A932" s="10" t="s">
        <v>15</v>
      </c>
      <c r="B932" s="21" t="s">
        <v>45</v>
      </c>
      <c r="C932" s="11"/>
      <c r="D932" s="11">
        <v>1993</v>
      </c>
    </row>
    <row r="933" spans="1:4" ht="19.95" customHeight="1" x14ac:dyDescent="0.25">
      <c r="A933" s="10" t="s">
        <v>16</v>
      </c>
      <c r="B933" s="21" t="s">
        <v>45</v>
      </c>
      <c r="C933" s="11"/>
      <c r="D933" s="11">
        <v>1993</v>
      </c>
    </row>
    <row r="934" spans="1:4" ht="19.95" customHeight="1" x14ac:dyDescent="0.25">
      <c r="A934" s="10" t="s">
        <v>17</v>
      </c>
      <c r="B934" s="21" t="s">
        <v>45</v>
      </c>
      <c r="C934" s="11"/>
      <c r="D934" s="11">
        <v>1993</v>
      </c>
    </row>
    <row r="935" spans="1:4" ht="19.95" customHeight="1" x14ac:dyDescent="0.25">
      <c r="A935" s="10" t="s">
        <v>2</v>
      </c>
      <c r="B935" s="21" t="s">
        <v>45</v>
      </c>
      <c r="C935" s="11"/>
      <c r="D935" s="11">
        <v>1993</v>
      </c>
    </row>
    <row r="936" spans="1:4" ht="19.95" customHeight="1" x14ac:dyDescent="0.25">
      <c r="A936" s="10" t="s">
        <v>18</v>
      </c>
      <c r="B936" s="21" t="s">
        <v>45</v>
      </c>
      <c r="C936" s="11"/>
      <c r="D936" s="11">
        <v>1993</v>
      </c>
    </row>
    <row r="937" spans="1:4" ht="19.95" customHeight="1" x14ac:dyDescent="0.25">
      <c r="A937" s="10" t="s">
        <v>19</v>
      </c>
      <c r="B937" s="21" t="s">
        <v>45</v>
      </c>
      <c r="C937" s="11"/>
      <c r="D937" s="11">
        <v>1993</v>
      </c>
    </row>
    <row r="938" spans="1:4" ht="19.95" customHeight="1" x14ac:dyDescent="0.25">
      <c r="A938" s="10" t="s">
        <v>20</v>
      </c>
      <c r="B938" s="21" t="s">
        <v>45</v>
      </c>
      <c r="C938" s="11"/>
      <c r="D938" s="11">
        <v>1993</v>
      </c>
    </row>
    <row r="939" spans="1:4" ht="19.95" customHeight="1" x14ac:dyDescent="0.25">
      <c r="A939" s="10" t="s">
        <v>21</v>
      </c>
      <c r="B939" s="21" t="s">
        <v>45</v>
      </c>
      <c r="C939" s="11"/>
      <c r="D939" s="11">
        <v>1993</v>
      </c>
    </row>
    <row r="940" spans="1:4" ht="19.95" customHeight="1" x14ac:dyDescent="0.25">
      <c r="A940" s="10" t="s">
        <v>22</v>
      </c>
      <c r="B940" s="21" t="s">
        <v>45</v>
      </c>
      <c r="C940" s="11"/>
      <c r="D940" s="11">
        <v>1993</v>
      </c>
    </row>
    <row r="941" spans="1:4" ht="19.95" customHeight="1" x14ac:dyDescent="0.25">
      <c r="A941" s="10" t="s">
        <v>23</v>
      </c>
      <c r="B941" s="21" t="s">
        <v>45</v>
      </c>
      <c r="C941" s="11"/>
      <c r="D941" s="11">
        <v>1993</v>
      </c>
    </row>
    <row r="942" spans="1:4" ht="19.95" customHeight="1" x14ac:dyDescent="0.25">
      <c r="A942" s="10" t="s">
        <v>24</v>
      </c>
      <c r="B942" s="21" t="s">
        <v>45</v>
      </c>
      <c r="C942" s="11"/>
      <c r="D942" s="11">
        <v>1993</v>
      </c>
    </row>
    <row r="943" spans="1:4" ht="19.95" customHeight="1" x14ac:dyDescent="0.25">
      <c r="A943" s="10" t="s">
        <v>25</v>
      </c>
      <c r="B943" s="21" t="s">
        <v>45</v>
      </c>
      <c r="C943" s="11"/>
      <c r="D943" s="11">
        <v>1993</v>
      </c>
    </row>
    <row r="944" spans="1:4" ht="19.95" customHeight="1" x14ac:dyDescent="0.25">
      <c r="A944" s="10" t="s">
        <v>26</v>
      </c>
      <c r="B944" s="21" t="s">
        <v>45</v>
      </c>
      <c r="C944" s="11"/>
      <c r="D944" s="11">
        <v>1993</v>
      </c>
    </row>
    <row r="945" spans="1:4" ht="19.95" customHeight="1" x14ac:dyDescent="0.25">
      <c r="A945" s="10" t="s">
        <v>27</v>
      </c>
      <c r="B945" s="21" t="s">
        <v>45</v>
      </c>
      <c r="C945" s="11"/>
      <c r="D945" s="11">
        <v>1993</v>
      </c>
    </row>
    <row r="946" spans="1:4" ht="19.95" customHeight="1" x14ac:dyDescent="0.25">
      <c r="A946" s="10" t="s">
        <v>29</v>
      </c>
      <c r="B946" s="21" t="s">
        <v>45</v>
      </c>
      <c r="C946" s="11"/>
      <c r="D946" s="11">
        <v>1993</v>
      </c>
    </row>
    <row r="947" spans="1:4" ht="19.95" customHeight="1" x14ac:dyDescent="0.25">
      <c r="A947" s="10" t="s">
        <v>30</v>
      </c>
      <c r="B947" s="21" t="s">
        <v>45</v>
      </c>
      <c r="C947" s="11"/>
      <c r="D947" s="11">
        <v>1993</v>
      </c>
    </row>
    <row r="948" spans="1:4" ht="19.95" customHeight="1" x14ac:dyDescent="0.25">
      <c r="A948" s="10" t="s">
        <v>31</v>
      </c>
      <c r="B948" s="21" t="s">
        <v>45</v>
      </c>
      <c r="C948" s="11"/>
      <c r="D948" s="11">
        <v>1993</v>
      </c>
    </row>
    <row r="949" spans="1:4" ht="19.95" customHeight="1" x14ac:dyDescent="0.25">
      <c r="A949" s="10" t="s">
        <v>32</v>
      </c>
      <c r="B949" s="21" t="s">
        <v>45</v>
      </c>
      <c r="C949" s="11"/>
      <c r="D949" s="11">
        <v>1993</v>
      </c>
    </row>
    <row r="950" spans="1:4" ht="19.95" customHeight="1" x14ac:dyDescent="0.25">
      <c r="A950" s="10" t="s">
        <v>33</v>
      </c>
      <c r="B950" s="21" t="s">
        <v>45</v>
      </c>
      <c r="C950" s="11"/>
      <c r="D950" s="11">
        <v>1993</v>
      </c>
    </row>
    <row r="951" spans="1:4" ht="19.95" customHeight="1" x14ac:dyDescent="0.25">
      <c r="A951" s="10" t="s">
        <v>34</v>
      </c>
      <c r="B951" s="21" t="s">
        <v>45</v>
      </c>
      <c r="C951" s="11"/>
      <c r="D951" s="11">
        <v>1993</v>
      </c>
    </row>
    <row r="952" spans="1:4" ht="19.95" customHeight="1" x14ac:dyDescent="0.25">
      <c r="A952" s="10" t="s">
        <v>35</v>
      </c>
      <c r="B952" s="21" t="s">
        <v>45</v>
      </c>
      <c r="C952" s="11"/>
      <c r="D952" s="11">
        <v>1993</v>
      </c>
    </row>
    <row r="953" spans="1:4" ht="19.95" customHeight="1" x14ac:dyDescent="0.25">
      <c r="A953" s="10" t="s">
        <v>36</v>
      </c>
      <c r="B953" s="21" t="s">
        <v>45</v>
      </c>
      <c r="C953" s="11"/>
      <c r="D953" s="11">
        <v>1993</v>
      </c>
    </row>
    <row r="954" spans="1:4" ht="19.95" customHeight="1" x14ac:dyDescent="0.25">
      <c r="A954" s="10" t="s">
        <v>37</v>
      </c>
      <c r="B954" s="21" t="s">
        <v>45</v>
      </c>
      <c r="C954" s="11"/>
      <c r="D954" s="11">
        <v>1993</v>
      </c>
    </row>
    <row r="955" spans="1:4" ht="19.95" customHeight="1" x14ac:dyDescent="0.25">
      <c r="A955" s="10" t="s">
        <v>38</v>
      </c>
      <c r="B955" s="21" t="s">
        <v>45</v>
      </c>
      <c r="C955" s="11"/>
      <c r="D955" s="11">
        <v>1993</v>
      </c>
    </row>
    <row r="956" spans="1:4" ht="19.95" customHeight="1" x14ac:dyDescent="0.25">
      <c r="A956" s="10" t="s">
        <v>39</v>
      </c>
      <c r="B956" s="21" t="s">
        <v>45</v>
      </c>
      <c r="C956" s="11"/>
      <c r="D956" s="11">
        <v>1993</v>
      </c>
    </row>
    <row r="957" spans="1:4" ht="19.95" customHeight="1" x14ac:dyDescent="0.25">
      <c r="A957" s="10" t="s">
        <v>40</v>
      </c>
      <c r="B957" s="21" t="s">
        <v>45</v>
      </c>
      <c r="C957" s="11"/>
      <c r="D957" s="11">
        <v>1993</v>
      </c>
    </row>
    <row r="958" spans="1:4" ht="19.95" customHeight="1" x14ac:dyDescent="0.25">
      <c r="A958" s="10" t="s">
        <v>10</v>
      </c>
      <c r="B958" s="21" t="s">
        <v>45</v>
      </c>
      <c r="C958" s="11"/>
      <c r="D958" s="11">
        <v>1994</v>
      </c>
    </row>
    <row r="959" spans="1:4" ht="19.95" customHeight="1" x14ac:dyDescent="0.25">
      <c r="A959" s="10" t="s">
        <v>13</v>
      </c>
      <c r="B959" s="21" t="s">
        <v>45</v>
      </c>
      <c r="C959" s="11"/>
      <c r="D959" s="11">
        <v>1994</v>
      </c>
    </row>
    <row r="960" spans="1:4" ht="19.95" customHeight="1" x14ac:dyDescent="0.25">
      <c r="A960" s="10" t="s">
        <v>15</v>
      </c>
      <c r="B960" s="21" t="s">
        <v>45</v>
      </c>
      <c r="C960" s="11"/>
      <c r="D960" s="11">
        <v>1994</v>
      </c>
    </row>
    <row r="961" spans="1:4" ht="19.95" customHeight="1" x14ac:dyDescent="0.25">
      <c r="A961" s="10" t="s">
        <v>16</v>
      </c>
      <c r="B961" s="21" t="s">
        <v>45</v>
      </c>
      <c r="C961" s="11"/>
      <c r="D961" s="11">
        <v>1994</v>
      </c>
    </row>
    <row r="962" spans="1:4" ht="19.95" customHeight="1" x14ac:dyDescent="0.25">
      <c r="A962" s="10" t="s">
        <v>17</v>
      </c>
      <c r="B962" s="21" t="s">
        <v>45</v>
      </c>
      <c r="C962" s="11"/>
      <c r="D962" s="11">
        <v>1994</v>
      </c>
    </row>
    <row r="963" spans="1:4" ht="19.95" customHeight="1" x14ac:dyDescent="0.25">
      <c r="A963" s="10" t="s">
        <v>2</v>
      </c>
      <c r="B963" s="21" t="s">
        <v>45</v>
      </c>
      <c r="C963" s="11"/>
      <c r="D963" s="11">
        <v>1994</v>
      </c>
    </row>
    <row r="964" spans="1:4" ht="19.95" customHeight="1" x14ac:dyDescent="0.25">
      <c r="A964" s="10" t="s">
        <v>18</v>
      </c>
      <c r="B964" s="21" t="s">
        <v>45</v>
      </c>
      <c r="C964" s="11"/>
      <c r="D964" s="11">
        <v>1994</v>
      </c>
    </row>
    <row r="965" spans="1:4" ht="19.95" customHeight="1" x14ac:dyDescent="0.25">
      <c r="A965" s="10" t="s">
        <v>19</v>
      </c>
      <c r="B965" s="21" t="s">
        <v>45</v>
      </c>
      <c r="C965" s="11"/>
      <c r="D965" s="11">
        <v>1994</v>
      </c>
    </row>
    <row r="966" spans="1:4" ht="19.95" customHeight="1" x14ac:dyDescent="0.25">
      <c r="A966" s="10" t="s">
        <v>20</v>
      </c>
      <c r="B966" s="21" t="s">
        <v>45</v>
      </c>
      <c r="C966" s="11"/>
      <c r="D966" s="11">
        <v>1994</v>
      </c>
    </row>
    <row r="967" spans="1:4" ht="19.95" customHeight="1" x14ac:dyDescent="0.25">
      <c r="A967" s="10" t="s">
        <v>21</v>
      </c>
      <c r="B967" s="21" t="s">
        <v>45</v>
      </c>
      <c r="C967" s="11"/>
      <c r="D967" s="11">
        <v>1994</v>
      </c>
    </row>
    <row r="968" spans="1:4" ht="19.95" customHeight="1" x14ac:dyDescent="0.25">
      <c r="A968" s="10" t="s">
        <v>22</v>
      </c>
      <c r="B968" s="21" t="s">
        <v>45</v>
      </c>
      <c r="C968" s="11"/>
      <c r="D968" s="11">
        <v>1994</v>
      </c>
    </row>
    <row r="969" spans="1:4" ht="19.95" customHeight="1" x14ac:dyDescent="0.25">
      <c r="A969" s="10" t="s">
        <v>23</v>
      </c>
      <c r="B969" s="21" t="s">
        <v>45</v>
      </c>
      <c r="C969" s="11"/>
      <c r="D969" s="11">
        <v>1994</v>
      </c>
    </row>
    <row r="970" spans="1:4" ht="19.95" customHeight="1" x14ac:dyDescent="0.25">
      <c r="A970" s="10" t="s">
        <v>24</v>
      </c>
      <c r="B970" s="21" t="s">
        <v>45</v>
      </c>
      <c r="C970" s="11"/>
      <c r="D970" s="11">
        <v>1994</v>
      </c>
    </row>
    <row r="971" spans="1:4" ht="19.95" customHeight="1" x14ac:dyDescent="0.25">
      <c r="A971" s="10" t="s">
        <v>25</v>
      </c>
      <c r="B971" s="21" t="s">
        <v>45</v>
      </c>
      <c r="C971" s="11"/>
      <c r="D971" s="11">
        <v>1994</v>
      </c>
    </row>
    <row r="972" spans="1:4" ht="19.95" customHeight="1" x14ac:dyDescent="0.25">
      <c r="A972" s="10" t="s">
        <v>26</v>
      </c>
      <c r="B972" s="21" t="s">
        <v>45</v>
      </c>
      <c r="C972" s="11"/>
      <c r="D972" s="11">
        <v>1994</v>
      </c>
    </row>
    <row r="973" spans="1:4" ht="19.95" customHeight="1" x14ac:dyDescent="0.25">
      <c r="A973" s="10" t="s">
        <v>27</v>
      </c>
      <c r="B973" s="21" t="s">
        <v>45</v>
      </c>
      <c r="C973" s="11"/>
      <c r="D973" s="11">
        <v>1994</v>
      </c>
    </row>
    <row r="974" spans="1:4" ht="19.95" customHeight="1" x14ac:dyDescent="0.25">
      <c r="A974" s="10" t="s">
        <v>29</v>
      </c>
      <c r="B974" s="21" t="s">
        <v>45</v>
      </c>
      <c r="C974" s="11"/>
      <c r="D974" s="11">
        <v>1994</v>
      </c>
    </row>
    <row r="975" spans="1:4" ht="19.95" customHeight="1" x14ac:dyDescent="0.25">
      <c r="A975" s="10" t="s">
        <v>30</v>
      </c>
      <c r="B975" s="21" t="s">
        <v>45</v>
      </c>
      <c r="C975" s="11"/>
      <c r="D975" s="11">
        <v>1994</v>
      </c>
    </row>
    <row r="976" spans="1:4" ht="19.95" customHeight="1" x14ac:dyDescent="0.25">
      <c r="A976" s="10" t="s">
        <v>31</v>
      </c>
      <c r="B976" s="21" t="s">
        <v>45</v>
      </c>
      <c r="C976" s="11"/>
      <c r="D976" s="11">
        <v>1994</v>
      </c>
    </row>
    <row r="977" spans="1:4" ht="19.95" customHeight="1" x14ac:dyDescent="0.25">
      <c r="A977" s="10" t="s">
        <v>32</v>
      </c>
      <c r="B977" s="21" t="s">
        <v>45</v>
      </c>
      <c r="C977" s="11"/>
      <c r="D977" s="11">
        <v>1994</v>
      </c>
    </row>
    <row r="978" spans="1:4" ht="19.95" customHeight="1" x14ac:dyDescent="0.25">
      <c r="A978" s="10" t="s">
        <v>33</v>
      </c>
      <c r="B978" s="21" t="s">
        <v>45</v>
      </c>
      <c r="C978" s="11"/>
      <c r="D978" s="11">
        <v>1994</v>
      </c>
    </row>
    <row r="979" spans="1:4" ht="19.95" customHeight="1" x14ac:dyDescent="0.25">
      <c r="A979" s="10" t="s">
        <v>34</v>
      </c>
      <c r="B979" s="21" t="s">
        <v>45</v>
      </c>
      <c r="C979" s="11"/>
      <c r="D979" s="11">
        <v>1994</v>
      </c>
    </row>
    <row r="980" spans="1:4" ht="19.95" customHeight="1" x14ac:dyDescent="0.25">
      <c r="A980" s="10" t="s">
        <v>35</v>
      </c>
      <c r="B980" s="21" t="s">
        <v>45</v>
      </c>
      <c r="C980" s="11"/>
      <c r="D980" s="11">
        <v>1994</v>
      </c>
    </row>
    <row r="981" spans="1:4" ht="19.95" customHeight="1" x14ac:dyDescent="0.25">
      <c r="A981" s="10" t="s">
        <v>36</v>
      </c>
      <c r="B981" s="21" t="s">
        <v>45</v>
      </c>
      <c r="C981" s="11"/>
      <c r="D981" s="11">
        <v>1994</v>
      </c>
    </row>
    <row r="982" spans="1:4" ht="19.95" customHeight="1" x14ac:dyDescent="0.25">
      <c r="A982" s="10" t="s">
        <v>37</v>
      </c>
      <c r="B982" s="21" t="s">
        <v>45</v>
      </c>
      <c r="C982" s="11"/>
      <c r="D982" s="11">
        <v>1994</v>
      </c>
    </row>
    <row r="983" spans="1:4" ht="19.95" customHeight="1" x14ac:dyDescent="0.25">
      <c r="A983" s="10" t="s">
        <v>38</v>
      </c>
      <c r="B983" s="21" t="s">
        <v>45</v>
      </c>
      <c r="C983" s="11"/>
      <c r="D983" s="11">
        <v>1994</v>
      </c>
    </row>
    <row r="984" spans="1:4" ht="19.95" customHeight="1" x14ac:dyDescent="0.25">
      <c r="A984" s="10" t="s">
        <v>39</v>
      </c>
      <c r="B984" s="21" t="s">
        <v>45</v>
      </c>
      <c r="C984" s="11"/>
      <c r="D984" s="11">
        <v>1994</v>
      </c>
    </row>
    <row r="985" spans="1:4" ht="19.95" customHeight="1" x14ac:dyDescent="0.25">
      <c r="A985" s="10" t="s">
        <v>40</v>
      </c>
      <c r="B985" s="21" t="s">
        <v>45</v>
      </c>
      <c r="C985" s="11"/>
      <c r="D985" s="11">
        <v>1994</v>
      </c>
    </row>
    <row r="986" spans="1:4" ht="19.95" customHeight="1" x14ac:dyDescent="0.25">
      <c r="A986" s="10" t="s">
        <v>10</v>
      </c>
      <c r="B986" s="21" t="s">
        <v>45</v>
      </c>
      <c r="C986" s="11">
        <v>46.568340848736703</v>
      </c>
      <c r="D986" s="11">
        <v>1995</v>
      </c>
    </row>
    <row r="987" spans="1:4" ht="19.95" customHeight="1" x14ac:dyDescent="0.25">
      <c r="A987" s="10" t="s">
        <v>13</v>
      </c>
      <c r="B987" s="21" t="s">
        <v>45</v>
      </c>
      <c r="C987" s="11">
        <v>103.21912328086199</v>
      </c>
      <c r="D987" s="11">
        <v>1995</v>
      </c>
    </row>
    <row r="988" spans="1:4" ht="19.95" customHeight="1" x14ac:dyDescent="0.25">
      <c r="A988" s="10" t="s">
        <v>15</v>
      </c>
      <c r="B988" s="21" t="s">
        <v>45</v>
      </c>
      <c r="C988" s="11">
        <v>64.658381457432</v>
      </c>
      <c r="D988" s="11">
        <v>1995</v>
      </c>
    </row>
    <row r="989" spans="1:4" ht="19.95" customHeight="1" x14ac:dyDescent="0.25">
      <c r="A989" s="10" t="s">
        <v>16</v>
      </c>
      <c r="B989" s="21" t="s">
        <v>45</v>
      </c>
      <c r="C989" s="11">
        <v>20.931649135668199</v>
      </c>
      <c r="D989" s="11">
        <v>1995</v>
      </c>
    </row>
    <row r="990" spans="1:4" ht="19.95" customHeight="1" x14ac:dyDescent="0.25">
      <c r="A990" s="10" t="s">
        <v>17</v>
      </c>
      <c r="B990" s="21" t="s">
        <v>45</v>
      </c>
      <c r="C990" s="11">
        <v>46.822087451070601</v>
      </c>
      <c r="D990" s="11">
        <v>1995</v>
      </c>
    </row>
    <row r="991" spans="1:4" ht="19.95" customHeight="1" x14ac:dyDescent="0.25">
      <c r="A991" s="10" t="s">
        <v>2</v>
      </c>
      <c r="B991" s="21" t="s">
        <v>45</v>
      </c>
      <c r="C991" s="11">
        <v>35.924374760290199</v>
      </c>
      <c r="D991" s="11">
        <v>1995</v>
      </c>
    </row>
    <row r="992" spans="1:4" ht="19.95" customHeight="1" x14ac:dyDescent="0.25">
      <c r="A992" s="10" t="s">
        <v>18</v>
      </c>
      <c r="B992" s="21" t="s">
        <v>45</v>
      </c>
      <c r="C992" s="11">
        <v>30.556903082035198</v>
      </c>
      <c r="D992" s="11">
        <v>1995</v>
      </c>
    </row>
    <row r="993" spans="1:4" ht="19.95" customHeight="1" x14ac:dyDescent="0.25">
      <c r="A993" s="10" t="s">
        <v>19</v>
      </c>
      <c r="B993" s="21" t="s">
        <v>45</v>
      </c>
      <c r="C993" s="11">
        <v>30.952014214968699</v>
      </c>
      <c r="D993" s="11">
        <v>1995</v>
      </c>
    </row>
    <row r="994" spans="1:4" ht="19.95" customHeight="1" x14ac:dyDescent="0.25">
      <c r="A994" s="10" t="s">
        <v>20</v>
      </c>
      <c r="B994" s="21" t="s">
        <v>45</v>
      </c>
      <c r="C994" s="11">
        <v>16.463247855336999</v>
      </c>
      <c r="D994" s="11">
        <v>1995</v>
      </c>
    </row>
    <row r="995" spans="1:4" ht="19.95" customHeight="1" x14ac:dyDescent="0.25">
      <c r="A995" s="10" t="s">
        <v>21</v>
      </c>
      <c r="B995" s="21" t="s">
        <v>45</v>
      </c>
      <c r="C995" s="11"/>
      <c r="D995" s="11">
        <v>1995</v>
      </c>
    </row>
    <row r="996" spans="1:4" ht="19.95" customHeight="1" x14ac:dyDescent="0.25">
      <c r="A996" s="10" t="s">
        <v>22</v>
      </c>
      <c r="B996" s="21" t="s">
        <v>45</v>
      </c>
      <c r="C996" s="11">
        <v>10.412062933678699</v>
      </c>
      <c r="D996" s="11">
        <v>1995</v>
      </c>
    </row>
    <row r="997" spans="1:4" ht="19.95" customHeight="1" x14ac:dyDescent="0.25">
      <c r="A997" s="10" t="s">
        <v>23</v>
      </c>
      <c r="B997" s="21" t="s">
        <v>45</v>
      </c>
      <c r="C997" s="11">
        <v>19.158625384506699</v>
      </c>
      <c r="D997" s="11">
        <v>1995</v>
      </c>
    </row>
    <row r="998" spans="1:4" ht="19.95" customHeight="1" x14ac:dyDescent="0.25">
      <c r="A998" s="10" t="s">
        <v>24</v>
      </c>
      <c r="B998" s="21" t="s">
        <v>45</v>
      </c>
      <c r="C998" s="11">
        <v>29.018301357717402</v>
      </c>
      <c r="D998" s="11">
        <v>1995</v>
      </c>
    </row>
    <row r="999" spans="1:4" ht="19.95" customHeight="1" x14ac:dyDescent="0.25">
      <c r="A999" s="10" t="s">
        <v>25</v>
      </c>
      <c r="B999" s="21" t="s">
        <v>45</v>
      </c>
      <c r="C999" s="11">
        <v>61.635482276783797</v>
      </c>
      <c r="D999" s="11">
        <v>1995</v>
      </c>
    </row>
    <row r="1000" spans="1:4" ht="19.95" customHeight="1" x14ac:dyDescent="0.25">
      <c r="A1000" s="10" t="s">
        <v>26</v>
      </c>
      <c r="B1000" s="21" t="s">
        <v>45</v>
      </c>
      <c r="C1000" s="11">
        <v>26.180152384588901</v>
      </c>
      <c r="D1000" s="11">
        <v>1995</v>
      </c>
    </row>
    <row r="1001" spans="1:4" ht="19.95" customHeight="1" x14ac:dyDescent="0.25">
      <c r="A1001" s="10" t="s">
        <v>27</v>
      </c>
      <c r="B1001" s="21" t="s">
        <v>45</v>
      </c>
      <c r="C1001" s="11">
        <v>22.4497867316846</v>
      </c>
      <c r="D1001" s="11">
        <v>1995</v>
      </c>
    </row>
    <row r="1002" spans="1:4" ht="19.95" customHeight="1" x14ac:dyDescent="0.25">
      <c r="A1002" s="10" t="s">
        <v>29</v>
      </c>
      <c r="B1002" s="21" t="s">
        <v>45</v>
      </c>
      <c r="C1002" s="11">
        <v>43.816870362701202</v>
      </c>
      <c r="D1002" s="11">
        <v>1995</v>
      </c>
    </row>
    <row r="1003" spans="1:4" ht="19.95" customHeight="1" x14ac:dyDescent="0.25">
      <c r="A1003" s="10" t="s">
        <v>30</v>
      </c>
      <c r="B1003" s="21" t="s">
        <v>45</v>
      </c>
      <c r="C1003" s="11">
        <v>56.949223815671097</v>
      </c>
      <c r="D1003" s="11">
        <v>1995</v>
      </c>
    </row>
    <row r="1004" spans="1:4" ht="19.95" customHeight="1" x14ac:dyDescent="0.25">
      <c r="A1004" s="10" t="s">
        <v>31</v>
      </c>
      <c r="B1004" s="21" t="s">
        <v>45</v>
      </c>
      <c r="C1004" s="11">
        <v>33.283751505549802</v>
      </c>
      <c r="D1004" s="11">
        <v>1995</v>
      </c>
    </row>
    <row r="1005" spans="1:4" ht="19.95" customHeight="1" x14ac:dyDescent="0.25">
      <c r="A1005" s="10" t="s">
        <v>32</v>
      </c>
      <c r="B1005" s="21" t="s">
        <v>45</v>
      </c>
      <c r="C1005" s="11">
        <v>131.278695581421</v>
      </c>
      <c r="D1005" s="11">
        <v>1995</v>
      </c>
    </row>
    <row r="1006" spans="1:4" ht="19.95" customHeight="1" x14ac:dyDescent="0.25">
      <c r="A1006" s="10" t="s">
        <v>33</v>
      </c>
      <c r="B1006" s="21" t="s">
        <v>45</v>
      </c>
      <c r="C1006" s="11">
        <v>53.266020050959703</v>
      </c>
      <c r="D1006" s="11">
        <v>1995</v>
      </c>
    </row>
    <row r="1007" spans="1:4" ht="19.95" customHeight="1" x14ac:dyDescent="0.25">
      <c r="A1007" s="10" t="s">
        <v>34</v>
      </c>
      <c r="B1007" s="21" t="s">
        <v>45</v>
      </c>
      <c r="C1007" s="11">
        <v>15.9826046371162</v>
      </c>
      <c r="D1007" s="11">
        <v>1995</v>
      </c>
    </row>
    <row r="1008" spans="1:4" ht="19.95" customHeight="1" x14ac:dyDescent="0.25">
      <c r="A1008" s="10" t="s">
        <v>35</v>
      </c>
      <c r="B1008" s="21" t="s">
        <v>45</v>
      </c>
      <c r="C1008" s="11">
        <v>29.909027511447</v>
      </c>
      <c r="D1008" s="11">
        <v>1995</v>
      </c>
    </row>
    <row r="1009" spans="1:4" ht="19.95" customHeight="1" x14ac:dyDescent="0.25">
      <c r="A1009" s="10" t="s">
        <v>36</v>
      </c>
      <c r="B1009" s="21" t="s">
        <v>45</v>
      </c>
      <c r="C1009" s="11">
        <v>62.060896521867399</v>
      </c>
      <c r="D1009" s="11">
        <v>1995</v>
      </c>
    </row>
    <row r="1010" spans="1:4" ht="19.95" customHeight="1" x14ac:dyDescent="0.25">
      <c r="A1010" s="10" t="s">
        <v>37</v>
      </c>
      <c r="B1010" s="21" t="s">
        <v>45</v>
      </c>
      <c r="C1010" s="11">
        <v>21.273866053887701</v>
      </c>
      <c r="D1010" s="11">
        <v>1995</v>
      </c>
    </row>
    <row r="1011" spans="1:4" ht="19.95" customHeight="1" x14ac:dyDescent="0.25">
      <c r="A1011" s="10" t="s">
        <v>38</v>
      </c>
      <c r="B1011" s="21" t="s">
        <v>45</v>
      </c>
      <c r="C1011" s="11">
        <v>61.228678227902599</v>
      </c>
      <c r="D1011" s="11">
        <v>1995</v>
      </c>
    </row>
    <row r="1012" spans="1:4" ht="19.95" customHeight="1" x14ac:dyDescent="0.25">
      <c r="A1012" s="10" t="s">
        <v>39</v>
      </c>
      <c r="B1012" s="21" t="s">
        <v>45</v>
      </c>
      <c r="C1012" s="11">
        <v>30.6239025786914</v>
      </c>
      <c r="D1012" s="11">
        <v>1995</v>
      </c>
    </row>
    <row r="1013" spans="1:4" ht="19.95" customHeight="1" x14ac:dyDescent="0.25">
      <c r="A1013" s="10" t="s">
        <v>40</v>
      </c>
      <c r="B1013" s="21" t="s">
        <v>45</v>
      </c>
      <c r="C1013" s="11">
        <v>24.8185001748631</v>
      </c>
      <c r="D1013" s="11">
        <v>1995</v>
      </c>
    </row>
    <row r="1014" spans="1:4" ht="19.95" customHeight="1" x14ac:dyDescent="0.25">
      <c r="A1014" s="10" t="s">
        <v>10</v>
      </c>
      <c r="B1014" s="21" t="s">
        <v>45</v>
      </c>
      <c r="C1014" s="11"/>
      <c r="D1014" s="11">
        <v>1996</v>
      </c>
    </row>
    <row r="1015" spans="1:4" ht="19.95" customHeight="1" x14ac:dyDescent="0.25">
      <c r="A1015" s="10" t="s">
        <v>13</v>
      </c>
      <c r="B1015" s="21" t="s">
        <v>45</v>
      </c>
      <c r="C1015" s="11"/>
      <c r="D1015" s="11">
        <v>1996</v>
      </c>
    </row>
    <row r="1016" spans="1:4" ht="19.95" customHeight="1" x14ac:dyDescent="0.25">
      <c r="A1016" s="10" t="s">
        <v>15</v>
      </c>
      <c r="B1016" s="21" t="s">
        <v>45</v>
      </c>
      <c r="C1016" s="11"/>
      <c r="D1016" s="11">
        <v>1996</v>
      </c>
    </row>
    <row r="1017" spans="1:4" ht="19.95" customHeight="1" x14ac:dyDescent="0.25">
      <c r="A1017" s="10" t="s">
        <v>16</v>
      </c>
      <c r="B1017" s="21" t="s">
        <v>45</v>
      </c>
      <c r="C1017" s="11"/>
      <c r="D1017" s="11">
        <v>1996</v>
      </c>
    </row>
    <row r="1018" spans="1:4" ht="19.95" customHeight="1" x14ac:dyDescent="0.25">
      <c r="A1018" s="10" t="s">
        <v>17</v>
      </c>
      <c r="B1018" s="21" t="s">
        <v>45</v>
      </c>
      <c r="C1018" s="11"/>
      <c r="D1018" s="11">
        <v>1996</v>
      </c>
    </row>
    <row r="1019" spans="1:4" ht="19.95" customHeight="1" x14ac:dyDescent="0.25">
      <c r="A1019" s="10" t="s">
        <v>2</v>
      </c>
      <c r="B1019" s="21" t="s">
        <v>45</v>
      </c>
      <c r="C1019" s="11"/>
      <c r="D1019" s="11">
        <v>1996</v>
      </c>
    </row>
    <row r="1020" spans="1:4" ht="19.95" customHeight="1" x14ac:dyDescent="0.25">
      <c r="A1020" s="10" t="s">
        <v>18</v>
      </c>
      <c r="B1020" s="21" t="s">
        <v>45</v>
      </c>
      <c r="C1020" s="11"/>
      <c r="D1020" s="11">
        <v>1996</v>
      </c>
    </row>
    <row r="1021" spans="1:4" ht="19.95" customHeight="1" x14ac:dyDescent="0.25">
      <c r="A1021" s="10" t="s">
        <v>19</v>
      </c>
      <c r="B1021" s="21" t="s">
        <v>45</v>
      </c>
      <c r="C1021" s="11"/>
      <c r="D1021" s="11">
        <v>1996</v>
      </c>
    </row>
    <row r="1022" spans="1:4" ht="19.95" customHeight="1" x14ac:dyDescent="0.25">
      <c r="A1022" s="10" t="s">
        <v>20</v>
      </c>
      <c r="B1022" s="21" t="s">
        <v>45</v>
      </c>
      <c r="C1022" s="11"/>
      <c r="D1022" s="11">
        <v>1996</v>
      </c>
    </row>
    <row r="1023" spans="1:4" ht="19.95" customHeight="1" x14ac:dyDescent="0.25">
      <c r="A1023" s="10" t="s">
        <v>21</v>
      </c>
      <c r="B1023" s="21" t="s">
        <v>45</v>
      </c>
      <c r="C1023" s="11"/>
      <c r="D1023" s="11">
        <v>1996</v>
      </c>
    </row>
    <row r="1024" spans="1:4" ht="19.95" customHeight="1" x14ac:dyDescent="0.25">
      <c r="A1024" s="10" t="s">
        <v>22</v>
      </c>
      <c r="B1024" s="21" t="s">
        <v>45</v>
      </c>
      <c r="C1024" s="11"/>
      <c r="D1024" s="11">
        <v>1996</v>
      </c>
    </row>
    <row r="1025" spans="1:4" ht="19.95" customHeight="1" x14ac:dyDescent="0.25">
      <c r="A1025" s="10" t="s">
        <v>23</v>
      </c>
      <c r="B1025" s="21" t="s">
        <v>45</v>
      </c>
      <c r="C1025" s="11"/>
      <c r="D1025" s="11">
        <v>1996</v>
      </c>
    </row>
    <row r="1026" spans="1:4" ht="19.95" customHeight="1" x14ac:dyDescent="0.25">
      <c r="A1026" s="10" t="s">
        <v>24</v>
      </c>
      <c r="B1026" s="21" t="s">
        <v>45</v>
      </c>
      <c r="C1026" s="11"/>
      <c r="D1026" s="11">
        <v>1996</v>
      </c>
    </row>
    <row r="1027" spans="1:4" ht="19.95" customHeight="1" x14ac:dyDescent="0.25">
      <c r="A1027" s="10" t="s">
        <v>25</v>
      </c>
      <c r="B1027" s="21" t="s">
        <v>45</v>
      </c>
      <c r="C1027" s="11"/>
      <c r="D1027" s="11">
        <v>1996</v>
      </c>
    </row>
    <row r="1028" spans="1:4" ht="19.95" customHeight="1" x14ac:dyDescent="0.25">
      <c r="A1028" s="10" t="s">
        <v>26</v>
      </c>
      <c r="B1028" s="21" t="s">
        <v>45</v>
      </c>
      <c r="C1028" s="11"/>
      <c r="D1028" s="11">
        <v>1996</v>
      </c>
    </row>
    <row r="1029" spans="1:4" ht="19.95" customHeight="1" x14ac:dyDescent="0.25">
      <c r="A1029" s="10" t="s">
        <v>27</v>
      </c>
      <c r="B1029" s="21" t="s">
        <v>45</v>
      </c>
      <c r="C1029" s="11"/>
      <c r="D1029" s="11">
        <v>1996</v>
      </c>
    </row>
    <row r="1030" spans="1:4" ht="19.95" customHeight="1" x14ac:dyDescent="0.25">
      <c r="A1030" s="10" t="s">
        <v>29</v>
      </c>
      <c r="B1030" s="21" t="s">
        <v>45</v>
      </c>
      <c r="C1030" s="11"/>
      <c r="D1030" s="11">
        <v>1996</v>
      </c>
    </row>
    <row r="1031" spans="1:4" ht="19.95" customHeight="1" x14ac:dyDescent="0.25">
      <c r="A1031" s="10" t="s">
        <v>30</v>
      </c>
      <c r="B1031" s="21" t="s">
        <v>45</v>
      </c>
      <c r="C1031" s="11"/>
      <c r="D1031" s="11">
        <v>1996</v>
      </c>
    </row>
    <row r="1032" spans="1:4" ht="19.95" customHeight="1" x14ac:dyDescent="0.25">
      <c r="A1032" s="10" t="s">
        <v>31</v>
      </c>
      <c r="B1032" s="21" t="s">
        <v>45</v>
      </c>
      <c r="C1032" s="11"/>
      <c r="D1032" s="11">
        <v>1996</v>
      </c>
    </row>
    <row r="1033" spans="1:4" ht="19.95" customHeight="1" x14ac:dyDescent="0.25">
      <c r="A1033" s="10" t="s">
        <v>32</v>
      </c>
      <c r="B1033" s="21" t="s">
        <v>45</v>
      </c>
      <c r="C1033" s="11"/>
      <c r="D1033" s="11">
        <v>1996</v>
      </c>
    </row>
    <row r="1034" spans="1:4" ht="19.95" customHeight="1" x14ac:dyDescent="0.25">
      <c r="A1034" s="10" t="s">
        <v>33</v>
      </c>
      <c r="B1034" s="21" t="s">
        <v>45</v>
      </c>
      <c r="C1034" s="11"/>
      <c r="D1034" s="11">
        <v>1996</v>
      </c>
    </row>
    <row r="1035" spans="1:4" ht="19.95" customHeight="1" x14ac:dyDescent="0.25">
      <c r="A1035" s="10" t="s">
        <v>34</v>
      </c>
      <c r="B1035" s="21" t="s">
        <v>45</v>
      </c>
      <c r="C1035" s="11"/>
      <c r="D1035" s="11">
        <v>1996</v>
      </c>
    </row>
    <row r="1036" spans="1:4" ht="19.95" customHeight="1" x14ac:dyDescent="0.25">
      <c r="A1036" s="10" t="s">
        <v>35</v>
      </c>
      <c r="B1036" s="21" t="s">
        <v>45</v>
      </c>
      <c r="C1036" s="11"/>
      <c r="D1036" s="11">
        <v>1996</v>
      </c>
    </row>
    <row r="1037" spans="1:4" ht="19.95" customHeight="1" x14ac:dyDescent="0.25">
      <c r="A1037" s="10" t="s">
        <v>36</v>
      </c>
      <c r="B1037" s="21" t="s">
        <v>45</v>
      </c>
      <c r="C1037" s="11"/>
      <c r="D1037" s="11">
        <v>1996</v>
      </c>
    </row>
    <row r="1038" spans="1:4" ht="19.95" customHeight="1" x14ac:dyDescent="0.25">
      <c r="A1038" s="10" t="s">
        <v>37</v>
      </c>
      <c r="B1038" s="21" t="s">
        <v>45</v>
      </c>
      <c r="C1038" s="11"/>
      <c r="D1038" s="11">
        <v>1996</v>
      </c>
    </row>
    <row r="1039" spans="1:4" ht="19.95" customHeight="1" x14ac:dyDescent="0.25">
      <c r="A1039" s="10" t="s">
        <v>38</v>
      </c>
      <c r="B1039" s="21" t="s">
        <v>45</v>
      </c>
      <c r="C1039" s="11"/>
      <c r="D1039" s="11">
        <v>1996</v>
      </c>
    </row>
    <row r="1040" spans="1:4" ht="19.95" customHeight="1" x14ac:dyDescent="0.25">
      <c r="A1040" s="10" t="s">
        <v>39</v>
      </c>
      <c r="B1040" s="21" t="s">
        <v>45</v>
      </c>
      <c r="C1040" s="11"/>
      <c r="D1040" s="11">
        <v>1996</v>
      </c>
    </row>
    <row r="1041" spans="1:4" ht="19.95" customHeight="1" x14ac:dyDescent="0.25">
      <c r="A1041" s="10" t="s">
        <v>40</v>
      </c>
      <c r="B1041" s="21" t="s">
        <v>45</v>
      </c>
      <c r="C1041" s="11"/>
      <c r="D1041" s="11">
        <v>1996</v>
      </c>
    </row>
    <row r="1042" spans="1:4" ht="19.95" customHeight="1" x14ac:dyDescent="0.25">
      <c r="A1042" s="10" t="s">
        <v>10</v>
      </c>
      <c r="B1042" s="21" t="s">
        <v>45</v>
      </c>
      <c r="C1042" s="11"/>
      <c r="D1042" s="11">
        <v>1997</v>
      </c>
    </row>
    <row r="1043" spans="1:4" ht="19.95" customHeight="1" x14ac:dyDescent="0.25">
      <c r="A1043" s="10" t="s">
        <v>13</v>
      </c>
      <c r="B1043" s="21" t="s">
        <v>45</v>
      </c>
      <c r="C1043" s="11"/>
      <c r="D1043" s="11">
        <v>1997</v>
      </c>
    </row>
    <row r="1044" spans="1:4" ht="19.95" customHeight="1" x14ac:dyDescent="0.25">
      <c r="A1044" s="10" t="s">
        <v>15</v>
      </c>
      <c r="B1044" s="21" t="s">
        <v>45</v>
      </c>
      <c r="C1044" s="11"/>
      <c r="D1044" s="11">
        <v>1997</v>
      </c>
    </row>
    <row r="1045" spans="1:4" ht="19.95" customHeight="1" x14ac:dyDescent="0.25">
      <c r="A1045" s="10" t="s">
        <v>16</v>
      </c>
      <c r="B1045" s="21" t="s">
        <v>45</v>
      </c>
      <c r="C1045" s="11"/>
      <c r="D1045" s="11">
        <v>1997</v>
      </c>
    </row>
    <row r="1046" spans="1:4" ht="19.95" customHeight="1" x14ac:dyDescent="0.25">
      <c r="A1046" s="10" t="s">
        <v>17</v>
      </c>
      <c r="B1046" s="21" t="s">
        <v>45</v>
      </c>
      <c r="C1046" s="11"/>
      <c r="D1046" s="11">
        <v>1997</v>
      </c>
    </row>
    <row r="1047" spans="1:4" ht="19.95" customHeight="1" x14ac:dyDescent="0.25">
      <c r="A1047" s="10" t="s">
        <v>2</v>
      </c>
      <c r="B1047" s="21" t="s">
        <v>45</v>
      </c>
      <c r="C1047" s="11"/>
      <c r="D1047" s="11">
        <v>1997</v>
      </c>
    </row>
    <row r="1048" spans="1:4" ht="19.95" customHeight="1" x14ac:dyDescent="0.25">
      <c r="A1048" s="10" t="s">
        <v>18</v>
      </c>
      <c r="B1048" s="21" t="s">
        <v>45</v>
      </c>
      <c r="C1048" s="11"/>
      <c r="D1048" s="11">
        <v>1997</v>
      </c>
    </row>
    <row r="1049" spans="1:4" ht="19.95" customHeight="1" x14ac:dyDescent="0.25">
      <c r="A1049" s="10" t="s">
        <v>19</v>
      </c>
      <c r="B1049" s="21" t="s">
        <v>45</v>
      </c>
      <c r="C1049" s="11"/>
      <c r="D1049" s="11">
        <v>1997</v>
      </c>
    </row>
    <row r="1050" spans="1:4" ht="19.95" customHeight="1" x14ac:dyDescent="0.25">
      <c r="A1050" s="10" t="s">
        <v>20</v>
      </c>
      <c r="B1050" s="21" t="s">
        <v>45</v>
      </c>
      <c r="C1050" s="11"/>
      <c r="D1050" s="11">
        <v>1997</v>
      </c>
    </row>
    <row r="1051" spans="1:4" ht="19.95" customHeight="1" x14ac:dyDescent="0.25">
      <c r="A1051" s="10" t="s">
        <v>21</v>
      </c>
      <c r="B1051" s="21" t="s">
        <v>45</v>
      </c>
      <c r="C1051" s="11"/>
      <c r="D1051" s="11">
        <v>1997</v>
      </c>
    </row>
    <row r="1052" spans="1:4" ht="19.95" customHeight="1" x14ac:dyDescent="0.25">
      <c r="A1052" s="10" t="s">
        <v>22</v>
      </c>
      <c r="B1052" s="21" t="s">
        <v>45</v>
      </c>
      <c r="C1052" s="11"/>
      <c r="D1052" s="11">
        <v>1997</v>
      </c>
    </row>
    <row r="1053" spans="1:4" ht="19.95" customHeight="1" x14ac:dyDescent="0.25">
      <c r="A1053" s="10" t="s">
        <v>23</v>
      </c>
      <c r="B1053" s="21" t="s">
        <v>45</v>
      </c>
      <c r="C1053" s="11"/>
      <c r="D1053" s="11">
        <v>1997</v>
      </c>
    </row>
    <row r="1054" spans="1:4" ht="19.95" customHeight="1" x14ac:dyDescent="0.25">
      <c r="A1054" s="10" t="s">
        <v>24</v>
      </c>
      <c r="B1054" s="21" t="s">
        <v>45</v>
      </c>
      <c r="C1054" s="11"/>
      <c r="D1054" s="11">
        <v>1997</v>
      </c>
    </row>
    <row r="1055" spans="1:4" ht="19.95" customHeight="1" x14ac:dyDescent="0.25">
      <c r="A1055" s="10" t="s">
        <v>25</v>
      </c>
      <c r="B1055" s="21" t="s">
        <v>45</v>
      </c>
      <c r="C1055" s="11"/>
      <c r="D1055" s="11">
        <v>1997</v>
      </c>
    </row>
    <row r="1056" spans="1:4" ht="19.95" customHeight="1" x14ac:dyDescent="0.25">
      <c r="A1056" s="10" t="s">
        <v>26</v>
      </c>
      <c r="B1056" s="21" t="s">
        <v>45</v>
      </c>
      <c r="C1056" s="11"/>
      <c r="D1056" s="11">
        <v>1997</v>
      </c>
    </row>
    <row r="1057" spans="1:4" ht="19.95" customHeight="1" x14ac:dyDescent="0.25">
      <c r="A1057" s="10" t="s">
        <v>27</v>
      </c>
      <c r="B1057" s="21" t="s">
        <v>45</v>
      </c>
      <c r="C1057" s="11"/>
      <c r="D1057" s="11">
        <v>1997</v>
      </c>
    </row>
    <row r="1058" spans="1:4" ht="19.95" customHeight="1" x14ac:dyDescent="0.25">
      <c r="A1058" s="10" t="s">
        <v>29</v>
      </c>
      <c r="B1058" s="21" t="s">
        <v>45</v>
      </c>
      <c r="C1058" s="11"/>
      <c r="D1058" s="11">
        <v>1997</v>
      </c>
    </row>
    <row r="1059" spans="1:4" ht="19.95" customHeight="1" x14ac:dyDescent="0.25">
      <c r="A1059" s="10" t="s">
        <v>30</v>
      </c>
      <c r="B1059" s="21" t="s">
        <v>45</v>
      </c>
      <c r="C1059" s="11"/>
      <c r="D1059" s="11">
        <v>1997</v>
      </c>
    </row>
    <row r="1060" spans="1:4" ht="19.95" customHeight="1" x14ac:dyDescent="0.25">
      <c r="A1060" s="10" t="s">
        <v>31</v>
      </c>
      <c r="B1060" s="21" t="s">
        <v>45</v>
      </c>
      <c r="C1060" s="11"/>
      <c r="D1060" s="11">
        <v>1997</v>
      </c>
    </row>
    <row r="1061" spans="1:4" ht="19.95" customHeight="1" x14ac:dyDescent="0.25">
      <c r="A1061" s="10" t="s">
        <v>32</v>
      </c>
      <c r="B1061" s="21" t="s">
        <v>45</v>
      </c>
      <c r="C1061" s="11"/>
      <c r="D1061" s="11">
        <v>1997</v>
      </c>
    </row>
    <row r="1062" spans="1:4" ht="19.95" customHeight="1" x14ac:dyDescent="0.25">
      <c r="A1062" s="10" t="s">
        <v>33</v>
      </c>
      <c r="B1062" s="21" t="s">
        <v>45</v>
      </c>
      <c r="C1062" s="11"/>
      <c r="D1062" s="11">
        <v>1997</v>
      </c>
    </row>
    <row r="1063" spans="1:4" ht="19.95" customHeight="1" x14ac:dyDescent="0.25">
      <c r="A1063" s="10" t="s">
        <v>34</v>
      </c>
      <c r="B1063" s="21" t="s">
        <v>45</v>
      </c>
      <c r="C1063" s="11"/>
      <c r="D1063" s="11">
        <v>1997</v>
      </c>
    </row>
    <row r="1064" spans="1:4" ht="19.95" customHeight="1" x14ac:dyDescent="0.25">
      <c r="A1064" s="10" t="s">
        <v>35</v>
      </c>
      <c r="B1064" s="21" t="s">
        <v>45</v>
      </c>
      <c r="C1064" s="11"/>
      <c r="D1064" s="11">
        <v>1997</v>
      </c>
    </row>
    <row r="1065" spans="1:4" ht="19.95" customHeight="1" x14ac:dyDescent="0.25">
      <c r="A1065" s="10" t="s">
        <v>36</v>
      </c>
      <c r="B1065" s="21" t="s">
        <v>45</v>
      </c>
      <c r="C1065" s="11"/>
      <c r="D1065" s="11">
        <v>1997</v>
      </c>
    </row>
    <row r="1066" spans="1:4" ht="19.95" customHeight="1" x14ac:dyDescent="0.25">
      <c r="A1066" s="10" t="s">
        <v>37</v>
      </c>
      <c r="B1066" s="21" t="s">
        <v>45</v>
      </c>
      <c r="C1066" s="11"/>
      <c r="D1066" s="11">
        <v>1997</v>
      </c>
    </row>
    <row r="1067" spans="1:4" ht="19.95" customHeight="1" x14ac:dyDescent="0.25">
      <c r="A1067" s="10" t="s">
        <v>38</v>
      </c>
      <c r="B1067" s="21" t="s">
        <v>45</v>
      </c>
      <c r="C1067" s="11"/>
      <c r="D1067" s="11">
        <v>1997</v>
      </c>
    </row>
    <row r="1068" spans="1:4" ht="19.95" customHeight="1" x14ac:dyDescent="0.25">
      <c r="A1068" s="10" t="s">
        <v>39</v>
      </c>
      <c r="B1068" s="21" t="s">
        <v>45</v>
      </c>
      <c r="C1068" s="11"/>
      <c r="D1068" s="11">
        <v>1997</v>
      </c>
    </row>
    <row r="1069" spans="1:4" ht="19.95" customHeight="1" x14ac:dyDescent="0.25">
      <c r="A1069" s="10" t="s">
        <v>40</v>
      </c>
      <c r="B1069" s="21" t="s">
        <v>45</v>
      </c>
      <c r="C1069" s="11"/>
      <c r="D1069" s="11">
        <v>1997</v>
      </c>
    </row>
    <row r="1070" spans="1:4" ht="19.95" customHeight="1" x14ac:dyDescent="0.25">
      <c r="A1070" s="10" t="s">
        <v>10</v>
      </c>
      <c r="B1070" s="21" t="s">
        <v>45</v>
      </c>
      <c r="C1070" s="11"/>
      <c r="D1070" s="11">
        <v>1998</v>
      </c>
    </row>
    <row r="1071" spans="1:4" ht="19.95" customHeight="1" x14ac:dyDescent="0.25">
      <c r="A1071" s="10" t="s">
        <v>13</v>
      </c>
      <c r="B1071" s="21" t="s">
        <v>45</v>
      </c>
      <c r="C1071" s="11"/>
      <c r="D1071" s="11">
        <v>1998</v>
      </c>
    </row>
    <row r="1072" spans="1:4" ht="19.95" customHeight="1" x14ac:dyDescent="0.25">
      <c r="A1072" s="10" t="s">
        <v>15</v>
      </c>
      <c r="B1072" s="21" t="s">
        <v>45</v>
      </c>
      <c r="C1072" s="11"/>
      <c r="D1072" s="11">
        <v>1998</v>
      </c>
    </row>
    <row r="1073" spans="1:4" ht="19.95" customHeight="1" x14ac:dyDescent="0.25">
      <c r="A1073" s="10" t="s">
        <v>16</v>
      </c>
      <c r="B1073" s="21" t="s">
        <v>45</v>
      </c>
      <c r="C1073" s="11"/>
      <c r="D1073" s="11">
        <v>1998</v>
      </c>
    </row>
    <row r="1074" spans="1:4" ht="19.95" customHeight="1" x14ac:dyDescent="0.25">
      <c r="A1074" s="10" t="s">
        <v>17</v>
      </c>
      <c r="B1074" s="21" t="s">
        <v>45</v>
      </c>
      <c r="C1074" s="11"/>
      <c r="D1074" s="11">
        <v>1998</v>
      </c>
    </row>
    <row r="1075" spans="1:4" ht="19.95" customHeight="1" x14ac:dyDescent="0.25">
      <c r="A1075" s="10" t="s">
        <v>2</v>
      </c>
      <c r="B1075" s="21" t="s">
        <v>45</v>
      </c>
      <c r="C1075" s="11"/>
      <c r="D1075" s="11">
        <v>1998</v>
      </c>
    </row>
    <row r="1076" spans="1:4" ht="19.95" customHeight="1" x14ac:dyDescent="0.25">
      <c r="A1076" s="10" t="s">
        <v>18</v>
      </c>
      <c r="B1076" s="21" t="s">
        <v>45</v>
      </c>
      <c r="C1076" s="11"/>
      <c r="D1076" s="11">
        <v>1998</v>
      </c>
    </row>
    <row r="1077" spans="1:4" ht="19.95" customHeight="1" x14ac:dyDescent="0.25">
      <c r="A1077" s="10" t="s">
        <v>19</v>
      </c>
      <c r="B1077" s="21" t="s">
        <v>45</v>
      </c>
      <c r="C1077" s="11"/>
      <c r="D1077" s="11">
        <v>1998</v>
      </c>
    </row>
    <row r="1078" spans="1:4" ht="19.95" customHeight="1" x14ac:dyDescent="0.25">
      <c r="A1078" s="10" t="s">
        <v>20</v>
      </c>
      <c r="B1078" s="21" t="s">
        <v>45</v>
      </c>
      <c r="C1078" s="11"/>
      <c r="D1078" s="11">
        <v>1998</v>
      </c>
    </row>
    <row r="1079" spans="1:4" ht="19.95" customHeight="1" x14ac:dyDescent="0.25">
      <c r="A1079" s="10" t="s">
        <v>21</v>
      </c>
      <c r="B1079" s="21" t="s">
        <v>45</v>
      </c>
      <c r="C1079" s="11"/>
      <c r="D1079" s="11">
        <v>1998</v>
      </c>
    </row>
    <row r="1080" spans="1:4" ht="19.95" customHeight="1" x14ac:dyDescent="0.25">
      <c r="A1080" s="10" t="s">
        <v>22</v>
      </c>
      <c r="B1080" s="21" t="s">
        <v>45</v>
      </c>
      <c r="C1080" s="11"/>
      <c r="D1080" s="11">
        <v>1998</v>
      </c>
    </row>
    <row r="1081" spans="1:4" ht="19.95" customHeight="1" x14ac:dyDescent="0.25">
      <c r="A1081" s="10" t="s">
        <v>23</v>
      </c>
      <c r="B1081" s="21" t="s">
        <v>45</v>
      </c>
      <c r="C1081" s="11"/>
      <c r="D1081" s="11">
        <v>1998</v>
      </c>
    </row>
    <row r="1082" spans="1:4" ht="19.95" customHeight="1" x14ac:dyDescent="0.25">
      <c r="A1082" s="10" t="s">
        <v>24</v>
      </c>
      <c r="B1082" s="21" t="s">
        <v>45</v>
      </c>
      <c r="C1082" s="11"/>
      <c r="D1082" s="11">
        <v>1998</v>
      </c>
    </row>
    <row r="1083" spans="1:4" ht="19.95" customHeight="1" x14ac:dyDescent="0.25">
      <c r="A1083" s="10" t="s">
        <v>25</v>
      </c>
      <c r="B1083" s="21" t="s">
        <v>45</v>
      </c>
      <c r="C1083" s="11"/>
      <c r="D1083" s="11">
        <v>1998</v>
      </c>
    </row>
    <row r="1084" spans="1:4" ht="19.95" customHeight="1" x14ac:dyDescent="0.25">
      <c r="A1084" s="10" t="s">
        <v>26</v>
      </c>
      <c r="B1084" s="21" t="s">
        <v>45</v>
      </c>
      <c r="C1084" s="11"/>
      <c r="D1084" s="11">
        <v>1998</v>
      </c>
    </row>
    <row r="1085" spans="1:4" ht="19.95" customHeight="1" x14ac:dyDescent="0.25">
      <c r="A1085" s="10" t="s">
        <v>27</v>
      </c>
      <c r="B1085" s="21" t="s">
        <v>45</v>
      </c>
      <c r="C1085" s="11"/>
      <c r="D1085" s="11">
        <v>1998</v>
      </c>
    </row>
    <row r="1086" spans="1:4" ht="19.95" customHeight="1" x14ac:dyDescent="0.25">
      <c r="A1086" s="10" t="s">
        <v>29</v>
      </c>
      <c r="B1086" s="21" t="s">
        <v>45</v>
      </c>
      <c r="C1086" s="11"/>
      <c r="D1086" s="11">
        <v>1998</v>
      </c>
    </row>
    <row r="1087" spans="1:4" ht="19.95" customHeight="1" x14ac:dyDescent="0.25">
      <c r="A1087" s="10" t="s">
        <v>30</v>
      </c>
      <c r="B1087" s="21" t="s">
        <v>45</v>
      </c>
      <c r="C1087" s="11"/>
      <c r="D1087" s="11">
        <v>1998</v>
      </c>
    </row>
    <row r="1088" spans="1:4" ht="19.95" customHeight="1" x14ac:dyDescent="0.25">
      <c r="A1088" s="10" t="s">
        <v>31</v>
      </c>
      <c r="B1088" s="21" t="s">
        <v>45</v>
      </c>
      <c r="C1088" s="11"/>
      <c r="D1088" s="11">
        <v>1998</v>
      </c>
    </row>
    <row r="1089" spans="1:4" ht="19.95" customHeight="1" x14ac:dyDescent="0.25">
      <c r="A1089" s="10" t="s">
        <v>32</v>
      </c>
      <c r="B1089" s="21" t="s">
        <v>45</v>
      </c>
      <c r="C1089" s="11"/>
      <c r="D1089" s="11">
        <v>1998</v>
      </c>
    </row>
    <row r="1090" spans="1:4" ht="19.95" customHeight="1" x14ac:dyDescent="0.25">
      <c r="A1090" s="10" t="s">
        <v>33</v>
      </c>
      <c r="B1090" s="21" t="s">
        <v>45</v>
      </c>
      <c r="C1090" s="11"/>
      <c r="D1090" s="11">
        <v>1998</v>
      </c>
    </row>
    <row r="1091" spans="1:4" ht="19.95" customHeight="1" x14ac:dyDescent="0.25">
      <c r="A1091" s="10" t="s">
        <v>34</v>
      </c>
      <c r="B1091" s="21" t="s">
        <v>45</v>
      </c>
      <c r="C1091" s="11"/>
      <c r="D1091" s="11">
        <v>1998</v>
      </c>
    </row>
    <row r="1092" spans="1:4" ht="19.95" customHeight="1" x14ac:dyDescent="0.25">
      <c r="A1092" s="10" t="s">
        <v>35</v>
      </c>
      <c r="B1092" s="21" t="s">
        <v>45</v>
      </c>
      <c r="C1092" s="11"/>
      <c r="D1092" s="11">
        <v>1998</v>
      </c>
    </row>
    <row r="1093" spans="1:4" ht="19.95" customHeight="1" x14ac:dyDescent="0.25">
      <c r="A1093" s="10" t="s">
        <v>36</v>
      </c>
      <c r="B1093" s="21" t="s">
        <v>45</v>
      </c>
      <c r="C1093" s="11"/>
      <c r="D1093" s="11">
        <v>1998</v>
      </c>
    </row>
    <row r="1094" spans="1:4" ht="19.95" customHeight="1" x14ac:dyDescent="0.25">
      <c r="A1094" s="10" t="s">
        <v>37</v>
      </c>
      <c r="B1094" s="21" t="s">
        <v>45</v>
      </c>
      <c r="C1094" s="11"/>
      <c r="D1094" s="11">
        <v>1998</v>
      </c>
    </row>
    <row r="1095" spans="1:4" ht="19.95" customHeight="1" x14ac:dyDescent="0.25">
      <c r="A1095" s="10" t="s">
        <v>38</v>
      </c>
      <c r="B1095" s="21" t="s">
        <v>45</v>
      </c>
      <c r="C1095" s="11"/>
      <c r="D1095" s="11">
        <v>1998</v>
      </c>
    </row>
    <row r="1096" spans="1:4" ht="19.95" customHeight="1" x14ac:dyDescent="0.25">
      <c r="A1096" s="10" t="s">
        <v>39</v>
      </c>
      <c r="B1096" s="21" t="s">
        <v>45</v>
      </c>
      <c r="C1096" s="11"/>
      <c r="D1096" s="11">
        <v>1998</v>
      </c>
    </row>
    <row r="1097" spans="1:4" ht="19.95" customHeight="1" x14ac:dyDescent="0.25">
      <c r="A1097" s="10" t="s">
        <v>40</v>
      </c>
      <c r="B1097" s="21" t="s">
        <v>45</v>
      </c>
      <c r="C1097" s="11"/>
      <c r="D1097" s="11">
        <v>1998</v>
      </c>
    </row>
    <row r="1098" spans="1:4" ht="19.95" customHeight="1" x14ac:dyDescent="0.25">
      <c r="A1098" s="10" t="s">
        <v>10</v>
      </c>
      <c r="B1098" s="21" t="s">
        <v>45</v>
      </c>
      <c r="C1098" s="11"/>
      <c r="D1098" s="11">
        <v>1999</v>
      </c>
    </row>
    <row r="1099" spans="1:4" ht="19.95" customHeight="1" x14ac:dyDescent="0.25">
      <c r="A1099" s="10" t="s">
        <v>13</v>
      </c>
      <c r="B1099" s="21" t="s">
        <v>45</v>
      </c>
      <c r="C1099" s="11"/>
      <c r="D1099" s="11">
        <v>1999</v>
      </c>
    </row>
    <row r="1100" spans="1:4" ht="19.95" customHeight="1" x14ac:dyDescent="0.25">
      <c r="A1100" s="10" t="s">
        <v>15</v>
      </c>
      <c r="B1100" s="21" t="s">
        <v>45</v>
      </c>
      <c r="C1100" s="11"/>
      <c r="D1100" s="11">
        <v>1999</v>
      </c>
    </row>
    <row r="1101" spans="1:4" ht="19.95" customHeight="1" x14ac:dyDescent="0.25">
      <c r="A1101" s="10" t="s">
        <v>16</v>
      </c>
      <c r="B1101" s="21" t="s">
        <v>45</v>
      </c>
      <c r="C1101" s="11"/>
      <c r="D1101" s="11">
        <v>1999</v>
      </c>
    </row>
    <row r="1102" spans="1:4" ht="19.95" customHeight="1" x14ac:dyDescent="0.25">
      <c r="A1102" s="10" t="s">
        <v>17</v>
      </c>
      <c r="B1102" s="21" t="s">
        <v>45</v>
      </c>
      <c r="C1102" s="11"/>
      <c r="D1102" s="11">
        <v>1999</v>
      </c>
    </row>
    <row r="1103" spans="1:4" ht="19.95" customHeight="1" x14ac:dyDescent="0.25">
      <c r="A1103" s="10" t="s">
        <v>2</v>
      </c>
      <c r="B1103" s="21" t="s">
        <v>45</v>
      </c>
      <c r="C1103" s="11"/>
      <c r="D1103" s="11">
        <v>1999</v>
      </c>
    </row>
    <row r="1104" spans="1:4" ht="19.95" customHeight="1" x14ac:dyDescent="0.25">
      <c r="A1104" s="10" t="s">
        <v>18</v>
      </c>
      <c r="B1104" s="21" t="s">
        <v>45</v>
      </c>
      <c r="C1104" s="11"/>
      <c r="D1104" s="11">
        <v>1999</v>
      </c>
    </row>
    <row r="1105" spans="1:4" ht="19.95" customHeight="1" x14ac:dyDescent="0.25">
      <c r="A1105" s="10" t="s">
        <v>19</v>
      </c>
      <c r="B1105" s="21" t="s">
        <v>45</v>
      </c>
      <c r="C1105" s="11"/>
      <c r="D1105" s="11">
        <v>1999</v>
      </c>
    </row>
    <row r="1106" spans="1:4" ht="19.95" customHeight="1" x14ac:dyDescent="0.25">
      <c r="A1106" s="10" t="s">
        <v>20</v>
      </c>
      <c r="B1106" s="21" t="s">
        <v>45</v>
      </c>
      <c r="C1106" s="11"/>
      <c r="D1106" s="11">
        <v>1999</v>
      </c>
    </row>
    <row r="1107" spans="1:4" ht="19.95" customHeight="1" x14ac:dyDescent="0.25">
      <c r="A1107" s="10" t="s">
        <v>21</v>
      </c>
      <c r="B1107" s="21" t="s">
        <v>45</v>
      </c>
      <c r="C1107" s="11"/>
      <c r="D1107" s="11">
        <v>1999</v>
      </c>
    </row>
    <row r="1108" spans="1:4" ht="19.95" customHeight="1" x14ac:dyDescent="0.25">
      <c r="A1108" s="10" t="s">
        <v>22</v>
      </c>
      <c r="B1108" s="21" t="s">
        <v>45</v>
      </c>
      <c r="C1108" s="11"/>
      <c r="D1108" s="11">
        <v>1999</v>
      </c>
    </row>
    <row r="1109" spans="1:4" ht="19.95" customHeight="1" x14ac:dyDescent="0.25">
      <c r="A1109" s="10" t="s">
        <v>23</v>
      </c>
      <c r="B1109" s="21" t="s">
        <v>45</v>
      </c>
      <c r="C1109" s="11"/>
      <c r="D1109" s="11">
        <v>1999</v>
      </c>
    </row>
    <row r="1110" spans="1:4" ht="19.95" customHeight="1" x14ac:dyDescent="0.25">
      <c r="A1110" s="10" t="s">
        <v>24</v>
      </c>
      <c r="B1110" s="21" t="s">
        <v>45</v>
      </c>
      <c r="C1110" s="11"/>
      <c r="D1110" s="11">
        <v>1999</v>
      </c>
    </row>
    <row r="1111" spans="1:4" ht="19.95" customHeight="1" x14ac:dyDescent="0.25">
      <c r="A1111" s="10" t="s">
        <v>25</v>
      </c>
      <c r="B1111" s="21" t="s">
        <v>45</v>
      </c>
      <c r="C1111" s="11"/>
      <c r="D1111" s="11">
        <v>1999</v>
      </c>
    </row>
    <row r="1112" spans="1:4" ht="19.95" customHeight="1" x14ac:dyDescent="0.25">
      <c r="A1112" s="10" t="s">
        <v>26</v>
      </c>
      <c r="B1112" s="21" t="s">
        <v>45</v>
      </c>
      <c r="C1112" s="11"/>
      <c r="D1112" s="11">
        <v>1999</v>
      </c>
    </row>
    <row r="1113" spans="1:4" ht="19.95" customHeight="1" x14ac:dyDescent="0.25">
      <c r="A1113" s="10" t="s">
        <v>27</v>
      </c>
      <c r="B1113" s="21" t="s">
        <v>45</v>
      </c>
      <c r="C1113" s="11"/>
      <c r="D1113" s="11">
        <v>1999</v>
      </c>
    </row>
    <row r="1114" spans="1:4" ht="19.95" customHeight="1" x14ac:dyDescent="0.25">
      <c r="A1114" s="10" t="s">
        <v>29</v>
      </c>
      <c r="B1114" s="21" t="s">
        <v>45</v>
      </c>
      <c r="C1114" s="11"/>
      <c r="D1114" s="11">
        <v>1999</v>
      </c>
    </row>
    <row r="1115" spans="1:4" ht="19.95" customHeight="1" x14ac:dyDescent="0.25">
      <c r="A1115" s="10" t="s">
        <v>30</v>
      </c>
      <c r="B1115" s="21" t="s">
        <v>45</v>
      </c>
      <c r="C1115" s="11"/>
      <c r="D1115" s="11">
        <v>1999</v>
      </c>
    </row>
    <row r="1116" spans="1:4" ht="19.95" customHeight="1" x14ac:dyDescent="0.25">
      <c r="A1116" s="10" t="s">
        <v>31</v>
      </c>
      <c r="B1116" s="21" t="s">
        <v>45</v>
      </c>
      <c r="C1116" s="11"/>
      <c r="D1116" s="11">
        <v>1999</v>
      </c>
    </row>
    <row r="1117" spans="1:4" ht="19.95" customHeight="1" x14ac:dyDescent="0.25">
      <c r="A1117" s="10" t="s">
        <v>32</v>
      </c>
      <c r="B1117" s="21" t="s">
        <v>45</v>
      </c>
      <c r="C1117" s="11"/>
      <c r="D1117" s="11">
        <v>1999</v>
      </c>
    </row>
    <row r="1118" spans="1:4" ht="19.95" customHeight="1" x14ac:dyDescent="0.25">
      <c r="A1118" s="10" t="s">
        <v>33</v>
      </c>
      <c r="B1118" s="21" t="s">
        <v>45</v>
      </c>
      <c r="C1118" s="11"/>
      <c r="D1118" s="11">
        <v>1999</v>
      </c>
    </row>
    <row r="1119" spans="1:4" ht="19.95" customHeight="1" x14ac:dyDescent="0.25">
      <c r="A1119" s="10" t="s">
        <v>34</v>
      </c>
      <c r="B1119" s="21" t="s">
        <v>45</v>
      </c>
      <c r="C1119" s="11"/>
      <c r="D1119" s="11">
        <v>1999</v>
      </c>
    </row>
    <row r="1120" spans="1:4" ht="19.95" customHeight="1" x14ac:dyDescent="0.25">
      <c r="A1120" s="10" t="s">
        <v>35</v>
      </c>
      <c r="B1120" s="21" t="s">
        <v>45</v>
      </c>
      <c r="C1120" s="11"/>
      <c r="D1120" s="11">
        <v>1999</v>
      </c>
    </row>
    <row r="1121" spans="1:4" ht="19.95" customHeight="1" x14ac:dyDescent="0.25">
      <c r="A1121" s="10" t="s">
        <v>36</v>
      </c>
      <c r="B1121" s="21" t="s">
        <v>45</v>
      </c>
      <c r="C1121" s="11"/>
      <c r="D1121" s="11">
        <v>1999</v>
      </c>
    </row>
    <row r="1122" spans="1:4" ht="19.95" customHeight="1" x14ac:dyDescent="0.25">
      <c r="A1122" s="10" t="s">
        <v>37</v>
      </c>
      <c r="B1122" s="21" t="s">
        <v>45</v>
      </c>
      <c r="C1122" s="11"/>
      <c r="D1122" s="11">
        <v>1999</v>
      </c>
    </row>
    <row r="1123" spans="1:4" ht="19.95" customHeight="1" x14ac:dyDescent="0.25">
      <c r="A1123" s="10" t="s">
        <v>38</v>
      </c>
      <c r="B1123" s="21" t="s">
        <v>45</v>
      </c>
      <c r="C1123" s="11"/>
      <c r="D1123" s="11">
        <v>1999</v>
      </c>
    </row>
    <row r="1124" spans="1:4" ht="19.95" customHeight="1" x14ac:dyDescent="0.25">
      <c r="A1124" s="10" t="s">
        <v>39</v>
      </c>
      <c r="B1124" s="21" t="s">
        <v>45</v>
      </c>
      <c r="C1124" s="11"/>
      <c r="D1124" s="11">
        <v>1999</v>
      </c>
    </row>
    <row r="1125" spans="1:4" ht="19.95" customHeight="1" x14ac:dyDescent="0.25">
      <c r="A1125" s="10" t="s">
        <v>40</v>
      </c>
      <c r="B1125" s="21" t="s">
        <v>45</v>
      </c>
      <c r="C1125" s="11"/>
      <c r="D1125" s="11">
        <v>1999</v>
      </c>
    </row>
    <row r="1126" spans="1:4" ht="19.95" customHeight="1" x14ac:dyDescent="0.25">
      <c r="A1126" s="10" t="s">
        <v>10</v>
      </c>
      <c r="B1126" s="21" t="s">
        <v>45</v>
      </c>
      <c r="C1126" s="11">
        <v>47.076484142621702</v>
      </c>
      <c r="D1126" s="11">
        <v>2000</v>
      </c>
    </row>
    <row r="1127" spans="1:4" ht="19.95" customHeight="1" x14ac:dyDescent="0.25">
      <c r="A1127" s="10" t="s">
        <v>13</v>
      </c>
      <c r="B1127" s="21" t="s">
        <v>45</v>
      </c>
      <c r="C1127" s="11">
        <v>99.645181788517505</v>
      </c>
      <c r="D1127" s="11">
        <v>2000</v>
      </c>
    </row>
    <row r="1128" spans="1:4" ht="19.95" customHeight="1" x14ac:dyDescent="0.25">
      <c r="A1128" s="10" t="s">
        <v>15</v>
      </c>
      <c r="B1128" s="21" t="s">
        <v>45</v>
      </c>
      <c r="C1128" s="11">
        <v>63.979689644271602</v>
      </c>
      <c r="D1128" s="11">
        <v>2000</v>
      </c>
    </row>
    <row r="1129" spans="1:4" ht="19.95" customHeight="1" x14ac:dyDescent="0.25">
      <c r="A1129" s="10" t="s">
        <v>16</v>
      </c>
      <c r="B1129" s="21" t="s">
        <v>45</v>
      </c>
      <c r="C1129" s="11">
        <v>21.119799944413799</v>
      </c>
      <c r="D1129" s="11">
        <v>2000</v>
      </c>
    </row>
    <row r="1130" spans="1:4" ht="19.95" customHeight="1" x14ac:dyDescent="0.25">
      <c r="A1130" s="10" t="s">
        <v>17</v>
      </c>
      <c r="B1130" s="21" t="s">
        <v>45</v>
      </c>
      <c r="C1130" s="11">
        <v>49.839589146915102</v>
      </c>
      <c r="D1130" s="11">
        <v>2000</v>
      </c>
    </row>
    <row r="1131" spans="1:4" ht="19.95" customHeight="1" x14ac:dyDescent="0.25">
      <c r="A1131" s="10" t="s">
        <v>2</v>
      </c>
      <c r="B1131" s="21" t="s">
        <v>45</v>
      </c>
      <c r="C1131" s="11">
        <v>35.457561015242703</v>
      </c>
      <c r="D1131" s="11">
        <v>2000</v>
      </c>
    </row>
    <row r="1132" spans="1:4" ht="19.95" customHeight="1" x14ac:dyDescent="0.25">
      <c r="A1132" s="10" t="s">
        <v>18</v>
      </c>
      <c r="B1132" s="21" t="s">
        <v>45</v>
      </c>
      <c r="C1132" s="11">
        <v>30.6068189596926</v>
      </c>
      <c r="D1132" s="11">
        <v>2000</v>
      </c>
    </row>
    <row r="1133" spans="1:4" ht="19.95" customHeight="1" x14ac:dyDescent="0.25">
      <c r="A1133" s="10" t="s">
        <v>19</v>
      </c>
      <c r="B1133" s="21" t="s">
        <v>45</v>
      </c>
      <c r="C1133" s="11">
        <v>30.781790810841301</v>
      </c>
      <c r="D1133" s="11">
        <v>2000</v>
      </c>
    </row>
    <row r="1134" spans="1:4" ht="19.95" customHeight="1" x14ac:dyDescent="0.25">
      <c r="A1134" s="10" t="s">
        <v>20</v>
      </c>
      <c r="B1134" s="21" t="s">
        <v>45</v>
      </c>
      <c r="C1134" s="11">
        <v>16.190365034014899</v>
      </c>
      <c r="D1134" s="11">
        <v>2000</v>
      </c>
    </row>
    <row r="1135" spans="1:4" ht="19.95" customHeight="1" x14ac:dyDescent="0.25">
      <c r="A1135" s="10" t="s">
        <v>21</v>
      </c>
      <c r="B1135" s="21" t="s">
        <v>45</v>
      </c>
      <c r="C1135" s="11"/>
      <c r="D1135" s="11">
        <v>2000</v>
      </c>
    </row>
    <row r="1136" spans="1:4" ht="19.95" customHeight="1" x14ac:dyDescent="0.25">
      <c r="A1136" s="10" t="s">
        <v>22</v>
      </c>
      <c r="B1136" s="21" t="s">
        <v>45</v>
      </c>
      <c r="C1136" s="11">
        <v>10.555447622356599</v>
      </c>
      <c r="D1136" s="11">
        <v>2000</v>
      </c>
    </row>
    <row r="1137" spans="1:4" ht="19.95" customHeight="1" x14ac:dyDescent="0.25">
      <c r="A1137" s="10" t="s">
        <v>23</v>
      </c>
      <c r="B1137" s="21" t="s">
        <v>45</v>
      </c>
      <c r="C1137" s="11">
        <v>19.357024432303099</v>
      </c>
      <c r="D1137" s="11">
        <v>2000</v>
      </c>
    </row>
    <row r="1138" spans="1:4" ht="19.95" customHeight="1" x14ac:dyDescent="0.25">
      <c r="A1138" s="10" t="s">
        <v>24</v>
      </c>
      <c r="B1138" s="21" t="s">
        <v>45</v>
      </c>
      <c r="C1138" s="11">
        <v>29.173683004910998</v>
      </c>
      <c r="D1138" s="11">
        <v>2000</v>
      </c>
    </row>
    <row r="1139" spans="1:4" ht="19.95" customHeight="1" x14ac:dyDescent="0.25">
      <c r="A1139" s="10" t="s">
        <v>25</v>
      </c>
      <c r="B1139" s="21" t="s">
        <v>45</v>
      </c>
      <c r="C1139" s="11">
        <v>60.2093358539855</v>
      </c>
      <c r="D1139" s="11">
        <v>2000</v>
      </c>
    </row>
    <row r="1140" spans="1:4" ht="19.95" customHeight="1" x14ac:dyDescent="0.25">
      <c r="A1140" s="10" t="s">
        <v>26</v>
      </c>
      <c r="B1140" s="21" t="s">
        <v>45</v>
      </c>
      <c r="C1140" s="11">
        <v>21.8742189684701</v>
      </c>
      <c r="D1140" s="11">
        <v>2000</v>
      </c>
    </row>
    <row r="1141" spans="1:4" ht="19.95" customHeight="1" x14ac:dyDescent="0.25">
      <c r="A1141" s="10" t="s">
        <v>27</v>
      </c>
      <c r="B1141" s="21" t="s">
        <v>45</v>
      </c>
      <c r="C1141" s="11">
        <v>22.758277433082799</v>
      </c>
      <c r="D1141" s="11">
        <v>2000</v>
      </c>
    </row>
    <row r="1142" spans="1:4" ht="19.95" customHeight="1" x14ac:dyDescent="0.25">
      <c r="A1142" s="10" t="s">
        <v>29</v>
      </c>
      <c r="B1142" s="21" t="s">
        <v>45</v>
      </c>
      <c r="C1142" s="11">
        <v>44.227207948034</v>
      </c>
      <c r="D1142" s="11">
        <v>2000</v>
      </c>
    </row>
    <row r="1143" spans="1:4" ht="19.95" customHeight="1" x14ac:dyDescent="0.25">
      <c r="A1143" s="10" t="s">
        <v>30</v>
      </c>
      <c r="B1143" s="21" t="s">
        <v>45</v>
      </c>
      <c r="C1143" s="11">
        <v>56.050758619398401</v>
      </c>
      <c r="D1143" s="11">
        <v>2000</v>
      </c>
    </row>
    <row r="1144" spans="1:4" ht="19.95" customHeight="1" x14ac:dyDescent="0.25">
      <c r="A1144" s="10" t="s">
        <v>31</v>
      </c>
      <c r="B1144" s="21" t="s">
        <v>45</v>
      </c>
      <c r="C1144" s="11">
        <v>34.339958574100102</v>
      </c>
      <c r="D1144" s="11">
        <v>2000</v>
      </c>
    </row>
    <row r="1145" spans="1:4" ht="19.95" customHeight="1" x14ac:dyDescent="0.25">
      <c r="A1145" s="10" t="s">
        <v>32</v>
      </c>
      <c r="B1145" s="21" t="s">
        <v>45</v>
      </c>
      <c r="C1145" s="11">
        <v>128.90772520719699</v>
      </c>
      <c r="D1145" s="11">
        <v>2000</v>
      </c>
    </row>
    <row r="1146" spans="1:4" ht="19.95" customHeight="1" x14ac:dyDescent="0.25">
      <c r="A1146" s="10" t="s">
        <v>33</v>
      </c>
      <c r="B1146" s="21" t="s">
        <v>45</v>
      </c>
      <c r="C1146" s="11">
        <v>53.753770878857097</v>
      </c>
      <c r="D1146" s="11">
        <v>2000</v>
      </c>
    </row>
    <row r="1147" spans="1:4" ht="19.95" customHeight="1" x14ac:dyDescent="0.25">
      <c r="A1147" s="10" t="s">
        <v>34</v>
      </c>
      <c r="B1147" s="21" t="s">
        <v>45</v>
      </c>
      <c r="C1147" s="11">
        <v>15.867681400442899</v>
      </c>
      <c r="D1147" s="11">
        <v>2000</v>
      </c>
    </row>
    <row r="1148" spans="1:4" ht="19.95" customHeight="1" x14ac:dyDescent="0.25">
      <c r="A1148" s="10" t="s">
        <v>35</v>
      </c>
      <c r="B1148" s="21" t="s">
        <v>45</v>
      </c>
      <c r="C1148" s="11">
        <v>30.767274322355298</v>
      </c>
      <c r="D1148" s="11">
        <v>2000</v>
      </c>
    </row>
    <row r="1149" spans="1:4" ht="19.95" customHeight="1" x14ac:dyDescent="0.25">
      <c r="A1149" s="10" t="s">
        <v>36</v>
      </c>
      <c r="B1149" s="21" t="s">
        <v>45</v>
      </c>
      <c r="C1149" s="11">
        <v>62.667892882356497</v>
      </c>
      <c r="D1149" s="11">
        <v>2000</v>
      </c>
    </row>
    <row r="1150" spans="1:4" ht="19.95" customHeight="1" x14ac:dyDescent="0.25">
      <c r="A1150" s="10" t="s">
        <v>37</v>
      </c>
      <c r="B1150" s="21" t="s">
        <v>45</v>
      </c>
      <c r="C1150" s="11">
        <v>22.354224596563199</v>
      </c>
      <c r="D1150" s="11">
        <v>2000</v>
      </c>
    </row>
    <row r="1151" spans="1:4" ht="19.95" customHeight="1" x14ac:dyDescent="0.25">
      <c r="A1151" s="10" t="s">
        <v>38</v>
      </c>
      <c r="B1151" s="21" t="s">
        <v>45</v>
      </c>
      <c r="C1151" s="11">
        <v>60.360426287244699</v>
      </c>
      <c r="D1151" s="11">
        <v>2000</v>
      </c>
    </row>
    <row r="1152" spans="1:4" ht="19.95" customHeight="1" x14ac:dyDescent="0.25">
      <c r="A1152" s="10" t="s">
        <v>39</v>
      </c>
      <c r="B1152" s="21" t="s">
        <v>45</v>
      </c>
      <c r="C1152" s="11">
        <v>30.860930201084699</v>
      </c>
      <c r="D1152" s="11">
        <v>2000</v>
      </c>
    </row>
    <row r="1153" spans="1:4" ht="19.95" customHeight="1" x14ac:dyDescent="0.25">
      <c r="A1153" s="10" t="s">
        <v>40</v>
      </c>
      <c r="B1153" s="21" t="s">
        <v>45</v>
      </c>
      <c r="C1153" s="11">
        <v>25.0884950757689</v>
      </c>
      <c r="D1153" s="11">
        <v>2000</v>
      </c>
    </row>
    <row r="1154" spans="1:4" ht="19.95" customHeight="1" x14ac:dyDescent="0.25">
      <c r="A1154" s="10" t="s">
        <v>10</v>
      </c>
      <c r="B1154" s="21" t="s">
        <v>45</v>
      </c>
      <c r="C1154" s="11"/>
      <c r="D1154" s="11">
        <v>2001</v>
      </c>
    </row>
    <row r="1155" spans="1:4" ht="19.95" customHeight="1" x14ac:dyDescent="0.25">
      <c r="A1155" s="10" t="s">
        <v>13</v>
      </c>
      <c r="B1155" s="21" t="s">
        <v>45</v>
      </c>
      <c r="C1155" s="11"/>
      <c r="D1155" s="11">
        <v>2001</v>
      </c>
    </row>
    <row r="1156" spans="1:4" ht="19.95" customHeight="1" x14ac:dyDescent="0.25">
      <c r="A1156" s="10" t="s">
        <v>15</v>
      </c>
      <c r="B1156" s="21" t="s">
        <v>45</v>
      </c>
      <c r="C1156" s="11"/>
      <c r="D1156" s="11">
        <v>2001</v>
      </c>
    </row>
    <row r="1157" spans="1:4" ht="19.95" customHeight="1" x14ac:dyDescent="0.25">
      <c r="A1157" s="10" t="s">
        <v>16</v>
      </c>
      <c r="B1157" s="21" t="s">
        <v>45</v>
      </c>
      <c r="C1157" s="11"/>
      <c r="D1157" s="11">
        <v>2001</v>
      </c>
    </row>
    <row r="1158" spans="1:4" ht="19.95" customHeight="1" x14ac:dyDescent="0.25">
      <c r="A1158" s="10" t="s">
        <v>17</v>
      </c>
      <c r="B1158" s="21" t="s">
        <v>45</v>
      </c>
      <c r="C1158" s="11"/>
      <c r="D1158" s="11">
        <v>2001</v>
      </c>
    </row>
    <row r="1159" spans="1:4" ht="19.95" customHeight="1" x14ac:dyDescent="0.25">
      <c r="A1159" s="10" t="s">
        <v>2</v>
      </c>
      <c r="B1159" s="21" t="s">
        <v>45</v>
      </c>
      <c r="C1159" s="11"/>
      <c r="D1159" s="11">
        <v>2001</v>
      </c>
    </row>
    <row r="1160" spans="1:4" ht="19.95" customHeight="1" x14ac:dyDescent="0.25">
      <c r="A1160" s="10" t="s">
        <v>18</v>
      </c>
      <c r="B1160" s="21" t="s">
        <v>45</v>
      </c>
      <c r="C1160" s="11"/>
      <c r="D1160" s="11">
        <v>2001</v>
      </c>
    </row>
    <row r="1161" spans="1:4" ht="19.95" customHeight="1" x14ac:dyDescent="0.25">
      <c r="A1161" s="10" t="s">
        <v>19</v>
      </c>
      <c r="B1161" s="21" t="s">
        <v>45</v>
      </c>
      <c r="C1161" s="11"/>
      <c r="D1161" s="11">
        <v>2001</v>
      </c>
    </row>
    <row r="1162" spans="1:4" ht="19.95" customHeight="1" x14ac:dyDescent="0.25">
      <c r="A1162" s="10" t="s">
        <v>20</v>
      </c>
      <c r="B1162" s="21" t="s">
        <v>45</v>
      </c>
      <c r="C1162" s="11"/>
      <c r="D1162" s="11">
        <v>2001</v>
      </c>
    </row>
    <row r="1163" spans="1:4" ht="19.95" customHeight="1" x14ac:dyDescent="0.25">
      <c r="A1163" s="10" t="s">
        <v>21</v>
      </c>
      <c r="B1163" s="21" t="s">
        <v>45</v>
      </c>
      <c r="C1163" s="11"/>
      <c r="D1163" s="11">
        <v>2001</v>
      </c>
    </row>
    <row r="1164" spans="1:4" ht="19.95" customHeight="1" x14ac:dyDescent="0.25">
      <c r="A1164" s="10" t="s">
        <v>22</v>
      </c>
      <c r="B1164" s="21" t="s">
        <v>45</v>
      </c>
      <c r="C1164" s="11"/>
      <c r="D1164" s="11">
        <v>2001</v>
      </c>
    </row>
    <row r="1165" spans="1:4" ht="19.95" customHeight="1" x14ac:dyDescent="0.25">
      <c r="A1165" s="10" t="s">
        <v>23</v>
      </c>
      <c r="B1165" s="21" t="s">
        <v>45</v>
      </c>
      <c r="C1165" s="11"/>
      <c r="D1165" s="11">
        <v>2001</v>
      </c>
    </row>
    <row r="1166" spans="1:4" ht="19.95" customHeight="1" x14ac:dyDescent="0.25">
      <c r="A1166" s="10" t="s">
        <v>24</v>
      </c>
      <c r="B1166" s="21" t="s">
        <v>45</v>
      </c>
      <c r="C1166" s="11"/>
      <c r="D1166" s="11">
        <v>2001</v>
      </c>
    </row>
    <row r="1167" spans="1:4" ht="19.95" customHeight="1" x14ac:dyDescent="0.25">
      <c r="A1167" s="10" t="s">
        <v>25</v>
      </c>
      <c r="B1167" s="21" t="s">
        <v>45</v>
      </c>
      <c r="C1167" s="11"/>
      <c r="D1167" s="11">
        <v>2001</v>
      </c>
    </row>
    <row r="1168" spans="1:4" ht="19.95" customHeight="1" x14ac:dyDescent="0.25">
      <c r="A1168" s="10" t="s">
        <v>26</v>
      </c>
      <c r="B1168" s="21" t="s">
        <v>45</v>
      </c>
      <c r="C1168" s="11"/>
      <c r="D1168" s="11">
        <v>2001</v>
      </c>
    </row>
    <row r="1169" spans="1:4" ht="19.95" customHeight="1" x14ac:dyDescent="0.25">
      <c r="A1169" s="10" t="s">
        <v>27</v>
      </c>
      <c r="B1169" s="21" t="s">
        <v>45</v>
      </c>
      <c r="C1169" s="11"/>
      <c r="D1169" s="11">
        <v>2001</v>
      </c>
    </row>
    <row r="1170" spans="1:4" ht="19.95" customHeight="1" x14ac:dyDescent="0.25">
      <c r="A1170" s="10" t="s">
        <v>29</v>
      </c>
      <c r="B1170" s="21" t="s">
        <v>45</v>
      </c>
      <c r="C1170" s="11"/>
      <c r="D1170" s="11">
        <v>2001</v>
      </c>
    </row>
    <row r="1171" spans="1:4" ht="19.95" customHeight="1" x14ac:dyDescent="0.25">
      <c r="A1171" s="10" t="s">
        <v>30</v>
      </c>
      <c r="B1171" s="21" t="s">
        <v>45</v>
      </c>
      <c r="C1171" s="11"/>
      <c r="D1171" s="11">
        <v>2001</v>
      </c>
    </row>
    <row r="1172" spans="1:4" ht="19.95" customHeight="1" x14ac:dyDescent="0.25">
      <c r="A1172" s="10" t="s">
        <v>31</v>
      </c>
      <c r="B1172" s="21" t="s">
        <v>45</v>
      </c>
      <c r="C1172" s="11"/>
      <c r="D1172" s="11">
        <v>2001</v>
      </c>
    </row>
    <row r="1173" spans="1:4" ht="19.95" customHeight="1" x14ac:dyDescent="0.25">
      <c r="A1173" s="10" t="s">
        <v>32</v>
      </c>
      <c r="B1173" s="21" t="s">
        <v>45</v>
      </c>
      <c r="C1173" s="11"/>
      <c r="D1173" s="11">
        <v>2001</v>
      </c>
    </row>
    <row r="1174" spans="1:4" ht="19.95" customHeight="1" x14ac:dyDescent="0.25">
      <c r="A1174" s="10" t="s">
        <v>33</v>
      </c>
      <c r="B1174" s="21" t="s">
        <v>45</v>
      </c>
      <c r="C1174" s="11"/>
      <c r="D1174" s="11">
        <v>2001</v>
      </c>
    </row>
    <row r="1175" spans="1:4" ht="19.95" customHeight="1" x14ac:dyDescent="0.25">
      <c r="A1175" s="10" t="s">
        <v>34</v>
      </c>
      <c r="B1175" s="21" t="s">
        <v>45</v>
      </c>
      <c r="C1175" s="11"/>
      <c r="D1175" s="11">
        <v>2001</v>
      </c>
    </row>
    <row r="1176" spans="1:4" ht="19.95" customHeight="1" x14ac:dyDescent="0.25">
      <c r="A1176" s="10" t="s">
        <v>35</v>
      </c>
      <c r="B1176" s="21" t="s">
        <v>45</v>
      </c>
      <c r="C1176" s="11"/>
      <c r="D1176" s="11">
        <v>2001</v>
      </c>
    </row>
    <row r="1177" spans="1:4" ht="19.95" customHeight="1" x14ac:dyDescent="0.25">
      <c r="A1177" s="10" t="s">
        <v>36</v>
      </c>
      <c r="B1177" s="21" t="s">
        <v>45</v>
      </c>
      <c r="C1177" s="11"/>
      <c r="D1177" s="11">
        <v>2001</v>
      </c>
    </row>
    <row r="1178" spans="1:4" ht="19.95" customHeight="1" x14ac:dyDescent="0.25">
      <c r="A1178" s="10" t="s">
        <v>37</v>
      </c>
      <c r="B1178" s="21" t="s">
        <v>45</v>
      </c>
      <c r="C1178" s="11"/>
      <c r="D1178" s="11">
        <v>2001</v>
      </c>
    </row>
    <row r="1179" spans="1:4" ht="19.95" customHeight="1" x14ac:dyDescent="0.25">
      <c r="A1179" s="10" t="s">
        <v>38</v>
      </c>
      <c r="B1179" s="21" t="s">
        <v>45</v>
      </c>
      <c r="C1179" s="11"/>
      <c r="D1179" s="11">
        <v>2001</v>
      </c>
    </row>
    <row r="1180" spans="1:4" ht="19.95" customHeight="1" x14ac:dyDescent="0.25">
      <c r="A1180" s="10" t="s">
        <v>39</v>
      </c>
      <c r="B1180" s="21" t="s">
        <v>45</v>
      </c>
      <c r="C1180" s="11"/>
      <c r="D1180" s="11">
        <v>2001</v>
      </c>
    </row>
    <row r="1181" spans="1:4" ht="19.95" customHeight="1" x14ac:dyDescent="0.25">
      <c r="A1181" s="10" t="s">
        <v>40</v>
      </c>
      <c r="B1181" s="21" t="s">
        <v>45</v>
      </c>
      <c r="C1181" s="11"/>
      <c r="D1181" s="11">
        <v>2001</v>
      </c>
    </row>
    <row r="1182" spans="1:4" ht="19.95" customHeight="1" x14ac:dyDescent="0.25">
      <c r="A1182" s="10" t="s">
        <v>10</v>
      </c>
      <c r="B1182" s="21" t="s">
        <v>45</v>
      </c>
      <c r="C1182" s="11"/>
      <c r="D1182" s="11">
        <v>2002</v>
      </c>
    </row>
    <row r="1183" spans="1:4" ht="19.95" customHeight="1" x14ac:dyDescent="0.25">
      <c r="A1183" s="10" t="s">
        <v>13</v>
      </c>
      <c r="B1183" s="21" t="s">
        <v>45</v>
      </c>
      <c r="C1183" s="11"/>
      <c r="D1183" s="11">
        <v>2002</v>
      </c>
    </row>
    <row r="1184" spans="1:4" ht="19.95" customHeight="1" x14ac:dyDescent="0.25">
      <c r="A1184" s="10" t="s">
        <v>15</v>
      </c>
      <c r="B1184" s="21" t="s">
        <v>45</v>
      </c>
      <c r="C1184" s="11"/>
      <c r="D1184" s="11">
        <v>2002</v>
      </c>
    </row>
    <row r="1185" spans="1:4" ht="19.95" customHeight="1" x14ac:dyDescent="0.25">
      <c r="A1185" s="10" t="s">
        <v>16</v>
      </c>
      <c r="B1185" s="21" t="s">
        <v>45</v>
      </c>
      <c r="C1185" s="11"/>
      <c r="D1185" s="11">
        <v>2002</v>
      </c>
    </row>
    <row r="1186" spans="1:4" ht="19.95" customHeight="1" x14ac:dyDescent="0.25">
      <c r="A1186" s="10" t="s">
        <v>17</v>
      </c>
      <c r="B1186" s="21" t="s">
        <v>45</v>
      </c>
      <c r="C1186" s="11"/>
      <c r="D1186" s="11">
        <v>2002</v>
      </c>
    </row>
    <row r="1187" spans="1:4" ht="19.95" customHeight="1" x14ac:dyDescent="0.25">
      <c r="A1187" s="10" t="s">
        <v>2</v>
      </c>
      <c r="B1187" s="21" t="s">
        <v>45</v>
      </c>
      <c r="C1187" s="11"/>
      <c r="D1187" s="11">
        <v>2002</v>
      </c>
    </row>
    <row r="1188" spans="1:4" ht="19.95" customHeight="1" x14ac:dyDescent="0.25">
      <c r="A1188" s="10" t="s">
        <v>18</v>
      </c>
      <c r="B1188" s="21" t="s">
        <v>45</v>
      </c>
      <c r="C1188" s="11"/>
      <c r="D1188" s="11">
        <v>2002</v>
      </c>
    </row>
    <row r="1189" spans="1:4" ht="19.95" customHeight="1" x14ac:dyDescent="0.25">
      <c r="A1189" s="10" t="s">
        <v>19</v>
      </c>
      <c r="B1189" s="21" t="s">
        <v>45</v>
      </c>
      <c r="C1189" s="11"/>
      <c r="D1189" s="11">
        <v>2002</v>
      </c>
    </row>
    <row r="1190" spans="1:4" ht="19.95" customHeight="1" x14ac:dyDescent="0.25">
      <c r="A1190" s="10" t="s">
        <v>20</v>
      </c>
      <c r="B1190" s="21" t="s">
        <v>45</v>
      </c>
      <c r="C1190" s="11"/>
      <c r="D1190" s="11">
        <v>2002</v>
      </c>
    </row>
    <row r="1191" spans="1:4" ht="19.95" customHeight="1" x14ac:dyDescent="0.25">
      <c r="A1191" s="10" t="s">
        <v>21</v>
      </c>
      <c r="B1191" s="21" t="s">
        <v>45</v>
      </c>
      <c r="C1191" s="11"/>
      <c r="D1191" s="11">
        <v>2002</v>
      </c>
    </row>
    <row r="1192" spans="1:4" ht="19.95" customHeight="1" x14ac:dyDescent="0.25">
      <c r="A1192" s="10" t="s">
        <v>22</v>
      </c>
      <c r="B1192" s="21" t="s">
        <v>45</v>
      </c>
      <c r="C1192" s="11"/>
      <c r="D1192" s="11">
        <v>2002</v>
      </c>
    </row>
    <row r="1193" spans="1:4" ht="19.95" customHeight="1" x14ac:dyDescent="0.25">
      <c r="A1193" s="10" t="s">
        <v>23</v>
      </c>
      <c r="B1193" s="21" t="s">
        <v>45</v>
      </c>
      <c r="C1193" s="11"/>
      <c r="D1193" s="11">
        <v>2002</v>
      </c>
    </row>
    <row r="1194" spans="1:4" ht="19.95" customHeight="1" x14ac:dyDescent="0.25">
      <c r="A1194" s="10" t="s">
        <v>24</v>
      </c>
      <c r="B1194" s="21" t="s">
        <v>45</v>
      </c>
      <c r="C1194" s="11"/>
      <c r="D1194" s="11">
        <v>2002</v>
      </c>
    </row>
    <row r="1195" spans="1:4" ht="19.95" customHeight="1" x14ac:dyDescent="0.25">
      <c r="A1195" s="10" t="s">
        <v>25</v>
      </c>
      <c r="B1195" s="21" t="s">
        <v>45</v>
      </c>
      <c r="C1195" s="11"/>
      <c r="D1195" s="11">
        <v>2002</v>
      </c>
    </row>
    <row r="1196" spans="1:4" ht="19.95" customHeight="1" x14ac:dyDescent="0.25">
      <c r="A1196" s="10" t="s">
        <v>26</v>
      </c>
      <c r="B1196" s="21" t="s">
        <v>45</v>
      </c>
      <c r="C1196" s="11"/>
      <c r="D1196" s="11">
        <v>2002</v>
      </c>
    </row>
    <row r="1197" spans="1:4" ht="19.95" customHeight="1" x14ac:dyDescent="0.25">
      <c r="A1197" s="10" t="s">
        <v>27</v>
      </c>
      <c r="B1197" s="21" t="s">
        <v>45</v>
      </c>
      <c r="C1197" s="11"/>
      <c r="D1197" s="11">
        <v>2002</v>
      </c>
    </row>
    <row r="1198" spans="1:4" ht="19.95" customHeight="1" x14ac:dyDescent="0.25">
      <c r="A1198" s="10" t="s">
        <v>29</v>
      </c>
      <c r="B1198" s="21" t="s">
        <v>45</v>
      </c>
      <c r="C1198" s="11"/>
      <c r="D1198" s="11">
        <v>2002</v>
      </c>
    </row>
    <row r="1199" spans="1:4" ht="19.95" customHeight="1" x14ac:dyDescent="0.25">
      <c r="A1199" s="10" t="s">
        <v>30</v>
      </c>
      <c r="B1199" s="21" t="s">
        <v>45</v>
      </c>
      <c r="C1199" s="11"/>
      <c r="D1199" s="11">
        <v>2002</v>
      </c>
    </row>
    <row r="1200" spans="1:4" ht="19.95" customHeight="1" x14ac:dyDescent="0.25">
      <c r="A1200" s="10" t="s">
        <v>31</v>
      </c>
      <c r="B1200" s="21" t="s">
        <v>45</v>
      </c>
      <c r="C1200" s="11"/>
      <c r="D1200" s="11">
        <v>2002</v>
      </c>
    </row>
    <row r="1201" spans="1:4" ht="19.95" customHeight="1" x14ac:dyDescent="0.25">
      <c r="A1201" s="10" t="s">
        <v>32</v>
      </c>
      <c r="B1201" s="21" t="s">
        <v>45</v>
      </c>
      <c r="C1201" s="11"/>
      <c r="D1201" s="11">
        <v>2002</v>
      </c>
    </row>
    <row r="1202" spans="1:4" ht="19.95" customHeight="1" x14ac:dyDescent="0.25">
      <c r="A1202" s="10" t="s">
        <v>33</v>
      </c>
      <c r="B1202" s="21" t="s">
        <v>45</v>
      </c>
      <c r="C1202" s="11"/>
      <c r="D1202" s="11">
        <v>2002</v>
      </c>
    </row>
    <row r="1203" spans="1:4" ht="19.95" customHeight="1" x14ac:dyDescent="0.25">
      <c r="A1203" s="10" t="s">
        <v>34</v>
      </c>
      <c r="B1203" s="21" t="s">
        <v>45</v>
      </c>
      <c r="C1203" s="11"/>
      <c r="D1203" s="11">
        <v>2002</v>
      </c>
    </row>
    <row r="1204" spans="1:4" ht="19.95" customHeight="1" x14ac:dyDescent="0.25">
      <c r="A1204" s="10" t="s">
        <v>35</v>
      </c>
      <c r="B1204" s="21" t="s">
        <v>45</v>
      </c>
      <c r="C1204" s="11"/>
      <c r="D1204" s="11">
        <v>2002</v>
      </c>
    </row>
    <row r="1205" spans="1:4" ht="19.95" customHeight="1" x14ac:dyDescent="0.25">
      <c r="A1205" s="10" t="s">
        <v>36</v>
      </c>
      <c r="B1205" s="21" t="s">
        <v>45</v>
      </c>
      <c r="C1205" s="11"/>
      <c r="D1205" s="11">
        <v>2002</v>
      </c>
    </row>
    <row r="1206" spans="1:4" ht="19.95" customHeight="1" x14ac:dyDescent="0.25">
      <c r="A1206" s="10" t="s">
        <v>37</v>
      </c>
      <c r="B1206" s="21" t="s">
        <v>45</v>
      </c>
      <c r="C1206" s="11"/>
      <c r="D1206" s="11">
        <v>2002</v>
      </c>
    </row>
    <row r="1207" spans="1:4" ht="19.95" customHeight="1" x14ac:dyDescent="0.25">
      <c r="A1207" s="10" t="s">
        <v>38</v>
      </c>
      <c r="B1207" s="21" t="s">
        <v>45</v>
      </c>
      <c r="C1207" s="11"/>
      <c r="D1207" s="11">
        <v>2002</v>
      </c>
    </row>
    <row r="1208" spans="1:4" ht="19.95" customHeight="1" x14ac:dyDescent="0.25">
      <c r="A1208" s="10" t="s">
        <v>39</v>
      </c>
      <c r="B1208" s="21" t="s">
        <v>45</v>
      </c>
      <c r="C1208" s="11"/>
      <c r="D1208" s="11">
        <v>2002</v>
      </c>
    </row>
    <row r="1209" spans="1:4" ht="19.95" customHeight="1" x14ac:dyDescent="0.25">
      <c r="A1209" s="10" t="s">
        <v>40</v>
      </c>
      <c r="B1209" s="21" t="s">
        <v>45</v>
      </c>
      <c r="C1209" s="11"/>
      <c r="D1209" s="11">
        <v>2002</v>
      </c>
    </row>
    <row r="1210" spans="1:4" ht="19.95" customHeight="1" x14ac:dyDescent="0.25">
      <c r="A1210" s="10" t="s">
        <v>10</v>
      </c>
      <c r="B1210" s="21" t="s">
        <v>45</v>
      </c>
      <c r="C1210" s="11"/>
      <c r="D1210" s="11">
        <v>2003</v>
      </c>
    </row>
    <row r="1211" spans="1:4" ht="19.95" customHeight="1" x14ac:dyDescent="0.25">
      <c r="A1211" s="10" t="s">
        <v>13</v>
      </c>
      <c r="B1211" s="21" t="s">
        <v>45</v>
      </c>
      <c r="C1211" s="11"/>
      <c r="D1211" s="11">
        <v>2003</v>
      </c>
    </row>
    <row r="1212" spans="1:4" ht="19.95" customHeight="1" x14ac:dyDescent="0.25">
      <c r="A1212" s="10" t="s">
        <v>15</v>
      </c>
      <c r="B1212" s="21" t="s">
        <v>45</v>
      </c>
      <c r="C1212" s="11"/>
      <c r="D1212" s="11">
        <v>2003</v>
      </c>
    </row>
    <row r="1213" spans="1:4" ht="19.95" customHeight="1" x14ac:dyDescent="0.25">
      <c r="A1213" s="10" t="s">
        <v>16</v>
      </c>
      <c r="B1213" s="21" t="s">
        <v>45</v>
      </c>
      <c r="C1213" s="11"/>
      <c r="D1213" s="11">
        <v>2003</v>
      </c>
    </row>
    <row r="1214" spans="1:4" ht="19.95" customHeight="1" x14ac:dyDescent="0.25">
      <c r="A1214" s="10" t="s">
        <v>17</v>
      </c>
      <c r="B1214" s="21" t="s">
        <v>45</v>
      </c>
      <c r="C1214" s="11"/>
      <c r="D1214" s="11">
        <v>2003</v>
      </c>
    </row>
    <row r="1215" spans="1:4" ht="19.95" customHeight="1" x14ac:dyDescent="0.25">
      <c r="A1215" s="10" t="s">
        <v>2</v>
      </c>
      <c r="B1215" s="21" t="s">
        <v>45</v>
      </c>
      <c r="C1215" s="11"/>
      <c r="D1215" s="11">
        <v>2003</v>
      </c>
    </row>
    <row r="1216" spans="1:4" ht="19.95" customHeight="1" x14ac:dyDescent="0.25">
      <c r="A1216" s="10" t="s">
        <v>18</v>
      </c>
      <c r="B1216" s="21" t="s">
        <v>45</v>
      </c>
      <c r="C1216" s="11"/>
      <c r="D1216" s="11">
        <v>2003</v>
      </c>
    </row>
    <row r="1217" spans="1:4" ht="19.95" customHeight="1" x14ac:dyDescent="0.25">
      <c r="A1217" s="10" t="s">
        <v>19</v>
      </c>
      <c r="B1217" s="21" t="s">
        <v>45</v>
      </c>
      <c r="C1217" s="11"/>
      <c r="D1217" s="11">
        <v>2003</v>
      </c>
    </row>
    <row r="1218" spans="1:4" ht="19.95" customHeight="1" x14ac:dyDescent="0.25">
      <c r="A1218" s="10" t="s">
        <v>20</v>
      </c>
      <c r="B1218" s="21" t="s">
        <v>45</v>
      </c>
      <c r="C1218" s="11"/>
      <c r="D1218" s="11">
        <v>2003</v>
      </c>
    </row>
    <row r="1219" spans="1:4" ht="19.95" customHeight="1" x14ac:dyDescent="0.25">
      <c r="A1219" s="10" t="s">
        <v>21</v>
      </c>
      <c r="B1219" s="21" t="s">
        <v>45</v>
      </c>
      <c r="C1219" s="11"/>
      <c r="D1219" s="11">
        <v>2003</v>
      </c>
    </row>
    <row r="1220" spans="1:4" ht="19.95" customHeight="1" x14ac:dyDescent="0.25">
      <c r="A1220" s="10" t="s">
        <v>22</v>
      </c>
      <c r="B1220" s="21" t="s">
        <v>45</v>
      </c>
      <c r="C1220" s="11"/>
      <c r="D1220" s="11">
        <v>2003</v>
      </c>
    </row>
    <row r="1221" spans="1:4" ht="19.95" customHeight="1" x14ac:dyDescent="0.25">
      <c r="A1221" s="10" t="s">
        <v>23</v>
      </c>
      <c r="B1221" s="21" t="s">
        <v>45</v>
      </c>
      <c r="C1221" s="11"/>
      <c r="D1221" s="11">
        <v>2003</v>
      </c>
    </row>
    <row r="1222" spans="1:4" ht="19.95" customHeight="1" x14ac:dyDescent="0.25">
      <c r="A1222" s="10" t="s">
        <v>24</v>
      </c>
      <c r="B1222" s="21" t="s">
        <v>45</v>
      </c>
      <c r="C1222" s="11"/>
      <c r="D1222" s="11">
        <v>2003</v>
      </c>
    </row>
    <row r="1223" spans="1:4" ht="19.95" customHeight="1" x14ac:dyDescent="0.25">
      <c r="A1223" s="10" t="s">
        <v>25</v>
      </c>
      <c r="B1223" s="21" t="s">
        <v>45</v>
      </c>
      <c r="C1223" s="11"/>
      <c r="D1223" s="11">
        <v>2003</v>
      </c>
    </row>
    <row r="1224" spans="1:4" ht="19.95" customHeight="1" x14ac:dyDescent="0.25">
      <c r="A1224" s="10" t="s">
        <v>26</v>
      </c>
      <c r="B1224" s="21" t="s">
        <v>45</v>
      </c>
      <c r="C1224" s="11"/>
      <c r="D1224" s="11">
        <v>2003</v>
      </c>
    </row>
    <row r="1225" spans="1:4" ht="19.95" customHeight="1" x14ac:dyDescent="0.25">
      <c r="A1225" s="10" t="s">
        <v>27</v>
      </c>
      <c r="B1225" s="21" t="s">
        <v>45</v>
      </c>
      <c r="C1225" s="11"/>
      <c r="D1225" s="11">
        <v>2003</v>
      </c>
    </row>
    <row r="1226" spans="1:4" ht="19.95" customHeight="1" x14ac:dyDescent="0.25">
      <c r="A1226" s="10" t="s">
        <v>29</v>
      </c>
      <c r="B1226" s="21" t="s">
        <v>45</v>
      </c>
      <c r="C1226" s="11"/>
      <c r="D1226" s="11">
        <v>2003</v>
      </c>
    </row>
    <row r="1227" spans="1:4" ht="19.95" customHeight="1" x14ac:dyDescent="0.25">
      <c r="A1227" s="10" t="s">
        <v>30</v>
      </c>
      <c r="B1227" s="21" t="s">
        <v>45</v>
      </c>
      <c r="C1227" s="11"/>
      <c r="D1227" s="11">
        <v>2003</v>
      </c>
    </row>
    <row r="1228" spans="1:4" ht="19.95" customHeight="1" x14ac:dyDescent="0.25">
      <c r="A1228" s="10" t="s">
        <v>31</v>
      </c>
      <c r="B1228" s="21" t="s">
        <v>45</v>
      </c>
      <c r="C1228" s="11"/>
      <c r="D1228" s="11">
        <v>2003</v>
      </c>
    </row>
    <row r="1229" spans="1:4" ht="19.95" customHeight="1" x14ac:dyDescent="0.25">
      <c r="A1229" s="10" t="s">
        <v>32</v>
      </c>
      <c r="B1229" s="21" t="s">
        <v>45</v>
      </c>
      <c r="C1229" s="11"/>
      <c r="D1229" s="11">
        <v>2003</v>
      </c>
    </row>
    <row r="1230" spans="1:4" ht="19.95" customHeight="1" x14ac:dyDescent="0.25">
      <c r="A1230" s="10" t="s">
        <v>33</v>
      </c>
      <c r="B1230" s="21" t="s">
        <v>45</v>
      </c>
      <c r="C1230" s="11"/>
      <c r="D1230" s="11">
        <v>2003</v>
      </c>
    </row>
    <row r="1231" spans="1:4" ht="19.95" customHeight="1" x14ac:dyDescent="0.25">
      <c r="A1231" s="10" t="s">
        <v>34</v>
      </c>
      <c r="B1231" s="21" t="s">
        <v>45</v>
      </c>
      <c r="C1231" s="11"/>
      <c r="D1231" s="11">
        <v>2003</v>
      </c>
    </row>
    <row r="1232" spans="1:4" ht="19.95" customHeight="1" x14ac:dyDescent="0.25">
      <c r="A1232" s="10" t="s">
        <v>35</v>
      </c>
      <c r="B1232" s="21" t="s">
        <v>45</v>
      </c>
      <c r="C1232" s="11"/>
      <c r="D1232" s="11">
        <v>2003</v>
      </c>
    </row>
    <row r="1233" spans="1:4" ht="19.95" customHeight="1" x14ac:dyDescent="0.25">
      <c r="A1233" s="10" t="s">
        <v>36</v>
      </c>
      <c r="B1233" s="21" t="s">
        <v>45</v>
      </c>
      <c r="C1233" s="11"/>
      <c r="D1233" s="11">
        <v>2003</v>
      </c>
    </row>
    <row r="1234" spans="1:4" ht="19.95" customHeight="1" x14ac:dyDescent="0.25">
      <c r="A1234" s="10" t="s">
        <v>37</v>
      </c>
      <c r="B1234" s="21" t="s">
        <v>45</v>
      </c>
      <c r="C1234" s="11"/>
      <c r="D1234" s="11">
        <v>2003</v>
      </c>
    </row>
    <row r="1235" spans="1:4" ht="19.95" customHeight="1" x14ac:dyDescent="0.25">
      <c r="A1235" s="10" t="s">
        <v>38</v>
      </c>
      <c r="B1235" s="21" t="s">
        <v>45</v>
      </c>
      <c r="C1235" s="11"/>
      <c r="D1235" s="11">
        <v>2003</v>
      </c>
    </row>
    <row r="1236" spans="1:4" ht="19.95" customHeight="1" x14ac:dyDescent="0.25">
      <c r="A1236" s="10" t="s">
        <v>39</v>
      </c>
      <c r="B1236" s="21" t="s">
        <v>45</v>
      </c>
      <c r="C1236" s="11"/>
      <c r="D1236" s="11">
        <v>2003</v>
      </c>
    </row>
    <row r="1237" spans="1:4" ht="19.95" customHeight="1" x14ac:dyDescent="0.25">
      <c r="A1237" s="10" t="s">
        <v>40</v>
      </c>
      <c r="B1237" s="21" t="s">
        <v>45</v>
      </c>
      <c r="C1237" s="11"/>
      <c r="D1237" s="11">
        <v>2003</v>
      </c>
    </row>
    <row r="1238" spans="1:4" ht="19.95" customHeight="1" x14ac:dyDescent="0.25">
      <c r="A1238" s="10" t="s">
        <v>10</v>
      </c>
      <c r="B1238" s="21" t="s">
        <v>45</v>
      </c>
      <c r="C1238" s="11"/>
      <c r="D1238" s="11">
        <v>2004</v>
      </c>
    </row>
    <row r="1239" spans="1:4" ht="19.95" customHeight="1" x14ac:dyDescent="0.25">
      <c r="A1239" s="10" t="s">
        <v>13</v>
      </c>
      <c r="B1239" s="21" t="s">
        <v>45</v>
      </c>
      <c r="C1239" s="11"/>
      <c r="D1239" s="11">
        <v>2004</v>
      </c>
    </row>
    <row r="1240" spans="1:4" ht="19.95" customHeight="1" x14ac:dyDescent="0.25">
      <c r="A1240" s="10" t="s">
        <v>15</v>
      </c>
      <c r="B1240" s="21" t="s">
        <v>45</v>
      </c>
      <c r="C1240" s="11"/>
      <c r="D1240" s="11">
        <v>2004</v>
      </c>
    </row>
    <row r="1241" spans="1:4" ht="19.95" customHeight="1" x14ac:dyDescent="0.25">
      <c r="A1241" s="10" t="s">
        <v>16</v>
      </c>
      <c r="B1241" s="21" t="s">
        <v>45</v>
      </c>
      <c r="C1241" s="11"/>
      <c r="D1241" s="11">
        <v>2004</v>
      </c>
    </row>
    <row r="1242" spans="1:4" ht="19.95" customHeight="1" x14ac:dyDescent="0.25">
      <c r="A1242" s="10" t="s">
        <v>17</v>
      </c>
      <c r="B1242" s="21" t="s">
        <v>45</v>
      </c>
      <c r="C1242" s="11"/>
      <c r="D1242" s="11">
        <v>2004</v>
      </c>
    </row>
    <row r="1243" spans="1:4" ht="19.95" customHeight="1" x14ac:dyDescent="0.25">
      <c r="A1243" s="10" t="s">
        <v>2</v>
      </c>
      <c r="B1243" s="21" t="s">
        <v>45</v>
      </c>
      <c r="C1243" s="11"/>
      <c r="D1243" s="11">
        <v>2004</v>
      </c>
    </row>
    <row r="1244" spans="1:4" ht="19.95" customHeight="1" x14ac:dyDescent="0.25">
      <c r="A1244" s="10" t="s">
        <v>18</v>
      </c>
      <c r="B1244" s="21" t="s">
        <v>45</v>
      </c>
      <c r="C1244" s="11"/>
      <c r="D1244" s="11">
        <v>2004</v>
      </c>
    </row>
    <row r="1245" spans="1:4" ht="19.95" customHeight="1" x14ac:dyDescent="0.25">
      <c r="A1245" s="10" t="s">
        <v>19</v>
      </c>
      <c r="B1245" s="21" t="s">
        <v>45</v>
      </c>
      <c r="C1245" s="11"/>
      <c r="D1245" s="11">
        <v>2004</v>
      </c>
    </row>
    <row r="1246" spans="1:4" ht="19.95" customHeight="1" x14ac:dyDescent="0.25">
      <c r="A1246" s="10" t="s">
        <v>20</v>
      </c>
      <c r="B1246" s="21" t="s">
        <v>45</v>
      </c>
      <c r="C1246" s="11"/>
      <c r="D1246" s="11">
        <v>2004</v>
      </c>
    </row>
    <row r="1247" spans="1:4" ht="19.95" customHeight="1" x14ac:dyDescent="0.25">
      <c r="A1247" s="10" t="s">
        <v>21</v>
      </c>
      <c r="B1247" s="21" t="s">
        <v>45</v>
      </c>
      <c r="C1247" s="11"/>
      <c r="D1247" s="11">
        <v>2004</v>
      </c>
    </row>
    <row r="1248" spans="1:4" ht="19.95" customHeight="1" x14ac:dyDescent="0.25">
      <c r="A1248" s="10" t="s">
        <v>22</v>
      </c>
      <c r="B1248" s="21" t="s">
        <v>45</v>
      </c>
      <c r="C1248" s="11"/>
      <c r="D1248" s="11">
        <v>2004</v>
      </c>
    </row>
    <row r="1249" spans="1:4" ht="19.95" customHeight="1" x14ac:dyDescent="0.25">
      <c r="A1249" s="10" t="s">
        <v>23</v>
      </c>
      <c r="B1249" s="21" t="s">
        <v>45</v>
      </c>
      <c r="C1249" s="11"/>
      <c r="D1249" s="11">
        <v>2004</v>
      </c>
    </row>
    <row r="1250" spans="1:4" ht="19.95" customHeight="1" x14ac:dyDescent="0.25">
      <c r="A1250" s="10" t="s">
        <v>24</v>
      </c>
      <c r="B1250" s="21" t="s">
        <v>45</v>
      </c>
      <c r="C1250" s="11"/>
      <c r="D1250" s="11">
        <v>2004</v>
      </c>
    </row>
    <row r="1251" spans="1:4" ht="19.95" customHeight="1" x14ac:dyDescent="0.25">
      <c r="A1251" s="10" t="s">
        <v>25</v>
      </c>
      <c r="B1251" s="21" t="s">
        <v>45</v>
      </c>
      <c r="C1251" s="11"/>
      <c r="D1251" s="11">
        <v>2004</v>
      </c>
    </row>
    <row r="1252" spans="1:4" ht="19.95" customHeight="1" x14ac:dyDescent="0.25">
      <c r="A1252" s="10" t="s">
        <v>26</v>
      </c>
      <c r="B1252" s="21" t="s">
        <v>45</v>
      </c>
      <c r="C1252" s="11"/>
      <c r="D1252" s="11">
        <v>2004</v>
      </c>
    </row>
    <row r="1253" spans="1:4" ht="19.95" customHeight="1" x14ac:dyDescent="0.25">
      <c r="A1253" s="10" t="s">
        <v>27</v>
      </c>
      <c r="B1253" s="21" t="s">
        <v>45</v>
      </c>
      <c r="C1253" s="11"/>
      <c r="D1253" s="11">
        <v>2004</v>
      </c>
    </row>
    <row r="1254" spans="1:4" ht="19.95" customHeight="1" x14ac:dyDescent="0.25">
      <c r="A1254" s="10" t="s">
        <v>29</v>
      </c>
      <c r="B1254" s="21" t="s">
        <v>45</v>
      </c>
      <c r="C1254" s="11"/>
      <c r="D1254" s="11">
        <v>2004</v>
      </c>
    </row>
    <row r="1255" spans="1:4" ht="19.95" customHeight="1" x14ac:dyDescent="0.25">
      <c r="A1255" s="10" t="s">
        <v>30</v>
      </c>
      <c r="B1255" s="21" t="s">
        <v>45</v>
      </c>
      <c r="C1255" s="11"/>
      <c r="D1255" s="11">
        <v>2004</v>
      </c>
    </row>
    <row r="1256" spans="1:4" ht="19.95" customHeight="1" x14ac:dyDescent="0.25">
      <c r="A1256" s="10" t="s">
        <v>31</v>
      </c>
      <c r="B1256" s="21" t="s">
        <v>45</v>
      </c>
      <c r="C1256" s="11"/>
      <c r="D1256" s="11">
        <v>2004</v>
      </c>
    </row>
    <row r="1257" spans="1:4" ht="19.95" customHeight="1" x14ac:dyDescent="0.25">
      <c r="A1257" s="10" t="s">
        <v>32</v>
      </c>
      <c r="B1257" s="21" t="s">
        <v>45</v>
      </c>
      <c r="C1257" s="11"/>
      <c r="D1257" s="11">
        <v>2004</v>
      </c>
    </row>
    <row r="1258" spans="1:4" ht="19.95" customHeight="1" x14ac:dyDescent="0.25">
      <c r="A1258" s="10" t="s">
        <v>33</v>
      </c>
      <c r="B1258" s="21" t="s">
        <v>45</v>
      </c>
      <c r="C1258" s="11"/>
      <c r="D1258" s="11">
        <v>2004</v>
      </c>
    </row>
    <row r="1259" spans="1:4" ht="19.95" customHeight="1" x14ac:dyDescent="0.25">
      <c r="A1259" s="10" t="s">
        <v>34</v>
      </c>
      <c r="B1259" s="21" t="s">
        <v>45</v>
      </c>
      <c r="C1259" s="11"/>
      <c r="D1259" s="11">
        <v>2004</v>
      </c>
    </row>
    <row r="1260" spans="1:4" ht="19.95" customHeight="1" x14ac:dyDescent="0.25">
      <c r="A1260" s="10" t="s">
        <v>35</v>
      </c>
      <c r="B1260" s="21" t="s">
        <v>45</v>
      </c>
      <c r="C1260" s="11"/>
      <c r="D1260" s="11">
        <v>2004</v>
      </c>
    </row>
    <row r="1261" spans="1:4" ht="19.95" customHeight="1" x14ac:dyDescent="0.25">
      <c r="A1261" s="10" t="s">
        <v>36</v>
      </c>
      <c r="B1261" s="21" t="s">
        <v>45</v>
      </c>
      <c r="C1261" s="11"/>
      <c r="D1261" s="11">
        <v>2004</v>
      </c>
    </row>
    <row r="1262" spans="1:4" ht="19.95" customHeight="1" x14ac:dyDescent="0.25">
      <c r="A1262" s="10" t="s">
        <v>37</v>
      </c>
      <c r="B1262" s="21" t="s">
        <v>45</v>
      </c>
      <c r="C1262" s="11"/>
      <c r="D1262" s="11">
        <v>2004</v>
      </c>
    </row>
    <row r="1263" spans="1:4" ht="19.95" customHeight="1" x14ac:dyDescent="0.25">
      <c r="A1263" s="10" t="s">
        <v>38</v>
      </c>
      <c r="B1263" s="21" t="s">
        <v>45</v>
      </c>
      <c r="C1263" s="11"/>
      <c r="D1263" s="11">
        <v>2004</v>
      </c>
    </row>
    <row r="1264" spans="1:4" ht="19.95" customHeight="1" x14ac:dyDescent="0.25">
      <c r="A1264" s="10" t="s">
        <v>39</v>
      </c>
      <c r="B1264" s="21" t="s">
        <v>45</v>
      </c>
      <c r="C1264" s="11"/>
      <c r="D1264" s="11">
        <v>2004</v>
      </c>
    </row>
    <row r="1265" spans="1:4" ht="19.95" customHeight="1" x14ac:dyDescent="0.25">
      <c r="A1265" s="10" t="s">
        <v>40</v>
      </c>
      <c r="B1265" s="21" t="s">
        <v>45</v>
      </c>
      <c r="C1265" s="11"/>
      <c r="D1265" s="11">
        <v>2004</v>
      </c>
    </row>
    <row r="1266" spans="1:4" ht="19.95" customHeight="1" x14ac:dyDescent="0.25">
      <c r="A1266" s="10" t="s">
        <v>10</v>
      </c>
      <c r="B1266" s="21" t="s">
        <v>45</v>
      </c>
      <c r="C1266" s="11">
        <v>43.244252956599198</v>
      </c>
      <c r="D1266" s="11">
        <v>2005</v>
      </c>
    </row>
    <row r="1267" spans="1:4" ht="19.95" customHeight="1" x14ac:dyDescent="0.25">
      <c r="A1267" s="10" t="s">
        <v>13</v>
      </c>
      <c r="B1267" s="21" t="s">
        <v>45</v>
      </c>
      <c r="C1267" s="11">
        <v>81.867217580517007</v>
      </c>
      <c r="D1267" s="11">
        <v>2005</v>
      </c>
    </row>
    <row r="1268" spans="1:4" ht="19.95" customHeight="1" x14ac:dyDescent="0.25">
      <c r="A1268" s="10" t="s">
        <v>15</v>
      </c>
      <c r="B1268" s="21" t="s">
        <v>45</v>
      </c>
      <c r="C1268" s="11">
        <v>59.015257242197798</v>
      </c>
      <c r="D1268" s="11">
        <v>2005</v>
      </c>
    </row>
    <row r="1269" spans="1:4" ht="19.95" customHeight="1" x14ac:dyDescent="0.25">
      <c r="A1269" s="10" t="s">
        <v>16</v>
      </c>
      <c r="B1269" s="21" t="s">
        <v>45</v>
      </c>
      <c r="C1269" s="11">
        <v>20.3579409789685</v>
      </c>
      <c r="D1269" s="11">
        <v>2005</v>
      </c>
    </row>
    <row r="1270" spans="1:4" ht="19.95" customHeight="1" x14ac:dyDescent="0.25">
      <c r="A1270" s="10" t="s">
        <v>17</v>
      </c>
      <c r="B1270" s="21" t="s">
        <v>45</v>
      </c>
      <c r="C1270" s="11">
        <v>43.162939624859398</v>
      </c>
      <c r="D1270" s="11">
        <v>2005</v>
      </c>
    </row>
    <row r="1271" spans="1:4" ht="19.95" customHeight="1" x14ac:dyDescent="0.25">
      <c r="A1271" s="10" t="s">
        <v>2</v>
      </c>
      <c r="B1271" s="21" t="s">
        <v>45</v>
      </c>
      <c r="C1271" s="11">
        <v>31.1596866736122</v>
      </c>
      <c r="D1271" s="11">
        <v>2005</v>
      </c>
    </row>
    <row r="1272" spans="1:4" ht="19.95" customHeight="1" x14ac:dyDescent="0.25">
      <c r="A1272" s="10" t="s">
        <v>18</v>
      </c>
      <c r="B1272" s="21" t="s">
        <v>45</v>
      </c>
      <c r="C1272" s="11">
        <v>26.253804724962901</v>
      </c>
      <c r="D1272" s="11">
        <v>2005</v>
      </c>
    </row>
    <row r="1273" spans="1:4" ht="19.95" customHeight="1" x14ac:dyDescent="0.25">
      <c r="A1273" s="10" t="s">
        <v>19</v>
      </c>
      <c r="B1273" s="21" t="s">
        <v>45</v>
      </c>
      <c r="C1273" s="11">
        <v>30.0940881348169</v>
      </c>
      <c r="D1273" s="11">
        <v>2005</v>
      </c>
    </row>
    <row r="1274" spans="1:4" ht="19.95" customHeight="1" x14ac:dyDescent="0.25">
      <c r="A1274" s="10" t="s">
        <v>20</v>
      </c>
      <c r="B1274" s="21" t="s">
        <v>45</v>
      </c>
      <c r="C1274" s="11">
        <v>15.134838405710701</v>
      </c>
      <c r="D1274" s="11">
        <v>2005</v>
      </c>
    </row>
    <row r="1275" spans="1:4" ht="19.95" customHeight="1" x14ac:dyDescent="0.25">
      <c r="A1275" s="10" t="s">
        <v>21</v>
      </c>
      <c r="B1275" s="21" t="s">
        <v>45</v>
      </c>
      <c r="C1275" s="11"/>
      <c r="D1275" s="11">
        <v>2005</v>
      </c>
    </row>
    <row r="1276" spans="1:4" ht="19.95" customHeight="1" x14ac:dyDescent="0.25">
      <c r="A1276" s="10" t="s">
        <v>22</v>
      </c>
      <c r="B1276" s="21" t="s">
        <v>45</v>
      </c>
      <c r="C1276" s="11">
        <v>9.5166108403669796</v>
      </c>
      <c r="D1276" s="11">
        <v>2005</v>
      </c>
    </row>
    <row r="1277" spans="1:4" ht="19.95" customHeight="1" x14ac:dyDescent="0.25">
      <c r="A1277" s="10" t="s">
        <v>23</v>
      </c>
      <c r="B1277" s="21" t="s">
        <v>45</v>
      </c>
      <c r="C1277" s="11">
        <v>18.275894662321999</v>
      </c>
      <c r="D1277" s="11">
        <v>2005</v>
      </c>
    </row>
    <row r="1278" spans="1:4" ht="19.95" customHeight="1" x14ac:dyDescent="0.25">
      <c r="A1278" s="10" t="s">
        <v>24</v>
      </c>
      <c r="B1278" s="21" t="s">
        <v>45</v>
      </c>
      <c r="C1278" s="11">
        <v>29.3762820492149</v>
      </c>
      <c r="D1278" s="11">
        <v>2005</v>
      </c>
    </row>
    <row r="1279" spans="1:4" ht="19.95" customHeight="1" x14ac:dyDescent="0.25">
      <c r="A1279" s="10" t="s">
        <v>25</v>
      </c>
      <c r="B1279" s="21" t="s">
        <v>45</v>
      </c>
      <c r="C1279" s="11">
        <v>53.896665310033299</v>
      </c>
      <c r="D1279" s="11">
        <v>2005</v>
      </c>
    </row>
    <row r="1280" spans="1:4" ht="19.95" customHeight="1" x14ac:dyDescent="0.25">
      <c r="A1280" s="10" t="s">
        <v>26</v>
      </c>
      <c r="B1280" s="21" t="s">
        <v>45</v>
      </c>
      <c r="C1280" s="11">
        <v>18.554719666729401</v>
      </c>
      <c r="D1280" s="11">
        <v>2005</v>
      </c>
    </row>
    <row r="1281" spans="1:4" ht="19.95" customHeight="1" x14ac:dyDescent="0.25">
      <c r="A1281" s="10" t="s">
        <v>27</v>
      </c>
      <c r="B1281" s="21" t="s">
        <v>45</v>
      </c>
      <c r="C1281" s="11">
        <v>22.5651947738403</v>
      </c>
      <c r="D1281" s="11">
        <v>2005</v>
      </c>
    </row>
    <row r="1282" spans="1:4" ht="19.95" customHeight="1" x14ac:dyDescent="0.25">
      <c r="A1282" s="10" t="s">
        <v>29</v>
      </c>
      <c r="B1282" s="21" t="s">
        <v>45</v>
      </c>
      <c r="C1282" s="11">
        <v>48.0010895231636</v>
      </c>
      <c r="D1282" s="11">
        <v>2005</v>
      </c>
    </row>
    <row r="1283" spans="1:4" ht="19.95" customHeight="1" x14ac:dyDescent="0.25">
      <c r="A1283" s="10" t="s">
        <v>30</v>
      </c>
      <c r="B1283" s="21" t="s">
        <v>45</v>
      </c>
      <c r="C1283" s="11">
        <v>60.254146868980101</v>
      </c>
      <c r="D1283" s="11">
        <v>2005</v>
      </c>
    </row>
    <row r="1284" spans="1:4" ht="19.95" customHeight="1" x14ac:dyDescent="0.25">
      <c r="A1284" s="10" t="s">
        <v>31</v>
      </c>
      <c r="B1284" s="21" t="s">
        <v>45</v>
      </c>
      <c r="C1284" s="11">
        <v>32.0779034418129</v>
      </c>
      <c r="D1284" s="11">
        <v>2005</v>
      </c>
    </row>
    <row r="1285" spans="1:4" ht="19.95" customHeight="1" x14ac:dyDescent="0.25">
      <c r="A1285" s="10" t="s">
        <v>32</v>
      </c>
      <c r="B1285" s="21" t="s">
        <v>45</v>
      </c>
      <c r="C1285" s="11">
        <v>112.460808217433</v>
      </c>
      <c r="D1285" s="11">
        <v>2005</v>
      </c>
    </row>
    <row r="1286" spans="1:4" ht="19.95" customHeight="1" x14ac:dyDescent="0.25">
      <c r="A1286" s="10" t="s">
        <v>33</v>
      </c>
      <c r="B1286" s="21" t="s">
        <v>45</v>
      </c>
      <c r="C1286" s="11">
        <v>48.706883862937303</v>
      </c>
      <c r="D1286" s="11">
        <v>2005</v>
      </c>
    </row>
    <row r="1287" spans="1:4" ht="19.95" customHeight="1" x14ac:dyDescent="0.25">
      <c r="A1287" s="10" t="s">
        <v>34</v>
      </c>
      <c r="B1287" s="21" t="s">
        <v>45</v>
      </c>
      <c r="C1287" s="11">
        <v>15.528491720489701</v>
      </c>
      <c r="D1287" s="11">
        <v>2005</v>
      </c>
    </row>
    <row r="1288" spans="1:4" ht="19.95" customHeight="1" x14ac:dyDescent="0.25">
      <c r="A1288" s="10" t="s">
        <v>35</v>
      </c>
      <c r="B1288" s="21" t="s">
        <v>45</v>
      </c>
      <c r="C1288" s="11">
        <v>30.370964662447498</v>
      </c>
      <c r="D1288" s="11">
        <v>2005</v>
      </c>
    </row>
    <row r="1289" spans="1:4" ht="19.95" customHeight="1" x14ac:dyDescent="0.25">
      <c r="A1289" s="10" t="s">
        <v>36</v>
      </c>
      <c r="B1289" s="21" t="s">
        <v>45</v>
      </c>
      <c r="C1289" s="11">
        <v>44.318697524120097</v>
      </c>
      <c r="D1289" s="11">
        <v>2005</v>
      </c>
    </row>
    <row r="1290" spans="1:4" ht="19.95" customHeight="1" x14ac:dyDescent="0.25">
      <c r="A1290" s="10" t="s">
        <v>37</v>
      </c>
      <c r="B1290" s="21" t="s">
        <v>45</v>
      </c>
      <c r="C1290" s="11">
        <v>21.217076970141001</v>
      </c>
      <c r="D1290" s="11">
        <v>2005</v>
      </c>
    </row>
    <row r="1291" spans="1:4" ht="19.95" customHeight="1" x14ac:dyDescent="0.25">
      <c r="A1291" s="10" t="s">
        <v>38</v>
      </c>
      <c r="B1291" s="21" t="s">
        <v>45</v>
      </c>
      <c r="C1291" s="11">
        <v>55.956463546987997</v>
      </c>
      <c r="D1291" s="11">
        <v>2005</v>
      </c>
    </row>
    <row r="1292" spans="1:4" ht="19.95" customHeight="1" x14ac:dyDescent="0.25">
      <c r="A1292" s="10" t="s">
        <v>39</v>
      </c>
      <c r="B1292" s="21" t="s">
        <v>45</v>
      </c>
      <c r="C1292" s="11">
        <v>28.236991301447301</v>
      </c>
      <c r="D1292" s="11">
        <v>2005</v>
      </c>
    </row>
    <row r="1293" spans="1:4" ht="19.95" customHeight="1" x14ac:dyDescent="0.25">
      <c r="A1293" s="10" t="s">
        <v>40</v>
      </c>
      <c r="B1293" s="21" t="s">
        <v>45</v>
      </c>
      <c r="C1293" s="11">
        <v>25.423199861177501</v>
      </c>
      <c r="D1293" s="11">
        <v>2005</v>
      </c>
    </row>
    <row r="1294" spans="1:4" ht="19.95" customHeight="1" x14ac:dyDescent="0.25">
      <c r="A1294" s="10" t="s">
        <v>10</v>
      </c>
      <c r="B1294" s="21" t="s">
        <v>45</v>
      </c>
      <c r="C1294" s="11"/>
      <c r="D1294" s="11">
        <v>2006</v>
      </c>
    </row>
    <row r="1295" spans="1:4" ht="19.95" customHeight="1" x14ac:dyDescent="0.25">
      <c r="A1295" s="10" t="s">
        <v>13</v>
      </c>
      <c r="B1295" s="21" t="s">
        <v>45</v>
      </c>
      <c r="C1295" s="11"/>
      <c r="D1295" s="11">
        <v>2006</v>
      </c>
    </row>
    <row r="1296" spans="1:4" ht="19.95" customHeight="1" x14ac:dyDescent="0.25">
      <c r="A1296" s="10" t="s">
        <v>15</v>
      </c>
      <c r="B1296" s="21" t="s">
        <v>45</v>
      </c>
      <c r="C1296" s="11"/>
      <c r="D1296" s="11">
        <v>2006</v>
      </c>
    </row>
    <row r="1297" spans="1:4" ht="19.95" customHeight="1" x14ac:dyDescent="0.25">
      <c r="A1297" s="10" t="s">
        <v>16</v>
      </c>
      <c r="B1297" s="21" t="s">
        <v>45</v>
      </c>
      <c r="C1297" s="11"/>
      <c r="D1297" s="11">
        <v>2006</v>
      </c>
    </row>
    <row r="1298" spans="1:4" ht="19.95" customHeight="1" x14ac:dyDescent="0.25">
      <c r="A1298" s="10" t="s">
        <v>17</v>
      </c>
      <c r="B1298" s="21" t="s">
        <v>45</v>
      </c>
      <c r="C1298" s="11"/>
      <c r="D1298" s="11">
        <v>2006</v>
      </c>
    </row>
    <row r="1299" spans="1:4" ht="19.95" customHeight="1" x14ac:dyDescent="0.25">
      <c r="A1299" s="10" t="s">
        <v>2</v>
      </c>
      <c r="B1299" s="21" t="s">
        <v>45</v>
      </c>
      <c r="C1299" s="11"/>
      <c r="D1299" s="11">
        <v>2006</v>
      </c>
    </row>
    <row r="1300" spans="1:4" ht="19.95" customHeight="1" x14ac:dyDescent="0.25">
      <c r="A1300" s="10" t="s">
        <v>18</v>
      </c>
      <c r="B1300" s="21" t="s">
        <v>45</v>
      </c>
      <c r="C1300" s="11"/>
      <c r="D1300" s="11">
        <v>2006</v>
      </c>
    </row>
    <row r="1301" spans="1:4" ht="19.95" customHeight="1" x14ac:dyDescent="0.25">
      <c r="A1301" s="10" t="s">
        <v>19</v>
      </c>
      <c r="B1301" s="21" t="s">
        <v>45</v>
      </c>
      <c r="C1301" s="11"/>
      <c r="D1301" s="11">
        <v>2006</v>
      </c>
    </row>
    <row r="1302" spans="1:4" ht="19.95" customHeight="1" x14ac:dyDescent="0.25">
      <c r="A1302" s="10" t="s">
        <v>20</v>
      </c>
      <c r="B1302" s="21" t="s">
        <v>45</v>
      </c>
      <c r="C1302" s="11"/>
      <c r="D1302" s="11">
        <v>2006</v>
      </c>
    </row>
    <row r="1303" spans="1:4" ht="19.95" customHeight="1" x14ac:dyDescent="0.25">
      <c r="A1303" s="10" t="s">
        <v>21</v>
      </c>
      <c r="B1303" s="21" t="s">
        <v>45</v>
      </c>
      <c r="C1303" s="11"/>
      <c r="D1303" s="11">
        <v>2006</v>
      </c>
    </row>
    <row r="1304" spans="1:4" ht="19.95" customHeight="1" x14ac:dyDescent="0.25">
      <c r="A1304" s="10" t="s">
        <v>22</v>
      </c>
      <c r="B1304" s="21" t="s">
        <v>45</v>
      </c>
      <c r="C1304" s="11"/>
      <c r="D1304" s="11">
        <v>2006</v>
      </c>
    </row>
    <row r="1305" spans="1:4" ht="19.95" customHeight="1" x14ac:dyDescent="0.25">
      <c r="A1305" s="10" t="s">
        <v>23</v>
      </c>
      <c r="B1305" s="21" t="s">
        <v>45</v>
      </c>
      <c r="C1305" s="11"/>
      <c r="D1305" s="11">
        <v>2006</v>
      </c>
    </row>
    <row r="1306" spans="1:4" ht="19.95" customHeight="1" x14ac:dyDescent="0.25">
      <c r="A1306" s="10" t="s">
        <v>24</v>
      </c>
      <c r="B1306" s="21" t="s">
        <v>45</v>
      </c>
      <c r="C1306" s="11"/>
      <c r="D1306" s="11">
        <v>2006</v>
      </c>
    </row>
    <row r="1307" spans="1:4" ht="19.95" customHeight="1" x14ac:dyDescent="0.25">
      <c r="A1307" s="10" t="s">
        <v>25</v>
      </c>
      <c r="B1307" s="21" t="s">
        <v>45</v>
      </c>
      <c r="C1307" s="11"/>
      <c r="D1307" s="11">
        <v>2006</v>
      </c>
    </row>
    <row r="1308" spans="1:4" ht="19.95" customHeight="1" x14ac:dyDescent="0.25">
      <c r="A1308" s="10" t="s">
        <v>26</v>
      </c>
      <c r="B1308" s="21" t="s">
        <v>45</v>
      </c>
      <c r="C1308" s="11"/>
      <c r="D1308" s="11">
        <v>2006</v>
      </c>
    </row>
    <row r="1309" spans="1:4" ht="19.95" customHeight="1" x14ac:dyDescent="0.25">
      <c r="A1309" s="10" t="s">
        <v>27</v>
      </c>
      <c r="B1309" s="21" t="s">
        <v>45</v>
      </c>
      <c r="C1309" s="11"/>
      <c r="D1309" s="11">
        <v>2006</v>
      </c>
    </row>
    <row r="1310" spans="1:4" ht="19.95" customHeight="1" x14ac:dyDescent="0.25">
      <c r="A1310" s="10" t="s">
        <v>29</v>
      </c>
      <c r="B1310" s="21" t="s">
        <v>45</v>
      </c>
      <c r="C1310" s="11"/>
      <c r="D1310" s="11">
        <v>2006</v>
      </c>
    </row>
    <row r="1311" spans="1:4" ht="19.95" customHeight="1" x14ac:dyDescent="0.25">
      <c r="A1311" s="10" t="s">
        <v>30</v>
      </c>
      <c r="B1311" s="21" t="s">
        <v>45</v>
      </c>
      <c r="C1311" s="11"/>
      <c r="D1311" s="11">
        <v>2006</v>
      </c>
    </row>
    <row r="1312" spans="1:4" ht="19.95" customHeight="1" x14ac:dyDescent="0.25">
      <c r="A1312" s="10" t="s">
        <v>31</v>
      </c>
      <c r="B1312" s="21" t="s">
        <v>45</v>
      </c>
      <c r="C1312" s="11"/>
      <c r="D1312" s="11">
        <v>2006</v>
      </c>
    </row>
    <row r="1313" spans="1:4" ht="19.95" customHeight="1" x14ac:dyDescent="0.25">
      <c r="A1313" s="10" t="s">
        <v>32</v>
      </c>
      <c r="B1313" s="21" t="s">
        <v>45</v>
      </c>
      <c r="C1313" s="11"/>
      <c r="D1313" s="11">
        <v>2006</v>
      </c>
    </row>
    <row r="1314" spans="1:4" ht="19.95" customHeight="1" x14ac:dyDescent="0.25">
      <c r="A1314" s="10" t="s">
        <v>33</v>
      </c>
      <c r="B1314" s="21" t="s">
        <v>45</v>
      </c>
      <c r="C1314" s="11"/>
      <c r="D1314" s="11">
        <v>2006</v>
      </c>
    </row>
    <row r="1315" spans="1:4" ht="19.95" customHeight="1" x14ac:dyDescent="0.25">
      <c r="A1315" s="10" t="s">
        <v>34</v>
      </c>
      <c r="B1315" s="21" t="s">
        <v>45</v>
      </c>
      <c r="C1315" s="11"/>
      <c r="D1315" s="11">
        <v>2006</v>
      </c>
    </row>
    <row r="1316" spans="1:4" ht="19.95" customHeight="1" x14ac:dyDescent="0.25">
      <c r="A1316" s="10" t="s">
        <v>35</v>
      </c>
      <c r="B1316" s="21" t="s">
        <v>45</v>
      </c>
      <c r="C1316" s="11"/>
      <c r="D1316" s="11">
        <v>2006</v>
      </c>
    </row>
    <row r="1317" spans="1:4" ht="19.95" customHeight="1" x14ac:dyDescent="0.25">
      <c r="A1317" s="10" t="s">
        <v>36</v>
      </c>
      <c r="B1317" s="21" t="s">
        <v>45</v>
      </c>
      <c r="C1317" s="11"/>
      <c r="D1317" s="11">
        <v>2006</v>
      </c>
    </row>
    <row r="1318" spans="1:4" ht="19.95" customHeight="1" x14ac:dyDescent="0.25">
      <c r="A1318" s="10" t="s">
        <v>37</v>
      </c>
      <c r="B1318" s="21" t="s">
        <v>45</v>
      </c>
      <c r="C1318" s="11"/>
      <c r="D1318" s="11">
        <v>2006</v>
      </c>
    </row>
    <row r="1319" spans="1:4" ht="19.95" customHeight="1" x14ac:dyDescent="0.25">
      <c r="A1319" s="10" t="s">
        <v>38</v>
      </c>
      <c r="B1319" s="21" t="s">
        <v>45</v>
      </c>
      <c r="C1319" s="11"/>
      <c r="D1319" s="11">
        <v>2006</v>
      </c>
    </row>
    <row r="1320" spans="1:4" ht="19.95" customHeight="1" x14ac:dyDescent="0.25">
      <c r="A1320" s="10" t="s">
        <v>39</v>
      </c>
      <c r="B1320" s="21" t="s">
        <v>45</v>
      </c>
      <c r="C1320" s="11"/>
      <c r="D1320" s="11">
        <v>2006</v>
      </c>
    </row>
    <row r="1321" spans="1:4" ht="19.95" customHeight="1" x14ac:dyDescent="0.25">
      <c r="A1321" s="10" t="s">
        <v>40</v>
      </c>
      <c r="B1321" s="21" t="s">
        <v>45</v>
      </c>
      <c r="C1321" s="11"/>
      <c r="D1321" s="11">
        <v>2006</v>
      </c>
    </row>
    <row r="1322" spans="1:4" ht="19.95" customHeight="1" x14ac:dyDescent="0.25">
      <c r="A1322" s="10" t="s">
        <v>10</v>
      </c>
      <c r="B1322" s="21" t="s">
        <v>45</v>
      </c>
      <c r="C1322" s="11"/>
      <c r="D1322" s="11">
        <v>2007</v>
      </c>
    </row>
    <row r="1323" spans="1:4" ht="19.95" customHeight="1" x14ac:dyDescent="0.25">
      <c r="A1323" s="10" t="s">
        <v>13</v>
      </c>
      <c r="B1323" s="21" t="s">
        <v>45</v>
      </c>
      <c r="C1323" s="11"/>
      <c r="D1323" s="11">
        <v>2007</v>
      </c>
    </row>
    <row r="1324" spans="1:4" ht="19.95" customHeight="1" x14ac:dyDescent="0.25">
      <c r="A1324" s="10" t="s">
        <v>15</v>
      </c>
      <c r="B1324" s="21" t="s">
        <v>45</v>
      </c>
      <c r="C1324" s="11"/>
      <c r="D1324" s="11">
        <v>2007</v>
      </c>
    </row>
    <row r="1325" spans="1:4" ht="19.95" customHeight="1" x14ac:dyDescent="0.25">
      <c r="A1325" s="10" t="s">
        <v>16</v>
      </c>
      <c r="B1325" s="21" t="s">
        <v>45</v>
      </c>
      <c r="C1325" s="11"/>
      <c r="D1325" s="11">
        <v>2007</v>
      </c>
    </row>
    <row r="1326" spans="1:4" ht="19.95" customHeight="1" x14ac:dyDescent="0.25">
      <c r="A1326" s="10" t="s">
        <v>17</v>
      </c>
      <c r="B1326" s="21" t="s">
        <v>45</v>
      </c>
      <c r="C1326" s="11"/>
      <c r="D1326" s="11">
        <v>2007</v>
      </c>
    </row>
    <row r="1327" spans="1:4" ht="19.95" customHeight="1" x14ac:dyDescent="0.25">
      <c r="A1327" s="10" t="s">
        <v>2</v>
      </c>
      <c r="B1327" s="21" t="s">
        <v>45</v>
      </c>
      <c r="C1327" s="11"/>
      <c r="D1327" s="11">
        <v>2007</v>
      </c>
    </row>
    <row r="1328" spans="1:4" ht="19.95" customHeight="1" x14ac:dyDescent="0.25">
      <c r="A1328" s="10" t="s">
        <v>18</v>
      </c>
      <c r="B1328" s="21" t="s">
        <v>45</v>
      </c>
      <c r="C1328" s="11"/>
      <c r="D1328" s="11">
        <v>2007</v>
      </c>
    </row>
    <row r="1329" spans="1:4" ht="19.95" customHeight="1" x14ac:dyDescent="0.25">
      <c r="A1329" s="10" t="s">
        <v>19</v>
      </c>
      <c r="B1329" s="21" t="s">
        <v>45</v>
      </c>
      <c r="C1329" s="11"/>
      <c r="D1329" s="11">
        <v>2007</v>
      </c>
    </row>
    <row r="1330" spans="1:4" ht="19.95" customHeight="1" x14ac:dyDescent="0.25">
      <c r="A1330" s="10" t="s">
        <v>20</v>
      </c>
      <c r="B1330" s="21" t="s">
        <v>45</v>
      </c>
      <c r="C1330" s="11"/>
      <c r="D1330" s="11">
        <v>2007</v>
      </c>
    </row>
    <row r="1331" spans="1:4" ht="19.95" customHeight="1" x14ac:dyDescent="0.25">
      <c r="A1331" s="10" t="s">
        <v>21</v>
      </c>
      <c r="B1331" s="21" t="s">
        <v>45</v>
      </c>
      <c r="C1331" s="11"/>
      <c r="D1331" s="11">
        <v>2007</v>
      </c>
    </row>
    <row r="1332" spans="1:4" ht="19.95" customHeight="1" x14ac:dyDescent="0.25">
      <c r="A1332" s="10" t="s">
        <v>22</v>
      </c>
      <c r="B1332" s="21" t="s">
        <v>45</v>
      </c>
      <c r="C1332" s="11"/>
      <c r="D1332" s="11">
        <v>2007</v>
      </c>
    </row>
    <row r="1333" spans="1:4" ht="19.95" customHeight="1" x14ac:dyDescent="0.25">
      <c r="A1333" s="10" t="s">
        <v>23</v>
      </c>
      <c r="B1333" s="21" t="s">
        <v>45</v>
      </c>
      <c r="C1333" s="11"/>
      <c r="D1333" s="11">
        <v>2007</v>
      </c>
    </row>
    <row r="1334" spans="1:4" ht="19.95" customHeight="1" x14ac:dyDescent="0.25">
      <c r="A1334" s="10" t="s">
        <v>24</v>
      </c>
      <c r="B1334" s="21" t="s">
        <v>45</v>
      </c>
      <c r="C1334" s="11"/>
      <c r="D1334" s="11">
        <v>2007</v>
      </c>
    </row>
    <row r="1335" spans="1:4" ht="19.95" customHeight="1" x14ac:dyDescent="0.25">
      <c r="A1335" s="10" t="s">
        <v>25</v>
      </c>
      <c r="B1335" s="21" t="s">
        <v>45</v>
      </c>
      <c r="C1335" s="11"/>
      <c r="D1335" s="11">
        <v>2007</v>
      </c>
    </row>
    <row r="1336" spans="1:4" ht="19.95" customHeight="1" x14ac:dyDescent="0.25">
      <c r="A1336" s="10" t="s">
        <v>26</v>
      </c>
      <c r="B1336" s="21" t="s">
        <v>45</v>
      </c>
      <c r="C1336" s="11"/>
      <c r="D1336" s="11">
        <v>2007</v>
      </c>
    </row>
    <row r="1337" spans="1:4" ht="19.95" customHeight="1" x14ac:dyDescent="0.25">
      <c r="A1337" s="10" t="s">
        <v>27</v>
      </c>
      <c r="B1337" s="21" t="s">
        <v>45</v>
      </c>
      <c r="C1337" s="11"/>
      <c r="D1337" s="11">
        <v>2007</v>
      </c>
    </row>
    <row r="1338" spans="1:4" ht="19.95" customHeight="1" x14ac:dyDescent="0.25">
      <c r="A1338" s="10" t="s">
        <v>29</v>
      </c>
      <c r="B1338" s="21" t="s">
        <v>45</v>
      </c>
      <c r="C1338" s="11"/>
      <c r="D1338" s="11">
        <v>2007</v>
      </c>
    </row>
    <row r="1339" spans="1:4" ht="19.95" customHeight="1" x14ac:dyDescent="0.25">
      <c r="A1339" s="10" t="s">
        <v>30</v>
      </c>
      <c r="B1339" s="21" t="s">
        <v>45</v>
      </c>
      <c r="C1339" s="11"/>
      <c r="D1339" s="11">
        <v>2007</v>
      </c>
    </row>
    <row r="1340" spans="1:4" ht="19.95" customHeight="1" x14ac:dyDescent="0.25">
      <c r="A1340" s="10" t="s">
        <v>31</v>
      </c>
      <c r="B1340" s="21" t="s">
        <v>45</v>
      </c>
      <c r="C1340" s="11"/>
      <c r="D1340" s="11">
        <v>2007</v>
      </c>
    </row>
    <row r="1341" spans="1:4" ht="19.95" customHeight="1" x14ac:dyDescent="0.25">
      <c r="A1341" s="10" t="s">
        <v>32</v>
      </c>
      <c r="B1341" s="21" t="s">
        <v>45</v>
      </c>
      <c r="C1341" s="11"/>
      <c r="D1341" s="11">
        <v>2007</v>
      </c>
    </row>
    <row r="1342" spans="1:4" ht="19.95" customHeight="1" x14ac:dyDescent="0.25">
      <c r="A1342" s="10" t="s">
        <v>33</v>
      </c>
      <c r="B1342" s="21" t="s">
        <v>45</v>
      </c>
      <c r="C1342" s="11"/>
      <c r="D1342" s="11">
        <v>2007</v>
      </c>
    </row>
    <row r="1343" spans="1:4" ht="19.95" customHeight="1" x14ac:dyDescent="0.25">
      <c r="A1343" s="10" t="s">
        <v>34</v>
      </c>
      <c r="B1343" s="21" t="s">
        <v>45</v>
      </c>
      <c r="C1343" s="11"/>
      <c r="D1343" s="11">
        <v>2007</v>
      </c>
    </row>
    <row r="1344" spans="1:4" ht="19.95" customHeight="1" x14ac:dyDescent="0.25">
      <c r="A1344" s="10" t="s">
        <v>35</v>
      </c>
      <c r="B1344" s="21" t="s">
        <v>45</v>
      </c>
      <c r="C1344" s="11"/>
      <c r="D1344" s="11">
        <v>2007</v>
      </c>
    </row>
    <row r="1345" spans="1:4" ht="19.95" customHeight="1" x14ac:dyDescent="0.25">
      <c r="A1345" s="10" t="s">
        <v>36</v>
      </c>
      <c r="B1345" s="21" t="s">
        <v>45</v>
      </c>
      <c r="C1345" s="11"/>
      <c r="D1345" s="11">
        <v>2007</v>
      </c>
    </row>
    <row r="1346" spans="1:4" ht="19.95" customHeight="1" x14ac:dyDescent="0.25">
      <c r="A1346" s="10" t="s">
        <v>37</v>
      </c>
      <c r="B1346" s="21" t="s">
        <v>45</v>
      </c>
      <c r="C1346" s="11"/>
      <c r="D1346" s="11">
        <v>2007</v>
      </c>
    </row>
    <row r="1347" spans="1:4" ht="19.95" customHeight="1" x14ac:dyDescent="0.25">
      <c r="A1347" s="10" t="s">
        <v>38</v>
      </c>
      <c r="B1347" s="21" t="s">
        <v>45</v>
      </c>
      <c r="C1347" s="11"/>
      <c r="D1347" s="11">
        <v>2007</v>
      </c>
    </row>
    <row r="1348" spans="1:4" ht="19.95" customHeight="1" x14ac:dyDescent="0.25">
      <c r="A1348" s="10" t="s">
        <v>39</v>
      </c>
      <c r="B1348" s="21" t="s">
        <v>45</v>
      </c>
      <c r="C1348" s="11"/>
      <c r="D1348" s="11">
        <v>2007</v>
      </c>
    </row>
    <row r="1349" spans="1:4" ht="19.95" customHeight="1" x14ac:dyDescent="0.25">
      <c r="A1349" s="10" t="s">
        <v>40</v>
      </c>
      <c r="B1349" s="21" t="s">
        <v>45</v>
      </c>
      <c r="C1349" s="11"/>
      <c r="D1349" s="11">
        <v>2007</v>
      </c>
    </row>
    <row r="1350" spans="1:4" ht="19.95" customHeight="1" x14ac:dyDescent="0.25">
      <c r="A1350" s="10" t="s">
        <v>10</v>
      </c>
      <c r="B1350" s="21" t="s">
        <v>45</v>
      </c>
      <c r="C1350" s="11"/>
      <c r="D1350" s="11">
        <v>2008</v>
      </c>
    </row>
    <row r="1351" spans="1:4" ht="19.95" customHeight="1" x14ac:dyDescent="0.25">
      <c r="A1351" s="10" t="s">
        <v>13</v>
      </c>
      <c r="B1351" s="21" t="s">
        <v>45</v>
      </c>
      <c r="C1351" s="11"/>
      <c r="D1351" s="11">
        <v>2008</v>
      </c>
    </row>
    <row r="1352" spans="1:4" ht="19.95" customHeight="1" x14ac:dyDescent="0.25">
      <c r="A1352" s="10" t="s">
        <v>15</v>
      </c>
      <c r="B1352" s="21" t="s">
        <v>45</v>
      </c>
      <c r="C1352" s="11"/>
      <c r="D1352" s="11">
        <v>2008</v>
      </c>
    </row>
    <row r="1353" spans="1:4" ht="19.95" customHeight="1" x14ac:dyDescent="0.25">
      <c r="A1353" s="10" t="s">
        <v>16</v>
      </c>
      <c r="B1353" s="21" t="s">
        <v>45</v>
      </c>
      <c r="C1353" s="11"/>
      <c r="D1353" s="11">
        <v>2008</v>
      </c>
    </row>
    <row r="1354" spans="1:4" ht="19.95" customHeight="1" x14ac:dyDescent="0.25">
      <c r="A1354" s="10" t="s">
        <v>17</v>
      </c>
      <c r="B1354" s="21" t="s">
        <v>45</v>
      </c>
      <c r="C1354" s="11"/>
      <c r="D1354" s="11">
        <v>2008</v>
      </c>
    </row>
    <row r="1355" spans="1:4" ht="19.95" customHeight="1" x14ac:dyDescent="0.25">
      <c r="A1355" s="10" t="s">
        <v>2</v>
      </c>
      <c r="B1355" s="21" t="s">
        <v>45</v>
      </c>
      <c r="C1355" s="11"/>
      <c r="D1355" s="11">
        <v>2008</v>
      </c>
    </row>
    <row r="1356" spans="1:4" ht="19.95" customHeight="1" x14ac:dyDescent="0.25">
      <c r="A1356" s="10" t="s">
        <v>18</v>
      </c>
      <c r="B1356" s="21" t="s">
        <v>45</v>
      </c>
      <c r="C1356" s="11"/>
      <c r="D1356" s="11">
        <v>2008</v>
      </c>
    </row>
    <row r="1357" spans="1:4" ht="19.95" customHeight="1" x14ac:dyDescent="0.25">
      <c r="A1357" s="10" t="s">
        <v>19</v>
      </c>
      <c r="B1357" s="21" t="s">
        <v>45</v>
      </c>
      <c r="C1357" s="11"/>
      <c r="D1357" s="11">
        <v>2008</v>
      </c>
    </row>
    <row r="1358" spans="1:4" ht="19.95" customHeight="1" x14ac:dyDescent="0.25">
      <c r="A1358" s="10" t="s">
        <v>20</v>
      </c>
      <c r="B1358" s="21" t="s">
        <v>45</v>
      </c>
      <c r="C1358" s="11"/>
      <c r="D1358" s="11">
        <v>2008</v>
      </c>
    </row>
    <row r="1359" spans="1:4" ht="19.95" customHeight="1" x14ac:dyDescent="0.25">
      <c r="A1359" s="10" t="s">
        <v>21</v>
      </c>
      <c r="B1359" s="21" t="s">
        <v>45</v>
      </c>
      <c r="C1359" s="11"/>
      <c r="D1359" s="11">
        <v>2008</v>
      </c>
    </row>
    <row r="1360" spans="1:4" ht="19.95" customHeight="1" x14ac:dyDescent="0.25">
      <c r="A1360" s="10" t="s">
        <v>22</v>
      </c>
      <c r="B1360" s="21" t="s">
        <v>45</v>
      </c>
      <c r="C1360" s="11"/>
      <c r="D1360" s="11">
        <v>2008</v>
      </c>
    </row>
    <row r="1361" spans="1:4" ht="19.95" customHeight="1" x14ac:dyDescent="0.25">
      <c r="A1361" s="10" t="s">
        <v>23</v>
      </c>
      <c r="B1361" s="21" t="s">
        <v>45</v>
      </c>
      <c r="C1361" s="11"/>
      <c r="D1361" s="11">
        <v>2008</v>
      </c>
    </row>
    <row r="1362" spans="1:4" ht="19.95" customHeight="1" x14ac:dyDescent="0.25">
      <c r="A1362" s="10" t="s">
        <v>24</v>
      </c>
      <c r="B1362" s="21" t="s">
        <v>45</v>
      </c>
      <c r="C1362" s="11"/>
      <c r="D1362" s="11">
        <v>2008</v>
      </c>
    </row>
    <row r="1363" spans="1:4" ht="19.95" customHeight="1" x14ac:dyDescent="0.25">
      <c r="A1363" s="10" t="s">
        <v>25</v>
      </c>
      <c r="B1363" s="21" t="s">
        <v>45</v>
      </c>
      <c r="C1363" s="11"/>
      <c r="D1363" s="11">
        <v>2008</v>
      </c>
    </row>
    <row r="1364" spans="1:4" ht="19.95" customHeight="1" x14ac:dyDescent="0.25">
      <c r="A1364" s="10" t="s">
        <v>26</v>
      </c>
      <c r="B1364" s="21" t="s">
        <v>45</v>
      </c>
      <c r="C1364" s="11"/>
      <c r="D1364" s="11">
        <v>2008</v>
      </c>
    </row>
    <row r="1365" spans="1:4" ht="19.95" customHeight="1" x14ac:dyDescent="0.25">
      <c r="A1365" s="10" t="s">
        <v>27</v>
      </c>
      <c r="B1365" s="21" t="s">
        <v>45</v>
      </c>
      <c r="C1365" s="11"/>
      <c r="D1365" s="11">
        <v>2008</v>
      </c>
    </row>
    <row r="1366" spans="1:4" ht="19.95" customHeight="1" x14ac:dyDescent="0.25">
      <c r="A1366" s="10" t="s">
        <v>29</v>
      </c>
      <c r="B1366" s="21" t="s">
        <v>45</v>
      </c>
      <c r="C1366" s="11"/>
      <c r="D1366" s="11">
        <v>2008</v>
      </c>
    </row>
    <row r="1367" spans="1:4" ht="19.95" customHeight="1" x14ac:dyDescent="0.25">
      <c r="A1367" s="10" t="s">
        <v>30</v>
      </c>
      <c r="B1367" s="21" t="s">
        <v>45</v>
      </c>
      <c r="C1367" s="11"/>
      <c r="D1367" s="11">
        <v>2008</v>
      </c>
    </row>
    <row r="1368" spans="1:4" ht="19.95" customHeight="1" x14ac:dyDescent="0.25">
      <c r="A1368" s="10" t="s">
        <v>31</v>
      </c>
      <c r="B1368" s="21" t="s">
        <v>45</v>
      </c>
      <c r="C1368" s="11"/>
      <c r="D1368" s="11">
        <v>2008</v>
      </c>
    </row>
    <row r="1369" spans="1:4" ht="19.95" customHeight="1" x14ac:dyDescent="0.25">
      <c r="A1369" s="10" t="s">
        <v>32</v>
      </c>
      <c r="B1369" s="21" t="s">
        <v>45</v>
      </c>
      <c r="C1369" s="11"/>
      <c r="D1369" s="11">
        <v>2008</v>
      </c>
    </row>
    <row r="1370" spans="1:4" ht="19.95" customHeight="1" x14ac:dyDescent="0.25">
      <c r="A1370" s="10" t="s">
        <v>33</v>
      </c>
      <c r="B1370" s="21" t="s">
        <v>45</v>
      </c>
      <c r="C1370" s="11"/>
      <c r="D1370" s="11">
        <v>2008</v>
      </c>
    </row>
    <row r="1371" spans="1:4" ht="19.95" customHeight="1" x14ac:dyDescent="0.25">
      <c r="A1371" s="10" t="s">
        <v>34</v>
      </c>
      <c r="B1371" s="21" t="s">
        <v>45</v>
      </c>
      <c r="C1371" s="11"/>
      <c r="D1371" s="11">
        <v>2008</v>
      </c>
    </row>
    <row r="1372" spans="1:4" ht="19.95" customHeight="1" x14ac:dyDescent="0.25">
      <c r="A1372" s="10" t="s">
        <v>35</v>
      </c>
      <c r="B1372" s="21" t="s">
        <v>45</v>
      </c>
      <c r="C1372" s="11"/>
      <c r="D1372" s="11">
        <v>2008</v>
      </c>
    </row>
    <row r="1373" spans="1:4" ht="19.95" customHeight="1" x14ac:dyDescent="0.25">
      <c r="A1373" s="10" t="s">
        <v>36</v>
      </c>
      <c r="B1373" s="21" t="s">
        <v>45</v>
      </c>
      <c r="C1373" s="11"/>
      <c r="D1373" s="11">
        <v>2008</v>
      </c>
    </row>
    <row r="1374" spans="1:4" ht="19.95" customHeight="1" x14ac:dyDescent="0.25">
      <c r="A1374" s="10" t="s">
        <v>37</v>
      </c>
      <c r="B1374" s="21" t="s">
        <v>45</v>
      </c>
      <c r="C1374" s="11"/>
      <c r="D1374" s="11">
        <v>2008</v>
      </c>
    </row>
    <row r="1375" spans="1:4" ht="19.95" customHeight="1" x14ac:dyDescent="0.25">
      <c r="A1375" s="10" t="s">
        <v>38</v>
      </c>
      <c r="B1375" s="21" t="s">
        <v>45</v>
      </c>
      <c r="C1375" s="11"/>
      <c r="D1375" s="11">
        <v>2008</v>
      </c>
    </row>
    <row r="1376" spans="1:4" ht="19.95" customHeight="1" x14ac:dyDescent="0.25">
      <c r="A1376" s="10" t="s">
        <v>39</v>
      </c>
      <c r="B1376" s="21" t="s">
        <v>45</v>
      </c>
      <c r="C1376" s="11"/>
      <c r="D1376" s="11">
        <v>2008</v>
      </c>
    </row>
    <row r="1377" spans="1:4" ht="19.95" customHeight="1" x14ac:dyDescent="0.25">
      <c r="A1377" s="10" t="s">
        <v>40</v>
      </c>
      <c r="B1377" s="21" t="s">
        <v>45</v>
      </c>
      <c r="C1377" s="11"/>
      <c r="D1377" s="11">
        <v>2008</v>
      </c>
    </row>
    <row r="1378" spans="1:4" ht="19.95" customHeight="1" x14ac:dyDescent="0.25">
      <c r="A1378" s="10" t="s">
        <v>10</v>
      </c>
      <c r="B1378" s="21" t="s">
        <v>45</v>
      </c>
      <c r="C1378" s="11"/>
      <c r="D1378" s="11">
        <v>2009</v>
      </c>
    </row>
    <row r="1379" spans="1:4" ht="19.95" customHeight="1" x14ac:dyDescent="0.25">
      <c r="A1379" s="10" t="s">
        <v>13</v>
      </c>
      <c r="B1379" s="21" t="s">
        <v>45</v>
      </c>
      <c r="C1379" s="11"/>
      <c r="D1379" s="11">
        <v>2009</v>
      </c>
    </row>
    <row r="1380" spans="1:4" ht="19.95" customHeight="1" x14ac:dyDescent="0.25">
      <c r="A1380" s="10" t="s">
        <v>15</v>
      </c>
      <c r="B1380" s="21" t="s">
        <v>45</v>
      </c>
      <c r="C1380" s="11"/>
      <c r="D1380" s="11">
        <v>2009</v>
      </c>
    </row>
    <row r="1381" spans="1:4" ht="19.95" customHeight="1" x14ac:dyDescent="0.25">
      <c r="A1381" s="10" t="s">
        <v>16</v>
      </c>
      <c r="B1381" s="21" t="s">
        <v>45</v>
      </c>
      <c r="C1381" s="11"/>
      <c r="D1381" s="11">
        <v>2009</v>
      </c>
    </row>
    <row r="1382" spans="1:4" ht="19.95" customHeight="1" x14ac:dyDescent="0.25">
      <c r="A1382" s="10" t="s">
        <v>17</v>
      </c>
      <c r="B1382" s="21" t="s">
        <v>45</v>
      </c>
      <c r="C1382" s="11"/>
      <c r="D1382" s="11">
        <v>2009</v>
      </c>
    </row>
    <row r="1383" spans="1:4" ht="19.95" customHeight="1" x14ac:dyDescent="0.25">
      <c r="A1383" s="10" t="s">
        <v>2</v>
      </c>
      <c r="B1383" s="21" t="s">
        <v>45</v>
      </c>
      <c r="C1383" s="11"/>
      <c r="D1383" s="11">
        <v>2009</v>
      </c>
    </row>
    <row r="1384" spans="1:4" ht="19.95" customHeight="1" x14ac:dyDescent="0.25">
      <c r="A1384" s="10" t="s">
        <v>18</v>
      </c>
      <c r="B1384" s="21" t="s">
        <v>45</v>
      </c>
      <c r="C1384" s="11"/>
      <c r="D1384" s="11">
        <v>2009</v>
      </c>
    </row>
    <row r="1385" spans="1:4" ht="19.95" customHeight="1" x14ac:dyDescent="0.25">
      <c r="A1385" s="10" t="s">
        <v>19</v>
      </c>
      <c r="B1385" s="21" t="s">
        <v>45</v>
      </c>
      <c r="C1385" s="11"/>
      <c r="D1385" s="11">
        <v>2009</v>
      </c>
    </row>
    <row r="1386" spans="1:4" ht="19.95" customHeight="1" x14ac:dyDescent="0.25">
      <c r="A1386" s="10" t="s">
        <v>20</v>
      </c>
      <c r="B1386" s="21" t="s">
        <v>45</v>
      </c>
      <c r="C1386" s="11"/>
      <c r="D1386" s="11">
        <v>2009</v>
      </c>
    </row>
    <row r="1387" spans="1:4" ht="19.95" customHeight="1" x14ac:dyDescent="0.25">
      <c r="A1387" s="10" t="s">
        <v>21</v>
      </c>
      <c r="B1387" s="21" t="s">
        <v>45</v>
      </c>
      <c r="C1387" s="11"/>
      <c r="D1387" s="11">
        <v>2009</v>
      </c>
    </row>
    <row r="1388" spans="1:4" ht="19.95" customHeight="1" x14ac:dyDescent="0.25">
      <c r="A1388" s="10" t="s">
        <v>22</v>
      </c>
      <c r="B1388" s="21" t="s">
        <v>45</v>
      </c>
      <c r="C1388" s="11"/>
      <c r="D1388" s="11">
        <v>2009</v>
      </c>
    </row>
    <row r="1389" spans="1:4" ht="19.95" customHeight="1" x14ac:dyDescent="0.25">
      <c r="A1389" s="10" t="s">
        <v>23</v>
      </c>
      <c r="B1389" s="21" t="s">
        <v>45</v>
      </c>
      <c r="C1389" s="11"/>
      <c r="D1389" s="11">
        <v>2009</v>
      </c>
    </row>
    <row r="1390" spans="1:4" ht="19.95" customHeight="1" x14ac:dyDescent="0.25">
      <c r="A1390" s="10" t="s">
        <v>24</v>
      </c>
      <c r="B1390" s="21" t="s">
        <v>45</v>
      </c>
      <c r="C1390" s="11"/>
      <c r="D1390" s="11">
        <v>2009</v>
      </c>
    </row>
    <row r="1391" spans="1:4" ht="19.95" customHeight="1" x14ac:dyDescent="0.25">
      <c r="A1391" s="10" t="s">
        <v>25</v>
      </c>
      <c r="B1391" s="21" t="s">
        <v>45</v>
      </c>
      <c r="C1391" s="11"/>
      <c r="D1391" s="11">
        <v>2009</v>
      </c>
    </row>
    <row r="1392" spans="1:4" ht="19.95" customHeight="1" x14ac:dyDescent="0.25">
      <c r="A1392" s="10" t="s">
        <v>26</v>
      </c>
      <c r="B1392" s="21" t="s">
        <v>45</v>
      </c>
      <c r="C1392" s="11"/>
      <c r="D1392" s="11">
        <v>2009</v>
      </c>
    </row>
    <row r="1393" spans="1:4" ht="19.95" customHeight="1" x14ac:dyDescent="0.25">
      <c r="A1393" s="10" t="s">
        <v>27</v>
      </c>
      <c r="B1393" s="21" t="s">
        <v>45</v>
      </c>
      <c r="C1393" s="11"/>
      <c r="D1393" s="11">
        <v>2009</v>
      </c>
    </row>
    <row r="1394" spans="1:4" ht="19.95" customHeight="1" x14ac:dyDescent="0.25">
      <c r="A1394" s="10" t="s">
        <v>29</v>
      </c>
      <c r="B1394" s="21" t="s">
        <v>45</v>
      </c>
      <c r="C1394" s="11"/>
      <c r="D1394" s="11">
        <v>2009</v>
      </c>
    </row>
    <row r="1395" spans="1:4" ht="19.95" customHeight="1" x14ac:dyDescent="0.25">
      <c r="A1395" s="10" t="s">
        <v>30</v>
      </c>
      <c r="B1395" s="21" t="s">
        <v>45</v>
      </c>
      <c r="C1395" s="11"/>
      <c r="D1395" s="11">
        <v>2009</v>
      </c>
    </row>
    <row r="1396" spans="1:4" ht="19.95" customHeight="1" x14ac:dyDescent="0.25">
      <c r="A1396" s="10" t="s">
        <v>31</v>
      </c>
      <c r="B1396" s="21" t="s">
        <v>45</v>
      </c>
      <c r="C1396" s="11"/>
      <c r="D1396" s="11">
        <v>2009</v>
      </c>
    </row>
    <row r="1397" spans="1:4" ht="19.95" customHeight="1" x14ac:dyDescent="0.25">
      <c r="A1397" s="10" t="s">
        <v>32</v>
      </c>
      <c r="B1397" s="21" t="s">
        <v>45</v>
      </c>
      <c r="C1397" s="11"/>
      <c r="D1397" s="11">
        <v>2009</v>
      </c>
    </row>
    <row r="1398" spans="1:4" ht="19.95" customHeight="1" x14ac:dyDescent="0.25">
      <c r="A1398" s="10" t="s">
        <v>33</v>
      </c>
      <c r="B1398" s="21" t="s">
        <v>45</v>
      </c>
      <c r="C1398" s="11"/>
      <c r="D1398" s="11">
        <v>2009</v>
      </c>
    </row>
    <row r="1399" spans="1:4" ht="19.95" customHeight="1" x14ac:dyDescent="0.25">
      <c r="A1399" s="10" t="s">
        <v>34</v>
      </c>
      <c r="B1399" s="21" t="s">
        <v>45</v>
      </c>
      <c r="C1399" s="11"/>
      <c r="D1399" s="11">
        <v>2009</v>
      </c>
    </row>
    <row r="1400" spans="1:4" ht="19.95" customHeight="1" x14ac:dyDescent="0.25">
      <c r="A1400" s="10" t="s">
        <v>35</v>
      </c>
      <c r="B1400" s="21" t="s">
        <v>45</v>
      </c>
      <c r="C1400" s="11"/>
      <c r="D1400" s="11">
        <v>2009</v>
      </c>
    </row>
    <row r="1401" spans="1:4" ht="19.95" customHeight="1" x14ac:dyDescent="0.25">
      <c r="A1401" s="10" t="s">
        <v>36</v>
      </c>
      <c r="B1401" s="21" t="s">
        <v>45</v>
      </c>
      <c r="C1401" s="11"/>
      <c r="D1401" s="11">
        <v>2009</v>
      </c>
    </row>
    <row r="1402" spans="1:4" ht="19.95" customHeight="1" x14ac:dyDescent="0.25">
      <c r="A1402" s="10" t="s">
        <v>37</v>
      </c>
      <c r="B1402" s="21" t="s">
        <v>45</v>
      </c>
      <c r="C1402" s="11"/>
      <c r="D1402" s="11">
        <v>2009</v>
      </c>
    </row>
    <row r="1403" spans="1:4" ht="19.95" customHeight="1" x14ac:dyDescent="0.25">
      <c r="A1403" s="10" t="s">
        <v>38</v>
      </c>
      <c r="B1403" s="21" t="s">
        <v>45</v>
      </c>
      <c r="C1403" s="11"/>
      <c r="D1403" s="11">
        <v>2009</v>
      </c>
    </row>
    <row r="1404" spans="1:4" ht="19.95" customHeight="1" x14ac:dyDescent="0.25">
      <c r="A1404" s="10" t="s">
        <v>39</v>
      </c>
      <c r="B1404" s="21" t="s">
        <v>45</v>
      </c>
      <c r="C1404" s="11"/>
      <c r="D1404" s="11">
        <v>2009</v>
      </c>
    </row>
    <row r="1405" spans="1:4" ht="19.95" customHeight="1" x14ac:dyDescent="0.25">
      <c r="A1405" s="10" t="s">
        <v>40</v>
      </c>
      <c r="B1405" s="21" t="s">
        <v>45</v>
      </c>
      <c r="C1405" s="11"/>
      <c r="D1405" s="11">
        <v>2009</v>
      </c>
    </row>
    <row r="1406" spans="1:4" ht="19.95" customHeight="1" x14ac:dyDescent="0.25">
      <c r="A1406" s="10" t="s">
        <v>10</v>
      </c>
      <c r="B1406" s="21" t="s">
        <v>45</v>
      </c>
      <c r="C1406" s="11">
        <v>40.180276772013201</v>
      </c>
      <c r="D1406" s="11">
        <v>2010</v>
      </c>
    </row>
    <row r="1407" spans="1:4" ht="19.95" customHeight="1" x14ac:dyDescent="0.25">
      <c r="A1407" s="10" t="s">
        <v>13</v>
      </c>
      <c r="B1407" s="21" t="s">
        <v>45</v>
      </c>
      <c r="C1407" s="11">
        <v>72.270556421920602</v>
      </c>
      <c r="D1407" s="11">
        <v>2010</v>
      </c>
    </row>
    <row r="1408" spans="1:4" ht="19.95" customHeight="1" x14ac:dyDescent="0.25">
      <c r="A1408" s="10" t="s">
        <v>15</v>
      </c>
      <c r="B1408" s="21" t="s">
        <v>45</v>
      </c>
      <c r="C1408" s="11">
        <v>56.349158514717601</v>
      </c>
      <c r="D1408" s="11">
        <v>2010</v>
      </c>
    </row>
    <row r="1409" spans="1:4" ht="19.95" customHeight="1" x14ac:dyDescent="0.25">
      <c r="A1409" s="10" t="s">
        <v>16</v>
      </c>
      <c r="B1409" s="21" t="s">
        <v>45</v>
      </c>
      <c r="C1409" s="11">
        <v>16.829166150558599</v>
      </c>
      <c r="D1409" s="11">
        <v>2010</v>
      </c>
    </row>
    <row r="1410" spans="1:4" ht="19.95" customHeight="1" x14ac:dyDescent="0.25">
      <c r="A1410" s="10" t="s">
        <v>17</v>
      </c>
      <c r="B1410" s="21" t="s">
        <v>45</v>
      </c>
      <c r="C1410" s="11">
        <v>45.384857609961003</v>
      </c>
      <c r="D1410" s="11">
        <v>2010</v>
      </c>
    </row>
    <row r="1411" spans="1:4" ht="19.95" customHeight="1" x14ac:dyDescent="0.25">
      <c r="A1411" s="10" t="s">
        <v>2</v>
      </c>
      <c r="B1411" s="21" t="s">
        <v>45</v>
      </c>
      <c r="C1411" s="11">
        <v>34.070705470853099</v>
      </c>
      <c r="D1411" s="11">
        <v>2010</v>
      </c>
    </row>
    <row r="1412" spans="1:4" ht="19.95" customHeight="1" x14ac:dyDescent="0.25">
      <c r="A1412" s="10" t="s">
        <v>18</v>
      </c>
      <c r="B1412" s="21" t="s">
        <v>45</v>
      </c>
      <c r="C1412" s="11">
        <v>29.853963692589701</v>
      </c>
      <c r="D1412" s="11">
        <v>2010</v>
      </c>
    </row>
    <row r="1413" spans="1:4" ht="19.95" customHeight="1" x14ac:dyDescent="0.25">
      <c r="A1413" s="10" t="s">
        <v>19</v>
      </c>
      <c r="B1413" s="21" t="s">
        <v>45</v>
      </c>
      <c r="C1413" s="11">
        <v>22.581336994805199</v>
      </c>
      <c r="D1413" s="11">
        <v>2010</v>
      </c>
    </row>
    <row r="1414" spans="1:4" ht="19.95" customHeight="1" x14ac:dyDescent="0.25">
      <c r="A1414" s="10" t="s">
        <v>20</v>
      </c>
      <c r="B1414" s="21" t="s">
        <v>45</v>
      </c>
      <c r="C1414" s="11">
        <v>15.0546373354028</v>
      </c>
      <c r="D1414" s="11">
        <v>2010</v>
      </c>
    </row>
    <row r="1415" spans="1:4" ht="19.95" customHeight="1" x14ac:dyDescent="0.25">
      <c r="A1415" s="10" t="s">
        <v>21</v>
      </c>
      <c r="B1415" s="21" t="s">
        <v>45</v>
      </c>
      <c r="C1415" s="11"/>
      <c r="D1415" s="11">
        <v>2010</v>
      </c>
    </row>
    <row r="1416" spans="1:4" ht="19.95" customHeight="1" x14ac:dyDescent="0.25">
      <c r="A1416" s="10" t="s">
        <v>22</v>
      </c>
      <c r="B1416" s="21" t="s">
        <v>45</v>
      </c>
      <c r="C1416" s="11">
        <v>9.5730184322349707</v>
      </c>
      <c r="D1416" s="11">
        <v>2010</v>
      </c>
    </row>
    <row r="1417" spans="1:4" ht="19.95" customHeight="1" x14ac:dyDescent="0.25">
      <c r="A1417" s="10" t="s">
        <v>23</v>
      </c>
      <c r="B1417" s="21" t="s">
        <v>45</v>
      </c>
      <c r="C1417" s="11">
        <v>17.303032378489402</v>
      </c>
      <c r="D1417" s="11">
        <v>2010</v>
      </c>
    </row>
    <row r="1418" spans="1:4" ht="19.95" customHeight="1" x14ac:dyDescent="0.25">
      <c r="A1418" s="10" t="s">
        <v>24</v>
      </c>
      <c r="B1418" s="21" t="s">
        <v>45</v>
      </c>
      <c r="C1418" s="11">
        <v>26.576972269399601</v>
      </c>
      <c r="D1418" s="11">
        <v>2010</v>
      </c>
    </row>
    <row r="1419" spans="1:4" ht="19.95" customHeight="1" x14ac:dyDescent="0.25">
      <c r="A1419" s="10" t="s">
        <v>25</v>
      </c>
      <c r="B1419" s="21" t="s">
        <v>45</v>
      </c>
      <c r="C1419" s="11">
        <v>60.133990670055802</v>
      </c>
      <c r="D1419" s="11">
        <v>2010</v>
      </c>
    </row>
    <row r="1420" spans="1:4" ht="19.95" customHeight="1" x14ac:dyDescent="0.25">
      <c r="A1420" s="10" t="s">
        <v>26</v>
      </c>
      <c r="B1420" s="21" t="s">
        <v>45</v>
      </c>
      <c r="C1420" s="11">
        <v>20.636944542572699</v>
      </c>
      <c r="D1420" s="11">
        <v>2010</v>
      </c>
    </row>
    <row r="1421" spans="1:4" ht="19.95" customHeight="1" x14ac:dyDescent="0.25">
      <c r="A1421" s="10" t="s">
        <v>27</v>
      </c>
      <c r="B1421" s="21" t="s">
        <v>45</v>
      </c>
      <c r="C1421" s="11">
        <v>19.689157612155899</v>
      </c>
      <c r="D1421" s="11">
        <v>2010</v>
      </c>
    </row>
    <row r="1422" spans="1:4" ht="19.95" customHeight="1" x14ac:dyDescent="0.25">
      <c r="A1422" s="10" t="s">
        <v>29</v>
      </c>
      <c r="B1422" s="21" t="s">
        <v>45</v>
      </c>
      <c r="C1422" s="11">
        <v>45.834166775704198</v>
      </c>
      <c r="D1422" s="11">
        <v>2010</v>
      </c>
    </row>
    <row r="1423" spans="1:4" ht="19.95" customHeight="1" x14ac:dyDescent="0.25">
      <c r="A1423" s="10" t="s">
        <v>30</v>
      </c>
      <c r="B1423" s="21" t="s">
        <v>45</v>
      </c>
      <c r="C1423" s="11">
        <v>62.6081099621845</v>
      </c>
      <c r="D1423" s="11">
        <v>2010</v>
      </c>
    </row>
    <row r="1424" spans="1:4" ht="19.95" customHeight="1" x14ac:dyDescent="0.25">
      <c r="A1424" s="10" t="s">
        <v>31</v>
      </c>
      <c r="B1424" s="21" t="s">
        <v>45</v>
      </c>
      <c r="C1424" s="11">
        <v>22.881484458445598</v>
      </c>
      <c r="D1424" s="11">
        <v>2010</v>
      </c>
    </row>
    <row r="1425" spans="1:4" ht="19.95" customHeight="1" x14ac:dyDescent="0.25">
      <c r="A1425" s="10" t="s">
        <v>32</v>
      </c>
      <c r="B1425" s="21" t="s">
        <v>45</v>
      </c>
      <c r="C1425" s="11">
        <v>116.207913647193</v>
      </c>
      <c r="D1425" s="11">
        <v>2010</v>
      </c>
    </row>
    <row r="1426" spans="1:4" ht="19.95" customHeight="1" x14ac:dyDescent="0.25">
      <c r="A1426" s="10" t="s">
        <v>33</v>
      </c>
      <c r="B1426" s="21" t="s">
        <v>45</v>
      </c>
      <c r="C1426" s="11">
        <v>44.468277417049897</v>
      </c>
      <c r="D1426" s="11">
        <v>2010</v>
      </c>
    </row>
    <row r="1427" spans="1:4" ht="19.95" customHeight="1" x14ac:dyDescent="0.25">
      <c r="A1427" s="10" t="s">
        <v>34</v>
      </c>
      <c r="B1427" s="21" t="s">
        <v>45</v>
      </c>
      <c r="C1427" s="11">
        <v>13.0597212897567</v>
      </c>
      <c r="D1427" s="11">
        <v>2010</v>
      </c>
    </row>
    <row r="1428" spans="1:4" ht="19.95" customHeight="1" x14ac:dyDescent="0.25">
      <c r="A1428" s="10" t="s">
        <v>35</v>
      </c>
      <c r="B1428" s="21" t="s">
        <v>45</v>
      </c>
      <c r="C1428" s="11">
        <v>26.972353959979898</v>
      </c>
      <c r="D1428" s="11">
        <v>2010</v>
      </c>
    </row>
    <row r="1429" spans="1:4" ht="19.95" customHeight="1" x14ac:dyDescent="0.25">
      <c r="A1429" s="10" t="s">
        <v>36</v>
      </c>
      <c r="B1429" s="21" t="s">
        <v>45</v>
      </c>
      <c r="C1429" s="11">
        <v>48.980652428698498</v>
      </c>
      <c r="D1429" s="11">
        <v>2010</v>
      </c>
    </row>
    <row r="1430" spans="1:4" ht="19.95" customHeight="1" x14ac:dyDescent="0.25">
      <c r="A1430" s="10" t="s">
        <v>37</v>
      </c>
      <c r="B1430" s="21" t="s">
        <v>45</v>
      </c>
      <c r="C1430" s="11">
        <v>20.9677688582277</v>
      </c>
      <c r="D1430" s="11">
        <v>2010</v>
      </c>
    </row>
    <row r="1431" spans="1:4" ht="19.95" customHeight="1" x14ac:dyDescent="0.25">
      <c r="A1431" s="10" t="s">
        <v>38</v>
      </c>
      <c r="B1431" s="21" t="s">
        <v>45</v>
      </c>
      <c r="C1431" s="11">
        <v>52.9009733213773</v>
      </c>
      <c r="D1431" s="11">
        <v>2010</v>
      </c>
    </row>
    <row r="1432" spans="1:4" ht="19.95" customHeight="1" x14ac:dyDescent="0.25">
      <c r="A1432" s="10" t="s">
        <v>39</v>
      </c>
      <c r="B1432" s="21" t="s">
        <v>45</v>
      </c>
      <c r="C1432" s="11">
        <v>26.427642178678202</v>
      </c>
      <c r="D1432" s="11">
        <v>2010</v>
      </c>
    </row>
    <row r="1433" spans="1:4" ht="19.95" customHeight="1" x14ac:dyDescent="0.25">
      <c r="A1433" s="10" t="s">
        <v>40</v>
      </c>
      <c r="B1433" s="21" t="s">
        <v>45</v>
      </c>
      <c r="C1433" s="11">
        <v>22.480426982858699</v>
      </c>
      <c r="D1433" s="11">
        <v>2010</v>
      </c>
    </row>
    <row r="1434" spans="1:4" ht="19.95" customHeight="1" x14ac:dyDescent="0.25">
      <c r="A1434" s="10" t="s">
        <v>10</v>
      </c>
      <c r="B1434" s="21" t="s">
        <v>45</v>
      </c>
      <c r="C1434" s="11">
        <v>44.086441995718999</v>
      </c>
      <c r="D1434" s="11">
        <v>2011</v>
      </c>
    </row>
    <row r="1435" spans="1:4" ht="19.95" customHeight="1" x14ac:dyDescent="0.25">
      <c r="A1435" s="10" t="s">
        <v>13</v>
      </c>
      <c r="B1435" s="21" t="s">
        <v>45</v>
      </c>
      <c r="C1435" s="11">
        <v>75.543877370719898</v>
      </c>
      <c r="D1435" s="11">
        <v>2011</v>
      </c>
    </row>
    <row r="1436" spans="1:4" ht="19.95" customHeight="1" x14ac:dyDescent="0.25">
      <c r="A1436" s="10" t="s">
        <v>15</v>
      </c>
      <c r="B1436" s="21" t="s">
        <v>45</v>
      </c>
      <c r="C1436" s="11">
        <v>57.068519320767699</v>
      </c>
      <c r="D1436" s="11">
        <v>2011</v>
      </c>
    </row>
    <row r="1437" spans="1:4" ht="19.95" customHeight="1" x14ac:dyDescent="0.25">
      <c r="A1437" s="10" t="s">
        <v>16</v>
      </c>
      <c r="B1437" s="21" t="s">
        <v>45</v>
      </c>
      <c r="C1437" s="11">
        <v>17.280313779122601</v>
      </c>
      <c r="D1437" s="11">
        <v>2011</v>
      </c>
    </row>
    <row r="1438" spans="1:4" ht="19.95" customHeight="1" x14ac:dyDescent="0.25">
      <c r="A1438" s="10" t="s">
        <v>17</v>
      </c>
      <c r="B1438" s="21" t="s">
        <v>45</v>
      </c>
      <c r="C1438" s="11">
        <v>48.437648384231103</v>
      </c>
      <c r="D1438" s="11">
        <v>2011</v>
      </c>
    </row>
    <row r="1439" spans="1:4" ht="19.95" customHeight="1" x14ac:dyDescent="0.25">
      <c r="A1439" s="10" t="s">
        <v>2</v>
      </c>
      <c r="B1439" s="21" t="s">
        <v>45</v>
      </c>
      <c r="C1439" s="11">
        <v>36.184467323930299</v>
      </c>
      <c r="D1439" s="11">
        <v>2011</v>
      </c>
    </row>
    <row r="1440" spans="1:4" ht="19.95" customHeight="1" x14ac:dyDescent="0.25">
      <c r="A1440" s="10" t="s">
        <v>18</v>
      </c>
      <c r="B1440" s="21" t="s">
        <v>45</v>
      </c>
      <c r="C1440" s="11">
        <v>31.5625467738775</v>
      </c>
      <c r="D1440" s="11">
        <v>2011</v>
      </c>
    </row>
    <row r="1441" spans="1:4" ht="19.95" customHeight="1" x14ac:dyDescent="0.25">
      <c r="A1441" s="10" t="s">
        <v>19</v>
      </c>
      <c r="B1441" s="21" t="s">
        <v>45</v>
      </c>
      <c r="C1441" s="11">
        <v>23.411783648957002</v>
      </c>
      <c r="D1441" s="11">
        <v>2011</v>
      </c>
    </row>
    <row r="1442" spans="1:4" ht="19.95" customHeight="1" x14ac:dyDescent="0.25">
      <c r="A1442" s="10" t="s">
        <v>20</v>
      </c>
      <c r="B1442" s="21" t="s">
        <v>45</v>
      </c>
      <c r="C1442" s="11">
        <v>16.110741615559501</v>
      </c>
      <c r="D1442" s="11">
        <v>2011</v>
      </c>
    </row>
    <row r="1443" spans="1:4" ht="19.95" customHeight="1" x14ac:dyDescent="0.25">
      <c r="A1443" s="10" t="s">
        <v>21</v>
      </c>
      <c r="B1443" s="21" t="s">
        <v>45</v>
      </c>
      <c r="C1443" s="11"/>
      <c r="D1443" s="11">
        <v>2011</v>
      </c>
    </row>
    <row r="1444" spans="1:4" ht="19.95" customHeight="1" x14ac:dyDescent="0.25">
      <c r="A1444" s="10" t="s">
        <v>22</v>
      </c>
      <c r="B1444" s="21" t="s">
        <v>45</v>
      </c>
      <c r="C1444" s="11">
        <v>10.6829405776383</v>
      </c>
      <c r="D1444" s="11">
        <v>2011</v>
      </c>
    </row>
    <row r="1445" spans="1:4" ht="19.95" customHeight="1" x14ac:dyDescent="0.25">
      <c r="A1445" s="10" t="s">
        <v>23</v>
      </c>
      <c r="B1445" s="21" t="s">
        <v>45</v>
      </c>
      <c r="C1445" s="11">
        <v>17.236826685291199</v>
      </c>
      <c r="D1445" s="11">
        <v>2011</v>
      </c>
    </row>
    <row r="1446" spans="1:4" ht="19.95" customHeight="1" x14ac:dyDescent="0.25">
      <c r="A1446" s="10" t="s">
        <v>24</v>
      </c>
      <c r="B1446" s="21" t="s">
        <v>45</v>
      </c>
      <c r="C1446" s="11">
        <v>27.8005469240853</v>
      </c>
      <c r="D1446" s="11">
        <v>2011</v>
      </c>
    </row>
    <row r="1447" spans="1:4" ht="19.95" customHeight="1" x14ac:dyDescent="0.25">
      <c r="A1447" s="10" t="s">
        <v>25</v>
      </c>
      <c r="B1447" s="21" t="s">
        <v>45</v>
      </c>
      <c r="C1447" s="11">
        <v>64.971886864380195</v>
      </c>
      <c r="D1447" s="11">
        <v>2011</v>
      </c>
    </row>
    <row r="1448" spans="1:4" ht="19.95" customHeight="1" x14ac:dyDescent="0.25">
      <c r="A1448" s="10" t="s">
        <v>26</v>
      </c>
      <c r="B1448" s="21" t="s">
        <v>45</v>
      </c>
      <c r="C1448" s="11">
        <v>21.2036539247711</v>
      </c>
      <c r="D1448" s="11">
        <v>2011</v>
      </c>
    </row>
    <row r="1449" spans="1:4" ht="19.95" customHeight="1" x14ac:dyDescent="0.25">
      <c r="A1449" s="10" t="s">
        <v>27</v>
      </c>
      <c r="B1449" s="21" t="s">
        <v>45</v>
      </c>
      <c r="C1449" s="11">
        <v>20.02058998583</v>
      </c>
      <c r="D1449" s="11">
        <v>2011</v>
      </c>
    </row>
    <row r="1450" spans="1:4" ht="19.95" customHeight="1" x14ac:dyDescent="0.25">
      <c r="A1450" s="10" t="s">
        <v>29</v>
      </c>
      <c r="B1450" s="21" t="s">
        <v>45</v>
      </c>
      <c r="C1450" s="11">
        <v>45.922495148855702</v>
      </c>
      <c r="D1450" s="11">
        <v>2011</v>
      </c>
    </row>
    <row r="1451" spans="1:4" ht="19.95" customHeight="1" x14ac:dyDescent="0.25">
      <c r="A1451" s="10" t="s">
        <v>30</v>
      </c>
      <c r="B1451" s="21" t="s">
        <v>45</v>
      </c>
      <c r="C1451" s="11">
        <v>63.399646146535602</v>
      </c>
      <c r="D1451" s="11">
        <v>2011</v>
      </c>
    </row>
    <row r="1452" spans="1:4" ht="19.95" customHeight="1" x14ac:dyDescent="0.25">
      <c r="A1452" s="10" t="s">
        <v>31</v>
      </c>
      <c r="B1452" s="21" t="s">
        <v>45</v>
      </c>
      <c r="C1452" s="11">
        <v>25.210086120575301</v>
      </c>
      <c r="D1452" s="11">
        <v>2011</v>
      </c>
    </row>
    <row r="1453" spans="1:4" ht="19.95" customHeight="1" x14ac:dyDescent="0.25">
      <c r="A1453" s="10" t="s">
        <v>32</v>
      </c>
      <c r="B1453" s="21" t="s">
        <v>45</v>
      </c>
      <c r="C1453" s="11">
        <v>118.30717027243701</v>
      </c>
      <c r="D1453" s="11">
        <v>2011</v>
      </c>
    </row>
    <row r="1454" spans="1:4" ht="19.95" customHeight="1" x14ac:dyDescent="0.25">
      <c r="A1454" s="10" t="s">
        <v>33</v>
      </c>
      <c r="B1454" s="21" t="s">
        <v>45</v>
      </c>
      <c r="C1454" s="11">
        <v>49.074052815667002</v>
      </c>
      <c r="D1454" s="11">
        <v>2011</v>
      </c>
    </row>
    <row r="1455" spans="1:4" ht="19.95" customHeight="1" x14ac:dyDescent="0.25">
      <c r="A1455" s="10" t="s">
        <v>34</v>
      </c>
      <c r="B1455" s="21" t="s">
        <v>45</v>
      </c>
      <c r="C1455" s="11">
        <v>12.8343192379785</v>
      </c>
      <c r="D1455" s="11">
        <v>2011</v>
      </c>
    </row>
    <row r="1456" spans="1:4" ht="19.95" customHeight="1" x14ac:dyDescent="0.25">
      <c r="A1456" s="10" t="s">
        <v>35</v>
      </c>
      <c r="B1456" s="21" t="s">
        <v>45</v>
      </c>
      <c r="C1456" s="11">
        <v>27.1952991198775</v>
      </c>
      <c r="D1456" s="11">
        <v>2011</v>
      </c>
    </row>
    <row r="1457" spans="1:4" ht="19.95" customHeight="1" x14ac:dyDescent="0.25">
      <c r="A1457" s="10" t="s">
        <v>36</v>
      </c>
      <c r="B1457" s="21" t="s">
        <v>45</v>
      </c>
      <c r="C1457" s="11">
        <v>47.978279388708202</v>
      </c>
      <c r="D1457" s="11">
        <v>2011</v>
      </c>
    </row>
    <row r="1458" spans="1:4" ht="19.95" customHeight="1" x14ac:dyDescent="0.25">
      <c r="A1458" s="10" t="s">
        <v>37</v>
      </c>
      <c r="B1458" s="21" t="s">
        <v>45</v>
      </c>
      <c r="C1458" s="11">
        <v>22.284692468208</v>
      </c>
      <c r="D1458" s="11">
        <v>2011</v>
      </c>
    </row>
    <row r="1459" spans="1:4" ht="19.95" customHeight="1" x14ac:dyDescent="0.25">
      <c r="A1459" s="10" t="s">
        <v>38</v>
      </c>
      <c r="B1459" s="21" t="s">
        <v>45</v>
      </c>
      <c r="C1459" s="11">
        <v>58.361327984355498</v>
      </c>
      <c r="D1459" s="11">
        <v>2011</v>
      </c>
    </row>
    <row r="1460" spans="1:4" ht="19.95" customHeight="1" x14ac:dyDescent="0.25">
      <c r="A1460" s="10" t="s">
        <v>39</v>
      </c>
      <c r="B1460" s="21" t="s">
        <v>45</v>
      </c>
      <c r="C1460" s="11">
        <v>27.229629950130999</v>
      </c>
      <c r="D1460" s="11">
        <v>2011</v>
      </c>
    </row>
    <row r="1461" spans="1:4" ht="19.95" customHeight="1" x14ac:dyDescent="0.25">
      <c r="A1461" s="10" t="s">
        <v>40</v>
      </c>
      <c r="B1461" s="21" t="s">
        <v>45</v>
      </c>
      <c r="C1461" s="11">
        <v>23.3976660517745</v>
      </c>
      <c r="D1461" s="11">
        <v>2011</v>
      </c>
    </row>
    <row r="1462" spans="1:4" ht="19.95" customHeight="1" x14ac:dyDescent="0.25">
      <c r="A1462" s="10" t="s">
        <v>10</v>
      </c>
      <c r="B1462" s="21" t="s">
        <v>45</v>
      </c>
      <c r="C1462" s="11">
        <v>47.4315119853919</v>
      </c>
      <c r="D1462" s="11">
        <v>2012</v>
      </c>
    </row>
    <row r="1463" spans="1:4" ht="19.95" customHeight="1" x14ac:dyDescent="0.25">
      <c r="A1463" s="10" t="s">
        <v>13</v>
      </c>
      <c r="B1463" s="21" t="s">
        <v>45</v>
      </c>
      <c r="C1463" s="11">
        <v>75.040022650454503</v>
      </c>
      <c r="D1463" s="11">
        <v>2012</v>
      </c>
    </row>
    <row r="1464" spans="1:4" ht="19.95" customHeight="1" x14ac:dyDescent="0.25">
      <c r="A1464" s="10" t="s">
        <v>15</v>
      </c>
      <c r="B1464" s="21" t="s">
        <v>45</v>
      </c>
      <c r="C1464" s="11">
        <v>56.2977302003167</v>
      </c>
      <c r="D1464" s="11">
        <v>2012</v>
      </c>
    </row>
    <row r="1465" spans="1:4" ht="19.95" customHeight="1" x14ac:dyDescent="0.25">
      <c r="A1465" s="10" t="s">
        <v>16</v>
      </c>
      <c r="B1465" s="21" t="s">
        <v>45</v>
      </c>
      <c r="C1465" s="11">
        <v>17.283169902946501</v>
      </c>
      <c r="D1465" s="11">
        <v>2012</v>
      </c>
    </row>
    <row r="1466" spans="1:4" ht="19.95" customHeight="1" x14ac:dyDescent="0.25">
      <c r="A1466" s="10" t="s">
        <v>17</v>
      </c>
      <c r="B1466" s="21" t="s">
        <v>45</v>
      </c>
      <c r="C1466" s="11">
        <v>52.319223618512702</v>
      </c>
      <c r="D1466" s="11">
        <v>2012</v>
      </c>
    </row>
    <row r="1467" spans="1:4" ht="19.95" customHeight="1" x14ac:dyDescent="0.25">
      <c r="A1467" s="10" t="s">
        <v>2</v>
      </c>
      <c r="B1467" s="21" t="s">
        <v>45</v>
      </c>
      <c r="C1467" s="11">
        <v>37.467279799809099</v>
      </c>
      <c r="D1467" s="11">
        <v>2012</v>
      </c>
    </row>
    <row r="1468" spans="1:4" ht="19.95" customHeight="1" x14ac:dyDescent="0.25">
      <c r="A1468" s="10" t="s">
        <v>18</v>
      </c>
      <c r="B1468" s="21" t="s">
        <v>45</v>
      </c>
      <c r="C1468" s="11">
        <v>29.8055807722487</v>
      </c>
      <c r="D1468" s="11">
        <v>2012</v>
      </c>
    </row>
    <row r="1469" spans="1:4" ht="19.95" customHeight="1" x14ac:dyDescent="0.25">
      <c r="A1469" s="10" t="s">
        <v>19</v>
      </c>
      <c r="B1469" s="21" t="s">
        <v>45</v>
      </c>
      <c r="C1469" s="11">
        <v>24.0334570995246</v>
      </c>
      <c r="D1469" s="11">
        <v>2012</v>
      </c>
    </row>
    <row r="1470" spans="1:4" ht="19.95" customHeight="1" x14ac:dyDescent="0.25">
      <c r="A1470" s="10" t="s">
        <v>20</v>
      </c>
      <c r="B1470" s="21" t="s">
        <v>45</v>
      </c>
      <c r="C1470" s="11">
        <v>16.651500955190901</v>
      </c>
      <c r="D1470" s="11">
        <v>2012</v>
      </c>
    </row>
    <row r="1471" spans="1:4" ht="19.95" customHeight="1" x14ac:dyDescent="0.25">
      <c r="A1471" s="10" t="s">
        <v>21</v>
      </c>
      <c r="B1471" s="21" t="s">
        <v>45</v>
      </c>
      <c r="C1471" s="11"/>
      <c r="D1471" s="11">
        <v>2012</v>
      </c>
    </row>
    <row r="1472" spans="1:4" ht="19.95" customHeight="1" x14ac:dyDescent="0.25">
      <c r="A1472" s="10" t="s">
        <v>22</v>
      </c>
      <c r="B1472" s="21" t="s">
        <v>45</v>
      </c>
      <c r="C1472" s="11">
        <v>11.186371439634399</v>
      </c>
      <c r="D1472" s="11">
        <v>2012</v>
      </c>
    </row>
    <row r="1473" spans="1:4" ht="19.95" customHeight="1" x14ac:dyDescent="0.25">
      <c r="A1473" s="10" t="s">
        <v>23</v>
      </c>
      <c r="B1473" s="21" t="s">
        <v>45</v>
      </c>
      <c r="C1473" s="11">
        <v>18.171982772617099</v>
      </c>
      <c r="D1473" s="11">
        <v>2012</v>
      </c>
    </row>
    <row r="1474" spans="1:4" ht="19.95" customHeight="1" x14ac:dyDescent="0.25">
      <c r="A1474" s="10" t="s">
        <v>24</v>
      </c>
      <c r="B1474" s="21" t="s">
        <v>45</v>
      </c>
      <c r="C1474" s="11">
        <v>27.8193107975492</v>
      </c>
      <c r="D1474" s="11">
        <v>2012</v>
      </c>
    </row>
    <row r="1475" spans="1:4" ht="19.95" customHeight="1" x14ac:dyDescent="0.25">
      <c r="A1475" s="10" t="s">
        <v>25</v>
      </c>
      <c r="B1475" s="21" t="s">
        <v>45</v>
      </c>
      <c r="C1475" s="11">
        <v>57.5090496861066</v>
      </c>
      <c r="D1475" s="11">
        <v>2012</v>
      </c>
    </row>
    <row r="1476" spans="1:4" ht="19.95" customHeight="1" x14ac:dyDescent="0.25">
      <c r="A1476" s="10" t="s">
        <v>26</v>
      </c>
      <c r="B1476" s="21" t="s">
        <v>45</v>
      </c>
      <c r="C1476" s="11">
        <v>20.9796324466251</v>
      </c>
      <c r="D1476" s="11">
        <v>2012</v>
      </c>
    </row>
    <row r="1477" spans="1:4" ht="19.95" customHeight="1" x14ac:dyDescent="0.25">
      <c r="A1477" s="10" t="s">
        <v>27</v>
      </c>
      <c r="B1477" s="21" t="s">
        <v>45</v>
      </c>
      <c r="C1477" s="11">
        <v>20.100159024395801</v>
      </c>
      <c r="D1477" s="11">
        <v>2012</v>
      </c>
    </row>
    <row r="1478" spans="1:4" ht="19.95" customHeight="1" x14ac:dyDescent="0.25">
      <c r="A1478" s="10" t="s">
        <v>29</v>
      </c>
      <c r="B1478" s="21" t="s">
        <v>45</v>
      </c>
      <c r="C1478" s="11">
        <v>48.2268903647252</v>
      </c>
      <c r="D1478" s="11">
        <v>2012</v>
      </c>
    </row>
    <row r="1479" spans="1:4" ht="19.95" customHeight="1" x14ac:dyDescent="0.25">
      <c r="A1479" s="10" t="s">
        <v>30</v>
      </c>
      <c r="B1479" s="21" t="s">
        <v>45</v>
      </c>
      <c r="C1479" s="11">
        <v>64.687376207007404</v>
      </c>
      <c r="D1479" s="11">
        <v>2012</v>
      </c>
    </row>
    <row r="1480" spans="1:4" ht="19.95" customHeight="1" x14ac:dyDescent="0.25">
      <c r="A1480" s="10" t="s">
        <v>31</v>
      </c>
      <c r="B1480" s="21" t="s">
        <v>45</v>
      </c>
      <c r="C1480" s="11">
        <v>28.649930002673301</v>
      </c>
      <c r="D1480" s="11">
        <v>2012</v>
      </c>
    </row>
    <row r="1481" spans="1:4" ht="19.95" customHeight="1" x14ac:dyDescent="0.25">
      <c r="A1481" s="10" t="s">
        <v>32</v>
      </c>
      <c r="B1481" s="21" t="s">
        <v>45</v>
      </c>
      <c r="C1481" s="11">
        <v>102.93374195685099</v>
      </c>
      <c r="D1481" s="11">
        <v>2012</v>
      </c>
    </row>
    <row r="1482" spans="1:4" ht="19.95" customHeight="1" x14ac:dyDescent="0.25">
      <c r="A1482" s="10" t="s">
        <v>33</v>
      </c>
      <c r="B1482" s="21" t="s">
        <v>45</v>
      </c>
      <c r="C1482" s="11">
        <v>52.775791310940299</v>
      </c>
      <c r="D1482" s="11">
        <v>2012</v>
      </c>
    </row>
    <row r="1483" spans="1:4" ht="19.95" customHeight="1" x14ac:dyDescent="0.25">
      <c r="A1483" s="10" t="s">
        <v>34</v>
      </c>
      <c r="B1483" s="21" t="s">
        <v>45</v>
      </c>
      <c r="C1483" s="11">
        <v>13.3100636181989</v>
      </c>
      <c r="D1483" s="11">
        <v>2012</v>
      </c>
    </row>
    <row r="1484" spans="1:4" ht="19.95" customHeight="1" x14ac:dyDescent="0.25">
      <c r="A1484" s="10" t="s">
        <v>35</v>
      </c>
      <c r="B1484" s="21" t="s">
        <v>45</v>
      </c>
      <c r="C1484" s="11">
        <v>27.915666952497599</v>
      </c>
      <c r="D1484" s="11">
        <v>2012</v>
      </c>
    </row>
    <row r="1485" spans="1:4" ht="19.95" customHeight="1" x14ac:dyDescent="0.25">
      <c r="A1485" s="10" t="s">
        <v>36</v>
      </c>
      <c r="B1485" s="21" t="s">
        <v>45</v>
      </c>
      <c r="C1485" s="11">
        <v>49.425570670560901</v>
      </c>
      <c r="D1485" s="11">
        <v>2012</v>
      </c>
    </row>
    <row r="1486" spans="1:4" ht="19.95" customHeight="1" x14ac:dyDescent="0.25">
      <c r="A1486" s="10" t="s">
        <v>37</v>
      </c>
      <c r="B1486" s="21" t="s">
        <v>45</v>
      </c>
      <c r="C1486" s="11">
        <v>23.473103114250499</v>
      </c>
      <c r="D1486" s="11">
        <v>2012</v>
      </c>
    </row>
    <row r="1487" spans="1:4" ht="19.95" customHeight="1" x14ac:dyDescent="0.25">
      <c r="A1487" s="10" t="s">
        <v>38</v>
      </c>
      <c r="B1487" s="21" t="s">
        <v>45</v>
      </c>
      <c r="C1487" s="11">
        <v>62.146828223728399</v>
      </c>
      <c r="D1487" s="11">
        <v>2012</v>
      </c>
    </row>
    <row r="1488" spans="1:4" ht="19.95" customHeight="1" x14ac:dyDescent="0.25">
      <c r="A1488" s="10" t="s">
        <v>39</v>
      </c>
      <c r="B1488" s="21" t="s">
        <v>45</v>
      </c>
      <c r="C1488" s="11">
        <v>27.80475151041</v>
      </c>
      <c r="D1488" s="11">
        <v>2012</v>
      </c>
    </row>
    <row r="1489" spans="1:4" ht="19.95" customHeight="1" x14ac:dyDescent="0.25">
      <c r="A1489" s="10" t="s">
        <v>40</v>
      </c>
      <c r="B1489" s="21" t="s">
        <v>45</v>
      </c>
      <c r="C1489" s="11">
        <v>23.359478388554798</v>
      </c>
      <c r="D1489" s="11">
        <v>2012</v>
      </c>
    </row>
    <row r="1490" spans="1:4" ht="19.95" customHeight="1" x14ac:dyDescent="0.25">
      <c r="A1490" s="10" t="s">
        <v>10</v>
      </c>
      <c r="B1490" s="21" t="s">
        <v>45</v>
      </c>
      <c r="C1490" s="11">
        <v>48.139333019116201</v>
      </c>
      <c r="D1490" s="11">
        <v>2013</v>
      </c>
    </row>
    <row r="1491" spans="1:4" ht="19.95" customHeight="1" x14ac:dyDescent="0.25">
      <c r="A1491" s="10" t="s">
        <v>13</v>
      </c>
      <c r="B1491" s="21" t="s">
        <v>45</v>
      </c>
      <c r="C1491" s="11">
        <v>73.848956472607597</v>
      </c>
      <c r="D1491" s="11">
        <v>2013</v>
      </c>
    </row>
    <row r="1492" spans="1:4" ht="19.95" customHeight="1" x14ac:dyDescent="0.25">
      <c r="A1492" s="10" t="s">
        <v>15</v>
      </c>
      <c r="B1492" s="21" t="s">
        <v>45</v>
      </c>
      <c r="C1492" s="11">
        <v>53.194487335892802</v>
      </c>
      <c r="D1492" s="11">
        <v>2013</v>
      </c>
    </row>
    <row r="1493" spans="1:4" ht="19.95" customHeight="1" x14ac:dyDescent="0.25">
      <c r="A1493" s="10" t="s">
        <v>16</v>
      </c>
      <c r="B1493" s="21" t="s">
        <v>45</v>
      </c>
      <c r="C1493" s="11">
        <v>17.4815775234227</v>
      </c>
      <c r="D1493" s="11">
        <v>2013</v>
      </c>
    </row>
    <row r="1494" spans="1:4" ht="19.95" customHeight="1" x14ac:dyDescent="0.25">
      <c r="A1494" s="10" t="s">
        <v>17</v>
      </c>
      <c r="B1494" s="21" t="s">
        <v>45</v>
      </c>
      <c r="C1494" s="11">
        <v>51.2265068561098</v>
      </c>
      <c r="D1494" s="11">
        <v>2013</v>
      </c>
    </row>
    <row r="1495" spans="1:4" ht="19.95" customHeight="1" x14ac:dyDescent="0.25">
      <c r="A1495" s="10" t="s">
        <v>2</v>
      </c>
      <c r="B1495" s="21" t="s">
        <v>45</v>
      </c>
      <c r="C1495" s="11">
        <v>36.608471563365399</v>
      </c>
      <c r="D1495" s="11">
        <v>2013</v>
      </c>
    </row>
    <row r="1496" spans="1:4" ht="19.95" customHeight="1" x14ac:dyDescent="0.25">
      <c r="A1496" s="10" t="s">
        <v>18</v>
      </c>
      <c r="B1496" s="21" t="s">
        <v>45</v>
      </c>
      <c r="C1496" s="11">
        <v>27.5938937157871</v>
      </c>
      <c r="D1496" s="11">
        <v>2013</v>
      </c>
    </row>
    <row r="1497" spans="1:4" ht="19.95" customHeight="1" x14ac:dyDescent="0.25">
      <c r="A1497" s="10" t="s">
        <v>19</v>
      </c>
      <c r="B1497" s="21" t="s">
        <v>45</v>
      </c>
      <c r="C1497" s="11">
        <v>25.19707460071</v>
      </c>
      <c r="D1497" s="11">
        <v>2013</v>
      </c>
    </row>
    <row r="1498" spans="1:4" ht="19.95" customHeight="1" x14ac:dyDescent="0.25">
      <c r="A1498" s="10" t="s">
        <v>20</v>
      </c>
      <c r="B1498" s="21" t="s">
        <v>45</v>
      </c>
      <c r="C1498" s="11">
        <v>16.723359394249801</v>
      </c>
      <c r="D1498" s="11">
        <v>2013</v>
      </c>
    </row>
    <row r="1499" spans="1:4" ht="19.95" customHeight="1" x14ac:dyDescent="0.25">
      <c r="A1499" s="10" t="s">
        <v>21</v>
      </c>
      <c r="B1499" s="21" t="s">
        <v>45</v>
      </c>
      <c r="C1499" s="11"/>
      <c r="D1499" s="11">
        <v>2013</v>
      </c>
    </row>
    <row r="1500" spans="1:4" ht="19.95" customHeight="1" x14ac:dyDescent="0.25">
      <c r="A1500" s="10" t="s">
        <v>22</v>
      </c>
      <c r="B1500" s="21" t="s">
        <v>45</v>
      </c>
      <c r="C1500" s="11">
        <v>10.0836657403425</v>
      </c>
      <c r="D1500" s="11">
        <v>2013</v>
      </c>
    </row>
    <row r="1501" spans="1:4" ht="19.95" customHeight="1" x14ac:dyDescent="0.25">
      <c r="A1501" s="10" t="s">
        <v>23</v>
      </c>
      <c r="B1501" s="21" t="s">
        <v>45</v>
      </c>
      <c r="C1501" s="11">
        <v>18.370347495292599</v>
      </c>
      <c r="D1501" s="11">
        <v>2013</v>
      </c>
    </row>
    <row r="1502" spans="1:4" ht="19.95" customHeight="1" x14ac:dyDescent="0.25">
      <c r="A1502" s="10" t="s">
        <v>24</v>
      </c>
      <c r="B1502" s="21" t="s">
        <v>45</v>
      </c>
      <c r="C1502" s="11">
        <v>27.590872099197199</v>
      </c>
      <c r="D1502" s="11">
        <v>2013</v>
      </c>
    </row>
    <row r="1503" spans="1:4" ht="19.95" customHeight="1" x14ac:dyDescent="0.25">
      <c r="A1503" s="10" t="s">
        <v>25</v>
      </c>
      <c r="B1503" s="21" t="s">
        <v>45</v>
      </c>
      <c r="C1503" s="11">
        <v>53.487369213120999</v>
      </c>
      <c r="D1503" s="11">
        <v>2013</v>
      </c>
    </row>
    <row r="1504" spans="1:4" ht="19.95" customHeight="1" x14ac:dyDescent="0.25">
      <c r="A1504" s="10" t="s">
        <v>26</v>
      </c>
      <c r="B1504" s="21" t="s">
        <v>45</v>
      </c>
      <c r="C1504" s="11">
        <v>20.6579585567554</v>
      </c>
      <c r="D1504" s="11">
        <v>2013</v>
      </c>
    </row>
    <row r="1505" spans="1:4" ht="19.95" customHeight="1" x14ac:dyDescent="0.25">
      <c r="A1505" s="10" t="s">
        <v>27</v>
      </c>
      <c r="B1505" s="21" t="s">
        <v>45</v>
      </c>
      <c r="C1505" s="11">
        <v>19.946890996114</v>
      </c>
      <c r="D1505" s="11">
        <v>2013</v>
      </c>
    </row>
    <row r="1506" spans="1:4" ht="19.95" customHeight="1" x14ac:dyDescent="0.25">
      <c r="A1506" s="10" t="s">
        <v>29</v>
      </c>
      <c r="B1506" s="21" t="s">
        <v>45</v>
      </c>
      <c r="C1506" s="11">
        <v>51.1129131584606</v>
      </c>
      <c r="D1506" s="11">
        <v>2013</v>
      </c>
    </row>
    <row r="1507" spans="1:4" ht="19.95" customHeight="1" x14ac:dyDescent="0.25">
      <c r="A1507" s="10" t="s">
        <v>30</v>
      </c>
      <c r="B1507" s="21" t="s">
        <v>45</v>
      </c>
      <c r="C1507" s="11">
        <v>70.227411519253295</v>
      </c>
      <c r="D1507" s="11">
        <v>2013</v>
      </c>
    </row>
    <row r="1508" spans="1:4" ht="19.95" customHeight="1" x14ac:dyDescent="0.25">
      <c r="A1508" s="10" t="s">
        <v>31</v>
      </c>
      <c r="B1508" s="21" t="s">
        <v>45</v>
      </c>
      <c r="C1508" s="11">
        <v>29.099827955632701</v>
      </c>
      <c r="D1508" s="11">
        <v>2013</v>
      </c>
    </row>
    <row r="1509" spans="1:4" ht="19.95" customHeight="1" x14ac:dyDescent="0.25">
      <c r="A1509" s="10" t="s">
        <v>32</v>
      </c>
      <c r="B1509" s="21" t="s">
        <v>45</v>
      </c>
      <c r="C1509" s="11">
        <v>83.692217991766</v>
      </c>
      <c r="D1509" s="11">
        <v>2013</v>
      </c>
    </row>
    <row r="1510" spans="1:4" ht="19.95" customHeight="1" x14ac:dyDescent="0.25">
      <c r="A1510" s="10" t="s">
        <v>33</v>
      </c>
      <c r="B1510" s="21" t="s">
        <v>45</v>
      </c>
      <c r="C1510" s="11">
        <v>53.918288665436698</v>
      </c>
      <c r="D1510" s="11">
        <v>2013</v>
      </c>
    </row>
    <row r="1511" spans="1:4" ht="19.95" customHeight="1" x14ac:dyDescent="0.25">
      <c r="A1511" s="10" t="s">
        <v>34</v>
      </c>
      <c r="B1511" s="21" t="s">
        <v>45</v>
      </c>
      <c r="C1511" s="11">
        <v>13.140911509996</v>
      </c>
      <c r="D1511" s="11">
        <v>2013</v>
      </c>
    </row>
    <row r="1512" spans="1:4" ht="19.95" customHeight="1" x14ac:dyDescent="0.25">
      <c r="A1512" s="10" t="s">
        <v>35</v>
      </c>
      <c r="B1512" s="21" t="s">
        <v>45</v>
      </c>
      <c r="C1512" s="11">
        <v>28.0975955873873</v>
      </c>
      <c r="D1512" s="11">
        <v>2013</v>
      </c>
    </row>
    <row r="1513" spans="1:4" ht="19.95" customHeight="1" x14ac:dyDescent="0.25">
      <c r="A1513" s="10" t="s">
        <v>36</v>
      </c>
      <c r="B1513" s="21" t="s">
        <v>45</v>
      </c>
      <c r="C1513" s="11">
        <v>48.188873341589897</v>
      </c>
      <c r="D1513" s="11">
        <v>2013</v>
      </c>
    </row>
    <row r="1514" spans="1:4" ht="19.95" customHeight="1" x14ac:dyDescent="0.25">
      <c r="A1514" s="10" t="s">
        <v>37</v>
      </c>
      <c r="B1514" s="21" t="s">
        <v>45</v>
      </c>
      <c r="C1514" s="11">
        <v>23.723987437499201</v>
      </c>
      <c r="D1514" s="11">
        <v>2013</v>
      </c>
    </row>
    <row r="1515" spans="1:4" ht="19.95" customHeight="1" x14ac:dyDescent="0.25">
      <c r="A1515" s="10" t="s">
        <v>38</v>
      </c>
      <c r="B1515" s="21" t="s">
        <v>45</v>
      </c>
      <c r="C1515" s="11">
        <v>62.338002234295203</v>
      </c>
      <c r="D1515" s="11">
        <v>2013</v>
      </c>
    </row>
    <row r="1516" spans="1:4" ht="19.95" customHeight="1" x14ac:dyDescent="0.25">
      <c r="A1516" s="10" t="s">
        <v>39</v>
      </c>
      <c r="B1516" s="21" t="s">
        <v>45</v>
      </c>
      <c r="C1516" s="11">
        <v>27.6507332029129</v>
      </c>
      <c r="D1516" s="11">
        <v>2013</v>
      </c>
    </row>
    <row r="1517" spans="1:4" ht="19.95" customHeight="1" x14ac:dyDescent="0.25">
      <c r="A1517" s="10" t="s">
        <v>40</v>
      </c>
      <c r="B1517" s="21" t="s">
        <v>45</v>
      </c>
      <c r="C1517" s="11">
        <v>23.448375552086301</v>
      </c>
      <c r="D1517" s="11">
        <v>2013</v>
      </c>
    </row>
    <row r="1518" spans="1:4" ht="19.95" customHeight="1" x14ac:dyDescent="0.25">
      <c r="A1518" s="10" t="s">
        <v>10</v>
      </c>
      <c r="B1518" s="21" t="s">
        <v>45</v>
      </c>
      <c r="C1518" s="11">
        <v>47.085068613141701</v>
      </c>
      <c r="D1518" s="11">
        <v>2014</v>
      </c>
    </row>
    <row r="1519" spans="1:4" ht="19.95" customHeight="1" x14ac:dyDescent="0.25">
      <c r="A1519" s="10" t="s">
        <v>13</v>
      </c>
      <c r="B1519" s="21" t="s">
        <v>45</v>
      </c>
      <c r="C1519" s="11">
        <v>69.508268832506701</v>
      </c>
      <c r="D1519" s="11">
        <v>2014</v>
      </c>
    </row>
    <row r="1520" spans="1:4" ht="19.95" customHeight="1" x14ac:dyDescent="0.25">
      <c r="A1520" s="10" t="s">
        <v>15</v>
      </c>
      <c r="B1520" s="21" t="s">
        <v>45</v>
      </c>
      <c r="C1520" s="11">
        <v>49.216018876330097</v>
      </c>
      <c r="D1520" s="11">
        <v>2014</v>
      </c>
    </row>
    <row r="1521" spans="1:4" ht="19.95" customHeight="1" x14ac:dyDescent="0.25">
      <c r="A1521" s="10" t="s">
        <v>16</v>
      </c>
      <c r="B1521" s="21" t="s">
        <v>45</v>
      </c>
      <c r="C1521" s="11">
        <v>17.1182035777789</v>
      </c>
      <c r="D1521" s="11">
        <v>2014</v>
      </c>
    </row>
    <row r="1522" spans="1:4" ht="19.95" customHeight="1" x14ac:dyDescent="0.25">
      <c r="A1522" s="10" t="s">
        <v>17</v>
      </c>
      <c r="B1522" s="21" t="s">
        <v>45</v>
      </c>
      <c r="C1522" s="11">
        <v>50.872202717084399</v>
      </c>
      <c r="D1522" s="11">
        <v>2014</v>
      </c>
    </row>
    <row r="1523" spans="1:4" ht="19.95" customHeight="1" x14ac:dyDescent="0.25">
      <c r="A1523" s="10" t="s">
        <v>2</v>
      </c>
      <c r="B1523" s="21" t="s">
        <v>45</v>
      </c>
      <c r="C1523" s="11">
        <v>36.300683159835501</v>
      </c>
      <c r="D1523" s="11">
        <v>2014</v>
      </c>
    </row>
    <row r="1524" spans="1:4" ht="19.95" customHeight="1" x14ac:dyDescent="0.25">
      <c r="A1524" s="10" t="s">
        <v>18</v>
      </c>
      <c r="B1524" s="21" t="s">
        <v>45</v>
      </c>
      <c r="C1524" s="11">
        <v>24.975308244832402</v>
      </c>
      <c r="D1524" s="11">
        <v>2014</v>
      </c>
    </row>
    <row r="1525" spans="1:4" ht="19.95" customHeight="1" x14ac:dyDescent="0.25">
      <c r="A1525" s="10" t="s">
        <v>19</v>
      </c>
      <c r="B1525" s="21" t="s">
        <v>45</v>
      </c>
      <c r="C1525" s="11">
        <v>25.183782664640301</v>
      </c>
      <c r="D1525" s="11">
        <v>2014</v>
      </c>
    </row>
    <row r="1526" spans="1:4" ht="19.95" customHeight="1" x14ac:dyDescent="0.25">
      <c r="A1526" s="10" t="s">
        <v>20</v>
      </c>
      <c r="B1526" s="21" t="s">
        <v>45</v>
      </c>
      <c r="C1526" s="11">
        <v>16.5219891167878</v>
      </c>
      <c r="D1526" s="11">
        <v>2014</v>
      </c>
    </row>
    <row r="1527" spans="1:4" ht="19.95" customHeight="1" x14ac:dyDescent="0.25">
      <c r="A1527" s="10" t="s">
        <v>21</v>
      </c>
      <c r="B1527" s="21" t="s">
        <v>45</v>
      </c>
      <c r="C1527" s="11"/>
      <c r="D1527" s="11">
        <v>2014</v>
      </c>
    </row>
    <row r="1528" spans="1:4" ht="19.95" customHeight="1" x14ac:dyDescent="0.25">
      <c r="A1528" s="10" t="s">
        <v>22</v>
      </c>
      <c r="B1528" s="21" t="s">
        <v>45</v>
      </c>
      <c r="C1528" s="11">
        <v>8.9884671953866295</v>
      </c>
      <c r="D1528" s="11">
        <v>2014</v>
      </c>
    </row>
    <row r="1529" spans="1:4" ht="19.95" customHeight="1" x14ac:dyDescent="0.25">
      <c r="A1529" s="10" t="s">
        <v>23</v>
      </c>
      <c r="B1529" s="21" t="s">
        <v>45</v>
      </c>
      <c r="C1529" s="11">
        <v>19.1399746859692</v>
      </c>
      <c r="D1529" s="11">
        <v>2014</v>
      </c>
    </row>
    <row r="1530" spans="1:4" ht="19.95" customHeight="1" x14ac:dyDescent="0.25">
      <c r="A1530" s="10" t="s">
        <v>24</v>
      </c>
      <c r="B1530" s="21" t="s">
        <v>45</v>
      </c>
      <c r="C1530" s="11">
        <v>26.521513814298402</v>
      </c>
      <c r="D1530" s="11">
        <v>2014</v>
      </c>
    </row>
    <row r="1531" spans="1:4" ht="19.95" customHeight="1" x14ac:dyDescent="0.25">
      <c r="A1531" s="10" t="s">
        <v>25</v>
      </c>
      <c r="B1531" s="21" t="s">
        <v>45</v>
      </c>
      <c r="C1531" s="11">
        <v>48.012339263403099</v>
      </c>
      <c r="D1531" s="11">
        <v>2014</v>
      </c>
    </row>
    <row r="1532" spans="1:4" ht="19.95" customHeight="1" x14ac:dyDescent="0.25">
      <c r="A1532" s="10" t="s">
        <v>26</v>
      </c>
      <c r="B1532" s="21" t="s">
        <v>45</v>
      </c>
      <c r="C1532" s="11">
        <v>20.593640646755599</v>
      </c>
      <c r="D1532" s="11">
        <v>2014</v>
      </c>
    </row>
    <row r="1533" spans="1:4" ht="19.95" customHeight="1" x14ac:dyDescent="0.25">
      <c r="A1533" s="10" t="s">
        <v>27</v>
      </c>
      <c r="B1533" s="21" t="s">
        <v>45</v>
      </c>
      <c r="C1533" s="11">
        <v>19.7598785029328</v>
      </c>
      <c r="D1533" s="11">
        <v>2014</v>
      </c>
    </row>
    <row r="1534" spans="1:4" ht="19.95" customHeight="1" x14ac:dyDescent="0.25">
      <c r="A1534" s="10" t="s">
        <v>29</v>
      </c>
      <c r="B1534" s="21" t="s">
        <v>45</v>
      </c>
      <c r="C1534" s="11">
        <v>52.428392853048599</v>
      </c>
      <c r="D1534" s="11">
        <v>2014</v>
      </c>
    </row>
    <row r="1535" spans="1:4" ht="19.95" customHeight="1" x14ac:dyDescent="0.25">
      <c r="A1535" s="10" t="s">
        <v>30</v>
      </c>
      <c r="B1535" s="21" t="s">
        <v>45</v>
      </c>
      <c r="C1535" s="11">
        <v>71.623436239305704</v>
      </c>
      <c r="D1535" s="11">
        <v>2014</v>
      </c>
    </row>
    <row r="1536" spans="1:4" ht="19.95" customHeight="1" x14ac:dyDescent="0.25">
      <c r="A1536" s="10" t="s">
        <v>31</v>
      </c>
      <c r="B1536" s="21" t="s">
        <v>45</v>
      </c>
      <c r="C1536" s="11">
        <v>28.238497167915199</v>
      </c>
      <c r="D1536" s="11">
        <v>2014</v>
      </c>
    </row>
    <row r="1537" spans="1:4" ht="19.95" customHeight="1" x14ac:dyDescent="0.25">
      <c r="A1537" s="10" t="s">
        <v>32</v>
      </c>
      <c r="B1537" s="21" t="s">
        <v>45</v>
      </c>
      <c r="C1537" s="11">
        <v>72.103269704242607</v>
      </c>
      <c r="D1537" s="11">
        <v>2014</v>
      </c>
    </row>
    <row r="1538" spans="1:4" ht="19.95" customHeight="1" x14ac:dyDescent="0.25">
      <c r="A1538" s="10" t="s">
        <v>33</v>
      </c>
      <c r="B1538" s="21" t="s">
        <v>45</v>
      </c>
      <c r="C1538" s="11">
        <v>51.863109925687503</v>
      </c>
      <c r="D1538" s="11">
        <v>2014</v>
      </c>
    </row>
    <row r="1539" spans="1:4" ht="19.95" customHeight="1" x14ac:dyDescent="0.25">
      <c r="A1539" s="10" t="s">
        <v>34</v>
      </c>
      <c r="B1539" s="21" t="s">
        <v>45</v>
      </c>
      <c r="C1539" s="11">
        <v>13.8566293114297</v>
      </c>
      <c r="D1539" s="11">
        <v>2014</v>
      </c>
    </row>
    <row r="1540" spans="1:4" ht="19.95" customHeight="1" x14ac:dyDescent="0.25">
      <c r="A1540" s="10" t="s">
        <v>35</v>
      </c>
      <c r="B1540" s="21" t="s">
        <v>45</v>
      </c>
      <c r="C1540" s="11">
        <v>28.087843327818799</v>
      </c>
      <c r="D1540" s="11">
        <v>2014</v>
      </c>
    </row>
    <row r="1541" spans="1:4" ht="19.95" customHeight="1" x14ac:dyDescent="0.25">
      <c r="A1541" s="10" t="s">
        <v>36</v>
      </c>
      <c r="B1541" s="21" t="s">
        <v>45</v>
      </c>
      <c r="C1541" s="11">
        <v>50.288441410222198</v>
      </c>
      <c r="D1541" s="11">
        <v>2014</v>
      </c>
    </row>
    <row r="1542" spans="1:4" ht="19.95" customHeight="1" x14ac:dyDescent="0.25">
      <c r="A1542" s="10" t="s">
        <v>37</v>
      </c>
      <c r="B1542" s="21" t="s">
        <v>45</v>
      </c>
      <c r="C1542" s="11">
        <v>23.489643870927999</v>
      </c>
      <c r="D1542" s="11">
        <v>2014</v>
      </c>
    </row>
    <row r="1543" spans="1:4" ht="19.95" customHeight="1" x14ac:dyDescent="0.25">
      <c r="A1543" s="10" t="s">
        <v>38</v>
      </c>
      <c r="B1543" s="21" t="s">
        <v>45</v>
      </c>
      <c r="C1543" s="11">
        <v>61.386416666532803</v>
      </c>
      <c r="D1543" s="11">
        <v>2014</v>
      </c>
    </row>
    <row r="1544" spans="1:4" ht="19.95" customHeight="1" x14ac:dyDescent="0.25">
      <c r="A1544" s="10" t="s">
        <v>39</v>
      </c>
      <c r="B1544" s="21" t="s">
        <v>45</v>
      </c>
      <c r="C1544" s="11">
        <v>27.109114140595601</v>
      </c>
      <c r="D1544" s="11">
        <v>2014</v>
      </c>
    </row>
    <row r="1545" spans="1:4" ht="19.95" customHeight="1" x14ac:dyDescent="0.25">
      <c r="A1545" s="10" t="s">
        <v>40</v>
      </c>
      <c r="B1545" s="21" t="s">
        <v>45</v>
      </c>
      <c r="C1545" s="11">
        <v>23.072327085418799</v>
      </c>
      <c r="D1545" s="11">
        <v>2014</v>
      </c>
    </row>
    <row r="1546" spans="1:4" ht="19.95" customHeight="1" x14ac:dyDescent="0.25">
      <c r="A1546" s="10" t="s">
        <v>10</v>
      </c>
      <c r="B1546" s="21" t="s">
        <v>45</v>
      </c>
      <c r="C1546" s="11">
        <v>46.450194640754297</v>
      </c>
      <c r="D1546" s="11">
        <v>2015</v>
      </c>
    </row>
    <row r="1547" spans="1:4" ht="19.95" customHeight="1" x14ac:dyDescent="0.25">
      <c r="A1547" s="10" t="s">
        <v>13</v>
      </c>
      <c r="B1547" s="21" t="s">
        <v>45</v>
      </c>
      <c r="C1547" s="11">
        <v>134.79374977262199</v>
      </c>
      <c r="D1547" s="11">
        <v>2015</v>
      </c>
    </row>
    <row r="1548" spans="1:4" ht="19.95" customHeight="1" x14ac:dyDescent="0.25">
      <c r="A1548" s="10" t="s">
        <v>15</v>
      </c>
      <c r="B1548" s="21" t="s">
        <v>45</v>
      </c>
      <c r="C1548" s="11">
        <v>91.674309029587604</v>
      </c>
      <c r="D1548" s="11">
        <v>2015</v>
      </c>
    </row>
    <row r="1549" spans="1:4" ht="19.95" customHeight="1" x14ac:dyDescent="0.25">
      <c r="A1549" s="10" t="s">
        <v>16</v>
      </c>
      <c r="B1549" s="21" t="s">
        <v>45</v>
      </c>
      <c r="C1549" s="11">
        <v>19.033264278740301</v>
      </c>
      <c r="D1549" s="11">
        <v>2015</v>
      </c>
    </row>
    <row r="1550" spans="1:4" ht="19.95" customHeight="1" x14ac:dyDescent="0.25">
      <c r="A1550" s="10" t="s">
        <v>17</v>
      </c>
      <c r="B1550" s="21" t="s">
        <v>45</v>
      </c>
      <c r="C1550" s="11">
        <v>71.090614302179503</v>
      </c>
      <c r="D1550" s="11">
        <v>2015</v>
      </c>
    </row>
    <row r="1551" spans="1:4" ht="19.95" customHeight="1" x14ac:dyDescent="0.25">
      <c r="A1551" s="10" t="s">
        <v>2</v>
      </c>
      <c r="B1551" s="21" t="s">
        <v>45</v>
      </c>
      <c r="C1551" s="11">
        <v>48.877394619464397</v>
      </c>
      <c r="D1551" s="11">
        <v>2015</v>
      </c>
    </row>
    <row r="1552" spans="1:4" ht="19.95" customHeight="1" x14ac:dyDescent="0.25">
      <c r="A1552" s="10" t="s">
        <v>18</v>
      </c>
      <c r="B1552" s="21" t="s">
        <v>45</v>
      </c>
      <c r="C1552" s="11">
        <v>44.545939684034501</v>
      </c>
      <c r="D1552" s="11">
        <v>2015</v>
      </c>
    </row>
    <row r="1553" spans="1:4" ht="19.95" customHeight="1" x14ac:dyDescent="0.25">
      <c r="A1553" s="10" t="s">
        <v>19</v>
      </c>
      <c r="B1553" s="21" t="s">
        <v>45</v>
      </c>
      <c r="C1553" s="11">
        <v>23.614719284738499</v>
      </c>
      <c r="D1553" s="11">
        <v>2015</v>
      </c>
    </row>
    <row r="1554" spans="1:4" ht="19.95" customHeight="1" x14ac:dyDescent="0.25">
      <c r="A1554" s="10" t="s">
        <v>20</v>
      </c>
      <c r="B1554" s="21" t="s">
        <v>45</v>
      </c>
      <c r="C1554" s="11">
        <v>16.274279543100999</v>
      </c>
      <c r="D1554" s="11">
        <v>2015</v>
      </c>
    </row>
    <row r="1555" spans="1:4" ht="19.95" customHeight="1" x14ac:dyDescent="0.25">
      <c r="A1555" s="10" t="s">
        <v>21</v>
      </c>
      <c r="B1555" s="21" t="s">
        <v>45</v>
      </c>
      <c r="C1555" s="11"/>
      <c r="D1555" s="11">
        <v>2015</v>
      </c>
    </row>
    <row r="1556" spans="1:4" ht="19.95" customHeight="1" x14ac:dyDescent="0.25">
      <c r="A1556" s="10" t="s">
        <v>22</v>
      </c>
      <c r="B1556" s="21" t="s">
        <v>45</v>
      </c>
      <c r="C1556" s="11">
        <v>16.752035897923498</v>
      </c>
      <c r="D1556" s="11">
        <v>2015</v>
      </c>
    </row>
    <row r="1557" spans="1:4" ht="19.95" customHeight="1" x14ac:dyDescent="0.25">
      <c r="A1557" s="10" t="s">
        <v>23</v>
      </c>
      <c r="B1557" s="21" t="s">
        <v>45</v>
      </c>
      <c r="C1557" s="11">
        <v>21.3773436136368</v>
      </c>
      <c r="D1557" s="11">
        <v>2015</v>
      </c>
    </row>
    <row r="1558" spans="1:4" ht="19.95" customHeight="1" x14ac:dyDescent="0.25">
      <c r="A1558" s="10" t="s">
        <v>24</v>
      </c>
      <c r="B1558" s="21" t="s">
        <v>45</v>
      </c>
      <c r="C1558" s="11">
        <v>28.1474592853057</v>
      </c>
      <c r="D1558" s="11">
        <v>2015</v>
      </c>
    </row>
    <row r="1559" spans="1:4" ht="19.95" customHeight="1" x14ac:dyDescent="0.25">
      <c r="A1559" s="10" t="s">
        <v>25</v>
      </c>
      <c r="B1559" s="21" t="s">
        <v>45</v>
      </c>
      <c r="C1559" s="11">
        <v>88.607656059382194</v>
      </c>
      <c r="D1559" s="11">
        <v>2015</v>
      </c>
    </row>
    <row r="1560" spans="1:4" ht="19.95" customHeight="1" x14ac:dyDescent="0.25">
      <c r="A1560" s="10" t="s">
        <v>26</v>
      </c>
      <c r="B1560" s="21" t="s">
        <v>45</v>
      </c>
      <c r="C1560" s="11">
        <v>20.0195119024932</v>
      </c>
      <c r="D1560" s="11">
        <v>2015</v>
      </c>
    </row>
    <row r="1561" spans="1:4" ht="19.95" customHeight="1" x14ac:dyDescent="0.25">
      <c r="A1561" s="10" t="s">
        <v>27</v>
      </c>
      <c r="B1561" s="21" t="s">
        <v>45</v>
      </c>
      <c r="C1561" s="11">
        <v>20.925727401907501</v>
      </c>
      <c r="D1561" s="11">
        <v>2015</v>
      </c>
    </row>
    <row r="1562" spans="1:4" ht="19.95" customHeight="1" x14ac:dyDescent="0.25">
      <c r="A1562" s="10" t="s">
        <v>29</v>
      </c>
      <c r="B1562" s="21" t="s">
        <v>45</v>
      </c>
      <c r="C1562" s="11">
        <v>49.018417395899199</v>
      </c>
      <c r="D1562" s="11">
        <v>2015</v>
      </c>
    </row>
    <row r="1563" spans="1:4" ht="19.95" customHeight="1" x14ac:dyDescent="0.25">
      <c r="A1563" s="10" t="s">
        <v>30</v>
      </c>
      <c r="B1563" s="21" t="s">
        <v>45</v>
      </c>
      <c r="C1563" s="11">
        <v>77.906645523914506</v>
      </c>
      <c r="D1563" s="11">
        <v>2015</v>
      </c>
    </row>
    <row r="1564" spans="1:4" ht="19.95" customHeight="1" x14ac:dyDescent="0.25">
      <c r="A1564" s="10" t="s">
        <v>31</v>
      </c>
      <c r="B1564" s="21" t="s">
        <v>45</v>
      </c>
      <c r="C1564" s="11">
        <v>22.998854121201401</v>
      </c>
      <c r="D1564" s="11">
        <v>2015</v>
      </c>
    </row>
    <row r="1565" spans="1:4" ht="19.95" customHeight="1" x14ac:dyDescent="0.25">
      <c r="A1565" s="10" t="s">
        <v>32</v>
      </c>
      <c r="B1565" s="21" t="s">
        <v>45</v>
      </c>
      <c r="C1565" s="11">
        <v>190.88412581292999</v>
      </c>
      <c r="D1565" s="11">
        <v>2015</v>
      </c>
    </row>
    <row r="1566" spans="1:4" ht="19.95" customHeight="1" x14ac:dyDescent="0.25">
      <c r="A1566" s="10" t="s">
        <v>33</v>
      </c>
      <c r="B1566" s="21" t="s">
        <v>45</v>
      </c>
      <c r="C1566" s="11">
        <v>52.5098091852864</v>
      </c>
      <c r="D1566" s="11">
        <v>2015</v>
      </c>
    </row>
    <row r="1567" spans="1:4" ht="19.95" customHeight="1" x14ac:dyDescent="0.25">
      <c r="A1567" s="10" t="s">
        <v>34</v>
      </c>
      <c r="B1567" s="21" t="s">
        <v>45</v>
      </c>
      <c r="C1567" s="11">
        <v>15.384606884228001</v>
      </c>
      <c r="D1567" s="11">
        <v>2015</v>
      </c>
    </row>
    <row r="1568" spans="1:4" ht="19.95" customHeight="1" x14ac:dyDescent="0.25">
      <c r="A1568" s="10" t="s">
        <v>35</v>
      </c>
      <c r="B1568" s="21" t="s">
        <v>45</v>
      </c>
      <c r="C1568" s="11">
        <v>25.766537504838801</v>
      </c>
      <c r="D1568" s="11">
        <v>2015</v>
      </c>
    </row>
    <row r="1569" spans="1:4" ht="19.95" customHeight="1" x14ac:dyDescent="0.25">
      <c r="A1569" s="10" t="s">
        <v>36</v>
      </c>
      <c r="B1569" s="21" t="s">
        <v>45</v>
      </c>
      <c r="C1569" s="11">
        <v>60.697448208627002</v>
      </c>
      <c r="D1569" s="11">
        <v>2015</v>
      </c>
    </row>
    <row r="1570" spans="1:4" ht="19.95" customHeight="1" x14ac:dyDescent="0.25">
      <c r="A1570" s="10" t="s">
        <v>37</v>
      </c>
      <c r="B1570" s="21" t="s">
        <v>45</v>
      </c>
      <c r="C1570" s="11">
        <v>22.386705390008199</v>
      </c>
      <c r="D1570" s="11">
        <v>2015</v>
      </c>
    </row>
    <row r="1571" spans="1:4" ht="19.95" customHeight="1" x14ac:dyDescent="0.25">
      <c r="A1571" s="10" t="s">
        <v>38</v>
      </c>
      <c r="B1571" s="21" t="s">
        <v>45</v>
      </c>
      <c r="C1571" s="11">
        <v>72.756373489062298</v>
      </c>
      <c r="D1571" s="11">
        <v>2015</v>
      </c>
    </row>
    <row r="1572" spans="1:4" ht="19.95" customHeight="1" x14ac:dyDescent="0.25">
      <c r="A1572" s="10" t="s">
        <v>39</v>
      </c>
      <c r="B1572" s="21" t="s">
        <v>45</v>
      </c>
      <c r="C1572" s="11">
        <v>30.402645037229501</v>
      </c>
      <c r="D1572" s="11">
        <v>2015</v>
      </c>
    </row>
    <row r="1573" spans="1:4" ht="19.95" customHeight="1" x14ac:dyDescent="0.25">
      <c r="A1573" s="10" t="s">
        <v>40</v>
      </c>
      <c r="B1573" s="21" t="s">
        <v>45</v>
      </c>
      <c r="C1573" s="11">
        <v>24.371785659132499</v>
      </c>
      <c r="D1573" s="11">
        <v>2015</v>
      </c>
    </row>
    <row r="1574" spans="1:4" ht="19.95" customHeight="1" x14ac:dyDescent="0.25">
      <c r="A1574" s="10" t="s">
        <v>10</v>
      </c>
      <c r="B1574" s="21" t="s">
        <v>45</v>
      </c>
      <c r="C1574" s="11">
        <v>46.282934616116599</v>
      </c>
      <c r="D1574" s="11">
        <v>2016</v>
      </c>
    </row>
    <row r="1575" spans="1:4" ht="19.95" customHeight="1" x14ac:dyDescent="0.25">
      <c r="A1575" s="10" t="s">
        <v>13</v>
      </c>
      <c r="B1575" s="21" t="s">
        <v>45</v>
      </c>
      <c r="C1575" s="11">
        <v>139.705790069454</v>
      </c>
      <c r="D1575" s="11">
        <v>2016</v>
      </c>
    </row>
    <row r="1576" spans="1:4" ht="19.95" customHeight="1" x14ac:dyDescent="0.25">
      <c r="A1576" s="10" t="s">
        <v>15</v>
      </c>
      <c r="B1576" s="21" t="s">
        <v>45</v>
      </c>
      <c r="C1576" s="11">
        <v>95.673609098291493</v>
      </c>
      <c r="D1576" s="11">
        <v>2016</v>
      </c>
    </row>
    <row r="1577" spans="1:4" ht="19.95" customHeight="1" x14ac:dyDescent="0.25">
      <c r="A1577" s="10" t="s">
        <v>16</v>
      </c>
      <c r="B1577" s="21" t="s">
        <v>45</v>
      </c>
      <c r="C1577" s="11">
        <v>19.1463515776172</v>
      </c>
      <c r="D1577" s="11">
        <v>2016</v>
      </c>
    </row>
    <row r="1578" spans="1:4" ht="19.95" customHeight="1" x14ac:dyDescent="0.25">
      <c r="A1578" s="10" t="s">
        <v>17</v>
      </c>
      <c r="B1578" s="21" t="s">
        <v>45</v>
      </c>
      <c r="C1578" s="11">
        <v>71.709297659280693</v>
      </c>
      <c r="D1578" s="11">
        <v>2016</v>
      </c>
    </row>
    <row r="1579" spans="1:4" ht="19.95" customHeight="1" x14ac:dyDescent="0.25">
      <c r="A1579" s="10" t="s">
        <v>2</v>
      </c>
      <c r="B1579" s="21" t="s">
        <v>45</v>
      </c>
      <c r="C1579" s="11">
        <v>49.735305708481498</v>
      </c>
      <c r="D1579" s="11">
        <v>2016</v>
      </c>
    </row>
    <row r="1580" spans="1:4" ht="19.95" customHeight="1" x14ac:dyDescent="0.25">
      <c r="A1580" s="10" t="s">
        <v>18</v>
      </c>
      <c r="B1580" s="21" t="s">
        <v>45</v>
      </c>
      <c r="C1580" s="11">
        <v>46.140921243423897</v>
      </c>
      <c r="D1580" s="11">
        <v>2016</v>
      </c>
    </row>
    <row r="1581" spans="1:4" ht="19.95" customHeight="1" x14ac:dyDescent="0.25">
      <c r="A1581" s="10" t="s">
        <v>19</v>
      </c>
      <c r="B1581" s="21" t="s">
        <v>45</v>
      </c>
      <c r="C1581" s="11">
        <v>23.5480471708712</v>
      </c>
      <c r="D1581" s="11">
        <v>2016</v>
      </c>
    </row>
    <row r="1582" spans="1:4" ht="19.95" customHeight="1" x14ac:dyDescent="0.25">
      <c r="A1582" s="10" t="s">
        <v>20</v>
      </c>
      <c r="B1582" s="21" t="s">
        <v>45</v>
      </c>
      <c r="C1582" s="11">
        <v>16.294930789772302</v>
      </c>
      <c r="D1582" s="11">
        <v>2016</v>
      </c>
    </row>
    <row r="1583" spans="1:4" ht="19.95" customHeight="1" x14ac:dyDescent="0.25">
      <c r="A1583" s="10" t="s">
        <v>21</v>
      </c>
      <c r="B1583" s="21" t="s">
        <v>45</v>
      </c>
      <c r="C1583" s="11"/>
      <c r="D1583" s="11">
        <v>2016</v>
      </c>
    </row>
    <row r="1584" spans="1:4" ht="19.95" customHeight="1" x14ac:dyDescent="0.25">
      <c r="A1584" s="10" t="s">
        <v>22</v>
      </c>
      <c r="B1584" s="21" t="s">
        <v>45</v>
      </c>
      <c r="C1584" s="11">
        <v>17.332335342519201</v>
      </c>
      <c r="D1584" s="11">
        <v>2016</v>
      </c>
    </row>
    <row r="1585" spans="1:4" ht="19.95" customHeight="1" x14ac:dyDescent="0.25">
      <c r="A1585" s="10" t="s">
        <v>23</v>
      </c>
      <c r="B1585" s="21" t="s">
        <v>45</v>
      </c>
      <c r="C1585" s="11">
        <v>21.4749647374828</v>
      </c>
      <c r="D1585" s="11">
        <v>2016</v>
      </c>
    </row>
    <row r="1586" spans="1:4" ht="19.95" customHeight="1" x14ac:dyDescent="0.25">
      <c r="A1586" s="10" t="s">
        <v>24</v>
      </c>
      <c r="B1586" s="21" t="s">
        <v>45</v>
      </c>
      <c r="C1586" s="11">
        <v>28.259823205112099</v>
      </c>
      <c r="D1586" s="11">
        <v>2016</v>
      </c>
    </row>
    <row r="1587" spans="1:4" ht="19.95" customHeight="1" x14ac:dyDescent="0.25">
      <c r="A1587" s="10" t="s">
        <v>25</v>
      </c>
      <c r="B1587" s="21" t="s">
        <v>45</v>
      </c>
      <c r="C1587" s="11">
        <v>92.210116754322996</v>
      </c>
      <c r="D1587" s="11">
        <v>2016</v>
      </c>
    </row>
    <row r="1588" spans="1:4" ht="19.95" customHeight="1" x14ac:dyDescent="0.25">
      <c r="A1588" s="10" t="s">
        <v>26</v>
      </c>
      <c r="B1588" s="21" t="s">
        <v>45</v>
      </c>
      <c r="C1588" s="11">
        <v>19.9432133698146</v>
      </c>
      <c r="D1588" s="11">
        <v>2016</v>
      </c>
    </row>
    <row r="1589" spans="1:4" ht="19.95" customHeight="1" x14ac:dyDescent="0.25">
      <c r="A1589" s="10" t="s">
        <v>27</v>
      </c>
      <c r="B1589" s="21" t="s">
        <v>45</v>
      </c>
      <c r="C1589" s="11">
        <v>20.987226868579398</v>
      </c>
      <c r="D1589" s="11">
        <v>2016</v>
      </c>
    </row>
    <row r="1590" spans="1:4" ht="19.95" customHeight="1" x14ac:dyDescent="0.25">
      <c r="A1590" s="10" t="s">
        <v>29</v>
      </c>
      <c r="B1590" s="21" t="s">
        <v>45</v>
      </c>
      <c r="C1590" s="11">
        <v>48.811358811618703</v>
      </c>
      <c r="D1590" s="11">
        <v>2016</v>
      </c>
    </row>
    <row r="1591" spans="1:4" ht="19.95" customHeight="1" x14ac:dyDescent="0.25">
      <c r="A1591" s="10" t="s">
        <v>30</v>
      </c>
      <c r="B1591" s="21" t="s">
        <v>45</v>
      </c>
      <c r="C1591" s="11">
        <v>78.497133493777298</v>
      </c>
      <c r="D1591" s="11">
        <v>2016</v>
      </c>
    </row>
    <row r="1592" spans="1:4" ht="19.95" customHeight="1" x14ac:dyDescent="0.25">
      <c r="A1592" s="10" t="s">
        <v>31</v>
      </c>
      <c r="B1592" s="21" t="s">
        <v>45</v>
      </c>
      <c r="C1592" s="11">
        <v>22.708848677358102</v>
      </c>
      <c r="D1592" s="11">
        <v>2016</v>
      </c>
    </row>
    <row r="1593" spans="1:4" ht="19.95" customHeight="1" x14ac:dyDescent="0.25">
      <c r="A1593" s="10" t="s">
        <v>32</v>
      </c>
      <c r="B1593" s="21" t="s">
        <v>45</v>
      </c>
      <c r="C1593" s="11">
        <v>203.74389172404</v>
      </c>
      <c r="D1593" s="11">
        <v>2016</v>
      </c>
    </row>
    <row r="1594" spans="1:4" ht="19.95" customHeight="1" x14ac:dyDescent="0.25">
      <c r="A1594" s="10" t="s">
        <v>33</v>
      </c>
      <c r="B1594" s="21" t="s">
        <v>45</v>
      </c>
      <c r="C1594" s="11">
        <v>52.790130124716399</v>
      </c>
      <c r="D1594" s="11">
        <v>2016</v>
      </c>
    </row>
    <row r="1595" spans="1:4" ht="19.95" customHeight="1" x14ac:dyDescent="0.25">
      <c r="A1595" s="10" t="s">
        <v>34</v>
      </c>
      <c r="B1595" s="21" t="s">
        <v>45</v>
      </c>
      <c r="C1595" s="11">
        <v>15.427656593015101</v>
      </c>
      <c r="D1595" s="11">
        <v>2016</v>
      </c>
    </row>
    <row r="1596" spans="1:4" ht="19.95" customHeight="1" x14ac:dyDescent="0.25">
      <c r="A1596" s="10" t="s">
        <v>35</v>
      </c>
      <c r="B1596" s="21" t="s">
        <v>45</v>
      </c>
      <c r="C1596" s="11">
        <v>25.635207569235799</v>
      </c>
      <c r="D1596" s="11">
        <v>2016</v>
      </c>
    </row>
    <row r="1597" spans="1:4" ht="19.95" customHeight="1" x14ac:dyDescent="0.25">
      <c r="A1597" s="10" t="s">
        <v>36</v>
      </c>
      <c r="B1597" s="21" t="s">
        <v>45</v>
      </c>
      <c r="C1597" s="11">
        <v>61.354304422826701</v>
      </c>
      <c r="D1597" s="11">
        <v>2016</v>
      </c>
    </row>
    <row r="1598" spans="1:4" ht="19.95" customHeight="1" x14ac:dyDescent="0.25">
      <c r="A1598" s="10" t="s">
        <v>37</v>
      </c>
      <c r="B1598" s="21" t="s">
        <v>45</v>
      </c>
      <c r="C1598" s="11">
        <v>22.349307273381999</v>
      </c>
      <c r="D1598" s="11">
        <v>2016</v>
      </c>
    </row>
    <row r="1599" spans="1:4" ht="19.95" customHeight="1" x14ac:dyDescent="0.25">
      <c r="A1599" s="10" t="s">
        <v>38</v>
      </c>
      <c r="B1599" s="21" t="s">
        <v>45</v>
      </c>
      <c r="C1599" s="11">
        <v>73.511722754226099</v>
      </c>
      <c r="D1599" s="11">
        <v>2016</v>
      </c>
    </row>
    <row r="1600" spans="1:4" ht="19.95" customHeight="1" x14ac:dyDescent="0.25">
      <c r="A1600" s="10" t="s">
        <v>39</v>
      </c>
      <c r="B1600" s="21" t="s">
        <v>45</v>
      </c>
      <c r="C1600" s="11">
        <v>30.5502949634744</v>
      </c>
      <c r="D1600" s="11">
        <v>2016</v>
      </c>
    </row>
    <row r="1601" spans="1:4" ht="19.95" customHeight="1" x14ac:dyDescent="0.25">
      <c r="A1601" s="10" t="s">
        <v>40</v>
      </c>
      <c r="B1601" s="21" t="s">
        <v>45</v>
      </c>
      <c r="C1601" s="11">
        <v>24.513034972283901</v>
      </c>
      <c r="D1601" s="11">
        <v>2016</v>
      </c>
    </row>
    <row r="1602" spans="1:4" ht="19.95" customHeight="1" x14ac:dyDescent="0.25">
      <c r="A1602" s="10" t="s">
        <v>10</v>
      </c>
      <c r="B1602" s="21" t="s">
        <v>45</v>
      </c>
      <c r="C1602" s="11"/>
      <c r="D1602" s="11">
        <v>2017</v>
      </c>
    </row>
    <row r="1603" spans="1:4" ht="19.95" customHeight="1" x14ac:dyDescent="0.25">
      <c r="A1603" s="10" t="s">
        <v>13</v>
      </c>
      <c r="B1603" s="21" t="s">
        <v>45</v>
      </c>
      <c r="C1603" s="11"/>
      <c r="D1603" s="11">
        <v>2017</v>
      </c>
    </row>
    <row r="1604" spans="1:4" ht="19.95" customHeight="1" x14ac:dyDescent="0.25">
      <c r="A1604" s="10" t="s">
        <v>15</v>
      </c>
      <c r="B1604" s="21" t="s">
        <v>45</v>
      </c>
      <c r="C1604" s="11"/>
      <c r="D1604" s="11">
        <v>2017</v>
      </c>
    </row>
    <row r="1605" spans="1:4" ht="19.95" customHeight="1" x14ac:dyDescent="0.25">
      <c r="A1605" s="10" t="s">
        <v>16</v>
      </c>
      <c r="B1605" s="21" t="s">
        <v>45</v>
      </c>
      <c r="C1605" s="11"/>
      <c r="D1605" s="11">
        <v>2017</v>
      </c>
    </row>
    <row r="1606" spans="1:4" ht="19.95" customHeight="1" x14ac:dyDescent="0.25">
      <c r="A1606" s="10" t="s">
        <v>17</v>
      </c>
      <c r="B1606" s="21" t="s">
        <v>45</v>
      </c>
      <c r="C1606" s="11"/>
      <c r="D1606" s="11">
        <v>2017</v>
      </c>
    </row>
    <row r="1607" spans="1:4" ht="19.95" customHeight="1" x14ac:dyDescent="0.25">
      <c r="A1607" s="10" t="s">
        <v>2</v>
      </c>
      <c r="B1607" s="21" t="s">
        <v>45</v>
      </c>
      <c r="C1607" s="11"/>
      <c r="D1607" s="11">
        <v>2017</v>
      </c>
    </row>
    <row r="1608" spans="1:4" ht="19.95" customHeight="1" x14ac:dyDescent="0.25">
      <c r="A1608" s="10" t="s">
        <v>18</v>
      </c>
      <c r="B1608" s="21" t="s">
        <v>45</v>
      </c>
      <c r="C1608" s="11"/>
      <c r="D1608" s="11">
        <v>2017</v>
      </c>
    </row>
    <row r="1609" spans="1:4" ht="19.95" customHeight="1" x14ac:dyDescent="0.25">
      <c r="A1609" s="10" t="s">
        <v>19</v>
      </c>
      <c r="B1609" s="21" t="s">
        <v>45</v>
      </c>
      <c r="C1609" s="11"/>
      <c r="D1609" s="11">
        <v>2017</v>
      </c>
    </row>
    <row r="1610" spans="1:4" ht="19.95" customHeight="1" x14ac:dyDescent="0.25">
      <c r="A1610" s="10" t="s">
        <v>20</v>
      </c>
      <c r="B1610" s="21" t="s">
        <v>45</v>
      </c>
      <c r="C1610" s="11"/>
      <c r="D1610" s="11">
        <v>2017</v>
      </c>
    </row>
    <row r="1611" spans="1:4" ht="19.95" customHeight="1" x14ac:dyDescent="0.25">
      <c r="A1611" s="10" t="s">
        <v>21</v>
      </c>
      <c r="B1611" s="21" t="s">
        <v>45</v>
      </c>
      <c r="C1611" s="11"/>
      <c r="D1611" s="11">
        <v>2017</v>
      </c>
    </row>
    <row r="1612" spans="1:4" ht="19.95" customHeight="1" x14ac:dyDescent="0.25">
      <c r="A1612" s="10" t="s">
        <v>22</v>
      </c>
      <c r="B1612" s="21" t="s">
        <v>45</v>
      </c>
      <c r="C1612" s="11"/>
      <c r="D1612" s="11">
        <v>2017</v>
      </c>
    </row>
    <row r="1613" spans="1:4" ht="19.95" customHeight="1" x14ac:dyDescent="0.25">
      <c r="A1613" s="10" t="s">
        <v>23</v>
      </c>
      <c r="B1613" s="21" t="s">
        <v>45</v>
      </c>
      <c r="C1613" s="11"/>
      <c r="D1613" s="11">
        <v>2017</v>
      </c>
    </row>
    <row r="1614" spans="1:4" ht="19.95" customHeight="1" x14ac:dyDescent="0.25">
      <c r="A1614" s="10" t="s">
        <v>24</v>
      </c>
      <c r="B1614" s="21" t="s">
        <v>45</v>
      </c>
      <c r="C1614" s="11"/>
      <c r="D1614" s="11">
        <v>2017</v>
      </c>
    </row>
    <row r="1615" spans="1:4" ht="19.95" customHeight="1" x14ac:dyDescent="0.25">
      <c r="A1615" s="10" t="s">
        <v>25</v>
      </c>
      <c r="B1615" s="21" t="s">
        <v>45</v>
      </c>
      <c r="C1615" s="11"/>
      <c r="D1615" s="11">
        <v>2017</v>
      </c>
    </row>
    <row r="1616" spans="1:4" ht="19.95" customHeight="1" x14ac:dyDescent="0.25">
      <c r="A1616" s="10" t="s">
        <v>26</v>
      </c>
      <c r="B1616" s="21" t="s">
        <v>45</v>
      </c>
      <c r="C1616" s="11"/>
      <c r="D1616" s="11">
        <v>2017</v>
      </c>
    </row>
    <row r="1617" spans="1:4" ht="19.95" customHeight="1" x14ac:dyDescent="0.25">
      <c r="A1617" s="10" t="s">
        <v>27</v>
      </c>
      <c r="B1617" s="21" t="s">
        <v>45</v>
      </c>
      <c r="C1617" s="11"/>
      <c r="D1617" s="11">
        <v>2017</v>
      </c>
    </row>
    <row r="1618" spans="1:4" ht="19.95" customHeight="1" x14ac:dyDescent="0.25">
      <c r="A1618" s="10" t="s">
        <v>29</v>
      </c>
      <c r="B1618" s="21" t="s">
        <v>45</v>
      </c>
      <c r="C1618" s="11"/>
      <c r="D1618" s="11">
        <v>2017</v>
      </c>
    </row>
    <row r="1619" spans="1:4" ht="19.95" customHeight="1" x14ac:dyDescent="0.25">
      <c r="A1619" s="10" t="s">
        <v>30</v>
      </c>
      <c r="B1619" s="21" t="s">
        <v>45</v>
      </c>
      <c r="C1619" s="11"/>
      <c r="D1619" s="11">
        <v>2017</v>
      </c>
    </row>
    <row r="1620" spans="1:4" ht="19.95" customHeight="1" x14ac:dyDescent="0.25">
      <c r="A1620" s="10" t="s">
        <v>31</v>
      </c>
      <c r="B1620" s="21" t="s">
        <v>45</v>
      </c>
      <c r="C1620" s="11"/>
      <c r="D1620" s="11">
        <v>2017</v>
      </c>
    </row>
    <row r="1621" spans="1:4" ht="19.95" customHeight="1" x14ac:dyDescent="0.25">
      <c r="A1621" s="10" t="s">
        <v>32</v>
      </c>
      <c r="B1621" s="21" t="s">
        <v>45</v>
      </c>
      <c r="C1621" s="11"/>
      <c r="D1621" s="11">
        <v>2017</v>
      </c>
    </row>
    <row r="1622" spans="1:4" ht="19.95" customHeight="1" x14ac:dyDescent="0.25">
      <c r="A1622" s="10" t="s">
        <v>33</v>
      </c>
      <c r="B1622" s="21" t="s">
        <v>45</v>
      </c>
      <c r="C1622" s="11"/>
      <c r="D1622" s="11">
        <v>2017</v>
      </c>
    </row>
    <row r="1623" spans="1:4" ht="19.95" customHeight="1" x14ac:dyDescent="0.25">
      <c r="A1623" s="10" t="s">
        <v>34</v>
      </c>
      <c r="B1623" s="21" t="s">
        <v>45</v>
      </c>
      <c r="C1623" s="11"/>
      <c r="D1623" s="11">
        <v>2017</v>
      </c>
    </row>
    <row r="1624" spans="1:4" ht="19.95" customHeight="1" x14ac:dyDescent="0.25">
      <c r="A1624" s="10" t="s">
        <v>35</v>
      </c>
      <c r="B1624" s="21" t="s">
        <v>45</v>
      </c>
      <c r="C1624" s="11"/>
      <c r="D1624" s="11">
        <v>2017</v>
      </c>
    </row>
    <row r="1625" spans="1:4" ht="19.95" customHeight="1" x14ac:dyDescent="0.25">
      <c r="A1625" s="10" t="s">
        <v>36</v>
      </c>
      <c r="B1625" s="21" t="s">
        <v>45</v>
      </c>
      <c r="C1625" s="11"/>
      <c r="D1625" s="11">
        <v>2017</v>
      </c>
    </row>
    <row r="1626" spans="1:4" ht="19.95" customHeight="1" x14ac:dyDescent="0.25">
      <c r="A1626" s="10" t="s">
        <v>37</v>
      </c>
      <c r="B1626" s="21" t="s">
        <v>45</v>
      </c>
      <c r="C1626" s="11"/>
      <c r="D1626" s="11">
        <v>2017</v>
      </c>
    </row>
    <row r="1627" spans="1:4" ht="19.95" customHeight="1" x14ac:dyDescent="0.25">
      <c r="A1627" s="10" t="s">
        <v>38</v>
      </c>
      <c r="B1627" s="21" t="s">
        <v>45</v>
      </c>
      <c r="C1627" s="11"/>
      <c r="D1627" s="11">
        <v>2017</v>
      </c>
    </row>
    <row r="1628" spans="1:4" ht="19.95" customHeight="1" x14ac:dyDescent="0.25">
      <c r="A1628" s="10" t="s">
        <v>39</v>
      </c>
      <c r="B1628" s="21" t="s">
        <v>45</v>
      </c>
      <c r="C1628" s="11"/>
      <c r="D1628" s="11">
        <v>2017</v>
      </c>
    </row>
    <row r="1629" spans="1:4" ht="19.95" customHeight="1" x14ac:dyDescent="0.25">
      <c r="A1629" s="10" t="s">
        <v>40</v>
      </c>
      <c r="B1629" s="21" t="s">
        <v>45</v>
      </c>
      <c r="C1629" s="11"/>
      <c r="D1629" s="11">
        <v>2017</v>
      </c>
    </row>
  </sheetData>
  <mergeCells count="3">
    <mergeCell ref="G2:K2"/>
    <mergeCell ref="A4:D4"/>
    <mergeCell ref="J4:K4"/>
  </mergeCells>
  <phoneticPr fontId="1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nlever">
                <anchor moveWithCells="1" sizeWithCells="1">
                  <from>
                    <xdr:col>4</xdr:col>
                    <xdr:colOff>822960</xdr:colOff>
                    <xdr:row>6</xdr:row>
                    <xdr:rowOff>60960</xdr:rowOff>
                  </from>
                  <to>
                    <xdr:col>5</xdr:col>
                    <xdr:colOff>998220</xdr:colOff>
                    <xdr:row>7</xdr:row>
                    <xdr:rowOff>160020</xdr:rowOff>
                  </to>
                </anchor>
              </controlPr>
            </control>
          </mc:Choice>
        </mc:AlternateContent>
        <mc:AlternateContent xmlns:mc="http://schemas.openxmlformats.org/markup-compatibility/2006">
          <mc:Choice Requires="x14">
            <control shapeId="6146" r:id="rId5" name="Button 2">
              <controlPr defaultSize="0" print="0" autoFill="0" autoPict="0" macro="[0]!afficher">
                <anchor moveWithCells="1" sizeWithCells="1">
                  <from>
                    <xdr:col>4</xdr:col>
                    <xdr:colOff>822960</xdr:colOff>
                    <xdr:row>3</xdr:row>
                    <xdr:rowOff>266700</xdr:rowOff>
                  </from>
                  <to>
                    <xdr:col>5</xdr:col>
                    <xdr:colOff>998220</xdr:colOff>
                    <xdr:row>5</xdr:row>
                    <xdr:rowOff>152400</xdr:rowOff>
                  </to>
                </anchor>
              </controlPr>
            </control>
          </mc:Choice>
        </mc:AlternateContent>
        <mc:AlternateContent xmlns:mc="http://schemas.openxmlformats.org/markup-compatibility/2006">
          <mc:Choice Requires="x14">
            <control shapeId="6147" r:id="rId6" name="comite 4">
              <controlPr defaultSize="0" print="0" autoFill="0" autoPict="0" macro="[0]!SelectSheet">
                <anchor moveWithCells="1" sizeWithCells="1">
                  <from>
                    <xdr:col>4</xdr:col>
                    <xdr:colOff>800100</xdr:colOff>
                    <xdr:row>8</xdr:row>
                    <xdr:rowOff>114300</xdr:rowOff>
                  </from>
                  <to>
                    <xdr:col>5</xdr:col>
                    <xdr:colOff>990600</xdr:colOff>
                    <xdr:row>9</xdr:row>
                    <xdr:rowOff>220980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dimension ref="A1:BD101"/>
  <sheetViews>
    <sheetView topLeftCell="A66" workbookViewId="0">
      <selection activeCell="C31" sqref="C31:C85"/>
    </sheetView>
  </sheetViews>
  <sheetFormatPr defaultColWidth="8" defaultRowHeight="13.8" x14ac:dyDescent="0.25"/>
  <cols>
    <col min="1" max="2" width="8" style="1"/>
    <col min="3" max="3" width="8" style="1" bestFit="1" customWidth="1"/>
    <col min="4" max="16384" width="8" style="1"/>
  </cols>
  <sheetData>
    <row r="1" spans="1:56" x14ac:dyDescent="0.25">
      <c r="A1" s="13" t="s">
        <v>7</v>
      </c>
      <c r="B1" s="14">
        <v>1960</v>
      </c>
      <c r="C1" s="14">
        <v>1961</v>
      </c>
      <c r="D1" s="14">
        <v>1962</v>
      </c>
      <c r="E1" s="14">
        <v>1963</v>
      </c>
      <c r="F1" s="14">
        <v>1964</v>
      </c>
      <c r="G1" s="14">
        <v>1965</v>
      </c>
      <c r="H1" s="14">
        <v>1966</v>
      </c>
      <c r="I1" s="14">
        <v>1967</v>
      </c>
      <c r="J1" s="14">
        <v>1968</v>
      </c>
      <c r="K1" s="14">
        <v>1969</v>
      </c>
      <c r="L1" s="14">
        <v>1970</v>
      </c>
      <c r="M1" s="14">
        <v>1971</v>
      </c>
      <c r="N1" s="14">
        <v>1972</v>
      </c>
      <c r="O1" s="14">
        <v>1973</v>
      </c>
      <c r="P1" s="14">
        <v>1974</v>
      </c>
      <c r="Q1" s="14">
        <v>1975</v>
      </c>
      <c r="R1" s="14">
        <v>1976</v>
      </c>
      <c r="S1" s="14">
        <v>1977</v>
      </c>
      <c r="T1" s="14">
        <v>1978</v>
      </c>
      <c r="U1" s="14">
        <v>1979</v>
      </c>
      <c r="V1" s="14">
        <v>1980</v>
      </c>
      <c r="W1" s="14">
        <v>1981</v>
      </c>
      <c r="X1" s="14">
        <v>1982</v>
      </c>
      <c r="Y1" s="14">
        <v>1983</v>
      </c>
      <c r="Z1" s="14">
        <v>1984</v>
      </c>
      <c r="AA1" s="14">
        <v>1985</v>
      </c>
      <c r="AB1" s="14">
        <v>1986</v>
      </c>
      <c r="AC1" s="14">
        <v>1987</v>
      </c>
      <c r="AD1" s="14">
        <v>1988</v>
      </c>
      <c r="AE1" s="14">
        <v>1989</v>
      </c>
      <c r="AF1" s="14">
        <v>1990</v>
      </c>
      <c r="AG1" s="14">
        <v>1991</v>
      </c>
      <c r="AH1" s="14">
        <v>1992</v>
      </c>
      <c r="AI1" s="14">
        <v>1993</v>
      </c>
      <c r="AJ1" s="14">
        <v>1994</v>
      </c>
      <c r="AK1" s="14">
        <v>1995</v>
      </c>
      <c r="AL1" s="14">
        <v>1996</v>
      </c>
      <c r="AM1" s="14">
        <v>1997</v>
      </c>
      <c r="AN1" s="14">
        <v>1998</v>
      </c>
      <c r="AO1" s="14">
        <v>1999</v>
      </c>
      <c r="AP1" s="14">
        <v>2000</v>
      </c>
      <c r="AQ1" s="14">
        <v>2001</v>
      </c>
      <c r="AR1" s="14">
        <v>2002</v>
      </c>
      <c r="AS1" s="14">
        <v>2003</v>
      </c>
      <c r="AT1" s="14">
        <v>2004</v>
      </c>
      <c r="AU1" s="14">
        <v>2005</v>
      </c>
      <c r="AV1" s="14">
        <v>2006</v>
      </c>
      <c r="AW1" s="14">
        <v>2007</v>
      </c>
      <c r="AX1" s="14">
        <v>2008</v>
      </c>
      <c r="AY1" s="14">
        <v>2009</v>
      </c>
      <c r="AZ1" s="14">
        <v>2010</v>
      </c>
      <c r="BA1" s="14">
        <v>2011</v>
      </c>
      <c r="BB1" s="14">
        <v>2012</v>
      </c>
      <c r="BC1" s="14">
        <v>2013</v>
      </c>
      <c r="BD1" s="14">
        <v>2014</v>
      </c>
    </row>
    <row r="2" spans="1:56" x14ac:dyDescent="0.25">
      <c r="A2" s="15" t="s">
        <v>10</v>
      </c>
      <c r="D2" s="1">
        <v>44.003999999999998</v>
      </c>
      <c r="E2" s="1">
        <v>47.670999999999999</v>
      </c>
      <c r="F2" s="1">
        <v>47.670999999999999</v>
      </c>
      <c r="G2" s="1">
        <v>36.67</v>
      </c>
      <c r="H2" s="1">
        <v>47.670999999999999</v>
      </c>
      <c r="I2" s="1">
        <v>47.670999999999999</v>
      </c>
      <c r="J2" s="1">
        <v>55.005000000000003</v>
      </c>
      <c r="K2" s="1">
        <v>73.34</v>
      </c>
      <c r="L2" s="1">
        <v>62.338999999999999</v>
      </c>
      <c r="M2" s="1">
        <v>73.34</v>
      </c>
      <c r="N2" s="1">
        <v>73.34</v>
      </c>
      <c r="O2" s="1">
        <v>73.34</v>
      </c>
      <c r="P2" s="1">
        <v>91.674999999999997</v>
      </c>
      <c r="Q2" s="1">
        <v>77.007000000000005</v>
      </c>
      <c r="R2" s="1">
        <v>88.007999999999996</v>
      </c>
      <c r="S2" s="1">
        <v>99.009</v>
      </c>
      <c r="T2" s="1">
        <v>102.676</v>
      </c>
      <c r="U2" s="1">
        <v>110.01</v>
      </c>
      <c r="V2" s="1">
        <v>146.68</v>
      </c>
      <c r="W2" s="1">
        <v>157.68100000000001</v>
      </c>
      <c r="X2" s="1">
        <v>157.68100000000001</v>
      </c>
      <c r="Y2" s="1">
        <v>205.352</v>
      </c>
      <c r="Z2" s="1">
        <v>220.02</v>
      </c>
      <c r="AA2" s="1">
        <v>231.02099999999999</v>
      </c>
      <c r="AB2" s="1">
        <v>234.68799999999999</v>
      </c>
      <c r="AC2" s="1">
        <v>249.35599999999999</v>
      </c>
      <c r="AD2" s="1">
        <v>227.35400000000001</v>
      </c>
      <c r="AE2" s="1">
        <v>267.69099999999997</v>
      </c>
      <c r="AF2" s="1">
        <v>209.01900000000001</v>
      </c>
      <c r="AG2" s="1">
        <v>238.35499999999999</v>
      </c>
      <c r="AH2" s="1">
        <v>216.35300000000001</v>
      </c>
      <c r="AI2" s="1">
        <v>227.35400000000001</v>
      </c>
      <c r="AJ2" s="1">
        <v>234.68799999999999</v>
      </c>
      <c r="AK2" s="1">
        <v>238.35499999999999</v>
      </c>
      <c r="AL2" s="1">
        <v>242.02199999999999</v>
      </c>
      <c r="AM2" s="1">
        <v>249.35599999999999</v>
      </c>
      <c r="AN2" s="1">
        <v>249.35599999999999</v>
      </c>
      <c r="AO2" s="1">
        <v>253.023</v>
      </c>
      <c r="AP2" s="1">
        <v>271.358</v>
      </c>
      <c r="AQ2" s="1">
        <v>205.352</v>
      </c>
      <c r="AR2" s="1">
        <v>212.68600000000001</v>
      </c>
      <c r="AS2" s="1">
        <v>161.34800000000001</v>
      </c>
      <c r="AT2" s="1">
        <v>198.018</v>
      </c>
      <c r="AU2" s="1">
        <v>154.01400000000001</v>
      </c>
      <c r="AV2" s="1">
        <v>187.017</v>
      </c>
      <c r="AW2" s="1">
        <v>187.017</v>
      </c>
      <c r="AX2" s="1">
        <v>190.684</v>
      </c>
      <c r="AY2" s="1">
        <v>190.684</v>
      </c>
      <c r="AZ2" s="1">
        <v>212.68600000000001</v>
      </c>
      <c r="BA2" s="1">
        <v>242.02199999999999</v>
      </c>
      <c r="BB2" s="1">
        <v>282.35899999999998</v>
      </c>
      <c r="BC2" s="1">
        <v>289.69299999999998</v>
      </c>
      <c r="BD2" s="1">
        <v>440.04</v>
      </c>
    </row>
    <row r="3" spans="1:56" x14ac:dyDescent="0.25">
      <c r="A3" s="15" t="s">
        <v>13</v>
      </c>
      <c r="B3" s="1">
        <v>271.358</v>
      </c>
      <c r="C3" s="1">
        <v>282.35899999999998</v>
      </c>
      <c r="D3" s="1">
        <v>289.69299999999998</v>
      </c>
      <c r="E3" s="1">
        <v>300.69400000000002</v>
      </c>
      <c r="F3" s="1">
        <v>337.36399999999998</v>
      </c>
      <c r="G3" s="1">
        <v>311.69499999999999</v>
      </c>
      <c r="H3" s="1">
        <v>344.69799999999998</v>
      </c>
      <c r="I3" s="1">
        <v>458.375</v>
      </c>
      <c r="J3" s="1">
        <v>506.04599999999999</v>
      </c>
      <c r="K3" s="1">
        <v>572.05200000000002</v>
      </c>
      <c r="L3" s="1">
        <v>638.05799999999999</v>
      </c>
      <c r="M3" s="1">
        <v>810.40700000000004</v>
      </c>
      <c r="N3" s="1">
        <v>861.745</v>
      </c>
      <c r="O3" s="1">
        <v>898.41499999999996</v>
      </c>
      <c r="P3" s="1">
        <v>975.42200000000003</v>
      </c>
      <c r="Q3" s="1">
        <v>1162.4390000000001</v>
      </c>
      <c r="R3" s="1">
        <v>1092.7660000000001</v>
      </c>
      <c r="S3" s="1">
        <v>1565.809</v>
      </c>
      <c r="T3" s="1">
        <v>2002.182</v>
      </c>
      <c r="U3" s="1">
        <v>1829.8330000000001</v>
      </c>
      <c r="V3" s="1">
        <v>3905.355</v>
      </c>
      <c r="W3" s="1">
        <v>5342.8190000000004</v>
      </c>
      <c r="X3" s="1">
        <v>6343.91</v>
      </c>
      <c r="Y3" s="1">
        <v>6589.5990000000002</v>
      </c>
      <c r="Z3" s="1">
        <v>6057.884</v>
      </c>
      <c r="AA3" s="1">
        <v>6475.9219999999996</v>
      </c>
      <c r="AB3" s="1">
        <v>1994.848</v>
      </c>
      <c r="AC3" s="1">
        <v>1844.501</v>
      </c>
      <c r="AD3" s="1">
        <v>2200.1999999999998</v>
      </c>
      <c r="AE3" s="1">
        <v>7634.6940000000004</v>
      </c>
      <c r="AF3" s="1">
        <v>1734.491</v>
      </c>
      <c r="AG3" s="1">
        <v>1103.7670000000001</v>
      </c>
      <c r="AH3" s="1">
        <v>3788.011</v>
      </c>
      <c r="AI3" s="1">
        <v>3898.0210000000002</v>
      </c>
      <c r="AJ3" s="1">
        <v>3817.3470000000002</v>
      </c>
      <c r="AK3" s="1">
        <v>4228.0510000000004</v>
      </c>
      <c r="AL3" s="1">
        <v>4462.7389999999996</v>
      </c>
      <c r="AM3" s="1">
        <v>3215.9589999999998</v>
      </c>
      <c r="AN3" s="1">
        <v>3208.625</v>
      </c>
      <c r="AO3" s="1">
        <v>3080.28</v>
      </c>
      <c r="AP3" s="1">
        <v>3432.3119999999999</v>
      </c>
      <c r="AQ3" s="1">
        <v>3421.3110000000001</v>
      </c>
      <c r="AR3" s="1">
        <v>3417.6439999999998</v>
      </c>
      <c r="AS3" s="1">
        <v>3795.3449999999998</v>
      </c>
      <c r="AT3" s="1">
        <v>3956.6930000000002</v>
      </c>
      <c r="AU3" s="1">
        <v>3696.3359999999998</v>
      </c>
      <c r="AV3" s="1">
        <v>3861.3510000000001</v>
      </c>
      <c r="AW3" s="1">
        <v>5834.1970000000001</v>
      </c>
      <c r="AX3" s="1">
        <v>5544.5039999999999</v>
      </c>
      <c r="AY3" s="1">
        <v>6725.2780000000002</v>
      </c>
      <c r="AZ3" s="1">
        <v>6780.2830000000004</v>
      </c>
      <c r="BA3" s="1">
        <v>5768.1909999999998</v>
      </c>
      <c r="BB3" s="1">
        <v>6127.5569999999998</v>
      </c>
      <c r="BC3" s="1">
        <v>6772.9489999999996</v>
      </c>
      <c r="BD3" s="1">
        <v>7003.97</v>
      </c>
    </row>
    <row r="4" spans="1:56" x14ac:dyDescent="0.25">
      <c r="A4" s="15" t="s">
        <v>15</v>
      </c>
      <c r="B4" s="1">
        <v>55.005000000000003</v>
      </c>
      <c r="C4" s="1">
        <v>51.338000000000001</v>
      </c>
      <c r="D4" s="1">
        <v>84.340999999999994</v>
      </c>
      <c r="E4" s="1">
        <v>91.674999999999997</v>
      </c>
      <c r="F4" s="1">
        <v>99.009</v>
      </c>
      <c r="G4" s="1">
        <v>106.343</v>
      </c>
      <c r="H4" s="1">
        <v>84.340999999999994</v>
      </c>
      <c r="I4" s="1">
        <v>117.34399999999999</v>
      </c>
      <c r="J4" s="1">
        <v>124.678</v>
      </c>
      <c r="K4" s="1">
        <v>161.34800000000001</v>
      </c>
      <c r="L4" s="1">
        <v>124.678</v>
      </c>
      <c r="M4" s="1">
        <v>150.34700000000001</v>
      </c>
      <c r="N4" s="1">
        <v>121.011</v>
      </c>
      <c r="O4" s="1">
        <v>161.34800000000001</v>
      </c>
      <c r="P4" s="1">
        <v>150.34700000000001</v>
      </c>
      <c r="Q4" s="1">
        <v>183.35</v>
      </c>
      <c r="R4" s="1">
        <v>183.35</v>
      </c>
      <c r="S4" s="1">
        <v>198.018</v>
      </c>
      <c r="T4" s="1">
        <v>194.351</v>
      </c>
      <c r="U4" s="1">
        <v>201.685</v>
      </c>
      <c r="V4" s="1">
        <v>209.01900000000001</v>
      </c>
      <c r="W4" s="1">
        <v>209.01900000000001</v>
      </c>
      <c r="X4" s="1">
        <v>205.352</v>
      </c>
      <c r="Y4" s="1">
        <v>205.352</v>
      </c>
      <c r="Z4" s="1">
        <v>216.35300000000001</v>
      </c>
      <c r="AA4" s="1">
        <v>179.68299999999999</v>
      </c>
      <c r="AB4" s="1">
        <v>187.017</v>
      </c>
      <c r="AC4" s="1">
        <v>198.018</v>
      </c>
      <c r="AD4" s="1">
        <v>66.006</v>
      </c>
      <c r="AE4" s="1">
        <v>102.676</v>
      </c>
      <c r="AF4" s="1">
        <v>143.01300000000001</v>
      </c>
      <c r="AG4" s="1">
        <v>66.006</v>
      </c>
      <c r="AH4" s="1">
        <v>84.340999999999994</v>
      </c>
      <c r="AI4" s="1">
        <v>91.674999999999997</v>
      </c>
      <c r="AJ4" s="1">
        <v>102.676</v>
      </c>
      <c r="AK4" s="1">
        <v>110.01</v>
      </c>
      <c r="AL4" s="1">
        <v>124.678</v>
      </c>
      <c r="AM4" s="1">
        <v>143.01300000000001</v>
      </c>
      <c r="AN4" s="1">
        <v>150.34700000000001</v>
      </c>
      <c r="AO4" s="1">
        <v>161.34800000000001</v>
      </c>
      <c r="AP4" s="1">
        <v>176.01599999999999</v>
      </c>
      <c r="AQ4" s="1">
        <v>172.34899999999999</v>
      </c>
      <c r="AR4" s="1">
        <v>168.68199999999999</v>
      </c>
      <c r="AS4" s="1">
        <v>381.36799999999999</v>
      </c>
      <c r="AT4" s="1">
        <v>377.70100000000002</v>
      </c>
      <c r="AU4" s="1">
        <v>399.70299999999997</v>
      </c>
      <c r="AV4" s="1">
        <v>407.03699999999998</v>
      </c>
      <c r="AW4" s="1">
        <v>462.04199999999997</v>
      </c>
      <c r="AX4" s="1">
        <v>509.71300000000002</v>
      </c>
      <c r="AY4" s="1">
        <v>491.37799999999999</v>
      </c>
      <c r="AZ4" s="1">
        <v>517.04700000000003</v>
      </c>
      <c r="BA4" s="1">
        <v>539.04899999999998</v>
      </c>
      <c r="BB4" s="1">
        <v>612.38900000000001</v>
      </c>
      <c r="BC4" s="1">
        <v>700.39700000000005</v>
      </c>
      <c r="BD4" s="1">
        <v>729.73299999999995</v>
      </c>
    </row>
    <row r="5" spans="1:56" x14ac:dyDescent="0.25">
      <c r="A5" s="15" t="s">
        <v>16</v>
      </c>
      <c r="B5" s="1">
        <v>11.000999999999999</v>
      </c>
      <c r="C5" s="1">
        <v>11.000999999999999</v>
      </c>
      <c r="D5" s="1">
        <v>11.000999999999999</v>
      </c>
      <c r="E5" s="1">
        <v>11.000999999999999</v>
      </c>
      <c r="F5" s="1">
        <v>11.000999999999999</v>
      </c>
      <c r="G5" s="1">
        <v>14.667999999999999</v>
      </c>
      <c r="H5" s="1">
        <v>18.335000000000001</v>
      </c>
      <c r="I5" s="1">
        <v>18.335000000000001</v>
      </c>
      <c r="J5" s="1">
        <v>18.335000000000001</v>
      </c>
      <c r="K5" s="1">
        <v>18.335000000000001</v>
      </c>
      <c r="L5" s="1">
        <v>29.335999999999999</v>
      </c>
      <c r="M5" s="1">
        <v>29.335999999999999</v>
      </c>
      <c r="N5" s="1">
        <v>29.335999999999999</v>
      </c>
      <c r="O5" s="1">
        <v>29.335999999999999</v>
      </c>
      <c r="P5" s="1">
        <v>29.335999999999999</v>
      </c>
      <c r="Q5" s="1">
        <v>33.003</v>
      </c>
      <c r="R5" s="1">
        <v>40.337000000000003</v>
      </c>
      <c r="S5" s="1">
        <v>40.337000000000003</v>
      </c>
      <c r="T5" s="1">
        <v>29.335999999999999</v>
      </c>
      <c r="U5" s="1">
        <v>22.001999999999999</v>
      </c>
      <c r="V5" s="1">
        <v>47.670999999999999</v>
      </c>
      <c r="W5" s="1">
        <v>47.670999999999999</v>
      </c>
      <c r="X5" s="1">
        <v>47.670999999999999</v>
      </c>
      <c r="Y5" s="1">
        <v>47.670999999999999</v>
      </c>
      <c r="Z5" s="1">
        <v>47.670999999999999</v>
      </c>
      <c r="AA5" s="1">
        <v>47.670999999999999</v>
      </c>
      <c r="AB5" s="1">
        <v>44.003999999999998</v>
      </c>
      <c r="AC5" s="1">
        <v>47.670999999999999</v>
      </c>
      <c r="AD5" s="1">
        <v>51.338000000000001</v>
      </c>
      <c r="AE5" s="1">
        <v>51.338000000000001</v>
      </c>
      <c r="AF5" s="1">
        <v>62.338999999999999</v>
      </c>
      <c r="AG5" s="1">
        <v>66.006</v>
      </c>
      <c r="AH5" s="1">
        <v>66.006</v>
      </c>
      <c r="AI5" s="1">
        <v>69.673000000000002</v>
      </c>
      <c r="AJ5" s="1">
        <v>69.673000000000002</v>
      </c>
      <c r="AK5" s="1">
        <v>73.34</v>
      </c>
      <c r="AL5" s="1">
        <v>77.007000000000005</v>
      </c>
      <c r="AM5" s="1">
        <v>80.674000000000007</v>
      </c>
      <c r="AN5" s="1">
        <v>88.007999999999996</v>
      </c>
      <c r="AO5" s="1">
        <v>91.674999999999997</v>
      </c>
      <c r="AP5" s="1">
        <v>102.676</v>
      </c>
      <c r="AQ5" s="1">
        <v>102.676</v>
      </c>
      <c r="AR5" s="1">
        <v>102.676</v>
      </c>
      <c r="AS5" s="1">
        <v>132.012</v>
      </c>
      <c r="AT5" s="1">
        <v>143.01300000000001</v>
      </c>
      <c r="AU5" s="1">
        <v>139.346</v>
      </c>
      <c r="AV5" s="1">
        <v>161.34800000000001</v>
      </c>
      <c r="AW5" s="1">
        <v>102.676</v>
      </c>
      <c r="AX5" s="1">
        <v>106.343</v>
      </c>
      <c r="AY5" s="1">
        <v>132.012</v>
      </c>
      <c r="AZ5" s="1">
        <v>161.34800000000001</v>
      </c>
      <c r="BA5" s="1">
        <v>135.679</v>
      </c>
      <c r="BB5" s="1">
        <v>143.01300000000001</v>
      </c>
      <c r="BC5" s="1">
        <v>176.01599999999999</v>
      </c>
      <c r="BD5" s="1">
        <v>154.01400000000001</v>
      </c>
    </row>
    <row r="6" spans="1:56" x14ac:dyDescent="0.25">
      <c r="A6" s="15" t="s">
        <v>17</v>
      </c>
      <c r="B6" s="1">
        <v>40.337000000000003</v>
      </c>
      <c r="C6" s="1">
        <v>44.003999999999998</v>
      </c>
      <c r="D6" s="1">
        <v>47.670999999999999</v>
      </c>
      <c r="E6" s="1">
        <v>66.006</v>
      </c>
      <c r="F6" s="1">
        <v>84.340999999999994</v>
      </c>
      <c r="G6" s="1">
        <v>121.011</v>
      </c>
      <c r="H6" s="1">
        <v>139.346</v>
      </c>
      <c r="I6" s="1">
        <v>88.007999999999996</v>
      </c>
      <c r="J6" s="1">
        <v>121.011</v>
      </c>
      <c r="K6" s="1">
        <v>84.340999999999994</v>
      </c>
      <c r="L6" s="1">
        <v>139.346</v>
      </c>
      <c r="M6" s="1">
        <v>161.34800000000001</v>
      </c>
      <c r="N6" s="1">
        <v>190.684</v>
      </c>
      <c r="O6" s="1">
        <v>179.68299999999999</v>
      </c>
      <c r="P6" s="1">
        <v>194.351</v>
      </c>
      <c r="Q6" s="1">
        <v>198.018</v>
      </c>
      <c r="R6" s="1">
        <v>198.018</v>
      </c>
      <c r="S6" s="1">
        <v>198.018</v>
      </c>
      <c r="T6" s="1">
        <v>201.685</v>
      </c>
      <c r="U6" s="1">
        <v>363.03300000000002</v>
      </c>
      <c r="V6" s="1">
        <v>348.36500000000001</v>
      </c>
      <c r="W6" s="1">
        <v>300.69400000000002</v>
      </c>
      <c r="X6" s="1">
        <v>348.36500000000001</v>
      </c>
      <c r="Y6" s="1">
        <v>348.36500000000001</v>
      </c>
      <c r="Z6" s="1">
        <v>352.03199999999998</v>
      </c>
      <c r="AA6" s="1">
        <v>359.36599999999999</v>
      </c>
      <c r="AB6" s="1">
        <v>377.70100000000002</v>
      </c>
      <c r="AC6" s="1">
        <v>388.702</v>
      </c>
      <c r="AD6" s="1">
        <v>348.36500000000001</v>
      </c>
      <c r="AE6" s="1">
        <v>388.702</v>
      </c>
      <c r="AF6" s="1">
        <v>322.69600000000003</v>
      </c>
      <c r="AG6" s="1">
        <v>311.69499999999999</v>
      </c>
      <c r="AH6" s="1">
        <v>311.69499999999999</v>
      </c>
      <c r="AI6" s="1">
        <v>311.69499999999999</v>
      </c>
      <c r="AJ6" s="1">
        <v>304.36099999999999</v>
      </c>
      <c r="AK6" s="1">
        <v>304.36099999999999</v>
      </c>
      <c r="AL6" s="1">
        <v>311.69499999999999</v>
      </c>
      <c r="AM6" s="1">
        <v>326.363</v>
      </c>
      <c r="AN6" s="1">
        <v>315.36200000000002</v>
      </c>
      <c r="AO6" s="1">
        <v>315.36200000000002</v>
      </c>
      <c r="AP6" s="1">
        <v>341.03100000000001</v>
      </c>
      <c r="AQ6" s="1">
        <v>366.7</v>
      </c>
      <c r="AR6" s="1">
        <v>399.70299999999997</v>
      </c>
      <c r="AS6" s="1">
        <v>421.70499999999998</v>
      </c>
      <c r="AT6" s="1">
        <v>407.03699999999998</v>
      </c>
      <c r="AU6" s="1">
        <v>414.37099999999998</v>
      </c>
      <c r="AV6" s="1">
        <v>410.70400000000001</v>
      </c>
      <c r="AW6" s="1">
        <v>462.04199999999997</v>
      </c>
      <c r="AX6" s="1">
        <v>498.71199999999999</v>
      </c>
      <c r="AY6" s="1">
        <v>462.04199999999997</v>
      </c>
      <c r="AZ6" s="1">
        <v>517.04700000000003</v>
      </c>
      <c r="BA6" s="1">
        <v>473.04300000000001</v>
      </c>
      <c r="BB6" s="1">
        <v>517.04700000000003</v>
      </c>
      <c r="BC6" s="1">
        <v>608.72199999999998</v>
      </c>
      <c r="BD6" s="1">
        <v>722.399</v>
      </c>
    </row>
    <row r="7" spans="1:56" x14ac:dyDescent="0.25">
      <c r="A7" s="15" t="s">
        <v>2</v>
      </c>
      <c r="B7" s="1">
        <v>352.03199999999998</v>
      </c>
      <c r="C7" s="1">
        <v>341.03100000000001</v>
      </c>
      <c r="D7" s="1">
        <v>396.036</v>
      </c>
      <c r="E7" s="1">
        <v>421.70499999999998</v>
      </c>
      <c r="F7" s="1">
        <v>407.03699999999998</v>
      </c>
      <c r="G7" s="1">
        <v>645.39200000000005</v>
      </c>
      <c r="H7" s="1">
        <v>825.07500000000005</v>
      </c>
      <c r="I7" s="1">
        <v>1074.431</v>
      </c>
      <c r="J7" s="1">
        <v>1727.1569999999999</v>
      </c>
      <c r="K7" s="1">
        <v>1668.4849999999999</v>
      </c>
      <c r="L7" s="1">
        <v>1653.817</v>
      </c>
      <c r="M7" s="1">
        <v>1851.835</v>
      </c>
      <c r="N7" s="1">
        <v>1408.1279999999999</v>
      </c>
      <c r="O7" s="1">
        <v>1752.826</v>
      </c>
      <c r="P7" s="1">
        <v>1738.1579999999999</v>
      </c>
      <c r="Q7" s="1">
        <v>1210.1099999999999</v>
      </c>
      <c r="R7" s="1">
        <v>1177.107</v>
      </c>
      <c r="S7" s="1">
        <v>1048.7619999999999</v>
      </c>
      <c r="T7" s="1">
        <v>1371.4580000000001</v>
      </c>
      <c r="U7" s="1">
        <v>1848.1679999999999</v>
      </c>
      <c r="V7" s="1">
        <v>1822.499</v>
      </c>
      <c r="W7" s="1">
        <v>1866.5029999999999</v>
      </c>
      <c r="X7" s="1">
        <v>1481.4680000000001</v>
      </c>
      <c r="Y7" s="1">
        <v>1844.501</v>
      </c>
      <c r="Z7" s="1">
        <v>1664.818</v>
      </c>
      <c r="AA7" s="1">
        <v>1815.165</v>
      </c>
      <c r="AB7" s="1">
        <v>2214.8679999999999</v>
      </c>
      <c r="AC7" s="1">
        <v>2581.5680000000002</v>
      </c>
      <c r="AD7" s="1">
        <v>2673.2429999999999</v>
      </c>
      <c r="AE7" s="1">
        <v>2827.2570000000001</v>
      </c>
      <c r="AF7" s="1">
        <v>3017.9409999999998</v>
      </c>
      <c r="AG7" s="1">
        <v>2984.9380000000001</v>
      </c>
      <c r="AH7" s="1">
        <v>2966.6030000000001</v>
      </c>
      <c r="AI7" s="1">
        <v>3028.942</v>
      </c>
      <c r="AJ7" s="1">
        <v>2240.5369999999998</v>
      </c>
      <c r="AK7" s="1">
        <v>2563.2330000000002</v>
      </c>
      <c r="AL7" s="1">
        <v>2860.26</v>
      </c>
      <c r="AM7" s="1">
        <v>3050.944</v>
      </c>
      <c r="AN7" s="1">
        <v>3219.6260000000002</v>
      </c>
      <c r="AO7" s="1">
        <v>3157.2869999999998</v>
      </c>
      <c r="AP7" s="1">
        <v>3549.6559999999999</v>
      </c>
      <c r="AQ7" s="1">
        <v>4352.7290000000003</v>
      </c>
      <c r="AR7" s="1">
        <v>4521.4110000000001</v>
      </c>
      <c r="AS7" s="1">
        <v>4987.12</v>
      </c>
      <c r="AT7" s="1">
        <v>5295.1480000000001</v>
      </c>
      <c r="AU7" s="1">
        <v>5119.1319999999996</v>
      </c>
      <c r="AV7" s="1">
        <v>5504.1670000000004</v>
      </c>
      <c r="AW7" s="1">
        <v>6013.88</v>
      </c>
      <c r="AX7" s="1">
        <v>6578.598</v>
      </c>
      <c r="AY7" s="1">
        <v>6629.9359999999997</v>
      </c>
      <c r="AZ7" s="1">
        <v>6585.9319999999998</v>
      </c>
      <c r="BA7" s="1">
        <v>7726.3689999999997</v>
      </c>
      <c r="BB7" s="1">
        <v>8562.4449999999997</v>
      </c>
      <c r="BC7" s="1">
        <v>10634.3</v>
      </c>
      <c r="BD7" s="1">
        <v>11598.721</v>
      </c>
    </row>
    <row r="8" spans="1:56" x14ac:dyDescent="0.25">
      <c r="A8" s="15" t="s">
        <v>18</v>
      </c>
      <c r="B8" s="1">
        <v>410.70400000000001</v>
      </c>
      <c r="C8" s="1">
        <v>616.05600000000004</v>
      </c>
      <c r="D8" s="1">
        <v>660.06</v>
      </c>
      <c r="E8" s="1">
        <v>696.73</v>
      </c>
      <c r="F8" s="1">
        <v>700.39700000000005</v>
      </c>
      <c r="G8" s="1">
        <v>696.73</v>
      </c>
      <c r="H8" s="1">
        <v>718.73199999999997</v>
      </c>
      <c r="I8" s="1">
        <v>726.06600000000003</v>
      </c>
      <c r="J8" s="1">
        <v>748.06799999999998</v>
      </c>
      <c r="K8" s="1">
        <v>748.06799999999998</v>
      </c>
      <c r="L8" s="1">
        <v>792.072</v>
      </c>
      <c r="M8" s="1">
        <v>814.07399999999996</v>
      </c>
      <c r="N8" s="1">
        <v>832.40899999999999</v>
      </c>
      <c r="O8" s="1">
        <v>803.07299999999998</v>
      </c>
      <c r="P8" s="1">
        <v>839.74300000000005</v>
      </c>
      <c r="Q8" s="1">
        <v>843.41</v>
      </c>
      <c r="R8" s="1">
        <v>887.41399999999999</v>
      </c>
      <c r="S8" s="1">
        <v>902.08199999999999</v>
      </c>
      <c r="T8" s="1">
        <v>902.08199999999999</v>
      </c>
      <c r="U8" s="1">
        <v>946.08600000000001</v>
      </c>
      <c r="V8" s="1">
        <v>964.42100000000005</v>
      </c>
      <c r="W8" s="1">
        <v>990.09</v>
      </c>
      <c r="X8" s="1">
        <v>982.75599999999997</v>
      </c>
      <c r="Y8" s="1">
        <v>953.42</v>
      </c>
      <c r="Z8" s="1">
        <v>979.08900000000006</v>
      </c>
      <c r="AA8" s="1">
        <v>993.75699999999995</v>
      </c>
      <c r="AB8" s="1">
        <v>997.42399999999998</v>
      </c>
      <c r="AC8" s="1">
        <v>993.75699999999995</v>
      </c>
      <c r="AD8" s="1">
        <v>1026.76</v>
      </c>
      <c r="AE8" s="1">
        <v>1045.095</v>
      </c>
      <c r="AF8" s="1">
        <v>1004.758</v>
      </c>
      <c r="AG8" s="1">
        <v>1026.76</v>
      </c>
      <c r="AH8" s="1">
        <v>1059.7629999999999</v>
      </c>
      <c r="AI8" s="1">
        <v>1089.0989999999999</v>
      </c>
      <c r="AJ8" s="1">
        <v>1250.4469999999999</v>
      </c>
      <c r="AK8" s="1">
        <v>1290.7840000000001</v>
      </c>
      <c r="AL8" s="1">
        <v>1364.124</v>
      </c>
      <c r="AM8" s="1">
        <v>1419.1289999999999</v>
      </c>
      <c r="AN8" s="1">
        <v>1503.47</v>
      </c>
      <c r="AO8" s="1">
        <v>1580.4770000000001</v>
      </c>
      <c r="AP8" s="1">
        <v>1642.816</v>
      </c>
      <c r="AQ8" s="1">
        <v>1719.8230000000001</v>
      </c>
      <c r="AR8" s="1">
        <v>1804.164</v>
      </c>
      <c r="AS8" s="1">
        <v>1881.171</v>
      </c>
      <c r="AT8" s="1">
        <v>1943.51</v>
      </c>
      <c r="AU8" s="1">
        <v>1826.1659999999999</v>
      </c>
      <c r="AV8" s="1">
        <v>1892.172</v>
      </c>
      <c r="AW8" s="1">
        <v>1969.1790000000001</v>
      </c>
      <c r="AX8" s="1">
        <v>2189.1990000000001</v>
      </c>
      <c r="AY8" s="1">
        <v>2262.5390000000002</v>
      </c>
      <c r="AZ8" s="1">
        <v>2603.5700000000002</v>
      </c>
      <c r="BA8" s="1">
        <v>2779.5859999999998</v>
      </c>
      <c r="BB8" s="1">
        <v>2581.5680000000002</v>
      </c>
      <c r="BC8" s="1">
        <v>2299.2089999999998</v>
      </c>
      <c r="BD8" s="1">
        <v>2449.556</v>
      </c>
    </row>
    <row r="9" spans="1:56" x14ac:dyDescent="0.25">
      <c r="A9" s="15" t="s">
        <v>19</v>
      </c>
      <c r="B9" s="1">
        <v>286.02600000000001</v>
      </c>
      <c r="C9" s="1">
        <v>297.02699999999999</v>
      </c>
      <c r="D9" s="1">
        <v>304.36099999999999</v>
      </c>
      <c r="E9" s="1">
        <v>249.35599999999999</v>
      </c>
      <c r="F9" s="1">
        <v>300.69400000000002</v>
      </c>
      <c r="G9" s="1">
        <v>304.36099999999999</v>
      </c>
      <c r="H9" s="1">
        <v>304.36099999999999</v>
      </c>
      <c r="I9" s="1">
        <v>260.35700000000003</v>
      </c>
      <c r="J9" s="1">
        <v>264.024</v>
      </c>
      <c r="K9" s="1">
        <v>315.36200000000002</v>
      </c>
      <c r="L9" s="1">
        <v>385.03500000000003</v>
      </c>
      <c r="M9" s="1">
        <v>403.37</v>
      </c>
      <c r="N9" s="1">
        <v>392.36900000000003</v>
      </c>
      <c r="O9" s="1">
        <v>421.70499999999998</v>
      </c>
      <c r="P9" s="1">
        <v>473.04300000000001</v>
      </c>
      <c r="Q9" s="1">
        <v>484.04399999999998</v>
      </c>
      <c r="R9" s="1">
        <v>674.72799999999995</v>
      </c>
      <c r="S9" s="1">
        <v>707.73099999999999</v>
      </c>
      <c r="T9" s="1">
        <v>755.40200000000004</v>
      </c>
      <c r="U9" s="1">
        <v>755.40200000000004</v>
      </c>
      <c r="V9" s="1">
        <v>751.73500000000001</v>
      </c>
      <c r="W9" s="1">
        <v>766.40300000000002</v>
      </c>
      <c r="X9" s="1">
        <v>825.07500000000005</v>
      </c>
      <c r="Y9" s="1">
        <v>894.74800000000005</v>
      </c>
      <c r="Z9" s="1">
        <v>913.08299999999997</v>
      </c>
      <c r="AA9" s="1">
        <v>942.41899999999998</v>
      </c>
      <c r="AB9" s="1">
        <v>843.41</v>
      </c>
      <c r="AC9" s="1">
        <v>913.08299999999997</v>
      </c>
      <c r="AD9" s="1">
        <v>1023.093</v>
      </c>
      <c r="AE9" s="1">
        <v>1037.761</v>
      </c>
      <c r="AF9" s="1">
        <v>993.75699999999995</v>
      </c>
      <c r="AG9" s="1">
        <v>997.42399999999998</v>
      </c>
      <c r="AH9" s="1">
        <v>909.41600000000005</v>
      </c>
      <c r="AI9" s="1">
        <v>663.72699999999998</v>
      </c>
      <c r="AJ9" s="1">
        <v>300.69400000000002</v>
      </c>
      <c r="AK9" s="1">
        <v>902.08199999999999</v>
      </c>
      <c r="AL9" s="1">
        <v>1034.0940000000001</v>
      </c>
      <c r="AM9" s="1">
        <v>1367.7909999999999</v>
      </c>
      <c r="AN9" s="1">
        <v>1232.1120000000001</v>
      </c>
      <c r="AO9" s="1">
        <v>1331.1210000000001</v>
      </c>
      <c r="AP9" s="1">
        <v>1367.7909999999999</v>
      </c>
      <c r="AQ9" s="1">
        <v>1569.4760000000001</v>
      </c>
      <c r="AR9" s="1">
        <v>1826.1659999999999</v>
      </c>
      <c r="AS9" s="1">
        <v>1734.491</v>
      </c>
      <c r="AT9" s="1">
        <v>1987.5139999999999</v>
      </c>
      <c r="AU9" s="1">
        <v>2075.5219999999999</v>
      </c>
      <c r="AV9" s="1">
        <v>2112.192</v>
      </c>
      <c r="AW9" s="1">
        <v>2390.884</v>
      </c>
      <c r="AX9" s="1">
        <v>2398.2179999999998</v>
      </c>
      <c r="AY9" s="1">
        <v>2269.873</v>
      </c>
      <c r="AZ9" s="1">
        <v>2126.86</v>
      </c>
      <c r="BA9" s="1">
        <v>2218.5349999999999</v>
      </c>
      <c r="BB9" s="1">
        <v>2313.877</v>
      </c>
      <c r="BC9" s="1">
        <v>2405.5520000000001</v>
      </c>
      <c r="BD9" s="1">
        <v>2860.26</v>
      </c>
    </row>
    <row r="10" spans="1:56" x14ac:dyDescent="0.25">
      <c r="A10" s="15" t="s">
        <v>20</v>
      </c>
      <c r="B10" s="1">
        <v>2427.5540000000001</v>
      </c>
      <c r="C10" s="1">
        <v>2401.8850000000002</v>
      </c>
      <c r="D10" s="1">
        <v>2625.5720000000001</v>
      </c>
      <c r="E10" s="1">
        <v>2856.5929999999998</v>
      </c>
      <c r="F10" s="1">
        <v>2827.2570000000001</v>
      </c>
      <c r="G10" s="1">
        <v>2467.8910000000001</v>
      </c>
      <c r="H10" s="1">
        <v>2684.2440000000001</v>
      </c>
      <c r="I10" s="1">
        <v>2702.5790000000002</v>
      </c>
      <c r="J10" s="1">
        <v>2819.9229999999998</v>
      </c>
      <c r="K10" s="1">
        <v>3131.6179999999999</v>
      </c>
      <c r="L10" s="1">
        <v>3083.9470000000001</v>
      </c>
      <c r="M10" s="1">
        <v>3685.335</v>
      </c>
      <c r="N10" s="1">
        <v>3872.3519999999999</v>
      </c>
      <c r="O10" s="1">
        <v>3920.0230000000001</v>
      </c>
      <c r="P10" s="1">
        <v>4950.45</v>
      </c>
      <c r="Q10" s="1">
        <v>4976.1189999999997</v>
      </c>
      <c r="R10" s="1">
        <v>4609.4189999999999</v>
      </c>
      <c r="S10" s="1">
        <v>5056.7929999999997</v>
      </c>
      <c r="T10" s="1">
        <v>5324.4840000000004</v>
      </c>
      <c r="U10" s="1">
        <v>5038.4579999999996</v>
      </c>
      <c r="V10" s="1">
        <v>6197.23</v>
      </c>
      <c r="W10" s="1">
        <v>6527.26</v>
      </c>
      <c r="X10" s="1">
        <v>4693.76</v>
      </c>
      <c r="Y10" s="1">
        <v>4660.7569999999996</v>
      </c>
      <c r="Z10" s="1">
        <v>4319.7259999999997</v>
      </c>
      <c r="AA10" s="1">
        <v>3769.6759999999999</v>
      </c>
      <c r="AB10" s="1">
        <v>4162.0450000000001</v>
      </c>
      <c r="AC10" s="1">
        <v>5174.1369999999997</v>
      </c>
      <c r="AD10" s="1">
        <v>4789.1019999999999</v>
      </c>
      <c r="AE10" s="1">
        <v>5192.4719999999998</v>
      </c>
      <c r="AF10" s="1">
        <v>5823.1959999999999</v>
      </c>
      <c r="AG10" s="1">
        <v>4840.4399999999996</v>
      </c>
      <c r="AH10" s="1">
        <v>5540.8370000000004</v>
      </c>
      <c r="AI10" s="1">
        <v>6347.5770000000002</v>
      </c>
      <c r="AJ10" s="1">
        <v>6556.5959999999995</v>
      </c>
      <c r="AK10" s="1">
        <v>7554.02</v>
      </c>
      <c r="AL10" s="1">
        <v>9328.848</v>
      </c>
      <c r="AM10" s="1">
        <v>8265.4179999999997</v>
      </c>
      <c r="AN10" s="1">
        <v>10036.579</v>
      </c>
      <c r="AO10" s="1">
        <v>10172.258</v>
      </c>
      <c r="AP10" s="1">
        <v>10417.947</v>
      </c>
      <c r="AQ10" s="1">
        <v>9369.1849999999995</v>
      </c>
      <c r="AR10" s="1">
        <v>7968.3909999999996</v>
      </c>
      <c r="AS10" s="1">
        <v>6754.6139999999996</v>
      </c>
      <c r="AT10" s="1">
        <v>7623.6930000000002</v>
      </c>
      <c r="AU10" s="1">
        <v>8562.4449999999997</v>
      </c>
      <c r="AV10" s="1">
        <v>9574.5370000000003</v>
      </c>
      <c r="AW10" s="1">
        <v>9831.2270000000008</v>
      </c>
      <c r="AX10" s="1">
        <v>10241.931</v>
      </c>
      <c r="AY10" s="1">
        <v>12350.456</v>
      </c>
      <c r="AZ10" s="1">
        <v>12174.44</v>
      </c>
      <c r="BA10" s="1">
        <v>13457.89</v>
      </c>
      <c r="BB10" s="1">
        <v>12515.471</v>
      </c>
      <c r="BC10" s="1">
        <v>13333.212</v>
      </c>
      <c r="BD10" s="1">
        <v>14286.632</v>
      </c>
    </row>
    <row r="11" spans="1:56" x14ac:dyDescent="0.25">
      <c r="A11" s="15" t="s">
        <v>21</v>
      </c>
    </row>
    <row r="12" spans="1:56" x14ac:dyDescent="0.25">
      <c r="A12" s="15" t="s">
        <v>22</v>
      </c>
      <c r="B12" s="1">
        <v>165.01499999999999</v>
      </c>
      <c r="C12" s="1">
        <v>161.34800000000001</v>
      </c>
      <c r="D12" s="1">
        <v>253.023</v>
      </c>
      <c r="E12" s="1">
        <v>355.69900000000001</v>
      </c>
      <c r="F12" s="1">
        <v>484.04399999999998</v>
      </c>
      <c r="G12" s="1">
        <v>557.38400000000001</v>
      </c>
      <c r="H12" s="1">
        <v>612.38900000000001</v>
      </c>
      <c r="I12" s="1">
        <v>612.38900000000001</v>
      </c>
      <c r="J12" s="1">
        <v>883.74699999999996</v>
      </c>
      <c r="K12" s="1">
        <v>1272.4490000000001</v>
      </c>
      <c r="L12" s="1">
        <v>1452.1320000000001</v>
      </c>
      <c r="M12" s="1">
        <v>1525.472</v>
      </c>
      <c r="N12" s="1">
        <v>1507.1369999999999</v>
      </c>
      <c r="O12" s="1">
        <v>1481.4680000000001</v>
      </c>
      <c r="P12" s="1">
        <v>1723.49</v>
      </c>
      <c r="Q12" s="1">
        <v>1485.135</v>
      </c>
      <c r="R12" s="1">
        <v>1477.8009999999999</v>
      </c>
      <c r="S12" s="1">
        <v>1474.134</v>
      </c>
      <c r="T12" s="1">
        <v>1507.1369999999999</v>
      </c>
      <c r="U12" s="1">
        <v>1947.1769999999999</v>
      </c>
      <c r="V12" s="1">
        <v>2042.519</v>
      </c>
      <c r="W12" s="1">
        <v>1939.8430000000001</v>
      </c>
      <c r="X12" s="1">
        <v>601.38800000000003</v>
      </c>
      <c r="Y12" s="1">
        <v>711.39800000000002</v>
      </c>
      <c r="Z12" s="1">
        <v>700.39700000000005</v>
      </c>
      <c r="AA12" s="1">
        <v>722.399</v>
      </c>
      <c r="AB12" s="1">
        <v>729.73299999999995</v>
      </c>
      <c r="AC12" s="1">
        <v>766.40300000000002</v>
      </c>
      <c r="AD12" s="1">
        <v>817.74099999999999</v>
      </c>
      <c r="AE12" s="1">
        <v>667.39400000000001</v>
      </c>
      <c r="AF12" s="1">
        <v>473.04300000000001</v>
      </c>
      <c r="AG12" s="1">
        <v>278.69200000000001</v>
      </c>
      <c r="AH12" s="1">
        <v>282.35899999999998</v>
      </c>
      <c r="AI12" s="1">
        <v>315.36200000000002</v>
      </c>
      <c r="AJ12" s="1">
        <v>311.69499999999999</v>
      </c>
      <c r="AK12" s="1">
        <v>326.363</v>
      </c>
      <c r="AL12" s="1">
        <v>337.36399999999998</v>
      </c>
      <c r="AM12" s="1">
        <v>348.36500000000001</v>
      </c>
      <c r="AN12" s="1">
        <v>374.03399999999999</v>
      </c>
      <c r="AO12" s="1">
        <v>392.36900000000003</v>
      </c>
      <c r="AP12" s="1">
        <v>421.70499999999998</v>
      </c>
      <c r="AQ12" s="1">
        <v>491.37799999999999</v>
      </c>
      <c r="AR12" s="1">
        <v>487.71100000000001</v>
      </c>
      <c r="AS12" s="1">
        <v>520.71400000000006</v>
      </c>
      <c r="AT12" s="1">
        <v>616.05600000000004</v>
      </c>
      <c r="AU12" s="1">
        <v>726.06600000000003</v>
      </c>
      <c r="AV12" s="1">
        <v>748.06799999999998</v>
      </c>
      <c r="AW12" s="1">
        <v>667.39400000000001</v>
      </c>
      <c r="AX12" s="1">
        <v>564.71799999999996</v>
      </c>
      <c r="AY12" s="1">
        <v>517.04700000000003</v>
      </c>
      <c r="AZ12" s="1">
        <v>792.072</v>
      </c>
      <c r="BA12" s="1">
        <v>891.08100000000002</v>
      </c>
      <c r="BB12" s="1">
        <v>1026.76</v>
      </c>
      <c r="BC12" s="1">
        <v>957.08699999999999</v>
      </c>
      <c r="BD12" s="1">
        <v>935.08500000000004</v>
      </c>
    </row>
    <row r="13" spans="1:56" x14ac:dyDescent="0.25">
      <c r="A13" s="15" t="s">
        <v>23</v>
      </c>
      <c r="B13" s="1">
        <v>399.70299999999997</v>
      </c>
      <c r="C13" s="1">
        <v>355.69900000000001</v>
      </c>
      <c r="D13" s="1">
        <v>396.036</v>
      </c>
      <c r="E13" s="1">
        <v>462.04199999999997</v>
      </c>
      <c r="F13" s="1">
        <v>484.04399999999998</v>
      </c>
      <c r="G13" s="1">
        <v>557.38400000000001</v>
      </c>
      <c r="H13" s="1">
        <v>579.38599999999997</v>
      </c>
      <c r="I13" s="1">
        <v>843.41</v>
      </c>
      <c r="J13" s="1">
        <v>913.08299999999997</v>
      </c>
      <c r="K13" s="1">
        <v>850.74400000000003</v>
      </c>
      <c r="L13" s="1">
        <v>971.755</v>
      </c>
      <c r="M13" s="1">
        <v>1026.76</v>
      </c>
      <c r="N13" s="1">
        <v>1287.117</v>
      </c>
      <c r="O13" s="1">
        <v>1074.431</v>
      </c>
      <c r="P13" s="1">
        <v>1188.1079999999999</v>
      </c>
      <c r="Q13" s="1">
        <v>1694.154</v>
      </c>
      <c r="R13" s="1">
        <v>993.75699999999995</v>
      </c>
      <c r="S13" s="1">
        <v>847.077</v>
      </c>
      <c r="T13" s="1">
        <v>1019.426</v>
      </c>
      <c r="U13" s="1">
        <v>1133.1030000000001</v>
      </c>
      <c r="V13" s="1">
        <v>1617.1469999999999</v>
      </c>
      <c r="W13" s="1">
        <v>1026.76</v>
      </c>
      <c r="X13" s="1">
        <v>1015.759</v>
      </c>
      <c r="Y13" s="1">
        <v>652.726</v>
      </c>
      <c r="Z13" s="1">
        <v>869.07899999999995</v>
      </c>
      <c r="AA13" s="1">
        <v>1056.096</v>
      </c>
      <c r="AB13" s="1">
        <v>1140.4369999999999</v>
      </c>
      <c r="AC13" s="1">
        <v>1287.117</v>
      </c>
      <c r="AD13" s="1">
        <v>1290.7840000000001</v>
      </c>
      <c r="AE13" s="1">
        <v>931.41800000000001</v>
      </c>
      <c r="AF13" s="1">
        <v>949.75300000000004</v>
      </c>
      <c r="AG13" s="1">
        <v>1034.0940000000001</v>
      </c>
      <c r="AH13" s="1">
        <v>1004.758</v>
      </c>
      <c r="AI13" s="1">
        <v>1030.4269999999999</v>
      </c>
      <c r="AJ13" s="1">
        <v>1268.7819999999999</v>
      </c>
      <c r="AK13" s="1">
        <v>1265.115</v>
      </c>
      <c r="AL13" s="1">
        <v>1364.124</v>
      </c>
      <c r="AM13" s="1">
        <v>1650.15</v>
      </c>
      <c r="AN13" s="1">
        <v>1738.1579999999999</v>
      </c>
      <c r="AO13" s="1">
        <v>1917.8409999999999</v>
      </c>
      <c r="AP13" s="1">
        <v>1873.837</v>
      </c>
      <c r="AQ13" s="1">
        <v>1741.825</v>
      </c>
      <c r="AR13" s="1">
        <v>1235.779</v>
      </c>
      <c r="AS13" s="1">
        <v>1701.4880000000001</v>
      </c>
      <c r="AT13" s="1">
        <v>1807.8309999999999</v>
      </c>
      <c r="AU13" s="1">
        <v>1741.825</v>
      </c>
      <c r="AV13" s="1">
        <v>1683.153</v>
      </c>
      <c r="AW13" s="1">
        <v>1815.165</v>
      </c>
      <c r="AX13" s="1">
        <v>1888.5050000000001</v>
      </c>
      <c r="AY13" s="1">
        <v>1771.1610000000001</v>
      </c>
      <c r="AZ13" s="1">
        <v>1958.1780000000001</v>
      </c>
      <c r="BA13" s="1">
        <v>2339.5459999999998</v>
      </c>
      <c r="BB13" s="1">
        <v>2706.2460000000001</v>
      </c>
      <c r="BC13" s="1">
        <v>3116.95</v>
      </c>
      <c r="BD13" s="1">
        <v>3076.6129999999998</v>
      </c>
    </row>
    <row r="14" spans="1:56" x14ac:dyDescent="0.25">
      <c r="A14" s="15" t="s">
        <v>24</v>
      </c>
      <c r="F14" s="1">
        <v>330.03</v>
      </c>
      <c r="G14" s="1">
        <v>348.36500000000001</v>
      </c>
      <c r="H14" s="1">
        <v>429.03899999999999</v>
      </c>
      <c r="I14" s="1">
        <v>366.7</v>
      </c>
      <c r="J14" s="1">
        <v>388.702</v>
      </c>
      <c r="K14" s="1">
        <v>381.36799999999999</v>
      </c>
      <c r="L14" s="1">
        <v>454.70800000000003</v>
      </c>
      <c r="M14" s="1">
        <v>502.37900000000002</v>
      </c>
      <c r="N14" s="1">
        <v>546.38300000000004</v>
      </c>
      <c r="O14" s="1">
        <v>572.05200000000002</v>
      </c>
      <c r="P14" s="1">
        <v>550.04999999999995</v>
      </c>
      <c r="Q14" s="1">
        <v>579.38599999999997</v>
      </c>
      <c r="R14" s="1">
        <v>583.053</v>
      </c>
      <c r="S14" s="1">
        <v>638.05799999999999</v>
      </c>
      <c r="T14" s="1">
        <v>671.06100000000004</v>
      </c>
      <c r="U14" s="1">
        <v>638.05799999999999</v>
      </c>
      <c r="V14" s="1">
        <v>711.39800000000002</v>
      </c>
      <c r="W14" s="1">
        <v>605.05499999999995</v>
      </c>
      <c r="X14" s="1">
        <v>594.05399999999997</v>
      </c>
      <c r="Y14" s="1">
        <v>575.71900000000005</v>
      </c>
      <c r="Z14" s="1">
        <v>557.38400000000001</v>
      </c>
      <c r="AA14" s="1">
        <v>557.38400000000001</v>
      </c>
      <c r="AB14" s="1">
        <v>553.71699999999998</v>
      </c>
      <c r="AC14" s="1">
        <v>546.38300000000004</v>
      </c>
      <c r="AD14" s="1">
        <v>542.71600000000001</v>
      </c>
      <c r="AE14" s="1">
        <v>564.71799999999996</v>
      </c>
      <c r="AF14" s="1">
        <v>748.06799999999998</v>
      </c>
      <c r="AG14" s="1">
        <v>795.73900000000003</v>
      </c>
      <c r="AH14" s="1">
        <v>795.73900000000003</v>
      </c>
      <c r="AI14" s="1">
        <v>891.08100000000002</v>
      </c>
      <c r="AJ14" s="1">
        <v>916.75</v>
      </c>
      <c r="AK14" s="1">
        <v>920.41700000000003</v>
      </c>
      <c r="AL14" s="1">
        <v>913.08299999999997</v>
      </c>
      <c r="AM14" s="1">
        <v>964.42100000000005</v>
      </c>
      <c r="AN14" s="1">
        <v>935.08500000000004</v>
      </c>
      <c r="AO14" s="1">
        <v>942.41899999999998</v>
      </c>
      <c r="AP14" s="1">
        <v>869.07899999999995</v>
      </c>
      <c r="AQ14" s="1">
        <v>865.41200000000003</v>
      </c>
      <c r="AR14" s="1">
        <v>850.74400000000003</v>
      </c>
      <c r="AS14" s="1">
        <v>916.75</v>
      </c>
      <c r="AT14" s="1">
        <v>931.41800000000001</v>
      </c>
      <c r="AU14" s="1">
        <v>876.41300000000001</v>
      </c>
      <c r="AV14" s="1">
        <v>913.08299999999997</v>
      </c>
      <c r="AW14" s="1">
        <v>887.41399999999999</v>
      </c>
      <c r="AX14" s="1">
        <v>1056.096</v>
      </c>
      <c r="AY14" s="1">
        <v>946.08600000000001</v>
      </c>
      <c r="AZ14" s="1">
        <v>1144.104</v>
      </c>
      <c r="BA14" s="1">
        <v>1180.7739999999999</v>
      </c>
      <c r="BB14" s="1">
        <v>1096.433</v>
      </c>
      <c r="BC14" s="1">
        <v>1224.778</v>
      </c>
      <c r="BD14" s="1">
        <v>1276.116</v>
      </c>
    </row>
    <row r="15" spans="1:56" x14ac:dyDescent="0.25">
      <c r="A15" s="15" t="s">
        <v>25</v>
      </c>
      <c r="B15" s="1">
        <v>121.011</v>
      </c>
      <c r="C15" s="1">
        <v>117.34399999999999</v>
      </c>
      <c r="D15" s="1">
        <v>139.346</v>
      </c>
      <c r="E15" s="1">
        <v>176.01599999999999</v>
      </c>
      <c r="F15" s="1">
        <v>176.01599999999999</v>
      </c>
      <c r="G15" s="1">
        <v>198.018</v>
      </c>
      <c r="H15" s="1">
        <v>190.684</v>
      </c>
      <c r="I15" s="1">
        <v>223.68700000000001</v>
      </c>
      <c r="J15" s="1">
        <v>198.018</v>
      </c>
      <c r="K15" s="1">
        <v>161.34800000000001</v>
      </c>
      <c r="L15" s="1">
        <v>201.685</v>
      </c>
      <c r="M15" s="1">
        <v>227.35400000000001</v>
      </c>
      <c r="N15" s="1">
        <v>245.68899999999999</v>
      </c>
      <c r="O15" s="1">
        <v>267.69099999999997</v>
      </c>
      <c r="P15" s="1">
        <v>304.36099999999999</v>
      </c>
      <c r="Q15" s="1">
        <v>341.03100000000001</v>
      </c>
      <c r="R15" s="1">
        <v>341.03100000000001</v>
      </c>
      <c r="S15" s="1">
        <v>414.37099999999998</v>
      </c>
      <c r="T15" s="1">
        <v>396.036</v>
      </c>
      <c r="U15" s="1">
        <v>429.03899999999999</v>
      </c>
      <c r="V15" s="1">
        <v>392.36900000000003</v>
      </c>
      <c r="W15" s="1">
        <v>396.036</v>
      </c>
      <c r="X15" s="1">
        <v>366.7</v>
      </c>
      <c r="Y15" s="1">
        <v>418.03800000000001</v>
      </c>
      <c r="Z15" s="1">
        <v>436.37299999999999</v>
      </c>
      <c r="AA15" s="1">
        <v>407.03699999999998</v>
      </c>
      <c r="AB15" s="1">
        <v>381.36799999999999</v>
      </c>
      <c r="AC15" s="1">
        <v>359.36599999999999</v>
      </c>
      <c r="AD15" s="1">
        <v>385.03500000000003</v>
      </c>
      <c r="AE15" s="1">
        <v>418.03800000000001</v>
      </c>
      <c r="AF15" s="1">
        <v>421.70499999999998</v>
      </c>
      <c r="AG15" s="1">
        <v>436.37299999999999</v>
      </c>
      <c r="AH15" s="1">
        <v>443.70699999999999</v>
      </c>
      <c r="AI15" s="1">
        <v>454.70800000000003</v>
      </c>
      <c r="AJ15" s="1">
        <v>462.04199999999997</v>
      </c>
      <c r="AK15" s="1">
        <v>469.37599999999998</v>
      </c>
      <c r="AL15" s="1">
        <v>487.71100000000001</v>
      </c>
      <c r="AM15" s="1">
        <v>524.38099999999997</v>
      </c>
      <c r="AN15" s="1">
        <v>762.73599999999999</v>
      </c>
      <c r="AO15" s="1">
        <v>795.73900000000003</v>
      </c>
      <c r="AP15" s="1">
        <v>821.40800000000002</v>
      </c>
      <c r="AQ15" s="1">
        <v>828.74199999999996</v>
      </c>
      <c r="AR15" s="1">
        <v>847.077</v>
      </c>
      <c r="AS15" s="1">
        <v>843.41</v>
      </c>
      <c r="AT15" s="1">
        <v>876.41300000000001</v>
      </c>
      <c r="AU15" s="1">
        <v>898.41499999999996</v>
      </c>
      <c r="AV15" s="1">
        <v>942.41899999999998</v>
      </c>
      <c r="AW15" s="1">
        <v>1008.425</v>
      </c>
      <c r="AX15" s="1">
        <v>1070.7639999999999</v>
      </c>
      <c r="AY15" s="1">
        <v>806.74</v>
      </c>
      <c r="AZ15" s="1">
        <v>964.42100000000005</v>
      </c>
      <c r="BA15" s="1">
        <v>1045.095</v>
      </c>
      <c r="BB15" s="1">
        <v>993.75699999999995</v>
      </c>
      <c r="BC15" s="1">
        <v>1026.76</v>
      </c>
      <c r="BD15" s="1">
        <v>1411.7950000000001</v>
      </c>
    </row>
    <row r="16" spans="1:56" x14ac:dyDescent="0.25">
      <c r="A16" s="15" t="s">
        <v>26</v>
      </c>
      <c r="AH16" s="1">
        <v>20971.573</v>
      </c>
      <c r="AI16" s="1">
        <v>15628.754000000001</v>
      </c>
      <c r="AJ16" s="1">
        <v>12090.099</v>
      </c>
      <c r="AK16" s="1">
        <v>11191.683999999999</v>
      </c>
      <c r="AL16" s="1">
        <v>11521.714</v>
      </c>
      <c r="AM16" s="1">
        <v>7099.3119999999999</v>
      </c>
      <c r="AN16" s="1">
        <v>6270.57</v>
      </c>
      <c r="AO16" s="1">
        <v>4503.076</v>
      </c>
      <c r="AP16" s="1">
        <v>3512.9859999999999</v>
      </c>
      <c r="AQ16" s="1">
        <v>3714.6709999999998</v>
      </c>
      <c r="AR16" s="1">
        <v>3986.029</v>
      </c>
      <c r="AS16" s="1">
        <v>4290.3900000000003</v>
      </c>
      <c r="AT16" s="1">
        <v>4554.4139999999998</v>
      </c>
      <c r="AU16" s="1">
        <v>4895.4449999999997</v>
      </c>
      <c r="AV16" s="1">
        <v>4994.4539999999997</v>
      </c>
      <c r="AW16" s="1">
        <v>4679.0919999999996</v>
      </c>
      <c r="AX16" s="1">
        <v>4778.1009999999997</v>
      </c>
      <c r="AY16" s="1">
        <v>4550.7470000000003</v>
      </c>
      <c r="AZ16" s="1">
        <v>4932.1149999999998</v>
      </c>
      <c r="BA16" s="1">
        <v>5038.4579999999996</v>
      </c>
      <c r="BB16" s="1">
        <v>4924.7809999999999</v>
      </c>
      <c r="BC16" s="1">
        <v>4998.1210000000001</v>
      </c>
      <c r="BD16" s="1">
        <v>4932.1149999999998</v>
      </c>
    </row>
    <row r="17" spans="1:56" x14ac:dyDescent="0.25">
      <c r="A17" s="15" t="s">
        <v>27</v>
      </c>
      <c r="B17" s="1">
        <v>1884.838</v>
      </c>
      <c r="C17" s="1">
        <v>2632.9059999999999</v>
      </c>
      <c r="D17" s="1">
        <v>1987.5139999999999</v>
      </c>
      <c r="E17" s="1">
        <v>1661.1510000000001</v>
      </c>
      <c r="F17" s="1">
        <v>2141.5279999999998</v>
      </c>
      <c r="G17" s="1">
        <v>2005.8489999999999</v>
      </c>
      <c r="H17" s="1">
        <v>2126.86</v>
      </c>
      <c r="I17" s="1">
        <v>1873.837</v>
      </c>
      <c r="J17" s="1">
        <v>2779.5859999999998</v>
      </c>
      <c r="K17" s="1">
        <v>3241.6280000000002</v>
      </c>
      <c r="L17" s="1">
        <v>2984.9380000000001</v>
      </c>
      <c r="M17" s="1">
        <v>3615.6619999999998</v>
      </c>
      <c r="N17" s="1">
        <v>3300.3</v>
      </c>
      <c r="O17" s="1">
        <v>3564.3240000000001</v>
      </c>
      <c r="P17" s="1">
        <v>3149.953</v>
      </c>
      <c r="Q17" s="1">
        <v>2885.9290000000001</v>
      </c>
      <c r="R17" s="1">
        <v>2559.5659999999998</v>
      </c>
      <c r="S17" s="1">
        <v>2713.58</v>
      </c>
      <c r="T17" s="1">
        <v>2874.9279999999999</v>
      </c>
      <c r="U17" s="1">
        <v>2643.9070000000002</v>
      </c>
      <c r="V17" s="1">
        <v>3208.625</v>
      </c>
      <c r="W17" s="1">
        <v>2489.893</v>
      </c>
      <c r="X17" s="1">
        <v>2541.2310000000002</v>
      </c>
      <c r="Y17" s="1">
        <v>1976.5129999999999</v>
      </c>
      <c r="Z17" s="1">
        <v>1536.473</v>
      </c>
      <c r="AA17" s="1">
        <v>1147.771</v>
      </c>
      <c r="AB17" s="1">
        <v>982.75599999999997</v>
      </c>
      <c r="AC17" s="1">
        <v>982.75599999999997</v>
      </c>
      <c r="AD17" s="1">
        <v>1012.092</v>
      </c>
      <c r="AE17" s="1">
        <v>1041.4280000000001</v>
      </c>
      <c r="AF17" s="1">
        <v>1023.093</v>
      </c>
      <c r="AG17" s="1">
        <v>1023.093</v>
      </c>
      <c r="AH17" s="1">
        <v>1004.758</v>
      </c>
      <c r="AI17" s="1">
        <v>1078.098</v>
      </c>
      <c r="AJ17" s="1">
        <v>1063.43</v>
      </c>
      <c r="AK17" s="1">
        <v>1114.768</v>
      </c>
      <c r="AL17" s="1">
        <v>1041.4280000000001</v>
      </c>
      <c r="AM17" s="1">
        <v>1125.769</v>
      </c>
      <c r="AN17" s="1">
        <v>1133.1030000000001</v>
      </c>
      <c r="AO17" s="1">
        <v>1188.1079999999999</v>
      </c>
      <c r="AP17" s="1">
        <v>1349.4559999999999</v>
      </c>
      <c r="AQ17" s="1">
        <v>1580.4770000000001</v>
      </c>
      <c r="AR17" s="1">
        <v>1587.8109999999999</v>
      </c>
      <c r="AS17" s="1">
        <v>1917.8409999999999</v>
      </c>
      <c r="AT17" s="1">
        <v>1921.508</v>
      </c>
      <c r="AU17" s="1">
        <v>1822.499</v>
      </c>
      <c r="AV17" s="1">
        <v>1980.18</v>
      </c>
      <c r="AW17" s="1">
        <v>2262.5390000000002</v>
      </c>
      <c r="AX17" s="1">
        <v>2266.2060000000001</v>
      </c>
      <c r="AY17" s="1">
        <v>2530.23</v>
      </c>
      <c r="AZ17" s="1">
        <v>2735.5819999999999</v>
      </c>
      <c r="BA17" s="1">
        <v>3223.2930000000001</v>
      </c>
      <c r="BB17" s="1">
        <v>3120.6170000000002</v>
      </c>
      <c r="BC17" s="1">
        <v>4019.0320000000002</v>
      </c>
      <c r="BD17" s="1">
        <v>8426.7659999999996</v>
      </c>
    </row>
    <row r="18" spans="1:56" x14ac:dyDescent="0.25">
      <c r="A18" s="15" t="s">
        <v>29</v>
      </c>
      <c r="B18" s="1">
        <v>2717.2469999999998</v>
      </c>
      <c r="C18" s="1">
        <v>2592.569</v>
      </c>
      <c r="D18" s="1">
        <v>2882.2620000000002</v>
      </c>
      <c r="E18" s="1">
        <v>2636.5729999999999</v>
      </c>
      <c r="F18" s="1">
        <v>2860.26</v>
      </c>
      <c r="G18" s="1">
        <v>2728.248</v>
      </c>
      <c r="H18" s="1">
        <v>2808.922</v>
      </c>
      <c r="I18" s="1">
        <v>3619.3290000000002</v>
      </c>
      <c r="J18" s="1">
        <v>2929.933</v>
      </c>
      <c r="K18" s="1">
        <v>3215.9589999999998</v>
      </c>
      <c r="L18" s="1">
        <v>4616.7529999999997</v>
      </c>
      <c r="M18" s="1">
        <v>5104.4639999999999</v>
      </c>
      <c r="N18" s="1">
        <v>4899.1120000000001</v>
      </c>
      <c r="O18" s="1">
        <v>4110.7070000000003</v>
      </c>
      <c r="P18" s="1">
        <v>4675.4250000000002</v>
      </c>
      <c r="Q18" s="1">
        <v>4587.4170000000004</v>
      </c>
      <c r="R18" s="1">
        <v>4899.1120000000001</v>
      </c>
      <c r="S18" s="1">
        <v>5174.1369999999997</v>
      </c>
      <c r="T18" s="1">
        <v>5155.8019999999997</v>
      </c>
      <c r="U18" s="1">
        <v>5100.7969999999996</v>
      </c>
      <c r="V18" s="1">
        <v>5526.1689999999999</v>
      </c>
      <c r="W18" s="1">
        <v>5639.8459999999995</v>
      </c>
      <c r="X18" s="1">
        <v>5599.509</v>
      </c>
      <c r="Y18" s="1">
        <v>5775.5249999999996</v>
      </c>
      <c r="Z18" s="1">
        <v>6571.2640000000001</v>
      </c>
      <c r="AA18" s="1">
        <v>6710.61</v>
      </c>
      <c r="AB18" s="1">
        <v>6791.2839999999997</v>
      </c>
      <c r="AC18" s="1">
        <v>4976.1189999999997</v>
      </c>
      <c r="AD18" s="1">
        <v>4118.0410000000002</v>
      </c>
      <c r="AE18" s="1">
        <v>4462.7389999999996</v>
      </c>
      <c r="AF18" s="1">
        <v>4275.7219999999998</v>
      </c>
      <c r="AG18" s="1">
        <v>4180.38</v>
      </c>
      <c r="AH18" s="1">
        <v>4888.1109999999999</v>
      </c>
      <c r="AI18" s="1">
        <v>5342.8190000000004</v>
      </c>
      <c r="AJ18" s="1">
        <v>6244.9009999999998</v>
      </c>
      <c r="AK18" s="1">
        <v>6959.9660000000003</v>
      </c>
      <c r="AL18" s="1">
        <v>7256.9930000000004</v>
      </c>
      <c r="AM18" s="1">
        <v>7499.0150000000003</v>
      </c>
      <c r="AN18" s="1">
        <v>8078.4009999999998</v>
      </c>
      <c r="AO18" s="1">
        <v>8969.482</v>
      </c>
      <c r="AP18" s="1">
        <v>10087.916999999999</v>
      </c>
      <c r="AQ18" s="1">
        <v>8723.7929999999997</v>
      </c>
      <c r="AR18" s="1">
        <v>9207.8369999999995</v>
      </c>
      <c r="AS18" s="1">
        <v>9845.8950000000004</v>
      </c>
      <c r="AT18" s="1">
        <v>12434.797</v>
      </c>
      <c r="AU18" s="1">
        <v>11598.721</v>
      </c>
      <c r="AV18" s="1">
        <v>12849.168</v>
      </c>
      <c r="AW18" s="1">
        <v>12874.837</v>
      </c>
      <c r="AX18" s="1">
        <v>9801.8909999999996</v>
      </c>
      <c r="AY18" s="1">
        <v>10230.93</v>
      </c>
      <c r="AZ18" s="1">
        <v>12515.471</v>
      </c>
      <c r="BA18" s="1">
        <v>14297.633</v>
      </c>
      <c r="BB18" s="1">
        <v>11070.673000000001</v>
      </c>
      <c r="BC18" s="1">
        <v>12860.169</v>
      </c>
      <c r="BD18" s="1">
        <v>21631.633000000002</v>
      </c>
    </row>
    <row r="19" spans="1:56" x14ac:dyDescent="0.25">
      <c r="A19" s="15" t="s">
        <v>30</v>
      </c>
      <c r="B19" s="1">
        <v>80.674000000000007</v>
      </c>
      <c r="C19" s="1">
        <v>80.674000000000007</v>
      </c>
      <c r="D19" s="1">
        <v>88.007999999999996</v>
      </c>
      <c r="E19" s="1">
        <v>99.009</v>
      </c>
      <c r="F19" s="1">
        <v>150.34700000000001</v>
      </c>
      <c r="G19" s="1">
        <v>179.68299999999999</v>
      </c>
      <c r="H19" s="1">
        <v>190.684</v>
      </c>
      <c r="I19" s="1">
        <v>212.68600000000001</v>
      </c>
      <c r="J19" s="1">
        <v>253.023</v>
      </c>
      <c r="K19" s="1">
        <v>399.70299999999997</v>
      </c>
      <c r="L19" s="1">
        <v>227.35400000000001</v>
      </c>
      <c r="M19" s="1">
        <v>198.018</v>
      </c>
      <c r="N19" s="1">
        <v>267.69099999999997</v>
      </c>
      <c r="O19" s="1">
        <v>421.70499999999998</v>
      </c>
      <c r="P19" s="1">
        <v>425.37200000000001</v>
      </c>
      <c r="Q19" s="1">
        <v>352.03199999999998</v>
      </c>
      <c r="R19" s="1">
        <v>282.35899999999998</v>
      </c>
      <c r="S19" s="1">
        <v>337.36399999999998</v>
      </c>
      <c r="T19" s="1">
        <v>330.03</v>
      </c>
      <c r="U19" s="1">
        <v>513.38</v>
      </c>
      <c r="V19" s="1">
        <v>542.71600000000001</v>
      </c>
      <c r="W19" s="1">
        <v>454.70800000000003</v>
      </c>
      <c r="X19" s="1">
        <v>443.70699999999999</v>
      </c>
      <c r="Y19" s="1">
        <v>495.04500000000002</v>
      </c>
      <c r="Z19" s="1">
        <v>704.06399999999996</v>
      </c>
      <c r="AA19" s="1">
        <v>678.39499999999998</v>
      </c>
      <c r="AB19" s="1">
        <v>704.06399999999996</v>
      </c>
      <c r="AC19" s="1">
        <v>872.74599999999998</v>
      </c>
      <c r="AD19" s="1">
        <v>993.75699999999995</v>
      </c>
      <c r="AE19" s="1">
        <v>913.08299999999997</v>
      </c>
      <c r="AF19" s="1">
        <v>634.39099999999996</v>
      </c>
      <c r="AG19" s="1">
        <v>960.75400000000002</v>
      </c>
      <c r="AH19" s="1">
        <v>1331.1210000000001</v>
      </c>
      <c r="AI19" s="1">
        <v>1466.8</v>
      </c>
      <c r="AJ19" s="1">
        <v>1697.8209999999999</v>
      </c>
      <c r="AK19" s="1">
        <v>2035.1849999999999</v>
      </c>
      <c r="AL19" s="1">
        <v>2486.2260000000001</v>
      </c>
      <c r="AM19" s="1">
        <v>2783.2530000000002</v>
      </c>
      <c r="AN19" s="1">
        <v>2251.538</v>
      </c>
      <c r="AO19" s="1">
        <v>3219.6260000000002</v>
      </c>
      <c r="AP19" s="1">
        <v>3069.279</v>
      </c>
      <c r="AQ19" s="1">
        <v>3267.297</v>
      </c>
      <c r="AR19" s="1">
        <v>2625.5720000000001</v>
      </c>
      <c r="AS19" s="1">
        <v>2841.9250000000002</v>
      </c>
      <c r="AT19" s="1">
        <v>2669.576</v>
      </c>
      <c r="AU19" s="1">
        <v>3083.9470000000001</v>
      </c>
      <c r="AV19" s="1">
        <v>2563.2330000000002</v>
      </c>
      <c r="AW19" s="1">
        <v>2614.5709999999999</v>
      </c>
      <c r="AX19" s="1">
        <v>3421.3110000000001</v>
      </c>
      <c r="AY19" s="1">
        <v>4334.3940000000002</v>
      </c>
      <c r="AZ19" s="1">
        <v>5056.7929999999997</v>
      </c>
      <c r="BA19" s="1">
        <v>5533.5029999999997</v>
      </c>
      <c r="BB19" s="1">
        <v>5856.1989999999996</v>
      </c>
      <c r="BC19" s="1">
        <v>6637.27</v>
      </c>
      <c r="BD19" s="1">
        <v>8030.73</v>
      </c>
    </row>
    <row r="20" spans="1:56" x14ac:dyDescent="0.25">
      <c r="A20" s="15" t="s">
        <v>31</v>
      </c>
      <c r="B20" s="1">
        <v>531.71500000000003</v>
      </c>
      <c r="C20" s="1">
        <v>561.05100000000004</v>
      </c>
      <c r="D20" s="1">
        <v>660.06</v>
      </c>
      <c r="E20" s="1">
        <v>843.41</v>
      </c>
      <c r="F20" s="1">
        <v>949.75300000000004</v>
      </c>
      <c r="G20" s="1">
        <v>781.07100000000003</v>
      </c>
      <c r="H20" s="1">
        <v>960.75400000000002</v>
      </c>
      <c r="I20" s="1">
        <v>1081.7650000000001</v>
      </c>
      <c r="J20" s="1">
        <v>1232.1120000000001</v>
      </c>
      <c r="K20" s="1">
        <v>1287.117</v>
      </c>
      <c r="L20" s="1">
        <v>1404.461</v>
      </c>
      <c r="M20" s="1">
        <v>1507.1369999999999</v>
      </c>
      <c r="N20" s="1">
        <v>1606.146</v>
      </c>
      <c r="O20" s="1">
        <v>1829.8330000000001</v>
      </c>
      <c r="P20" s="1">
        <v>1950.8440000000001</v>
      </c>
      <c r="Q20" s="1">
        <v>1928.8420000000001</v>
      </c>
      <c r="R20" s="1">
        <v>2225.8690000000001</v>
      </c>
      <c r="S20" s="1">
        <v>2838.2579999999998</v>
      </c>
      <c r="T20" s="1">
        <v>2632.9059999999999</v>
      </c>
      <c r="U20" s="1">
        <v>1712.489</v>
      </c>
      <c r="V20" s="1">
        <v>2027.8510000000001</v>
      </c>
      <c r="W20" s="1">
        <v>2141.5279999999998</v>
      </c>
      <c r="X20" s="1">
        <v>2115.8589999999999</v>
      </c>
      <c r="Y20" s="1">
        <v>2002.182</v>
      </c>
      <c r="Z20" s="1">
        <v>1851.835</v>
      </c>
      <c r="AA20" s="1">
        <v>1991.181</v>
      </c>
      <c r="AB20" s="1">
        <v>2262.5390000000002</v>
      </c>
      <c r="AC20" s="1">
        <v>2438.5549999999998</v>
      </c>
      <c r="AD20" s="1">
        <v>2247.8710000000001</v>
      </c>
      <c r="AE20" s="1">
        <v>1477.8009999999999</v>
      </c>
      <c r="AF20" s="1">
        <v>2548.5650000000001</v>
      </c>
      <c r="AG20" s="1">
        <v>2005.8489999999999</v>
      </c>
      <c r="AH20" s="1">
        <v>2394.5509999999999</v>
      </c>
      <c r="AI20" s="1">
        <v>2302.8760000000002</v>
      </c>
      <c r="AJ20" s="1">
        <v>2541.2310000000002</v>
      </c>
      <c r="AK20" s="1">
        <v>2779.5859999999998</v>
      </c>
      <c r="AL20" s="1">
        <v>2874.9279999999999</v>
      </c>
      <c r="AM20" s="1">
        <v>3142.6190000000001</v>
      </c>
      <c r="AN20" s="1">
        <v>3421.3110000000001</v>
      </c>
      <c r="AO20" s="1">
        <v>3626.663</v>
      </c>
      <c r="AP20" s="1">
        <v>3762.3420000000001</v>
      </c>
      <c r="AQ20" s="1">
        <v>3964.027</v>
      </c>
      <c r="AR20" s="1">
        <v>4037.3670000000002</v>
      </c>
      <c r="AS20" s="1">
        <v>4411.4009999999998</v>
      </c>
      <c r="AT20" s="1">
        <v>4426.0690000000004</v>
      </c>
      <c r="AU20" s="1">
        <v>4319.7259999999997</v>
      </c>
      <c r="AV20" s="1">
        <v>4466.4059999999999</v>
      </c>
      <c r="AW20" s="1">
        <v>4605.7520000000004</v>
      </c>
      <c r="AX20" s="1">
        <v>4422.402</v>
      </c>
      <c r="AY20" s="1">
        <v>4495.7420000000002</v>
      </c>
      <c r="AZ20" s="1">
        <v>4536.0789999999997</v>
      </c>
      <c r="BA20" s="1">
        <v>4880.777</v>
      </c>
      <c r="BB20" s="1">
        <v>4620.42</v>
      </c>
      <c r="BC20" s="1">
        <v>4550.7470000000003</v>
      </c>
      <c r="BD20" s="1">
        <v>4862.442</v>
      </c>
    </row>
    <row r="21" spans="1:56" x14ac:dyDescent="0.25">
      <c r="A21" s="15" t="s">
        <v>32</v>
      </c>
      <c r="B21" s="1">
        <v>29.335999999999999</v>
      </c>
      <c r="C21" s="1">
        <v>55.005000000000003</v>
      </c>
      <c r="D21" s="1">
        <v>66.006</v>
      </c>
      <c r="E21" s="1">
        <v>88.007999999999996</v>
      </c>
      <c r="F21" s="1">
        <v>95.341999999999999</v>
      </c>
      <c r="G21" s="1">
        <v>91.674999999999997</v>
      </c>
      <c r="H21" s="1">
        <v>135.679</v>
      </c>
      <c r="I21" s="1">
        <v>132.012</v>
      </c>
      <c r="J21" s="1">
        <v>161.34800000000001</v>
      </c>
      <c r="K21" s="1">
        <v>190.684</v>
      </c>
      <c r="L21" s="1">
        <v>216.35300000000001</v>
      </c>
      <c r="M21" s="1">
        <v>231.02099999999999</v>
      </c>
      <c r="N21" s="1">
        <v>253.023</v>
      </c>
      <c r="O21" s="1">
        <v>330.03</v>
      </c>
      <c r="P21" s="1">
        <v>289.69299999999998</v>
      </c>
      <c r="Q21" s="1">
        <v>333.697</v>
      </c>
      <c r="R21" s="1">
        <v>333.697</v>
      </c>
      <c r="S21" s="1">
        <v>366.7</v>
      </c>
      <c r="T21" s="1">
        <v>418.03800000000001</v>
      </c>
      <c r="U21" s="1">
        <v>480.37700000000001</v>
      </c>
      <c r="V21" s="1">
        <v>572.05200000000002</v>
      </c>
      <c r="W21" s="1">
        <v>685.72900000000004</v>
      </c>
      <c r="X21" s="1">
        <v>748.06799999999998</v>
      </c>
      <c r="Y21" s="1">
        <v>964.42100000000005</v>
      </c>
      <c r="Z21" s="1">
        <v>993.75699999999995</v>
      </c>
      <c r="AA21" s="1">
        <v>997.42399999999998</v>
      </c>
      <c r="AB21" s="1">
        <v>902.08199999999999</v>
      </c>
      <c r="AC21" s="1">
        <v>1001.091</v>
      </c>
      <c r="AD21" s="1">
        <v>990.09</v>
      </c>
      <c r="AE21" s="1">
        <v>1041.4280000000001</v>
      </c>
      <c r="AF21" s="1">
        <v>733.4</v>
      </c>
      <c r="AG21" s="1">
        <v>722.399</v>
      </c>
      <c r="AH21" s="1">
        <v>700.39700000000005</v>
      </c>
      <c r="AI21" s="1">
        <v>781.07100000000003</v>
      </c>
      <c r="AJ21" s="1">
        <v>773.73699999999997</v>
      </c>
      <c r="AK21" s="1">
        <v>810.40700000000004</v>
      </c>
      <c r="AL21" s="1">
        <v>902.08199999999999</v>
      </c>
      <c r="AM21" s="1">
        <v>909.41600000000005</v>
      </c>
      <c r="AN21" s="1">
        <v>957.08699999999999</v>
      </c>
      <c r="AO21" s="1">
        <v>953.42</v>
      </c>
      <c r="AP21" s="1">
        <v>696.73</v>
      </c>
      <c r="AQ21" s="1">
        <v>656.39300000000003</v>
      </c>
      <c r="AR21" s="1">
        <v>700.39700000000005</v>
      </c>
      <c r="AS21" s="1">
        <v>759.06899999999996</v>
      </c>
      <c r="AT21" s="1">
        <v>814.07399999999996</v>
      </c>
      <c r="AU21" s="1">
        <v>715.06500000000005</v>
      </c>
      <c r="AV21" s="1">
        <v>693.06299999999999</v>
      </c>
      <c r="AW21" s="1">
        <v>722.399</v>
      </c>
      <c r="AX21" s="1">
        <v>810.40700000000004</v>
      </c>
      <c r="AY21" s="1">
        <v>968.08799999999997</v>
      </c>
      <c r="AZ21" s="1">
        <v>1173.44</v>
      </c>
      <c r="BA21" s="1">
        <v>1327.454</v>
      </c>
      <c r="BB21" s="1">
        <v>1866.5029999999999</v>
      </c>
      <c r="BC21" s="1">
        <v>1939.8430000000001</v>
      </c>
      <c r="BD21" s="1">
        <v>2126.86</v>
      </c>
    </row>
    <row r="22" spans="1:56" x14ac:dyDescent="0.25">
      <c r="A22" s="15" t="s">
        <v>33</v>
      </c>
      <c r="B22" s="1">
        <v>106.343</v>
      </c>
      <c r="C22" s="1">
        <v>139.346</v>
      </c>
      <c r="D22" s="1">
        <v>84.340999999999994</v>
      </c>
      <c r="E22" s="1">
        <v>84.340999999999994</v>
      </c>
      <c r="F22" s="1">
        <v>36.67</v>
      </c>
      <c r="G22" s="1">
        <v>47.670999999999999</v>
      </c>
      <c r="H22" s="1">
        <v>44.003999999999998</v>
      </c>
      <c r="I22" s="1">
        <v>40.337000000000003</v>
      </c>
      <c r="J22" s="1">
        <v>55.005000000000003</v>
      </c>
      <c r="K22" s="1">
        <v>58.671999999999997</v>
      </c>
      <c r="L22" s="1">
        <v>58.671999999999997</v>
      </c>
      <c r="M22" s="1">
        <v>62.338999999999999</v>
      </c>
      <c r="N22" s="1">
        <v>66.006</v>
      </c>
      <c r="O22" s="1">
        <v>69.673000000000002</v>
      </c>
      <c r="P22" s="1">
        <v>73.34</v>
      </c>
      <c r="Q22" s="1">
        <v>176.01599999999999</v>
      </c>
      <c r="R22" s="1">
        <v>267.69099999999997</v>
      </c>
      <c r="S22" s="1">
        <v>267.69099999999997</v>
      </c>
      <c r="T22" s="1">
        <v>289.69299999999998</v>
      </c>
      <c r="U22" s="1">
        <v>297.02699999999999</v>
      </c>
      <c r="V22" s="1">
        <v>495.04500000000002</v>
      </c>
      <c r="W22" s="1">
        <v>601.38800000000003</v>
      </c>
      <c r="X22" s="1">
        <v>608.72199999999998</v>
      </c>
      <c r="Y22" s="1">
        <v>696.73</v>
      </c>
      <c r="Z22" s="1">
        <v>634.39099999999996</v>
      </c>
      <c r="AA22" s="1">
        <v>616.05600000000004</v>
      </c>
      <c r="AB22" s="1">
        <v>597.721</v>
      </c>
      <c r="AC22" s="1">
        <v>616.05600000000004</v>
      </c>
      <c r="AD22" s="1">
        <v>696.73</v>
      </c>
      <c r="AE22" s="1">
        <v>689.39599999999996</v>
      </c>
      <c r="AF22" s="1">
        <v>542.71600000000001</v>
      </c>
      <c r="AG22" s="1">
        <v>487.71100000000001</v>
      </c>
      <c r="AH22" s="1">
        <v>487.71100000000001</v>
      </c>
      <c r="AI22" s="1">
        <v>495.04500000000002</v>
      </c>
      <c r="AJ22" s="1">
        <v>473.04300000000001</v>
      </c>
      <c r="AK22" s="1">
        <v>462.04199999999997</v>
      </c>
      <c r="AL22" s="1">
        <v>480.37700000000001</v>
      </c>
      <c r="AM22" s="1">
        <v>498.71199999999999</v>
      </c>
      <c r="AN22" s="1">
        <v>487.71100000000001</v>
      </c>
      <c r="AO22" s="1">
        <v>509.71300000000002</v>
      </c>
      <c r="AP22" s="1">
        <v>528.048</v>
      </c>
      <c r="AQ22" s="1">
        <v>531.71500000000003</v>
      </c>
      <c r="AR22" s="1">
        <v>531.71500000000003</v>
      </c>
      <c r="AS22" s="1">
        <v>520.71400000000006</v>
      </c>
      <c r="AT22" s="1">
        <v>528.048</v>
      </c>
      <c r="AU22" s="1">
        <v>528.048</v>
      </c>
      <c r="AV22" s="1">
        <v>528.048</v>
      </c>
      <c r="AW22" s="1">
        <v>557.38400000000001</v>
      </c>
      <c r="AX22" s="1">
        <v>542.71600000000001</v>
      </c>
      <c r="AY22" s="1">
        <v>575.71900000000005</v>
      </c>
      <c r="AZ22" s="1">
        <v>590.38699999999994</v>
      </c>
      <c r="BA22" s="1">
        <v>663.72699999999998</v>
      </c>
      <c r="BB22" s="1">
        <v>737.06700000000001</v>
      </c>
      <c r="BC22" s="1">
        <v>803.07299999999998</v>
      </c>
      <c r="BD22" s="1">
        <v>839.74300000000005</v>
      </c>
    </row>
    <row r="23" spans="1:56" x14ac:dyDescent="0.25">
      <c r="A23" s="15" t="s">
        <v>34</v>
      </c>
      <c r="B23" s="1">
        <v>11.000999999999999</v>
      </c>
      <c r="C23" s="1">
        <v>11.000999999999999</v>
      </c>
      <c r="D23" s="1">
        <v>11.000999999999999</v>
      </c>
      <c r="E23" s="1">
        <v>7.3339999999999996</v>
      </c>
      <c r="F23" s="1">
        <v>11.000999999999999</v>
      </c>
      <c r="G23" s="1">
        <v>11.000999999999999</v>
      </c>
      <c r="H23" s="1">
        <v>11.000999999999999</v>
      </c>
      <c r="I23" s="1">
        <v>11.000999999999999</v>
      </c>
      <c r="J23" s="1">
        <v>14.667999999999999</v>
      </c>
      <c r="K23" s="1">
        <v>14.667999999999999</v>
      </c>
      <c r="L23" s="1">
        <v>14.667999999999999</v>
      </c>
      <c r="M23" s="1">
        <v>11.000999999999999</v>
      </c>
      <c r="N23" s="1">
        <v>11.000999999999999</v>
      </c>
      <c r="O23" s="1">
        <v>14.667999999999999</v>
      </c>
      <c r="P23" s="1">
        <v>18.335000000000001</v>
      </c>
      <c r="Q23" s="1">
        <v>18.335000000000001</v>
      </c>
      <c r="R23" s="1">
        <v>29.335999999999999</v>
      </c>
      <c r="S23" s="1">
        <v>29.335999999999999</v>
      </c>
      <c r="T23" s="1">
        <v>33.003</v>
      </c>
      <c r="U23" s="1">
        <v>33.003</v>
      </c>
      <c r="V23" s="1">
        <v>40.337000000000003</v>
      </c>
      <c r="W23" s="1">
        <v>44.003999999999998</v>
      </c>
      <c r="X23" s="1">
        <v>47.670999999999999</v>
      </c>
      <c r="Y23" s="1">
        <v>55.005000000000003</v>
      </c>
      <c r="Z23" s="1">
        <v>51.338000000000001</v>
      </c>
      <c r="AA23" s="1">
        <v>55.005000000000003</v>
      </c>
      <c r="AB23" s="1">
        <v>51.338000000000001</v>
      </c>
      <c r="AC23" s="1">
        <v>51.338000000000001</v>
      </c>
      <c r="AD23" s="1">
        <v>47.670999999999999</v>
      </c>
      <c r="AE23" s="1">
        <v>47.670999999999999</v>
      </c>
      <c r="AF23" s="1">
        <v>47.670999999999999</v>
      </c>
      <c r="AG23" s="1">
        <v>47.670999999999999</v>
      </c>
      <c r="AH23" s="1">
        <v>47.670999999999999</v>
      </c>
      <c r="AI23" s="1">
        <v>47.670999999999999</v>
      </c>
      <c r="AJ23" s="1">
        <v>47.670999999999999</v>
      </c>
      <c r="AK23" s="1">
        <v>47.670999999999999</v>
      </c>
      <c r="AL23" s="1">
        <v>47.670999999999999</v>
      </c>
      <c r="AM23" s="1">
        <v>47.670999999999999</v>
      </c>
      <c r="AN23" s="1">
        <v>47.670999999999999</v>
      </c>
      <c r="AO23" s="1">
        <v>47.670999999999999</v>
      </c>
      <c r="AP23" s="1">
        <v>47.670999999999999</v>
      </c>
      <c r="AQ23" s="1">
        <v>51.338000000000001</v>
      </c>
      <c r="AR23" s="1">
        <v>58.671999999999997</v>
      </c>
      <c r="AS23" s="1">
        <v>66.006</v>
      </c>
      <c r="AT23" s="1">
        <v>73.34</v>
      </c>
      <c r="AU23" s="1">
        <v>77.007000000000005</v>
      </c>
      <c r="AV23" s="1">
        <v>84.340999999999994</v>
      </c>
      <c r="AW23" s="1">
        <v>84.340999999999994</v>
      </c>
      <c r="AX23" s="1">
        <v>84.340999999999994</v>
      </c>
      <c r="AY23" s="1">
        <v>91.674999999999997</v>
      </c>
      <c r="AZ23" s="1">
        <v>99.009</v>
      </c>
      <c r="BA23" s="1">
        <v>102.676</v>
      </c>
      <c r="BB23" s="1">
        <v>113.67700000000001</v>
      </c>
      <c r="BC23" s="1">
        <v>113.67700000000001</v>
      </c>
      <c r="BD23" s="1">
        <v>113.67700000000001</v>
      </c>
    </row>
    <row r="24" spans="1:56" x14ac:dyDescent="0.25">
      <c r="A24" s="15" t="s">
        <v>35</v>
      </c>
      <c r="B24" s="1">
        <v>2258.8719999999998</v>
      </c>
      <c r="C24" s="1">
        <v>2335.8789999999999</v>
      </c>
      <c r="D24" s="1">
        <v>2563.2330000000002</v>
      </c>
      <c r="E24" s="1">
        <v>2533.8969999999999</v>
      </c>
      <c r="F24" s="1">
        <v>2273.54</v>
      </c>
      <c r="G24" s="1">
        <v>2658.5749999999998</v>
      </c>
      <c r="H24" s="1">
        <v>2662.2420000000002</v>
      </c>
      <c r="I24" s="1">
        <v>2948.268</v>
      </c>
      <c r="J24" s="1">
        <v>3241.6280000000002</v>
      </c>
      <c r="K24" s="1">
        <v>4319.7259999999997</v>
      </c>
      <c r="L24" s="1">
        <v>3597.3270000000002</v>
      </c>
      <c r="M24" s="1">
        <v>3197.6239999999998</v>
      </c>
      <c r="N24" s="1">
        <v>3542.3220000000001</v>
      </c>
      <c r="O24" s="1">
        <v>3689.002</v>
      </c>
      <c r="P24" s="1">
        <v>2933.6</v>
      </c>
      <c r="Q24" s="1">
        <v>2896.93</v>
      </c>
      <c r="R24" s="1">
        <v>2805.2550000000001</v>
      </c>
      <c r="S24" s="1">
        <v>2918.9319999999998</v>
      </c>
      <c r="T24" s="1">
        <v>3450.6469999999999</v>
      </c>
      <c r="U24" s="1">
        <v>3828.348</v>
      </c>
      <c r="V24" s="1">
        <v>3410.31</v>
      </c>
      <c r="W24" s="1">
        <v>4033.7</v>
      </c>
      <c r="X24" s="1">
        <v>4499.4089999999997</v>
      </c>
      <c r="Y24" s="1">
        <v>4884.4440000000004</v>
      </c>
      <c r="Z24" s="1">
        <v>3883.3530000000001</v>
      </c>
      <c r="AA24" s="1">
        <v>3956.6930000000002</v>
      </c>
      <c r="AB24" s="1">
        <v>3703.67</v>
      </c>
      <c r="AC24" s="1">
        <v>4074.0369999999998</v>
      </c>
      <c r="AD24" s="1">
        <v>3490.9839999999999</v>
      </c>
      <c r="AE24" s="1">
        <v>3483.65</v>
      </c>
      <c r="AF24" s="1">
        <v>3868.6849999999999</v>
      </c>
      <c r="AG24" s="1">
        <v>4176.7129999999997</v>
      </c>
      <c r="AH24" s="1">
        <v>5185.1379999999999</v>
      </c>
      <c r="AI24" s="1">
        <v>5042.125</v>
      </c>
      <c r="AJ24" s="1">
        <v>5526.1689999999999</v>
      </c>
      <c r="AK24" s="1">
        <v>5903.87</v>
      </c>
      <c r="AL24" s="1">
        <v>7062.6419999999998</v>
      </c>
      <c r="AM24" s="1">
        <v>7616.3590000000004</v>
      </c>
      <c r="AN24" s="1">
        <v>7825.3779999999997</v>
      </c>
      <c r="AO24" s="1">
        <v>8617.4500000000007</v>
      </c>
      <c r="AP24" s="1">
        <v>10238.263999999999</v>
      </c>
      <c r="AQ24" s="1">
        <v>10443.616</v>
      </c>
      <c r="AR24" s="1">
        <v>11056.004999999999</v>
      </c>
      <c r="AS24" s="1">
        <v>11078.007</v>
      </c>
      <c r="AT24" s="1">
        <v>12299.118</v>
      </c>
      <c r="AU24" s="1">
        <v>12101.1</v>
      </c>
      <c r="AV24" s="1">
        <v>11976.422</v>
      </c>
      <c r="AW24" s="1">
        <v>12354.123</v>
      </c>
      <c r="AX24" s="1">
        <v>12207.442999999999</v>
      </c>
      <c r="AY24" s="1">
        <v>13175.531000000001</v>
      </c>
      <c r="AZ24" s="1">
        <v>13263.539000000001</v>
      </c>
      <c r="BA24" s="1">
        <v>15137.376</v>
      </c>
      <c r="BB24" s="1">
        <v>16032.124</v>
      </c>
      <c r="BC24" s="1">
        <v>15489.407999999999</v>
      </c>
      <c r="BD24" s="1">
        <v>18393.671999999999</v>
      </c>
    </row>
    <row r="25" spans="1:56" x14ac:dyDescent="0.25">
      <c r="A25" s="15" t="s">
        <v>36</v>
      </c>
      <c r="AH25" s="1">
        <v>7315.665</v>
      </c>
      <c r="AI25" s="1">
        <v>5177.8040000000001</v>
      </c>
      <c r="AJ25" s="1">
        <v>2357.8809999999999</v>
      </c>
      <c r="AK25" s="1">
        <v>2449.556</v>
      </c>
      <c r="AL25" s="1">
        <v>2827.2570000000001</v>
      </c>
      <c r="AM25" s="1">
        <v>2152.529</v>
      </c>
      <c r="AN25" s="1">
        <v>2497.2269999999999</v>
      </c>
      <c r="AO25" s="1">
        <v>2519.2289999999998</v>
      </c>
      <c r="AP25" s="1">
        <v>2236.87</v>
      </c>
      <c r="AQ25" s="1">
        <v>2291.875</v>
      </c>
      <c r="AR25" s="1">
        <v>1881.171</v>
      </c>
      <c r="AS25" s="1">
        <v>2075.5219999999999</v>
      </c>
      <c r="AT25" s="1">
        <v>2563.2330000000002</v>
      </c>
      <c r="AU25" s="1">
        <v>2442.2220000000002</v>
      </c>
      <c r="AV25" s="1">
        <v>2658.5749999999998</v>
      </c>
      <c r="AW25" s="1">
        <v>3234.2939999999999</v>
      </c>
      <c r="AX25" s="1">
        <v>2904.2640000000001</v>
      </c>
      <c r="AY25" s="1">
        <v>2453.223</v>
      </c>
      <c r="AZ25" s="1">
        <v>2544.8980000000001</v>
      </c>
      <c r="BA25" s="1">
        <v>2350.547</v>
      </c>
      <c r="BB25" s="1">
        <v>2933.6</v>
      </c>
      <c r="BC25" s="1">
        <v>3479.9830000000002</v>
      </c>
      <c r="BD25" s="1">
        <v>5188.8050000000003</v>
      </c>
    </row>
    <row r="26" spans="1:56" x14ac:dyDescent="0.25">
      <c r="A26" s="15" t="s">
        <v>37</v>
      </c>
      <c r="B26" s="1">
        <v>828.74199999999996</v>
      </c>
      <c r="C26" s="1">
        <v>704.06399999999996</v>
      </c>
      <c r="D26" s="1">
        <v>766.40300000000002</v>
      </c>
      <c r="E26" s="1">
        <v>803.07299999999998</v>
      </c>
      <c r="F26" s="1">
        <v>1034.0940000000001</v>
      </c>
      <c r="G26" s="1">
        <v>1162.4390000000001</v>
      </c>
      <c r="H26" s="1">
        <v>1371.4580000000001</v>
      </c>
      <c r="I26" s="1">
        <v>1760.16</v>
      </c>
      <c r="J26" s="1">
        <v>1653.817</v>
      </c>
      <c r="K26" s="1">
        <v>1796.83</v>
      </c>
      <c r="L26" s="1">
        <v>1767.4939999999999</v>
      </c>
      <c r="M26" s="1">
        <v>2464.2240000000002</v>
      </c>
      <c r="N26" s="1">
        <v>2167.1970000000001</v>
      </c>
      <c r="O26" s="1">
        <v>3186.623</v>
      </c>
      <c r="P26" s="1">
        <v>2306.5430000000001</v>
      </c>
      <c r="Q26" s="1">
        <v>2284.5410000000002</v>
      </c>
      <c r="R26" s="1">
        <v>2790.587</v>
      </c>
      <c r="S26" s="1">
        <v>2013.183</v>
      </c>
      <c r="T26" s="1">
        <v>2203.8670000000002</v>
      </c>
      <c r="U26" s="1">
        <v>2071.855</v>
      </c>
      <c r="V26" s="1">
        <v>1884.838</v>
      </c>
      <c r="W26" s="1">
        <v>2123.1930000000002</v>
      </c>
      <c r="X26" s="1">
        <v>2167.1970000000001</v>
      </c>
      <c r="Y26" s="1">
        <v>2218.5349999999999</v>
      </c>
      <c r="Z26" s="1">
        <v>2368.8820000000001</v>
      </c>
      <c r="AA26" s="1">
        <v>2357.8809999999999</v>
      </c>
      <c r="AB26" s="1">
        <v>2299.2089999999998</v>
      </c>
      <c r="AC26" s="1">
        <v>2390.884</v>
      </c>
      <c r="AD26" s="1">
        <v>2288.2080000000001</v>
      </c>
      <c r="AE26" s="1">
        <v>2207.5340000000001</v>
      </c>
      <c r="AF26" s="1">
        <v>2266.2060000000001</v>
      </c>
      <c r="AG26" s="1">
        <v>2398.2179999999998</v>
      </c>
      <c r="AH26" s="1">
        <v>2324.8780000000002</v>
      </c>
      <c r="AI26" s="1">
        <v>2596.2359999999999</v>
      </c>
      <c r="AJ26" s="1">
        <v>2405.5520000000001</v>
      </c>
      <c r="AK26" s="1">
        <v>3553.3229999999999</v>
      </c>
      <c r="AL26" s="1">
        <v>3461.6480000000001</v>
      </c>
      <c r="AM26" s="1">
        <v>2882.2620000000002</v>
      </c>
      <c r="AN26" s="1">
        <v>2555.8989999999999</v>
      </c>
      <c r="AO26" s="1">
        <v>2537.5639999999999</v>
      </c>
      <c r="AP26" s="1">
        <v>2651.241</v>
      </c>
      <c r="AQ26" s="1">
        <v>3127.951</v>
      </c>
      <c r="AR26" s="1">
        <v>3589.9929999999999</v>
      </c>
      <c r="AS26" s="1">
        <v>3806.346</v>
      </c>
      <c r="AT26" s="1">
        <v>4363.7299999999996</v>
      </c>
      <c r="AU26" s="1">
        <v>5504.1670000000004</v>
      </c>
      <c r="AV26" s="1">
        <v>6028.5479999999998</v>
      </c>
      <c r="AW26" s="1">
        <v>5896.5360000000001</v>
      </c>
      <c r="AX26" s="1">
        <v>6142.2250000000004</v>
      </c>
      <c r="AY26" s="1">
        <v>5918.5379999999996</v>
      </c>
      <c r="AZ26" s="1">
        <v>7106.6459999999997</v>
      </c>
      <c r="BA26" s="1">
        <v>8093.0690000000004</v>
      </c>
      <c r="BB26" s="1">
        <v>9545.2009999999991</v>
      </c>
      <c r="BC26" s="1">
        <v>11177.016</v>
      </c>
      <c r="BD26" s="1">
        <v>11562.050999999999</v>
      </c>
    </row>
    <row r="27" spans="1:56" x14ac:dyDescent="0.25">
      <c r="A27" s="15" t="s">
        <v>38</v>
      </c>
      <c r="B27" s="1">
        <v>421.70499999999998</v>
      </c>
      <c r="C27" s="1">
        <v>407.03699999999998</v>
      </c>
      <c r="D27" s="1">
        <v>429.03899999999999</v>
      </c>
      <c r="E27" s="1">
        <v>432.70600000000002</v>
      </c>
      <c r="F27" s="1">
        <v>491.37799999999999</v>
      </c>
      <c r="G27" s="1">
        <v>627.05700000000002</v>
      </c>
      <c r="H27" s="1">
        <v>733.4</v>
      </c>
      <c r="I27" s="1">
        <v>810.40700000000004</v>
      </c>
      <c r="J27" s="1">
        <v>982.75599999999997</v>
      </c>
      <c r="K27" s="1">
        <v>1177.107</v>
      </c>
      <c r="L27" s="1">
        <v>1444.798</v>
      </c>
      <c r="M27" s="1">
        <v>1441.1310000000001</v>
      </c>
      <c r="N27" s="1">
        <v>1382.4590000000001</v>
      </c>
      <c r="O27" s="1">
        <v>1180.7739999999999</v>
      </c>
      <c r="P27" s="1">
        <v>1195.442</v>
      </c>
      <c r="Q27" s="1">
        <v>1133.1030000000001</v>
      </c>
      <c r="R27" s="1">
        <v>990.09</v>
      </c>
      <c r="S27" s="1">
        <v>806.74</v>
      </c>
      <c r="T27" s="1">
        <v>700.39700000000005</v>
      </c>
      <c r="U27" s="1">
        <v>674.72799999999995</v>
      </c>
      <c r="V27" s="1">
        <v>627.05700000000002</v>
      </c>
      <c r="W27" s="1">
        <v>528.048</v>
      </c>
      <c r="X27" s="1">
        <v>546.38300000000004</v>
      </c>
      <c r="Y27" s="1">
        <v>616.05600000000004</v>
      </c>
      <c r="Z27" s="1">
        <v>583.053</v>
      </c>
      <c r="AA27" s="1">
        <v>619.72299999999996</v>
      </c>
      <c r="AB27" s="1">
        <v>704.06399999999996</v>
      </c>
      <c r="AC27" s="1">
        <v>770.07</v>
      </c>
      <c r="AD27" s="1">
        <v>865.41200000000003</v>
      </c>
      <c r="AE27" s="1">
        <v>803.07299999999998</v>
      </c>
      <c r="AF27" s="1">
        <v>759.06899999999996</v>
      </c>
      <c r="AG27" s="1">
        <v>781.07100000000003</v>
      </c>
      <c r="AH27" s="1">
        <v>788.40499999999997</v>
      </c>
      <c r="AI27" s="1">
        <v>781.07100000000003</v>
      </c>
      <c r="AJ27" s="1">
        <v>707.73099999999999</v>
      </c>
      <c r="AK27" s="1">
        <v>938.75199999999995</v>
      </c>
      <c r="AL27" s="1">
        <v>1059.7629999999999</v>
      </c>
      <c r="AM27" s="1">
        <v>1107.434</v>
      </c>
      <c r="AN27" s="1">
        <v>1265.115</v>
      </c>
      <c r="AO27" s="1">
        <v>1312.7860000000001</v>
      </c>
      <c r="AP27" s="1">
        <v>1430.13</v>
      </c>
      <c r="AQ27" s="1">
        <v>1510.8040000000001</v>
      </c>
      <c r="AR27" s="1">
        <v>1558.4749999999999</v>
      </c>
      <c r="AS27" s="1">
        <v>1598.8119999999999</v>
      </c>
      <c r="AT27" s="1">
        <v>1738.1579999999999</v>
      </c>
      <c r="AU27" s="1">
        <v>2170.864</v>
      </c>
      <c r="AV27" s="1">
        <v>2537.5639999999999</v>
      </c>
      <c r="AW27" s="1">
        <v>2889.596</v>
      </c>
      <c r="AX27" s="1">
        <v>3190.29</v>
      </c>
      <c r="AY27" s="1">
        <v>3380.9740000000002</v>
      </c>
      <c r="AZ27" s="1">
        <v>3920.0230000000001</v>
      </c>
      <c r="BA27" s="1">
        <v>4264.7209999999995</v>
      </c>
      <c r="BB27" s="1">
        <v>4070.37</v>
      </c>
      <c r="BC27" s="1">
        <v>4869.7759999999998</v>
      </c>
      <c r="BD27" s="1">
        <v>5229.1419999999998</v>
      </c>
    </row>
    <row r="28" spans="1:56" x14ac:dyDescent="0.25">
      <c r="A28" s="15" t="s">
        <v>39</v>
      </c>
      <c r="F28" s="1">
        <v>3278.2979999999998</v>
      </c>
      <c r="G28" s="1">
        <v>3916.3560000000002</v>
      </c>
      <c r="H28" s="1">
        <v>3501.9850000000001</v>
      </c>
      <c r="I28" s="1">
        <v>4792.7690000000002</v>
      </c>
      <c r="J28" s="1">
        <v>4572.7489999999998</v>
      </c>
      <c r="K28" s="1">
        <v>4275.7219999999998</v>
      </c>
      <c r="L28" s="1">
        <v>3769.6759999999999</v>
      </c>
      <c r="M28" s="1">
        <v>3791.6779999999999</v>
      </c>
      <c r="N28" s="1">
        <v>4066.703</v>
      </c>
      <c r="O28" s="1">
        <v>4591.0839999999998</v>
      </c>
      <c r="P28" s="1">
        <v>4202.3819999999996</v>
      </c>
      <c r="Q28" s="1">
        <v>4081.3710000000001</v>
      </c>
      <c r="R28" s="1">
        <v>4026.366</v>
      </c>
      <c r="S28" s="1">
        <v>3744.0070000000001</v>
      </c>
      <c r="T28" s="1">
        <v>3476.3159999999998</v>
      </c>
      <c r="U28" s="1">
        <v>3604.6610000000001</v>
      </c>
      <c r="V28" s="1">
        <v>3531.3209999999999</v>
      </c>
      <c r="W28" s="1">
        <v>3366.306</v>
      </c>
      <c r="X28" s="1">
        <v>3520.32</v>
      </c>
      <c r="Y28" s="1">
        <v>3270.9639999999999</v>
      </c>
      <c r="Z28" s="1">
        <v>2819.9229999999998</v>
      </c>
      <c r="AA28" s="1">
        <v>2753.9169999999999</v>
      </c>
      <c r="AB28" s="1">
        <v>2889.596</v>
      </c>
      <c r="AC28" s="1">
        <v>2702.5790000000002</v>
      </c>
      <c r="AD28" s="1">
        <v>3142.6190000000001</v>
      </c>
      <c r="AE28" s="1">
        <v>2603.5700000000002</v>
      </c>
      <c r="AF28" s="1">
        <v>2445.8890000000001</v>
      </c>
      <c r="AG28" s="1">
        <v>2416.5529999999999</v>
      </c>
      <c r="AH28" s="1">
        <v>2456.89</v>
      </c>
      <c r="AI28" s="1">
        <v>2500.8939999999998</v>
      </c>
      <c r="AJ28" s="1">
        <v>2420.2199999999998</v>
      </c>
      <c r="AK28" s="1">
        <v>2170.864</v>
      </c>
      <c r="AL28" s="1">
        <v>1870.17</v>
      </c>
      <c r="AM28" s="1">
        <v>2390.884</v>
      </c>
      <c r="AN28" s="1">
        <v>2313.877</v>
      </c>
      <c r="AO28" s="1">
        <v>1807.8309999999999</v>
      </c>
      <c r="AP28" s="1">
        <v>1822.499</v>
      </c>
      <c r="AQ28" s="1">
        <v>1906.84</v>
      </c>
      <c r="AR28" s="1">
        <v>1983.847</v>
      </c>
      <c r="AS28" s="1">
        <v>2112.192</v>
      </c>
      <c r="AT28" s="1">
        <v>2145.1950000000002</v>
      </c>
      <c r="AU28" s="1">
        <v>2288.2080000000001</v>
      </c>
      <c r="AV28" s="1">
        <v>2291.875</v>
      </c>
      <c r="AW28" s="1">
        <v>1928.8420000000001</v>
      </c>
      <c r="AX28" s="1">
        <v>2170.864</v>
      </c>
      <c r="AY28" s="1">
        <v>2508.2280000000001</v>
      </c>
      <c r="AZ28" s="1">
        <v>2691.578</v>
      </c>
      <c r="BA28" s="1">
        <v>2937.2669999999998</v>
      </c>
      <c r="BB28" s="1">
        <v>3667</v>
      </c>
      <c r="BC28" s="1">
        <v>3956.6930000000002</v>
      </c>
      <c r="BD28" s="1">
        <v>4503.076</v>
      </c>
    </row>
    <row r="29" spans="1:56" x14ac:dyDescent="0.25">
      <c r="A29" s="15" t="s">
        <v>40</v>
      </c>
      <c r="F29" s="1">
        <v>4473.74</v>
      </c>
      <c r="G29" s="1">
        <v>5214.4740000000002</v>
      </c>
      <c r="H29" s="1">
        <v>6046.8829999999998</v>
      </c>
      <c r="I29" s="1">
        <v>5298.8149999999996</v>
      </c>
      <c r="J29" s="1">
        <v>6384.2470000000003</v>
      </c>
      <c r="K29" s="1">
        <v>6750.9470000000001</v>
      </c>
      <c r="L29" s="1">
        <v>8162.7420000000002</v>
      </c>
      <c r="M29" s="1">
        <v>8742.1280000000006</v>
      </c>
      <c r="N29" s="1">
        <v>8225.0810000000001</v>
      </c>
      <c r="O29" s="1">
        <v>9281.1769999999997</v>
      </c>
      <c r="P29" s="1">
        <v>9057.49</v>
      </c>
      <c r="Q29" s="1">
        <v>8320.4230000000007</v>
      </c>
      <c r="R29" s="1">
        <v>10868.987999999999</v>
      </c>
      <c r="S29" s="1">
        <v>9299.5120000000006</v>
      </c>
      <c r="T29" s="1">
        <v>9295.8449999999993</v>
      </c>
      <c r="U29" s="1">
        <v>9449.8590000000004</v>
      </c>
      <c r="V29" s="1">
        <v>9636.8760000000002</v>
      </c>
      <c r="W29" s="1">
        <v>9435.1910000000007</v>
      </c>
      <c r="X29" s="1">
        <v>8811.8009999999995</v>
      </c>
      <c r="Y29" s="1">
        <v>10461.950999999999</v>
      </c>
      <c r="Z29" s="1">
        <v>9922.902</v>
      </c>
      <c r="AA29" s="1">
        <v>10263.933000000001</v>
      </c>
      <c r="AB29" s="1">
        <v>13127.86</v>
      </c>
      <c r="AC29" s="1">
        <v>15240.052</v>
      </c>
      <c r="AD29" s="1">
        <v>16101.797</v>
      </c>
      <c r="AE29" s="1">
        <v>16186.138000000001</v>
      </c>
      <c r="AF29" s="1">
        <v>15643.422</v>
      </c>
      <c r="AG29" s="1">
        <v>15955.117</v>
      </c>
      <c r="AH29" s="1">
        <v>17011.213</v>
      </c>
      <c r="AI29" s="1">
        <v>16362.154</v>
      </c>
      <c r="AJ29" s="1">
        <v>17795.951000000001</v>
      </c>
      <c r="AK29" s="1">
        <v>15130.041999999999</v>
      </c>
      <c r="AL29" s="1">
        <v>14994.362999999999</v>
      </c>
      <c r="AM29" s="1">
        <v>14407.643</v>
      </c>
      <c r="AN29" s="1">
        <v>14253.629000000001</v>
      </c>
      <c r="AO29" s="1">
        <v>15834.106</v>
      </c>
      <c r="AP29" s="1">
        <v>13923.599</v>
      </c>
      <c r="AQ29" s="1">
        <v>12596.145</v>
      </c>
      <c r="AR29" s="1">
        <v>11965.421</v>
      </c>
      <c r="AS29" s="1">
        <v>10656.302</v>
      </c>
      <c r="AT29" s="1">
        <v>9486.5290000000005</v>
      </c>
      <c r="AU29" s="1">
        <v>10769.978999999999</v>
      </c>
      <c r="AV29" s="1">
        <v>10447.282999999999</v>
      </c>
      <c r="AW29" s="1">
        <v>9886.232</v>
      </c>
      <c r="AX29" s="1">
        <v>7770.3729999999996</v>
      </c>
      <c r="AY29" s="1">
        <v>5603.1760000000004</v>
      </c>
      <c r="AZ29" s="1">
        <v>7777.7070000000003</v>
      </c>
      <c r="BA29" s="1">
        <v>9563.5360000000001</v>
      </c>
      <c r="BB29" s="1">
        <v>7792.375</v>
      </c>
      <c r="BC29" s="1">
        <v>11675.727999999999</v>
      </c>
      <c r="BD29" s="1">
        <v>12020.425999999999</v>
      </c>
    </row>
    <row r="31" spans="1:56" x14ac:dyDescent="0.25">
      <c r="B31" s="1">
        <v>1960</v>
      </c>
      <c r="C31" s="1">
        <f>VLOOKUP(Indicateur10!$K$6,prevision10!$A$1:$BD$29,MATCH(prevision10!B31,prevision10!$A$1:$BD$1,0),FALSE)</f>
        <v>2717.2469999999998</v>
      </c>
      <c r="H31" s="1">
        <v>1960</v>
      </c>
      <c r="I31" s="1">
        <f>VLOOKUP('comite 4'!$C$4,prevision10!$A$1:$BG$28,MATCH(H31,$A$1:$BG$1,0),FALSE)</f>
        <v>2717.2469999999998</v>
      </c>
    </row>
    <row r="32" spans="1:56" x14ac:dyDescent="0.25">
      <c r="B32" s="1">
        <v>1961</v>
      </c>
      <c r="C32" s="1">
        <f>VLOOKUP(Indicateur10!$K$6,prevision10!$A$1:$BD$29,MATCH(prevision10!B32,prevision10!$A$1:$BD$1,0),FALSE)</f>
        <v>2592.569</v>
      </c>
      <c r="H32" s="1">
        <v>1961</v>
      </c>
      <c r="I32" s="1">
        <f>VLOOKUP('comite 4'!$C$4,prevision10!$A$1:$BG$28,MATCH(H32,$A$1:$BG$1,0),FALSE)</f>
        <v>2592.569</v>
      </c>
    </row>
    <row r="33" spans="2:9" x14ac:dyDescent="0.25">
      <c r="B33" s="1">
        <v>1962</v>
      </c>
      <c r="C33" s="1">
        <f>VLOOKUP(Indicateur10!$K$6,prevision10!$A$1:$BD$29,MATCH(prevision10!B33,prevision10!$A$1:$BD$1,0),FALSE)</f>
        <v>2882.2620000000002</v>
      </c>
      <c r="H33" s="1">
        <v>1962</v>
      </c>
      <c r="I33" s="1">
        <f>VLOOKUP('comite 4'!$C$4,prevision10!$A$1:$BG$28,MATCH(H33,$A$1:$BG$1,0),FALSE)</f>
        <v>2882.2620000000002</v>
      </c>
    </row>
    <row r="34" spans="2:9" x14ac:dyDescent="0.25">
      <c r="B34" s="1">
        <v>1963</v>
      </c>
      <c r="C34" s="1">
        <f>VLOOKUP(Indicateur10!$K$6,prevision10!$A$1:$BD$29,MATCH(prevision10!B34,prevision10!$A$1:$BD$1,0),FALSE)</f>
        <v>2636.5729999999999</v>
      </c>
      <c r="H34" s="1">
        <v>1963</v>
      </c>
      <c r="I34" s="1">
        <f>VLOOKUP('comite 4'!$C$4,prevision10!$A$1:$BG$28,MATCH(H34,$A$1:$BG$1,0),FALSE)</f>
        <v>2636.5729999999999</v>
      </c>
    </row>
    <row r="35" spans="2:9" x14ac:dyDescent="0.25">
      <c r="B35" s="1">
        <v>1964</v>
      </c>
      <c r="C35" s="1">
        <f>VLOOKUP(Indicateur10!$K$6,prevision10!$A$1:$BD$29,MATCH(prevision10!B35,prevision10!$A$1:$BD$1,0),FALSE)</f>
        <v>2860.26</v>
      </c>
      <c r="H35" s="1">
        <v>1964</v>
      </c>
      <c r="I35" s="1">
        <f>VLOOKUP('comite 4'!$C$4,prevision10!$A$1:$BG$28,MATCH(H35,$A$1:$BG$1,0),FALSE)</f>
        <v>2860.26</v>
      </c>
    </row>
    <row r="36" spans="2:9" x14ac:dyDescent="0.25">
      <c r="B36" s="1">
        <v>1965</v>
      </c>
      <c r="C36" s="1">
        <f>VLOOKUP(Indicateur10!$K$6,prevision10!$A$1:$BD$29,MATCH(prevision10!B36,prevision10!$A$1:$BD$1,0),FALSE)</f>
        <v>2728.248</v>
      </c>
      <c r="H36" s="1">
        <v>1965</v>
      </c>
      <c r="I36" s="1">
        <f>VLOOKUP('comite 4'!$C$4,prevision10!$A$1:$BG$28,MATCH(H36,$A$1:$BG$1,0),FALSE)</f>
        <v>2728.248</v>
      </c>
    </row>
    <row r="37" spans="2:9" x14ac:dyDescent="0.25">
      <c r="B37" s="1">
        <v>1966</v>
      </c>
      <c r="C37" s="1">
        <f>VLOOKUP(Indicateur10!$K$6,prevision10!$A$1:$BD$29,MATCH(prevision10!B37,prevision10!$A$1:$BD$1,0),FALSE)</f>
        <v>2808.922</v>
      </c>
      <c r="H37" s="1">
        <v>1966</v>
      </c>
      <c r="I37" s="1">
        <f>VLOOKUP('comite 4'!$C$4,prevision10!$A$1:$BG$28,MATCH(H37,$A$1:$BG$1,0),FALSE)</f>
        <v>2808.922</v>
      </c>
    </row>
    <row r="38" spans="2:9" x14ac:dyDescent="0.25">
      <c r="B38" s="1">
        <v>1967</v>
      </c>
      <c r="C38" s="1">
        <f>VLOOKUP(Indicateur10!$K$6,prevision10!$A$1:$BD$29,MATCH(prevision10!B38,prevision10!$A$1:$BD$1,0),FALSE)</f>
        <v>3619.3290000000002</v>
      </c>
      <c r="H38" s="1">
        <v>1967</v>
      </c>
      <c r="I38" s="1">
        <f>VLOOKUP('comite 4'!$C$4,prevision10!$A$1:$BG$28,MATCH(H38,$A$1:$BG$1,0),FALSE)</f>
        <v>3619.3290000000002</v>
      </c>
    </row>
    <row r="39" spans="2:9" x14ac:dyDescent="0.25">
      <c r="B39" s="1">
        <v>1968</v>
      </c>
      <c r="C39" s="1">
        <f>VLOOKUP(Indicateur10!$K$6,prevision10!$A$1:$BD$29,MATCH(prevision10!B39,prevision10!$A$1:$BD$1,0),FALSE)</f>
        <v>2929.933</v>
      </c>
      <c r="H39" s="1">
        <v>1968</v>
      </c>
      <c r="I39" s="1">
        <f>VLOOKUP('comite 4'!$C$4,prevision10!$A$1:$BG$28,MATCH(H39,$A$1:$BG$1,0),FALSE)</f>
        <v>2929.933</v>
      </c>
    </row>
    <row r="40" spans="2:9" x14ac:dyDescent="0.25">
      <c r="B40" s="1">
        <v>1969</v>
      </c>
      <c r="C40" s="1">
        <f>VLOOKUP(Indicateur10!$K$6,prevision10!$A$1:$BD$29,MATCH(prevision10!B40,prevision10!$A$1:$BD$1,0),FALSE)</f>
        <v>3215.9589999999998</v>
      </c>
      <c r="H40" s="1">
        <v>1969</v>
      </c>
      <c r="I40" s="1">
        <f>VLOOKUP('comite 4'!$C$4,prevision10!$A$1:$BG$28,MATCH(H40,$A$1:$BG$1,0),FALSE)</f>
        <v>3215.9589999999998</v>
      </c>
    </row>
    <row r="41" spans="2:9" x14ac:dyDescent="0.25">
      <c r="B41" s="1">
        <v>1970</v>
      </c>
      <c r="C41" s="1">
        <f>VLOOKUP(Indicateur10!$K$6,prevision10!$A$1:$BD$29,MATCH(prevision10!B41,prevision10!$A$1:$BD$1,0),FALSE)</f>
        <v>4616.7529999999997</v>
      </c>
      <c r="H41" s="1">
        <v>1970</v>
      </c>
      <c r="I41" s="1">
        <f>VLOOKUP('comite 4'!$C$4,prevision10!$A$1:$BG$28,MATCH(H41,$A$1:$BG$1,0),FALSE)</f>
        <v>4616.7529999999997</v>
      </c>
    </row>
    <row r="42" spans="2:9" x14ac:dyDescent="0.25">
      <c r="B42" s="1">
        <v>1971</v>
      </c>
      <c r="C42" s="1">
        <f>VLOOKUP(Indicateur10!$K$6,prevision10!$A$1:$BD$29,MATCH(prevision10!B42,prevision10!$A$1:$BD$1,0),FALSE)</f>
        <v>5104.4639999999999</v>
      </c>
      <c r="H42" s="1">
        <v>1971</v>
      </c>
      <c r="I42" s="1">
        <f>VLOOKUP('comite 4'!$C$4,prevision10!$A$1:$BG$28,MATCH(H42,$A$1:$BG$1,0),FALSE)</f>
        <v>5104.4639999999999</v>
      </c>
    </row>
    <row r="43" spans="2:9" x14ac:dyDescent="0.25">
      <c r="B43" s="1">
        <v>1972</v>
      </c>
      <c r="C43" s="1">
        <f>VLOOKUP(Indicateur10!$K$6,prevision10!$A$1:$BD$29,MATCH(prevision10!B43,prevision10!$A$1:$BD$1,0),FALSE)</f>
        <v>4899.1120000000001</v>
      </c>
      <c r="H43" s="1">
        <v>1972</v>
      </c>
      <c r="I43" s="1">
        <f>VLOOKUP('comite 4'!$C$4,prevision10!$A$1:$BG$28,MATCH(H43,$A$1:$BG$1,0),FALSE)</f>
        <v>4899.1120000000001</v>
      </c>
    </row>
    <row r="44" spans="2:9" x14ac:dyDescent="0.25">
      <c r="B44" s="1">
        <v>1973</v>
      </c>
      <c r="C44" s="1">
        <f>VLOOKUP(Indicateur10!$K$6,prevision10!$A$1:$BD$29,MATCH(prevision10!B44,prevision10!$A$1:$BD$1,0),FALSE)</f>
        <v>4110.7070000000003</v>
      </c>
      <c r="H44" s="1">
        <v>1973</v>
      </c>
      <c r="I44" s="1">
        <f>VLOOKUP('comite 4'!$C$4,prevision10!$A$1:$BG$28,MATCH(H44,$A$1:$BG$1,0),FALSE)</f>
        <v>4110.7070000000003</v>
      </c>
    </row>
    <row r="45" spans="2:9" x14ac:dyDescent="0.25">
      <c r="B45" s="1">
        <v>1974</v>
      </c>
      <c r="C45" s="1">
        <f>VLOOKUP(Indicateur10!$K$6,prevision10!$A$1:$BD$29,MATCH(prevision10!B45,prevision10!$A$1:$BD$1,0),FALSE)</f>
        <v>4675.4250000000002</v>
      </c>
      <c r="H45" s="1">
        <v>1974</v>
      </c>
      <c r="I45" s="1">
        <f>VLOOKUP('comite 4'!$C$4,prevision10!$A$1:$BG$28,MATCH(H45,$A$1:$BG$1,0),FALSE)</f>
        <v>4675.4250000000002</v>
      </c>
    </row>
    <row r="46" spans="2:9" x14ac:dyDescent="0.25">
      <c r="B46" s="1">
        <v>1975</v>
      </c>
      <c r="C46" s="1">
        <f>VLOOKUP(Indicateur10!$K$6,prevision10!$A$1:$BD$29,MATCH(prevision10!B46,prevision10!$A$1:$BD$1,0),FALSE)</f>
        <v>4587.4170000000004</v>
      </c>
      <c r="H46" s="1">
        <v>1975</v>
      </c>
      <c r="I46" s="1">
        <f>VLOOKUP('comite 4'!$C$4,prevision10!$A$1:$BG$28,MATCH(H46,$A$1:$BG$1,0),FALSE)</f>
        <v>4587.4170000000004</v>
      </c>
    </row>
    <row r="47" spans="2:9" x14ac:dyDescent="0.25">
      <c r="B47" s="1">
        <v>1976</v>
      </c>
      <c r="C47" s="1">
        <f>VLOOKUP(Indicateur10!$K$6,prevision10!$A$1:$BD$29,MATCH(prevision10!B47,prevision10!$A$1:$BD$1,0),FALSE)</f>
        <v>4899.1120000000001</v>
      </c>
      <c r="H47" s="1">
        <v>1976</v>
      </c>
      <c r="I47" s="1">
        <f>VLOOKUP('comite 4'!$C$4,prevision10!$A$1:$BG$28,MATCH(H47,$A$1:$BG$1,0),FALSE)</f>
        <v>4899.1120000000001</v>
      </c>
    </row>
    <row r="48" spans="2:9" x14ac:dyDescent="0.25">
      <c r="B48" s="1">
        <v>1977</v>
      </c>
      <c r="C48" s="1">
        <f>VLOOKUP(Indicateur10!$K$6,prevision10!$A$1:$BD$29,MATCH(prevision10!B48,prevision10!$A$1:$BD$1,0),FALSE)</f>
        <v>5174.1369999999997</v>
      </c>
      <c r="H48" s="1">
        <v>1977</v>
      </c>
      <c r="I48" s="1">
        <f>VLOOKUP('comite 4'!$C$4,prevision10!$A$1:$BG$28,MATCH(H48,$A$1:$BG$1,0),FALSE)</f>
        <v>5174.1369999999997</v>
      </c>
    </row>
    <row r="49" spans="2:9" x14ac:dyDescent="0.25">
      <c r="B49" s="1">
        <v>1978</v>
      </c>
      <c r="C49" s="1">
        <f>VLOOKUP(Indicateur10!$K$6,prevision10!$A$1:$BD$29,MATCH(prevision10!B49,prevision10!$A$1:$BD$1,0),FALSE)</f>
        <v>5155.8019999999997</v>
      </c>
      <c r="H49" s="1">
        <v>1978</v>
      </c>
      <c r="I49" s="1">
        <f>VLOOKUP('comite 4'!$C$4,prevision10!$A$1:$BG$28,MATCH(H49,$A$1:$BG$1,0),FALSE)</f>
        <v>5155.8019999999997</v>
      </c>
    </row>
    <row r="50" spans="2:9" x14ac:dyDescent="0.25">
      <c r="B50" s="1">
        <v>1979</v>
      </c>
      <c r="C50" s="1">
        <f>VLOOKUP(Indicateur10!$K$6,prevision10!$A$1:$BD$29,MATCH(prevision10!B50,prevision10!$A$1:$BD$1,0),FALSE)</f>
        <v>5100.7969999999996</v>
      </c>
      <c r="H50" s="1">
        <v>1979</v>
      </c>
      <c r="I50" s="1">
        <f>VLOOKUP('comite 4'!$C$4,prevision10!$A$1:$BG$28,MATCH(H50,$A$1:$BG$1,0),FALSE)</f>
        <v>5100.7969999999996</v>
      </c>
    </row>
    <row r="51" spans="2:9" x14ac:dyDescent="0.25">
      <c r="B51" s="1">
        <v>1980</v>
      </c>
      <c r="C51" s="1">
        <f>VLOOKUP(Indicateur10!$K$6,prevision10!$A$1:$BD$29,MATCH(prevision10!B51,prevision10!$A$1:$BD$1,0),FALSE)</f>
        <v>5526.1689999999999</v>
      </c>
      <c r="H51" s="1">
        <v>1980</v>
      </c>
      <c r="I51" s="1">
        <f>VLOOKUP('comite 4'!$C$4,prevision10!$A$1:$BG$28,MATCH(H51,$A$1:$BG$1,0),FALSE)</f>
        <v>5526.1689999999999</v>
      </c>
    </row>
    <row r="52" spans="2:9" x14ac:dyDescent="0.25">
      <c r="B52" s="1">
        <v>1981</v>
      </c>
      <c r="C52" s="1">
        <f>VLOOKUP(Indicateur10!$K$6,prevision10!$A$1:$BD$29,MATCH(prevision10!B52,prevision10!$A$1:$BD$1,0),FALSE)</f>
        <v>5639.8459999999995</v>
      </c>
      <c r="H52" s="1">
        <v>1981</v>
      </c>
      <c r="I52" s="1">
        <f>VLOOKUP('comite 4'!$C$4,prevision10!$A$1:$BG$28,MATCH(H52,$A$1:$BG$1,0),FALSE)</f>
        <v>5639.8459999999995</v>
      </c>
    </row>
    <row r="53" spans="2:9" x14ac:dyDescent="0.25">
      <c r="B53" s="1">
        <v>1982</v>
      </c>
      <c r="C53" s="1">
        <f>VLOOKUP(Indicateur10!$K$6,prevision10!$A$1:$BD$29,MATCH(prevision10!B53,prevision10!$A$1:$BD$1,0),FALSE)</f>
        <v>5599.509</v>
      </c>
      <c r="H53" s="1">
        <v>1982</v>
      </c>
      <c r="I53" s="1">
        <f>VLOOKUP('comite 4'!$C$4,prevision10!$A$1:$BG$28,MATCH(H53,$A$1:$BG$1,0),FALSE)</f>
        <v>5599.509</v>
      </c>
    </row>
    <row r="54" spans="2:9" x14ac:dyDescent="0.25">
      <c r="B54" s="1">
        <v>1983</v>
      </c>
      <c r="C54" s="1">
        <f>VLOOKUP(Indicateur10!$K$6,prevision10!$A$1:$BD$29,MATCH(prevision10!B54,prevision10!$A$1:$BD$1,0),FALSE)</f>
        <v>5775.5249999999996</v>
      </c>
      <c r="H54" s="1">
        <v>1983</v>
      </c>
      <c r="I54" s="1">
        <f>VLOOKUP('comite 4'!$C$4,prevision10!$A$1:$BG$28,MATCH(H54,$A$1:$BG$1,0),FALSE)</f>
        <v>5775.5249999999996</v>
      </c>
    </row>
    <row r="55" spans="2:9" x14ac:dyDescent="0.25">
      <c r="B55" s="1">
        <v>1984</v>
      </c>
      <c r="C55" s="1">
        <f>VLOOKUP(Indicateur10!$K$6,prevision10!$A$1:$BD$29,MATCH(prevision10!B55,prevision10!$A$1:$BD$1,0),FALSE)</f>
        <v>6571.2640000000001</v>
      </c>
      <c r="H55" s="1">
        <v>1984</v>
      </c>
      <c r="I55" s="1">
        <f>VLOOKUP('comite 4'!$C$4,prevision10!$A$1:$BG$28,MATCH(H55,$A$1:$BG$1,0),FALSE)</f>
        <v>6571.2640000000001</v>
      </c>
    </row>
    <row r="56" spans="2:9" x14ac:dyDescent="0.25">
      <c r="B56" s="1">
        <v>1985</v>
      </c>
      <c r="C56" s="1">
        <f>VLOOKUP(Indicateur10!$K$6,prevision10!$A$1:$BD$29,MATCH(prevision10!B56,prevision10!$A$1:$BD$1,0),FALSE)</f>
        <v>6710.61</v>
      </c>
      <c r="H56" s="1">
        <v>1985</v>
      </c>
      <c r="I56" s="1">
        <f>VLOOKUP('comite 4'!$C$4,prevision10!$A$1:$BG$28,MATCH(H56,$A$1:$BG$1,0),FALSE)</f>
        <v>6710.61</v>
      </c>
    </row>
    <row r="57" spans="2:9" x14ac:dyDescent="0.25">
      <c r="B57" s="1">
        <v>1986</v>
      </c>
      <c r="C57" s="1">
        <f>VLOOKUP(Indicateur10!$K$6,prevision10!$A$1:$BD$29,MATCH(prevision10!B57,prevision10!$A$1:$BD$1,0),FALSE)</f>
        <v>6791.2839999999997</v>
      </c>
      <c r="H57" s="1">
        <v>1986</v>
      </c>
      <c r="I57" s="1">
        <f>VLOOKUP('comite 4'!$C$4,prevision10!$A$1:$BG$28,MATCH(H57,$A$1:$BG$1,0),FALSE)</f>
        <v>6791.2839999999997</v>
      </c>
    </row>
    <row r="58" spans="2:9" x14ac:dyDescent="0.25">
      <c r="B58" s="1">
        <v>1987</v>
      </c>
      <c r="C58" s="1">
        <f>VLOOKUP(Indicateur10!$K$6,prevision10!$A$1:$BD$29,MATCH(prevision10!B58,prevision10!$A$1:$BD$1,0),FALSE)</f>
        <v>4976.1189999999997</v>
      </c>
      <c r="H58" s="1">
        <v>1987</v>
      </c>
      <c r="I58" s="1">
        <f>VLOOKUP('comite 4'!$C$4,prevision10!$A$1:$BG$28,MATCH(H58,$A$1:$BG$1,0),FALSE)</f>
        <v>4976.1189999999997</v>
      </c>
    </row>
    <row r="59" spans="2:9" x14ac:dyDescent="0.25">
      <c r="B59" s="1">
        <v>1988</v>
      </c>
      <c r="C59" s="1">
        <f>VLOOKUP(Indicateur10!$K$6,prevision10!$A$1:$BD$29,MATCH(prevision10!B59,prevision10!$A$1:$BD$1,0),FALSE)</f>
        <v>4118.0410000000002</v>
      </c>
      <c r="H59" s="1">
        <v>1988</v>
      </c>
      <c r="I59" s="1">
        <f>VLOOKUP('comite 4'!$C$4,prevision10!$A$1:$BG$28,MATCH(H59,$A$1:$BG$1,0),FALSE)</f>
        <v>4118.0410000000002</v>
      </c>
    </row>
    <row r="60" spans="2:9" x14ac:dyDescent="0.25">
      <c r="B60" s="1">
        <v>1989</v>
      </c>
      <c r="C60" s="1">
        <f>VLOOKUP(Indicateur10!$K$6,prevision10!$A$1:$BD$29,MATCH(prevision10!B60,prevision10!$A$1:$BD$1,0),FALSE)</f>
        <v>4462.7389999999996</v>
      </c>
      <c r="H60" s="1">
        <v>1989</v>
      </c>
      <c r="I60" s="1">
        <f>VLOOKUP('comite 4'!$C$4,prevision10!$A$1:$BG$28,MATCH(H60,$A$1:$BG$1,0),FALSE)</f>
        <v>4462.7389999999996</v>
      </c>
    </row>
    <row r="61" spans="2:9" x14ac:dyDescent="0.25">
      <c r="B61" s="1">
        <v>1990</v>
      </c>
      <c r="C61" s="1">
        <f>VLOOKUP(Indicateur10!$K$6,prevision10!$A$1:$BD$29,MATCH(prevision10!B61,prevision10!$A$1:$BD$1,0),FALSE)</f>
        <v>4275.7219999999998</v>
      </c>
      <c r="H61" s="1">
        <v>1990</v>
      </c>
      <c r="I61" s="1">
        <f>VLOOKUP('comite 4'!$C$4,prevision10!$A$1:$BG$28,MATCH(H61,$A$1:$BG$1,0),FALSE)</f>
        <v>4275.7219999999998</v>
      </c>
    </row>
    <row r="62" spans="2:9" x14ac:dyDescent="0.25">
      <c r="B62" s="1">
        <v>1991</v>
      </c>
      <c r="C62" s="1">
        <f>VLOOKUP(Indicateur10!$K$6,prevision10!$A$1:$BD$29,MATCH(prevision10!B62,prevision10!$A$1:$BD$1,0),FALSE)</f>
        <v>4180.38</v>
      </c>
      <c r="H62" s="1">
        <v>1991</v>
      </c>
      <c r="I62" s="1">
        <f>VLOOKUP('comite 4'!$C$4,prevision10!$A$1:$BG$28,MATCH(H62,$A$1:$BG$1,0),FALSE)</f>
        <v>4180.38</v>
      </c>
    </row>
    <row r="63" spans="2:9" x14ac:dyDescent="0.25">
      <c r="B63" s="1">
        <v>1992</v>
      </c>
      <c r="C63" s="1">
        <f>VLOOKUP(Indicateur10!$K$6,prevision10!$A$1:$BD$29,MATCH(prevision10!B63,prevision10!$A$1:$BD$1,0),FALSE)</f>
        <v>4888.1109999999999</v>
      </c>
      <c r="H63" s="1">
        <v>1992</v>
      </c>
      <c r="I63" s="1">
        <f>VLOOKUP('comite 4'!$C$4,prevision10!$A$1:$BG$28,MATCH(H63,$A$1:$BG$1,0),FALSE)</f>
        <v>4888.1109999999999</v>
      </c>
    </row>
    <row r="64" spans="2:9" x14ac:dyDescent="0.25">
      <c r="B64" s="1">
        <v>1993</v>
      </c>
      <c r="C64" s="1">
        <f>VLOOKUP(Indicateur10!$K$6,prevision10!$A$1:$BD$29,MATCH(prevision10!B64,prevision10!$A$1:$BD$1,0),FALSE)</f>
        <v>5342.8190000000004</v>
      </c>
      <c r="H64" s="1">
        <v>1993</v>
      </c>
      <c r="I64" s="1">
        <f>VLOOKUP('comite 4'!$C$4,prevision10!$A$1:$BG$28,MATCH(H64,$A$1:$BG$1,0),FALSE)</f>
        <v>5342.8190000000004</v>
      </c>
    </row>
    <row r="65" spans="2:9" x14ac:dyDescent="0.25">
      <c r="B65" s="1">
        <v>1994</v>
      </c>
      <c r="C65" s="1">
        <f>VLOOKUP(Indicateur10!$K$6,prevision10!$A$1:$BD$29,MATCH(prevision10!B65,prevision10!$A$1:$BD$1,0),FALSE)</f>
        <v>6244.9009999999998</v>
      </c>
      <c r="H65" s="1">
        <v>1994</v>
      </c>
      <c r="I65" s="1">
        <f>VLOOKUP('comite 4'!$C$4,prevision10!$A$1:$BG$28,MATCH(H65,$A$1:$BG$1,0),FALSE)</f>
        <v>6244.9009999999998</v>
      </c>
    </row>
    <row r="66" spans="2:9" x14ac:dyDescent="0.25">
      <c r="B66" s="1">
        <v>1995</v>
      </c>
      <c r="C66" s="1">
        <f>VLOOKUP(Indicateur10!$K$6,prevision10!$A$1:$BD$29,MATCH(prevision10!B66,prevision10!$A$1:$BD$1,0),FALSE)</f>
        <v>6959.9660000000003</v>
      </c>
      <c r="H66" s="1">
        <v>1995</v>
      </c>
      <c r="I66" s="1">
        <f>VLOOKUP('comite 4'!$C$4,prevision10!$A$1:$BG$28,MATCH(H66,$A$1:$BG$1,0),FALSE)</f>
        <v>6959.9660000000003</v>
      </c>
    </row>
    <row r="67" spans="2:9" x14ac:dyDescent="0.25">
      <c r="B67" s="1">
        <v>1996</v>
      </c>
      <c r="C67" s="1">
        <f>VLOOKUP(Indicateur10!$K$6,prevision10!$A$1:$BD$29,MATCH(prevision10!B67,prevision10!$A$1:$BD$1,0),FALSE)</f>
        <v>7256.9930000000004</v>
      </c>
      <c r="H67" s="1">
        <v>1996</v>
      </c>
      <c r="I67" s="1">
        <f>VLOOKUP('comite 4'!$C$4,prevision10!$A$1:$BG$28,MATCH(H67,$A$1:$BG$1,0),FALSE)</f>
        <v>7256.9930000000004</v>
      </c>
    </row>
    <row r="68" spans="2:9" x14ac:dyDescent="0.25">
      <c r="B68" s="1">
        <v>1997</v>
      </c>
      <c r="C68" s="1">
        <f>VLOOKUP(Indicateur10!$K$6,prevision10!$A$1:$BD$29,MATCH(prevision10!B68,prevision10!$A$1:$BD$1,0),FALSE)</f>
        <v>7499.0150000000003</v>
      </c>
      <c r="H68" s="1">
        <v>1997</v>
      </c>
      <c r="I68" s="1">
        <f>VLOOKUP('comite 4'!$C$4,prevision10!$A$1:$BG$28,MATCH(H68,$A$1:$BG$1,0),FALSE)</f>
        <v>7499.0150000000003</v>
      </c>
    </row>
    <row r="69" spans="2:9" x14ac:dyDescent="0.25">
      <c r="B69" s="1">
        <v>1998</v>
      </c>
      <c r="C69" s="1">
        <f>VLOOKUP(Indicateur10!$K$6,prevision10!$A$1:$BD$29,MATCH(prevision10!B69,prevision10!$A$1:$BD$1,0),FALSE)</f>
        <v>8078.4009999999998</v>
      </c>
      <c r="H69" s="1">
        <v>1998</v>
      </c>
      <c r="I69" s="1">
        <f>VLOOKUP('comite 4'!$C$4,prevision10!$A$1:$BG$28,MATCH(H69,$A$1:$BG$1,0),FALSE)</f>
        <v>8078.4009999999998</v>
      </c>
    </row>
    <row r="70" spans="2:9" x14ac:dyDescent="0.25">
      <c r="B70" s="1">
        <v>1999</v>
      </c>
      <c r="C70" s="1">
        <f>VLOOKUP(Indicateur10!$K$6,prevision10!$A$1:$BD$29,MATCH(prevision10!B70,prevision10!$A$1:$BD$1,0),FALSE)</f>
        <v>8969.482</v>
      </c>
      <c r="H70" s="1">
        <v>1999</v>
      </c>
      <c r="I70" s="1">
        <f>VLOOKUP('comite 4'!$C$4,prevision10!$A$1:$BG$28,MATCH(H70,$A$1:$BG$1,0),FALSE)</f>
        <v>8969.482</v>
      </c>
    </row>
    <row r="71" spans="2:9" x14ac:dyDescent="0.25">
      <c r="B71" s="1">
        <v>2000</v>
      </c>
      <c r="C71" s="1">
        <f>VLOOKUP(Indicateur10!$K$6,prevision10!$A$1:$BD$29,MATCH(prevision10!B71,prevision10!$A$1:$BD$1,0),FALSE)</f>
        <v>10087.916999999999</v>
      </c>
      <c r="H71" s="1">
        <v>2000</v>
      </c>
      <c r="I71" s="1">
        <f>VLOOKUP('comite 4'!$C$4,prevision10!$A$1:$BG$28,MATCH(H71,$A$1:$BG$1,0),FALSE)</f>
        <v>10087.916999999999</v>
      </c>
    </row>
    <row r="72" spans="2:9" x14ac:dyDescent="0.25">
      <c r="B72" s="1">
        <v>2001</v>
      </c>
      <c r="C72" s="1">
        <f>VLOOKUP(Indicateur10!$K$6,prevision10!$A$1:$BD$29,MATCH(prevision10!B72,prevision10!$A$1:$BD$1,0),FALSE)</f>
        <v>8723.7929999999997</v>
      </c>
      <c r="H72" s="1">
        <v>2001</v>
      </c>
      <c r="I72" s="1">
        <f>VLOOKUP('comite 4'!$C$4,prevision10!$A$1:$BG$28,MATCH(H72,$A$1:$BG$1,0),FALSE)</f>
        <v>8723.7929999999997</v>
      </c>
    </row>
    <row r="73" spans="2:9" x14ac:dyDescent="0.25">
      <c r="B73" s="1">
        <v>2002</v>
      </c>
      <c r="C73" s="1">
        <f>VLOOKUP(Indicateur10!$K$6,prevision10!$A$1:$BD$29,MATCH(prevision10!B73,prevision10!$A$1:$BD$1,0),FALSE)</f>
        <v>9207.8369999999995</v>
      </c>
      <c r="H73" s="1">
        <v>2002</v>
      </c>
      <c r="I73" s="1">
        <f>VLOOKUP('comite 4'!$C$4,prevision10!$A$1:$BG$28,MATCH(H73,$A$1:$BG$1,0),FALSE)</f>
        <v>9207.8369999999995</v>
      </c>
    </row>
    <row r="74" spans="2:9" x14ac:dyDescent="0.25">
      <c r="B74" s="1">
        <v>2003</v>
      </c>
      <c r="C74" s="1">
        <f>VLOOKUP(Indicateur10!$K$6,prevision10!$A$1:$BD$29,MATCH(prevision10!B74,prevision10!$A$1:$BD$1,0),FALSE)</f>
        <v>9845.8950000000004</v>
      </c>
      <c r="H74" s="1">
        <v>2003</v>
      </c>
      <c r="I74" s="1">
        <f>VLOOKUP('comite 4'!$C$4,prevision10!$A$1:$BG$28,MATCH(H74,$A$1:$BG$1,0),FALSE)</f>
        <v>9845.8950000000004</v>
      </c>
    </row>
    <row r="75" spans="2:9" x14ac:dyDescent="0.25">
      <c r="B75" s="1">
        <v>2004</v>
      </c>
      <c r="C75" s="1">
        <f>VLOOKUP(Indicateur10!$K$6,prevision10!$A$1:$BD$29,MATCH(prevision10!B75,prevision10!$A$1:$BD$1,0),FALSE)</f>
        <v>12434.797</v>
      </c>
      <c r="H75" s="1">
        <v>2004</v>
      </c>
      <c r="I75" s="1">
        <f>VLOOKUP('comite 4'!$C$4,prevision10!$A$1:$BG$28,MATCH(H75,$A$1:$BG$1,0),FALSE)</f>
        <v>12434.797</v>
      </c>
    </row>
    <row r="76" spans="2:9" x14ac:dyDescent="0.25">
      <c r="B76" s="1">
        <v>2005</v>
      </c>
      <c r="C76" s="1">
        <f>VLOOKUP(Indicateur10!$K$6,prevision10!$A$1:$BD$29,MATCH(prevision10!B76,prevision10!$A$1:$BD$1,0),FALSE)</f>
        <v>11598.721</v>
      </c>
      <c r="H76" s="1">
        <v>2005</v>
      </c>
      <c r="I76" s="1">
        <f>VLOOKUP('comite 4'!$C$4,prevision10!$A$1:$BG$28,MATCH(H76,$A$1:$BG$1,0),FALSE)</f>
        <v>11598.721</v>
      </c>
    </row>
    <row r="77" spans="2:9" x14ac:dyDescent="0.25">
      <c r="B77" s="1">
        <v>2006</v>
      </c>
      <c r="C77" s="1">
        <f>VLOOKUP(Indicateur10!$K$6,prevision10!$A$1:$BD$29,MATCH(prevision10!B77,prevision10!$A$1:$BD$1,0),FALSE)</f>
        <v>12849.168</v>
      </c>
      <c r="H77" s="1">
        <v>2006</v>
      </c>
      <c r="I77" s="1">
        <f>VLOOKUP('comite 4'!$C$4,prevision10!$A$1:$BG$28,MATCH(H77,$A$1:$BG$1,0),FALSE)</f>
        <v>12849.168</v>
      </c>
    </row>
    <row r="78" spans="2:9" x14ac:dyDescent="0.25">
      <c r="B78" s="1">
        <v>2007</v>
      </c>
      <c r="C78" s="1">
        <f>VLOOKUP(Indicateur10!$K$6,prevision10!$A$1:$BD$29,MATCH(prevision10!B78,prevision10!$A$1:$BD$1,0),FALSE)</f>
        <v>12874.837</v>
      </c>
      <c r="H78" s="1">
        <v>2007</v>
      </c>
      <c r="I78" s="1">
        <f>VLOOKUP('comite 4'!$C$4,prevision10!$A$1:$BG$28,MATCH(H78,$A$1:$BG$1,0),FALSE)</f>
        <v>12874.837</v>
      </c>
    </row>
    <row r="79" spans="2:9" x14ac:dyDescent="0.25">
      <c r="B79" s="1">
        <v>2008</v>
      </c>
      <c r="C79" s="1">
        <f>VLOOKUP(Indicateur10!$K$6,prevision10!$A$1:$BD$29,MATCH(prevision10!B79,prevision10!$A$1:$BD$1,0),FALSE)</f>
        <v>9801.8909999999996</v>
      </c>
      <c r="H79" s="1">
        <v>2008</v>
      </c>
      <c r="I79" s="1">
        <f>VLOOKUP('comite 4'!$C$4,prevision10!$A$1:$BG$28,MATCH(H79,$A$1:$BG$1,0),FALSE)</f>
        <v>9801.8909999999996</v>
      </c>
    </row>
    <row r="80" spans="2:9" x14ac:dyDescent="0.25">
      <c r="B80" s="1">
        <v>2009</v>
      </c>
      <c r="C80" s="1">
        <f>VLOOKUP(Indicateur10!$K$6,prevision10!$A$1:$BD$29,MATCH(prevision10!B80,prevision10!$A$1:$BD$1,0),FALSE)</f>
        <v>10230.93</v>
      </c>
      <c r="H80" s="1">
        <v>2009</v>
      </c>
      <c r="I80" s="1">
        <f>VLOOKUP('comite 4'!$C$4,prevision10!$A$1:$BG$28,MATCH(H80,$A$1:$BG$1,0),FALSE)</f>
        <v>10230.93</v>
      </c>
    </row>
    <row r="81" spans="2:10" x14ac:dyDescent="0.25">
      <c r="B81" s="1">
        <v>2010</v>
      </c>
      <c r="C81" s="1">
        <f>VLOOKUP(Indicateur10!$K$6,prevision10!$A$1:$BD$29,MATCH(prevision10!B81,prevision10!$A$1:$BD$1,0),FALSE)</f>
        <v>12515.471</v>
      </c>
      <c r="H81" s="1">
        <v>2010</v>
      </c>
      <c r="I81" s="1">
        <f>VLOOKUP('comite 4'!$C$4,prevision10!$A$1:$BG$28,MATCH(H81,$A$1:$BG$1,0),FALSE)</f>
        <v>12515.471</v>
      </c>
    </row>
    <row r="82" spans="2:10" x14ac:dyDescent="0.25">
      <c r="B82" s="1">
        <v>2011</v>
      </c>
      <c r="C82" s="1">
        <f>VLOOKUP(Indicateur10!$K$6,prevision10!$A$1:$BD$29,MATCH(prevision10!B82,prevision10!$A$1:$BD$1,0),FALSE)</f>
        <v>14297.633</v>
      </c>
      <c r="H82" s="1">
        <v>2011</v>
      </c>
      <c r="I82" s="1">
        <f>VLOOKUP('comite 4'!$C$4,prevision10!$A$1:$BG$28,MATCH(H82,$A$1:$BG$1,0),FALSE)</f>
        <v>14297.633</v>
      </c>
    </row>
    <row r="83" spans="2:10" x14ac:dyDescent="0.25">
      <c r="B83" s="1">
        <v>2012</v>
      </c>
      <c r="C83" s="1">
        <f>VLOOKUP(Indicateur10!$K$6,prevision10!$A$1:$BD$29,MATCH(prevision10!B83,prevision10!$A$1:$BD$1,0),FALSE)</f>
        <v>11070.673000000001</v>
      </c>
      <c r="H83" s="1">
        <v>2012</v>
      </c>
      <c r="I83" s="1">
        <f>VLOOKUP('comite 4'!$C$4,prevision10!$A$1:$BG$28,MATCH(H83,$A$1:$BG$1,0),FALSE)</f>
        <v>11070.673000000001</v>
      </c>
    </row>
    <row r="84" spans="2:10" x14ac:dyDescent="0.25">
      <c r="B84" s="1">
        <v>2013</v>
      </c>
      <c r="C84" s="1">
        <f>VLOOKUP(Indicateur10!$K$6,prevision10!$A$1:$BD$29,MATCH(prevision10!B84,prevision10!$A$1:$BD$1,0),FALSE)</f>
        <v>12860.169</v>
      </c>
      <c r="H84" s="1">
        <v>2013</v>
      </c>
      <c r="I84" s="1">
        <f>VLOOKUP('comite 4'!$C$4,prevision10!$A$1:$BG$28,MATCH(H84,$A$1:$BG$1,0),FALSE)</f>
        <v>12860.169</v>
      </c>
    </row>
    <row r="85" spans="2:10" x14ac:dyDescent="0.25">
      <c r="B85" s="1">
        <v>2014</v>
      </c>
      <c r="C85" s="1">
        <f>VLOOKUP(Indicateur10!$K$6,prevision10!$A$1:$BD$29,MATCH(prevision10!B85,prevision10!$A$1:$BD$1,0),FALSE)</f>
        <v>21631.633000000002</v>
      </c>
      <c r="D85" s="1">
        <f>C85</f>
        <v>21631.633000000002</v>
      </c>
      <c r="H85" s="1">
        <v>2014</v>
      </c>
      <c r="I85" s="1">
        <f>VLOOKUP('comite 4'!$C$4,prevision10!$A$1:$BG$28,MATCH(H85,$A$1:$BG$1,0),FALSE)</f>
        <v>21631.633000000002</v>
      </c>
      <c r="J85" s="1">
        <f>I85</f>
        <v>21631.633000000002</v>
      </c>
    </row>
    <row r="86" spans="2:10" x14ac:dyDescent="0.25">
      <c r="B86" s="1">
        <v>2015</v>
      </c>
      <c r="D86" s="1">
        <f>TREND($C$31:$C$85,$B$31:$B$85,B86)</f>
        <v>12621.776959595969</v>
      </c>
      <c r="H86" s="1">
        <v>2015</v>
      </c>
      <c r="J86" s="1">
        <f>TREND($I$31:$I$85,$H$31:$H$85,H86)</f>
        <v>12621.776959595969</v>
      </c>
    </row>
    <row r="87" spans="2:10" x14ac:dyDescent="0.25">
      <c r="B87" s="1">
        <v>2016</v>
      </c>
      <c r="D87" s="1">
        <f t="shared" ref="D87:D101" si="0">TREND($C$31:$C$85,$B$31:$B$85,B87)</f>
        <v>12827.611013997113</v>
      </c>
      <c r="H87" s="1">
        <v>2016</v>
      </c>
      <c r="J87" s="1">
        <f t="shared" ref="J87:J101" si="1">TREND($I$31:$I$85,$H$31:$H$85,H87)</f>
        <v>12827.611013997113</v>
      </c>
    </row>
    <row r="88" spans="2:10" x14ac:dyDescent="0.25">
      <c r="B88" s="1">
        <v>2017</v>
      </c>
      <c r="D88" s="1">
        <f t="shared" si="0"/>
        <v>13033.445068398316</v>
      </c>
      <c r="H88" s="1">
        <v>2017</v>
      </c>
      <c r="J88" s="1">
        <f t="shared" si="1"/>
        <v>13033.445068398316</v>
      </c>
    </row>
    <row r="89" spans="2:10" x14ac:dyDescent="0.25">
      <c r="B89" s="1">
        <v>2018</v>
      </c>
      <c r="D89" s="1">
        <f t="shared" si="0"/>
        <v>13239.27912279946</v>
      </c>
      <c r="H89" s="1">
        <v>2018</v>
      </c>
      <c r="J89" s="1">
        <f t="shared" si="1"/>
        <v>13239.27912279946</v>
      </c>
    </row>
    <row r="90" spans="2:10" x14ac:dyDescent="0.25">
      <c r="B90" s="1">
        <v>2019</v>
      </c>
      <c r="D90" s="1">
        <f t="shared" si="0"/>
        <v>13445.113177200605</v>
      </c>
      <c r="H90" s="1">
        <v>2019</v>
      </c>
      <c r="J90" s="1">
        <f t="shared" si="1"/>
        <v>13445.113177200605</v>
      </c>
    </row>
    <row r="91" spans="2:10" x14ac:dyDescent="0.25">
      <c r="B91" s="1">
        <v>2020</v>
      </c>
      <c r="D91" s="1">
        <f t="shared" si="0"/>
        <v>13650.947231601749</v>
      </c>
      <c r="H91" s="1">
        <v>2020</v>
      </c>
      <c r="J91" s="1">
        <f t="shared" si="1"/>
        <v>13650.947231601749</v>
      </c>
    </row>
    <row r="92" spans="2:10" x14ac:dyDescent="0.25">
      <c r="B92" s="1">
        <v>2021</v>
      </c>
      <c r="D92" s="1">
        <f t="shared" si="0"/>
        <v>13856.781286002893</v>
      </c>
      <c r="H92" s="1">
        <v>2021</v>
      </c>
      <c r="J92" s="1">
        <f t="shared" si="1"/>
        <v>13856.781286002893</v>
      </c>
    </row>
    <row r="93" spans="2:10" x14ac:dyDescent="0.25">
      <c r="B93" s="1">
        <v>2022</v>
      </c>
      <c r="D93" s="1">
        <f t="shared" si="0"/>
        <v>14062.615340404038</v>
      </c>
      <c r="H93" s="1">
        <v>2022</v>
      </c>
      <c r="J93" s="1">
        <f t="shared" si="1"/>
        <v>14062.615340404038</v>
      </c>
    </row>
    <row r="94" spans="2:10" x14ac:dyDescent="0.25">
      <c r="B94" s="1">
        <v>2023</v>
      </c>
      <c r="D94" s="1">
        <f t="shared" si="0"/>
        <v>14268.44939480524</v>
      </c>
      <c r="H94" s="1">
        <v>2023</v>
      </c>
      <c r="J94" s="1">
        <f t="shared" si="1"/>
        <v>14268.44939480524</v>
      </c>
    </row>
    <row r="95" spans="2:10" x14ac:dyDescent="0.25">
      <c r="B95" s="1">
        <v>2024</v>
      </c>
      <c r="D95" s="1">
        <f t="shared" si="0"/>
        <v>14474.283449206385</v>
      </c>
      <c r="H95" s="1">
        <v>2024</v>
      </c>
      <c r="J95" s="1">
        <f t="shared" si="1"/>
        <v>14474.283449206385</v>
      </c>
    </row>
    <row r="96" spans="2:10" x14ac:dyDescent="0.25">
      <c r="B96" s="1">
        <v>2025</v>
      </c>
      <c r="D96" s="1">
        <f t="shared" si="0"/>
        <v>14680.117503607529</v>
      </c>
      <c r="H96" s="1">
        <v>2025</v>
      </c>
      <c r="J96" s="1">
        <f t="shared" si="1"/>
        <v>14680.117503607529</v>
      </c>
    </row>
    <row r="97" spans="2:10" x14ac:dyDescent="0.25">
      <c r="B97" s="1">
        <v>2026</v>
      </c>
      <c r="D97" s="1">
        <f t="shared" si="0"/>
        <v>14885.951558008674</v>
      </c>
      <c r="H97" s="1">
        <v>2026</v>
      </c>
      <c r="J97" s="1">
        <f t="shared" si="1"/>
        <v>14885.951558008674</v>
      </c>
    </row>
    <row r="98" spans="2:10" x14ac:dyDescent="0.25">
      <c r="B98" s="1">
        <v>2027</v>
      </c>
      <c r="D98" s="1">
        <f t="shared" si="0"/>
        <v>15091.785612409818</v>
      </c>
      <c r="H98" s="1">
        <v>2027</v>
      </c>
      <c r="J98" s="1">
        <f t="shared" si="1"/>
        <v>15091.785612409818</v>
      </c>
    </row>
    <row r="99" spans="2:10" x14ac:dyDescent="0.25">
      <c r="B99" s="1">
        <v>2028</v>
      </c>
      <c r="D99" s="1">
        <f t="shared" si="0"/>
        <v>15297.619666811021</v>
      </c>
      <c r="H99" s="1">
        <v>2028</v>
      </c>
      <c r="J99" s="1">
        <f t="shared" si="1"/>
        <v>15297.619666811021</v>
      </c>
    </row>
    <row r="100" spans="2:10" x14ac:dyDescent="0.25">
      <c r="B100" s="1">
        <v>2029</v>
      </c>
      <c r="D100" s="1">
        <f t="shared" si="0"/>
        <v>15503.453721212165</v>
      </c>
      <c r="H100" s="1">
        <v>2029</v>
      </c>
      <c r="J100" s="1">
        <f t="shared" si="1"/>
        <v>15503.453721212165</v>
      </c>
    </row>
    <row r="101" spans="2:10" x14ac:dyDescent="0.25">
      <c r="B101" s="1">
        <v>2030</v>
      </c>
      <c r="D101" s="1">
        <f t="shared" si="0"/>
        <v>15709.287775613309</v>
      </c>
      <c r="H101" s="1">
        <v>2030</v>
      </c>
      <c r="J101" s="1">
        <f t="shared" si="1"/>
        <v>15709.287775613309</v>
      </c>
    </row>
  </sheetData>
  <phoneticPr fontId="12"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dimension ref="A1:BE101"/>
  <sheetViews>
    <sheetView workbookViewId="0">
      <selection activeCell="B30" sqref="B30"/>
    </sheetView>
  </sheetViews>
  <sheetFormatPr defaultColWidth="8" defaultRowHeight="13.8" x14ac:dyDescent="0.25"/>
  <cols>
    <col min="1" max="16384" width="8" style="1"/>
  </cols>
  <sheetData>
    <row r="1" spans="1:57" x14ac:dyDescent="0.25">
      <c r="A1" s="17" t="s">
        <v>7</v>
      </c>
      <c r="B1" s="14">
        <v>1961</v>
      </c>
      <c r="C1" s="14">
        <v>1962</v>
      </c>
      <c r="D1" s="14">
        <v>1963</v>
      </c>
      <c r="E1" s="14">
        <v>1964</v>
      </c>
      <c r="F1" s="14">
        <v>1965</v>
      </c>
      <c r="G1" s="14">
        <v>1966</v>
      </c>
      <c r="H1" s="14">
        <v>1967</v>
      </c>
      <c r="I1" s="14">
        <v>1968</v>
      </c>
      <c r="J1" s="14">
        <v>1969</v>
      </c>
      <c r="K1" s="14">
        <v>1970</v>
      </c>
      <c r="L1" s="14">
        <v>1971</v>
      </c>
      <c r="M1" s="14">
        <v>1972</v>
      </c>
      <c r="N1" s="14">
        <v>1973</v>
      </c>
      <c r="O1" s="14">
        <v>1974</v>
      </c>
      <c r="P1" s="14">
        <v>1975</v>
      </c>
      <c r="Q1" s="14">
        <v>1976</v>
      </c>
      <c r="R1" s="14">
        <v>1977</v>
      </c>
      <c r="S1" s="14">
        <v>1978</v>
      </c>
      <c r="T1" s="14">
        <v>1979</v>
      </c>
      <c r="U1" s="14">
        <v>1980</v>
      </c>
      <c r="V1" s="14">
        <v>1981</v>
      </c>
      <c r="W1" s="14">
        <v>1982</v>
      </c>
      <c r="X1" s="14">
        <v>1983</v>
      </c>
      <c r="Y1" s="14">
        <v>1984</v>
      </c>
      <c r="Z1" s="14">
        <v>1985</v>
      </c>
      <c r="AA1" s="14">
        <v>1986</v>
      </c>
      <c r="AB1" s="14">
        <v>1987</v>
      </c>
      <c r="AC1" s="14">
        <v>1988</v>
      </c>
      <c r="AD1" s="14">
        <v>1989</v>
      </c>
      <c r="AE1" s="14">
        <v>1990</v>
      </c>
      <c r="AF1" s="14">
        <v>1991</v>
      </c>
      <c r="AG1" s="14">
        <v>1992</v>
      </c>
      <c r="AH1" s="14">
        <v>1993</v>
      </c>
      <c r="AI1" s="14">
        <v>1994</v>
      </c>
      <c r="AJ1" s="14">
        <v>1995</v>
      </c>
      <c r="AK1" s="14">
        <v>1996</v>
      </c>
      <c r="AL1" s="14">
        <v>1997</v>
      </c>
      <c r="AM1" s="14">
        <v>1998</v>
      </c>
      <c r="AN1" s="14">
        <v>1999</v>
      </c>
      <c r="AO1" s="14">
        <v>2000</v>
      </c>
      <c r="AP1" s="14">
        <v>2001</v>
      </c>
      <c r="AQ1" s="14">
        <v>2002</v>
      </c>
      <c r="AR1" s="14">
        <v>2003</v>
      </c>
      <c r="AS1" s="14">
        <v>2004</v>
      </c>
      <c r="AT1" s="14">
        <v>2005</v>
      </c>
      <c r="AU1" s="14">
        <v>2006</v>
      </c>
      <c r="AV1" s="14">
        <v>2007</v>
      </c>
      <c r="AW1" s="14">
        <v>2008</v>
      </c>
      <c r="AX1" s="14">
        <v>2009</v>
      </c>
      <c r="AY1" s="14">
        <v>2010</v>
      </c>
      <c r="AZ1" s="14">
        <v>2011</v>
      </c>
      <c r="BA1" s="14">
        <v>2012</v>
      </c>
      <c r="BB1" s="14">
        <v>2013</v>
      </c>
      <c r="BC1" s="14">
        <v>2014</v>
      </c>
      <c r="BD1" s="14">
        <v>2015</v>
      </c>
      <c r="BE1" s="14">
        <v>2016</v>
      </c>
    </row>
    <row r="2" spans="1:57" x14ac:dyDescent="0.25">
      <c r="A2" s="18" t="s">
        <v>10</v>
      </c>
      <c r="B2" s="1">
        <v>63.16</v>
      </c>
      <c r="C2" s="1">
        <v>63.4</v>
      </c>
      <c r="D2" s="1">
        <v>64.23</v>
      </c>
      <c r="E2" s="1">
        <v>69.37</v>
      </c>
      <c r="F2" s="1">
        <v>69.739999999999995</v>
      </c>
      <c r="G2" s="1">
        <v>70.010000000000005</v>
      </c>
      <c r="H2" s="1">
        <v>72.709999999999994</v>
      </c>
      <c r="I2" s="1">
        <v>74.89</v>
      </c>
      <c r="J2" s="1">
        <v>74.66</v>
      </c>
      <c r="K2" s="1">
        <v>75.41</v>
      </c>
      <c r="L2" s="1">
        <v>77.34</v>
      </c>
      <c r="M2" s="1">
        <v>70.680000000000007</v>
      </c>
      <c r="N2" s="1">
        <v>79.680000000000007</v>
      </c>
      <c r="O2" s="1">
        <v>73.89</v>
      </c>
      <c r="P2" s="1">
        <v>81.12</v>
      </c>
      <c r="Q2" s="1">
        <v>82.79</v>
      </c>
      <c r="R2" s="1">
        <v>84.92</v>
      </c>
      <c r="S2" s="1">
        <v>78.66</v>
      </c>
      <c r="T2" s="1">
        <v>79.209999999999994</v>
      </c>
      <c r="U2" s="1">
        <v>77.989999999999995</v>
      </c>
      <c r="V2" s="1">
        <v>82.76</v>
      </c>
      <c r="W2" s="1">
        <v>81.5</v>
      </c>
      <c r="X2" s="1">
        <v>80.11</v>
      </c>
      <c r="Y2" s="1">
        <v>79.8</v>
      </c>
      <c r="Z2" s="1">
        <v>90.46</v>
      </c>
      <c r="AA2" s="1">
        <v>95.34</v>
      </c>
      <c r="AB2" s="1">
        <v>97.86</v>
      </c>
      <c r="AC2" s="1">
        <v>100.9</v>
      </c>
      <c r="AD2" s="1">
        <v>95.15</v>
      </c>
      <c r="AE2" s="1">
        <v>101.8</v>
      </c>
      <c r="AF2" s="1">
        <v>105.24</v>
      </c>
      <c r="AG2" s="1">
        <v>107.39</v>
      </c>
      <c r="AH2" s="1">
        <v>105.4</v>
      </c>
      <c r="AI2" s="1">
        <v>90.54</v>
      </c>
      <c r="AJ2" s="1">
        <v>95.01</v>
      </c>
      <c r="AK2" s="1">
        <v>96.75</v>
      </c>
      <c r="AL2" s="1">
        <v>97.61</v>
      </c>
      <c r="AM2" s="1">
        <v>91.43</v>
      </c>
      <c r="AN2" s="1">
        <v>94.51</v>
      </c>
      <c r="AO2" s="1">
        <v>90.79</v>
      </c>
      <c r="AP2" s="1">
        <v>97.97</v>
      </c>
      <c r="AQ2" s="1">
        <v>100.55</v>
      </c>
      <c r="AR2" s="1">
        <v>104.19</v>
      </c>
      <c r="AS2" s="1">
        <v>98.33</v>
      </c>
      <c r="AT2" s="1">
        <v>100.39</v>
      </c>
      <c r="AU2" s="1">
        <v>101.28</v>
      </c>
      <c r="AV2" s="1">
        <v>104.59</v>
      </c>
      <c r="AW2" s="1">
        <v>105.72</v>
      </c>
      <c r="AX2" s="1">
        <v>112.57</v>
      </c>
      <c r="AY2" s="1">
        <v>113.93</v>
      </c>
      <c r="AZ2" s="1">
        <v>111.92</v>
      </c>
      <c r="BA2" s="1">
        <v>98.47</v>
      </c>
      <c r="BB2" s="1">
        <v>144.69999999999999</v>
      </c>
      <c r="BC2" s="1">
        <v>121.01</v>
      </c>
      <c r="BD2" s="1">
        <v>110.95</v>
      </c>
      <c r="BE2" s="1">
        <v>119.85</v>
      </c>
    </row>
    <row r="3" spans="1:57" x14ac:dyDescent="0.25">
      <c r="A3" s="18" t="s">
        <v>13</v>
      </c>
      <c r="B3" s="1">
        <v>25.99</v>
      </c>
      <c r="C3" s="1">
        <v>27.5</v>
      </c>
      <c r="D3" s="1">
        <v>29.65</v>
      </c>
      <c r="E3" s="1">
        <v>30.56</v>
      </c>
      <c r="F3" s="1">
        <v>28.15</v>
      </c>
      <c r="G3" s="1">
        <v>29.71</v>
      </c>
      <c r="H3" s="1">
        <v>32.72</v>
      </c>
      <c r="I3" s="1">
        <v>34.130000000000003</v>
      </c>
      <c r="J3" s="1">
        <v>33.67</v>
      </c>
      <c r="K3" s="1">
        <v>37</v>
      </c>
      <c r="L3" s="1">
        <v>38.6</v>
      </c>
      <c r="M3" s="1">
        <v>40.4</v>
      </c>
      <c r="N3" s="1">
        <v>41.53</v>
      </c>
      <c r="O3" s="1">
        <v>44.75</v>
      </c>
      <c r="P3" s="1">
        <v>44.89</v>
      </c>
      <c r="Q3" s="1">
        <v>43.36</v>
      </c>
      <c r="R3" s="1">
        <v>44.52</v>
      </c>
      <c r="S3" s="1">
        <v>43.61</v>
      </c>
      <c r="T3" s="1">
        <v>44.77</v>
      </c>
      <c r="U3" s="1">
        <v>45.55</v>
      </c>
      <c r="V3" s="1">
        <v>46.39</v>
      </c>
      <c r="W3" s="1">
        <v>48</v>
      </c>
      <c r="X3" s="1">
        <v>49.34</v>
      </c>
      <c r="Y3" s="1">
        <v>48.39</v>
      </c>
      <c r="Z3" s="1">
        <v>52.5</v>
      </c>
      <c r="AA3" s="1">
        <v>55.94</v>
      </c>
      <c r="AB3" s="1">
        <v>50.79</v>
      </c>
      <c r="AC3" s="1">
        <v>52.47</v>
      </c>
      <c r="AD3" s="1">
        <v>54.61</v>
      </c>
      <c r="AE3" s="1">
        <v>57.14</v>
      </c>
      <c r="AF3" s="1">
        <v>58.34</v>
      </c>
      <c r="AG3" s="1">
        <v>59.21</v>
      </c>
      <c r="AH3" s="1">
        <v>62.47</v>
      </c>
      <c r="AI3" s="1">
        <v>64.459999999999994</v>
      </c>
      <c r="AJ3" s="1">
        <v>68.290000000000006</v>
      </c>
      <c r="AK3" s="1">
        <v>71.34</v>
      </c>
      <c r="AL3" s="1">
        <v>69.25</v>
      </c>
      <c r="AM3" s="1">
        <v>72.599999999999994</v>
      </c>
      <c r="AN3" s="1">
        <v>76.27</v>
      </c>
      <c r="AO3" s="1">
        <v>77.78</v>
      </c>
      <c r="AP3" s="1">
        <v>79.739999999999995</v>
      </c>
      <c r="AQ3" s="1">
        <v>81.94</v>
      </c>
      <c r="AR3" s="1">
        <v>85</v>
      </c>
      <c r="AS3" s="1">
        <v>88.99</v>
      </c>
      <c r="AT3" s="1">
        <v>101.91</v>
      </c>
      <c r="AU3" s="1">
        <v>109.1</v>
      </c>
      <c r="AV3" s="1">
        <v>116.25</v>
      </c>
      <c r="AW3" s="1">
        <v>121.63</v>
      </c>
      <c r="AX3" s="1">
        <v>131.21</v>
      </c>
      <c r="AY3" s="1">
        <v>142.88</v>
      </c>
      <c r="AZ3" s="1">
        <v>148.37</v>
      </c>
      <c r="BA3" s="1">
        <v>155.87</v>
      </c>
      <c r="BB3" s="1">
        <v>159.66</v>
      </c>
      <c r="BC3" s="1">
        <v>160.74</v>
      </c>
      <c r="BD3" s="1">
        <v>168.99</v>
      </c>
      <c r="BE3" s="1">
        <v>181.65</v>
      </c>
    </row>
    <row r="4" spans="1:57" x14ac:dyDescent="0.25">
      <c r="A4" s="18" t="s">
        <v>15</v>
      </c>
      <c r="B4" s="1">
        <v>35.450000000000003</v>
      </c>
      <c r="C4" s="1">
        <v>37.39</v>
      </c>
      <c r="D4" s="1">
        <v>39.82</v>
      </c>
      <c r="E4" s="1">
        <v>38.909999999999997</v>
      </c>
      <c r="F4" s="1">
        <v>38.32</v>
      </c>
      <c r="G4" s="1">
        <v>38.82</v>
      </c>
      <c r="H4" s="1">
        <v>38.26</v>
      </c>
      <c r="I4" s="1">
        <v>40.119999999999997</v>
      </c>
      <c r="J4" s="1">
        <v>39.51</v>
      </c>
      <c r="K4" s="1">
        <v>38.19</v>
      </c>
      <c r="L4" s="1">
        <v>37.840000000000003</v>
      </c>
      <c r="M4" s="1">
        <v>36.020000000000003</v>
      </c>
      <c r="N4" s="1">
        <v>33.340000000000003</v>
      </c>
      <c r="O4" s="1">
        <v>34.08</v>
      </c>
      <c r="P4" s="1">
        <v>36.39</v>
      </c>
      <c r="Q4" s="1">
        <v>37.659999999999997</v>
      </c>
      <c r="R4" s="1">
        <v>38.68</v>
      </c>
      <c r="S4" s="1">
        <v>40.869999999999997</v>
      </c>
      <c r="T4" s="1">
        <v>41.2</v>
      </c>
      <c r="U4" s="1">
        <v>42.65</v>
      </c>
      <c r="V4" s="1">
        <v>41.29</v>
      </c>
      <c r="W4" s="1">
        <v>42.12</v>
      </c>
      <c r="X4" s="1">
        <v>43.51</v>
      </c>
      <c r="Y4" s="1">
        <v>36.619999999999997</v>
      </c>
      <c r="Z4" s="1">
        <v>43.9</v>
      </c>
      <c r="AA4" s="1">
        <v>44.86</v>
      </c>
      <c r="AB4" s="1">
        <v>44.92</v>
      </c>
      <c r="AC4" s="1">
        <v>50.79</v>
      </c>
      <c r="AD4" s="1">
        <v>50.42</v>
      </c>
      <c r="AE4" s="1">
        <v>49.45</v>
      </c>
      <c r="AF4" s="1">
        <v>67.52</v>
      </c>
      <c r="AG4" s="1">
        <v>68.86</v>
      </c>
      <c r="AH4" s="1">
        <v>61.73</v>
      </c>
      <c r="AI4" s="1">
        <v>70.16</v>
      </c>
      <c r="AJ4" s="1">
        <v>71.84</v>
      </c>
      <c r="AK4" s="1">
        <v>73.3</v>
      </c>
      <c r="AL4" s="1">
        <v>81.8</v>
      </c>
      <c r="AM4" s="1">
        <v>91.72</v>
      </c>
      <c r="AN4" s="1">
        <v>86.81</v>
      </c>
      <c r="AO4" s="1">
        <v>84.02</v>
      </c>
      <c r="AP4" s="1">
        <v>96.02</v>
      </c>
      <c r="AQ4" s="1">
        <v>90.55</v>
      </c>
      <c r="AR4" s="1">
        <v>99.27</v>
      </c>
      <c r="AS4" s="1">
        <v>89.44</v>
      </c>
      <c r="AT4" s="1">
        <v>105.67</v>
      </c>
      <c r="AU4" s="1">
        <v>104.89</v>
      </c>
      <c r="AV4" s="1">
        <v>109.27</v>
      </c>
      <c r="AW4" s="1">
        <v>111.07</v>
      </c>
      <c r="AX4" s="1">
        <v>104.62</v>
      </c>
      <c r="AY4" s="1">
        <v>155.81</v>
      </c>
      <c r="AZ4" s="1">
        <v>113.97</v>
      </c>
      <c r="BA4" s="1">
        <v>161.94999999999999</v>
      </c>
      <c r="BB4" s="1">
        <v>146.33000000000001</v>
      </c>
      <c r="BC4" s="1">
        <v>146.9</v>
      </c>
      <c r="BD4" s="1">
        <v>145.38999999999999</v>
      </c>
      <c r="BE4" s="1">
        <v>155.19999999999999</v>
      </c>
    </row>
    <row r="5" spans="1:57" x14ac:dyDescent="0.25">
      <c r="A5" s="18" t="s">
        <v>16</v>
      </c>
      <c r="B5" s="1">
        <v>40.909999999999997</v>
      </c>
      <c r="C5" s="1">
        <v>40.450000000000003</v>
      </c>
      <c r="D5" s="1">
        <v>45.14</v>
      </c>
      <c r="E5" s="1">
        <v>45.83</v>
      </c>
      <c r="F5" s="1">
        <v>46.76</v>
      </c>
      <c r="G5" s="1">
        <v>47.85</v>
      </c>
      <c r="H5" s="1">
        <v>48.37</v>
      </c>
      <c r="I5" s="1">
        <v>49.05</v>
      </c>
      <c r="J5" s="1">
        <v>51.57</v>
      </c>
      <c r="K5" s="1">
        <v>49.93</v>
      </c>
      <c r="L5" s="1">
        <v>51.64</v>
      </c>
      <c r="M5" s="1">
        <v>51.29</v>
      </c>
      <c r="N5" s="1">
        <v>51.28</v>
      </c>
      <c r="O5" s="1">
        <v>54.98</v>
      </c>
      <c r="P5" s="1">
        <v>55.22</v>
      </c>
      <c r="Q5" s="1">
        <v>55.08</v>
      </c>
      <c r="R5" s="1">
        <v>58.39</v>
      </c>
      <c r="S5" s="1">
        <v>58.82</v>
      </c>
      <c r="T5" s="1">
        <v>58.73</v>
      </c>
      <c r="U5" s="1">
        <v>59.99</v>
      </c>
      <c r="V5" s="1">
        <v>56.08</v>
      </c>
      <c r="W5" s="1">
        <v>60.58</v>
      </c>
      <c r="X5" s="1">
        <v>61.86</v>
      </c>
      <c r="Y5" s="1">
        <v>58.7</v>
      </c>
      <c r="Z5" s="1">
        <v>61.26</v>
      </c>
      <c r="AA5" s="1">
        <v>63.95</v>
      </c>
      <c r="AB5" s="1">
        <v>69.12</v>
      </c>
      <c r="AC5" s="1">
        <v>71.59</v>
      </c>
      <c r="AD5" s="1">
        <v>71.790000000000006</v>
      </c>
      <c r="AE5" s="1">
        <v>77.63</v>
      </c>
      <c r="AF5" s="1">
        <v>83.57</v>
      </c>
      <c r="AG5" s="1">
        <v>85.47</v>
      </c>
      <c r="AH5" s="1">
        <v>88.73</v>
      </c>
      <c r="AI5" s="1">
        <v>88.9</v>
      </c>
      <c r="AJ5" s="1">
        <v>89.37</v>
      </c>
      <c r="AK5" s="1">
        <v>91.85</v>
      </c>
      <c r="AL5" s="1">
        <v>90.71</v>
      </c>
      <c r="AM5" s="1">
        <v>94.6</v>
      </c>
      <c r="AN5" s="1">
        <v>96.18</v>
      </c>
      <c r="AO5" s="1">
        <v>96.6</v>
      </c>
      <c r="AP5" s="1">
        <v>99.06</v>
      </c>
      <c r="AQ5" s="1">
        <v>99.19</v>
      </c>
      <c r="AR5" s="1">
        <v>99.15</v>
      </c>
      <c r="AS5" s="1">
        <v>100.04</v>
      </c>
      <c r="AT5" s="1">
        <v>96.19</v>
      </c>
      <c r="AU5" s="1">
        <v>103.77</v>
      </c>
      <c r="AV5" s="1">
        <v>107.55</v>
      </c>
      <c r="AW5" s="1">
        <v>107.82</v>
      </c>
      <c r="AX5" s="1">
        <v>106.73</v>
      </c>
      <c r="AY5" s="1">
        <v>106.01</v>
      </c>
      <c r="AZ5" s="1">
        <v>105.66</v>
      </c>
      <c r="BA5" s="1">
        <v>101.5</v>
      </c>
      <c r="BB5" s="1">
        <v>105.78</v>
      </c>
      <c r="BC5" s="1">
        <v>105.32</v>
      </c>
      <c r="BD5" s="1">
        <v>107.96</v>
      </c>
      <c r="BE5" s="1">
        <v>108.68</v>
      </c>
    </row>
    <row r="6" spans="1:57" x14ac:dyDescent="0.25">
      <c r="A6" s="18" t="s">
        <v>17</v>
      </c>
      <c r="B6" s="1">
        <v>13.34</v>
      </c>
      <c r="C6" s="1">
        <v>13.7</v>
      </c>
      <c r="D6" s="1">
        <v>14.14</v>
      </c>
      <c r="E6" s="1">
        <v>14.45</v>
      </c>
      <c r="F6" s="1">
        <v>14.73</v>
      </c>
      <c r="G6" s="1">
        <v>15.95</v>
      </c>
      <c r="H6" s="1">
        <v>16.649999999999999</v>
      </c>
      <c r="I6" s="1">
        <v>17.91</v>
      </c>
      <c r="J6" s="1">
        <v>19.260000000000002</v>
      </c>
      <c r="K6" s="1">
        <v>20</v>
      </c>
      <c r="L6" s="1">
        <v>20.92</v>
      </c>
      <c r="M6" s="1">
        <v>22.03</v>
      </c>
      <c r="N6" s="1">
        <v>22.02</v>
      </c>
      <c r="O6" s="1">
        <v>23.5</v>
      </c>
      <c r="P6" s="1">
        <v>23.89</v>
      </c>
      <c r="Q6" s="1">
        <v>26.81</v>
      </c>
      <c r="R6" s="1">
        <v>26.24</v>
      </c>
      <c r="S6" s="1">
        <v>27.69</v>
      </c>
      <c r="T6" s="1">
        <v>36.36</v>
      </c>
      <c r="U6" s="1">
        <v>46.51</v>
      </c>
      <c r="V6" s="1">
        <v>44.98</v>
      </c>
      <c r="W6" s="1">
        <v>45.29</v>
      </c>
      <c r="X6" s="1">
        <v>52.88</v>
      </c>
      <c r="Y6" s="1">
        <v>58.06</v>
      </c>
      <c r="Z6" s="1">
        <v>68.239999999999995</v>
      </c>
      <c r="AA6" s="1">
        <v>73.599999999999994</v>
      </c>
      <c r="AB6" s="1">
        <v>75.739999999999995</v>
      </c>
      <c r="AC6" s="1">
        <v>78.819999999999993</v>
      </c>
      <c r="AD6" s="1">
        <v>94.99</v>
      </c>
      <c r="AE6" s="1">
        <v>93.14</v>
      </c>
      <c r="AF6" s="1">
        <v>69.540000000000006</v>
      </c>
      <c r="AG6" s="1">
        <v>73.23</v>
      </c>
      <c r="AH6" s="1">
        <v>68.989999999999995</v>
      </c>
      <c r="AI6" s="1">
        <v>73.69</v>
      </c>
      <c r="AJ6" s="1">
        <v>75.900000000000006</v>
      </c>
      <c r="AK6" s="1">
        <v>71.83</v>
      </c>
      <c r="AL6" s="1">
        <v>75.61</v>
      </c>
      <c r="AM6" s="1">
        <v>76.7</v>
      </c>
      <c r="AN6" s="1">
        <v>77.510000000000005</v>
      </c>
      <c r="AO6" s="1">
        <v>84.47</v>
      </c>
      <c r="AP6" s="1">
        <v>86.62</v>
      </c>
      <c r="AQ6" s="1">
        <v>98.87</v>
      </c>
      <c r="AR6" s="1">
        <v>95.66</v>
      </c>
      <c r="AS6" s="1">
        <v>94.39</v>
      </c>
      <c r="AT6" s="1">
        <v>94.91</v>
      </c>
      <c r="AU6" s="1">
        <v>110.7</v>
      </c>
      <c r="AV6" s="1">
        <v>136.19999999999999</v>
      </c>
      <c r="AW6" s="1">
        <v>142.25</v>
      </c>
      <c r="AX6" s="1">
        <v>125.38</v>
      </c>
      <c r="AY6" s="1">
        <v>115.67</v>
      </c>
      <c r="AZ6" s="1">
        <v>130.97</v>
      </c>
      <c r="BA6" s="1">
        <v>134.19999999999999</v>
      </c>
      <c r="BB6" s="1">
        <v>133.27000000000001</v>
      </c>
      <c r="BC6" s="1">
        <v>132.85</v>
      </c>
      <c r="BD6" s="1">
        <v>132.78</v>
      </c>
      <c r="BE6" s="1">
        <v>133.07</v>
      </c>
    </row>
    <row r="7" spans="1:57" x14ac:dyDescent="0.25">
      <c r="A7" s="18" t="s">
        <v>2</v>
      </c>
      <c r="AH7" s="1">
        <v>51.82</v>
      </c>
      <c r="AI7" s="1">
        <v>51.79</v>
      </c>
      <c r="AJ7" s="1">
        <v>57.54</v>
      </c>
      <c r="AK7" s="1">
        <v>67.069999999999993</v>
      </c>
      <c r="AL7" s="1">
        <v>67.98</v>
      </c>
      <c r="AM7" s="1">
        <v>62.92</v>
      </c>
      <c r="AN7" s="1">
        <v>67.760000000000005</v>
      </c>
      <c r="AO7" s="1">
        <v>69.87</v>
      </c>
      <c r="AP7" s="1">
        <v>75.25</v>
      </c>
      <c r="AQ7" s="1">
        <v>84.84</v>
      </c>
      <c r="AR7" s="1">
        <v>87.48</v>
      </c>
      <c r="AS7" s="1">
        <v>92.61</v>
      </c>
      <c r="AT7" s="1">
        <v>102.65</v>
      </c>
      <c r="AU7" s="1">
        <v>104.74</v>
      </c>
      <c r="AV7" s="1">
        <v>107.06</v>
      </c>
      <c r="AW7" s="1">
        <v>114.99</v>
      </c>
      <c r="AX7" s="1">
        <v>122</v>
      </c>
      <c r="AY7" s="1">
        <v>137.53</v>
      </c>
      <c r="AZ7" s="1">
        <v>138.58000000000001</v>
      </c>
      <c r="BA7" s="1">
        <v>147.09</v>
      </c>
      <c r="BB7" s="1">
        <v>150.28</v>
      </c>
      <c r="BC7" s="1">
        <v>157.56</v>
      </c>
      <c r="BD7" s="1">
        <v>168.7</v>
      </c>
      <c r="BE7" s="1">
        <v>161.88999999999999</v>
      </c>
    </row>
    <row r="8" spans="1:57" x14ac:dyDescent="0.25">
      <c r="A8" s="18" t="s">
        <v>18</v>
      </c>
      <c r="B8" s="1">
        <v>36.6</v>
      </c>
      <c r="C8" s="1">
        <v>37.270000000000003</v>
      </c>
      <c r="D8" s="1">
        <v>35.25</v>
      </c>
      <c r="E8" s="1">
        <v>37.090000000000003</v>
      </c>
      <c r="F8" s="1">
        <v>36.409999999999997</v>
      </c>
      <c r="G8" s="1">
        <v>39.21</v>
      </c>
      <c r="H8" s="1">
        <v>40.85</v>
      </c>
      <c r="I8" s="1">
        <v>41.88</v>
      </c>
      <c r="J8" s="1">
        <v>41.62</v>
      </c>
      <c r="K8" s="1">
        <v>43.07</v>
      </c>
      <c r="L8" s="1">
        <v>44.39</v>
      </c>
      <c r="M8" s="1">
        <v>42.45</v>
      </c>
      <c r="N8" s="1">
        <v>43</v>
      </c>
      <c r="O8" s="1">
        <v>43.47</v>
      </c>
      <c r="P8" s="1">
        <v>44.39</v>
      </c>
      <c r="Q8" s="1">
        <v>46.21</v>
      </c>
      <c r="R8" s="1">
        <v>46.67</v>
      </c>
      <c r="S8" s="1">
        <v>46.89</v>
      </c>
      <c r="T8" s="1">
        <v>48.26</v>
      </c>
      <c r="U8" s="1">
        <v>48.74</v>
      </c>
      <c r="V8" s="1">
        <v>49.08</v>
      </c>
      <c r="W8" s="1">
        <v>49.63</v>
      </c>
      <c r="X8" s="1">
        <v>50.06</v>
      </c>
      <c r="Y8" s="1">
        <v>52.32</v>
      </c>
      <c r="Z8" s="1">
        <v>52.65</v>
      </c>
      <c r="AA8" s="1">
        <v>52.75</v>
      </c>
      <c r="AB8" s="1">
        <v>53.64</v>
      </c>
      <c r="AC8" s="1">
        <v>54.44</v>
      </c>
      <c r="AD8" s="1">
        <v>57.15</v>
      </c>
      <c r="AE8" s="1">
        <v>59.98</v>
      </c>
      <c r="AF8" s="1">
        <v>63.86</v>
      </c>
      <c r="AG8" s="1">
        <v>67.47</v>
      </c>
      <c r="AH8" s="1">
        <v>68.58</v>
      </c>
      <c r="AI8" s="1">
        <v>72.73</v>
      </c>
      <c r="AJ8" s="1">
        <v>73.22</v>
      </c>
      <c r="AK8" s="1">
        <v>74.75</v>
      </c>
      <c r="AL8" s="1">
        <v>76.56</v>
      </c>
      <c r="AM8" s="1">
        <v>78.94</v>
      </c>
      <c r="AN8" s="1">
        <v>81.180000000000007</v>
      </c>
      <c r="AO8" s="1">
        <v>85.24</v>
      </c>
      <c r="AP8" s="1">
        <v>85.74</v>
      </c>
      <c r="AQ8" s="1">
        <v>89.55</v>
      </c>
      <c r="AR8" s="1">
        <v>93.26</v>
      </c>
      <c r="AS8" s="1">
        <v>96.88</v>
      </c>
      <c r="AT8" s="1">
        <v>100.55</v>
      </c>
      <c r="AU8" s="1">
        <v>102.57</v>
      </c>
      <c r="AV8" s="1">
        <v>106.13</v>
      </c>
      <c r="AW8" s="1">
        <v>111.77</v>
      </c>
      <c r="AX8" s="1">
        <v>112.15</v>
      </c>
      <c r="AY8" s="1">
        <v>119.79</v>
      </c>
      <c r="AZ8" s="1">
        <v>125.42</v>
      </c>
      <c r="BA8" s="1">
        <v>128.9</v>
      </c>
      <c r="BB8" s="1">
        <v>133.61000000000001</v>
      </c>
      <c r="BC8" s="1">
        <v>129.83000000000001</v>
      </c>
      <c r="BD8" s="1">
        <v>132.81</v>
      </c>
      <c r="BE8" s="1">
        <v>135.65</v>
      </c>
    </row>
    <row r="9" spans="1:57" x14ac:dyDescent="0.25">
      <c r="A9" s="18" t="s">
        <v>19</v>
      </c>
      <c r="B9" s="1">
        <v>63.29</v>
      </c>
      <c r="C9" s="1">
        <v>64.709999999999994</v>
      </c>
      <c r="D9" s="1">
        <v>66.959999999999994</v>
      </c>
      <c r="E9" s="1">
        <v>68.34</v>
      </c>
      <c r="F9" s="1">
        <v>70.290000000000006</v>
      </c>
      <c r="G9" s="1">
        <v>71.739999999999995</v>
      </c>
      <c r="H9" s="1">
        <v>74.23</v>
      </c>
      <c r="I9" s="1">
        <v>75.42</v>
      </c>
      <c r="J9" s="1">
        <v>77.64</v>
      </c>
      <c r="K9" s="1">
        <v>79.92</v>
      </c>
      <c r="L9" s="1">
        <v>82.21</v>
      </c>
      <c r="M9" s="1">
        <v>85.17</v>
      </c>
      <c r="N9" s="1">
        <v>86.21</v>
      </c>
      <c r="O9" s="1">
        <v>88.2</v>
      </c>
      <c r="P9" s="1">
        <v>89.25</v>
      </c>
      <c r="Q9" s="1">
        <v>91.67</v>
      </c>
      <c r="R9" s="1">
        <v>89.66</v>
      </c>
      <c r="S9" s="1">
        <v>94.08</v>
      </c>
      <c r="T9" s="1">
        <v>96.44</v>
      </c>
      <c r="U9" s="1">
        <v>95.99</v>
      </c>
      <c r="V9" s="1">
        <v>97.4</v>
      </c>
      <c r="W9" s="1">
        <v>99.52</v>
      </c>
      <c r="X9" s="1">
        <v>102</v>
      </c>
      <c r="Y9" s="1">
        <v>103</v>
      </c>
      <c r="Z9" s="1">
        <v>103.79</v>
      </c>
      <c r="AA9" s="1">
        <v>102.6</v>
      </c>
      <c r="AB9" s="1">
        <v>101.47</v>
      </c>
      <c r="AC9" s="1">
        <v>98.79</v>
      </c>
      <c r="AD9" s="1">
        <v>98.63</v>
      </c>
      <c r="AE9" s="1">
        <v>93.36</v>
      </c>
      <c r="AF9" s="1">
        <v>92</v>
      </c>
      <c r="AG9" s="1">
        <v>89.16</v>
      </c>
      <c r="AH9" s="1">
        <v>87.49</v>
      </c>
      <c r="AI9" s="1">
        <v>86.49</v>
      </c>
      <c r="AJ9" s="1">
        <v>84.46</v>
      </c>
      <c r="AK9" s="1">
        <v>85.96</v>
      </c>
      <c r="AL9" s="1">
        <v>91.02</v>
      </c>
      <c r="AM9" s="1">
        <v>89.47</v>
      </c>
      <c r="AN9" s="1">
        <v>92.56</v>
      </c>
      <c r="AO9" s="1">
        <v>95.76</v>
      </c>
      <c r="AP9" s="1">
        <v>92.46</v>
      </c>
      <c r="AQ9" s="1">
        <v>94.28</v>
      </c>
      <c r="AR9" s="1">
        <v>95.33</v>
      </c>
      <c r="AS9" s="1">
        <v>97.3</v>
      </c>
      <c r="AT9" s="1">
        <v>101.4</v>
      </c>
      <c r="AU9" s="1">
        <v>101.31</v>
      </c>
      <c r="AV9" s="1">
        <v>110.5</v>
      </c>
      <c r="AW9" s="1">
        <v>109.46</v>
      </c>
      <c r="AX9" s="1">
        <v>122.03</v>
      </c>
      <c r="AY9" s="1">
        <v>133.21</v>
      </c>
      <c r="AZ9" s="1">
        <v>141.47</v>
      </c>
      <c r="BA9" s="1">
        <v>143.36000000000001</v>
      </c>
      <c r="BB9" s="1">
        <v>152.55000000000001</v>
      </c>
      <c r="BC9" s="1">
        <v>158.18</v>
      </c>
      <c r="BD9" s="1">
        <v>162</v>
      </c>
      <c r="BE9" s="1">
        <v>157.13</v>
      </c>
    </row>
    <row r="10" spans="1:57" x14ac:dyDescent="0.25">
      <c r="A10" s="18" t="s">
        <v>20</v>
      </c>
      <c r="B10" s="1">
        <v>23.87</v>
      </c>
      <c r="C10" s="1">
        <v>24.39</v>
      </c>
      <c r="D10" s="1">
        <v>24.39</v>
      </c>
      <c r="E10" s="1">
        <v>25.57</v>
      </c>
      <c r="F10" s="1">
        <v>26.1</v>
      </c>
      <c r="G10" s="1">
        <v>25.79</v>
      </c>
      <c r="H10" s="1">
        <v>26.97</v>
      </c>
      <c r="I10" s="1">
        <v>29.09</v>
      </c>
      <c r="J10" s="1">
        <v>29.83</v>
      </c>
      <c r="K10" s="1">
        <v>31.17</v>
      </c>
      <c r="L10" s="1">
        <v>31.88</v>
      </c>
      <c r="M10" s="1">
        <v>33.200000000000003</v>
      </c>
      <c r="N10" s="1">
        <v>34.479999999999997</v>
      </c>
      <c r="O10" s="1">
        <v>35.17</v>
      </c>
      <c r="P10" s="1">
        <v>35.58</v>
      </c>
      <c r="Q10" s="1">
        <v>38.299999999999997</v>
      </c>
      <c r="R10" s="1">
        <v>41.64</v>
      </c>
      <c r="S10" s="1">
        <v>42.21</v>
      </c>
      <c r="T10" s="1">
        <v>45.19</v>
      </c>
      <c r="U10" s="1">
        <v>42.88</v>
      </c>
      <c r="V10" s="1">
        <v>42.95</v>
      </c>
      <c r="W10" s="1">
        <v>48.5</v>
      </c>
      <c r="X10" s="1">
        <v>49.88</v>
      </c>
      <c r="Y10" s="1">
        <v>44.93</v>
      </c>
      <c r="Z10" s="1">
        <v>51.24</v>
      </c>
      <c r="AA10" s="1">
        <v>56.92</v>
      </c>
      <c r="AB10" s="1">
        <v>57.04</v>
      </c>
      <c r="AC10" s="1">
        <v>61.76</v>
      </c>
      <c r="AD10" s="1">
        <v>65.38</v>
      </c>
      <c r="AE10" s="1">
        <v>63.96</v>
      </c>
      <c r="AF10" s="1">
        <v>67.31</v>
      </c>
      <c r="AG10" s="1">
        <v>70.12</v>
      </c>
      <c r="AH10" s="1">
        <v>67.260000000000005</v>
      </c>
      <c r="AI10" s="1">
        <v>68.709999999999994</v>
      </c>
      <c r="AJ10" s="1">
        <v>68.78</v>
      </c>
      <c r="AK10" s="1">
        <v>64.19</v>
      </c>
      <c r="AL10" s="1">
        <v>67.48</v>
      </c>
      <c r="AM10" s="1">
        <v>71.39</v>
      </c>
      <c r="AN10" s="1">
        <v>77.92</v>
      </c>
      <c r="AO10" s="1">
        <v>72.010000000000005</v>
      </c>
      <c r="AP10" s="1">
        <v>80.48</v>
      </c>
      <c r="AQ10" s="1">
        <v>84.49</v>
      </c>
      <c r="AR10" s="1">
        <v>86.46</v>
      </c>
      <c r="AS10" s="1">
        <v>88.87</v>
      </c>
      <c r="AT10" s="1">
        <v>103.32</v>
      </c>
      <c r="AU10" s="1">
        <v>107.81</v>
      </c>
      <c r="AV10" s="1">
        <v>108.46</v>
      </c>
      <c r="AW10" s="1">
        <v>111.68</v>
      </c>
      <c r="AX10" s="1">
        <v>117.82</v>
      </c>
      <c r="AY10" s="1">
        <v>123.63</v>
      </c>
      <c r="AZ10" s="1">
        <v>117.21</v>
      </c>
      <c r="BA10" s="1">
        <v>122.7</v>
      </c>
      <c r="BB10" s="1">
        <v>126.12</v>
      </c>
      <c r="BC10" s="1">
        <v>125.11</v>
      </c>
      <c r="BD10" s="1">
        <v>128.22999999999999</v>
      </c>
      <c r="BE10" s="1">
        <v>125.56</v>
      </c>
    </row>
    <row r="11" spans="1:57" x14ac:dyDescent="0.25">
      <c r="A11" s="18" t="s">
        <v>21</v>
      </c>
    </row>
    <row r="12" spans="1:57" x14ac:dyDescent="0.25">
      <c r="A12" s="18" t="s">
        <v>22</v>
      </c>
      <c r="B12" s="1">
        <v>48.4</v>
      </c>
      <c r="C12" s="1">
        <v>48.96</v>
      </c>
      <c r="D12" s="1">
        <v>49.99</v>
      </c>
      <c r="E12" s="1">
        <v>50.92</v>
      </c>
      <c r="F12" s="1">
        <v>53.43</v>
      </c>
      <c r="G12" s="1">
        <v>54.69</v>
      </c>
      <c r="H12" s="1">
        <v>55.54</v>
      </c>
      <c r="I12" s="1">
        <v>57.85</v>
      </c>
      <c r="J12" s="1">
        <v>59.52</v>
      </c>
      <c r="K12" s="1">
        <v>63.58</v>
      </c>
      <c r="L12" s="1">
        <v>66.48</v>
      </c>
      <c r="M12" s="1">
        <v>67.5</v>
      </c>
      <c r="N12" s="1">
        <v>68.58</v>
      </c>
      <c r="O12" s="1">
        <v>74.760000000000005</v>
      </c>
      <c r="P12" s="1">
        <v>73.7</v>
      </c>
      <c r="Q12" s="1">
        <v>77.5</v>
      </c>
      <c r="R12" s="1">
        <v>80.33</v>
      </c>
      <c r="S12" s="1">
        <v>80.88</v>
      </c>
      <c r="T12" s="1">
        <v>81.8</v>
      </c>
      <c r="U12" s="1">
        <v>81.95</v>
      </c>
      <c r="V12" s="1">
        <v>86.33</v>
      </c>
      <c r="W12" s="1">
        <v>89.09</v>
      </c>
      <c r="X12" s="1">
        <v>90.07</v>
      </c>
      <c r="Y12" s="1">
        <v>90.44</v>
      </c>
      <c r="Z12" s="1">
        <v>92.69</v>
      </c>
      <c r="AA12" s="1">
        <v>92.66</v>
      </c>
      <c r="AB12" s="1">
        <v>95.48</v>
      </c>
      <c r="AC12" s="1">
        <v>97.52</v>
      </c>
      <c r="AD12" s="1">
        <v>96.71</v>
      </c>
      <c r="AE12" s="1">
        <v>81.02</v>
      </c>
      <c r="AF12" s="1">
        <v>69.400000000000006</v>
      </c>
      <c r="AG12" s="1">
        <v>72.05</v>
      </c>
      <c r="AH12" s="1">
        <v>66.59</v>
      </c>
      <c r="AI12" s="1">
        <v>66.78</v>
      </c>
      <c r="AJ12" s="1">
        <v>65.75</v>
      </c>
      <c r="AK12" s="1">
        <v>72</v>
      </c>
      <c r="AL12" s="1">
        <v>85.39</v>
      </c>
      <c r="AM12" s="1">
        <v>92.53</v>
      </c>
      <c r="AN12" s="1">
        <v>94.13</v>
      </c>
      <c r="AO12" s="1">
        <v>99.42</v>
      </c>
      <c r="AP12" s="1">
        <v>96.3</v>
      </c>
      <c r="AQ12" s="1">
        <v>93.3</v>
      </c>
      <c r="AR12" s="1">
        <v>93.34</v>
      </c>
      <c r="AS12" s="1">
        <v>95.43</v>
      </c>
      <c r="AT12" s="1">
        <v>101.2</v>
      </c>
      <c r="AU12" s="1">
        <v>103.38</v>
      </c>
      <c r="AV12" s="1">
        <v>113.59</v>
      </c>
      <c r="AW12" s="1">
        <v>122.48</v>
      </c>
      <c r="AX12" s="1">
        <v>123.47</v>
      </c>
      <c r="AY12" s="1">
        <v>126.85</v>
      </c>
      <c r="AZ12" s="1">
        <v>130.65</v>
      </c>
      <c r="BA12" s="1">
        <v>133.66</v>
      </c>
      <c r="BB12" s="1">
        <v>129.38999999999999</v>
      </c>
      <c r="BC12" s="1">
        <v>126.69</v>
      </c>
      <c r="BD12" s="1">
        <v>132.61000000000001</v>
      </c>
      <c r="BE12" s="1">
        <v>135.80000000000001</v>
      </c>
    </row>
    <row r="13" spans="1:57" x14ac:dyDescent="0.25">
      <c r="A13" s="18" t="s">
        <v>23</v>
      </c>
      <c r="B13" s="1">
        <v>46.02</v>
      </c>
      <c r="C13" s="1">
        <v>47.2</v>
      </c>
      <c r="D13" s="1">
        <v>48.72</v>
      </c>
      <c r="E13" s="1">
        <v>50.77</v>
      </c>
      <c r="F13" s="1">
        <v>49.69</v>
      </c>
      <c r="G13" s="1">
        <v>53.1</v>
      </c>
      <c r="H13" s="1">
        <v>55.34</v>
      </c>
      <c r="I13" s="1">
        <v>56.39</v>
      </c>
      <c r="J13" s="1">
        <v>58.68</v>
      </c>
      <c r="K13" s="1">
        <v>59.86</v>
      </c>
      <c r="L13" s="1">
        <v>59.31</v>
      </c>
      <c r="M13" s="1">
        <v>60.93</v>
      </c>
      <c r="N13" s="1">
        <v>61.28</v>
      </c>
      <c r="O13" s="1">
        <v>68.72</v>
      </c>
      <c r="P13" s="1">
        <v>67.510000000000005</v>
      </c>
      <c r="Q13" s="1">
        <v>68.81</v>
      </c>
      <c r="R13" s="1">
        <v>63.21</v>
      </c>
      <c r="S13" s="1">
        <v>69.73</v>
      </c>
      <c r="T13" s="1">
        <v>65.78</v>
      </c>
      <c r="U13" s="1">
        <v>69.27</v>
      </c>
      <c r="V13" s="1">
        <v>69.34</v>
      </c>
      <c r="W13" s="1">
        <v>70.13</v>
      </c>
      <c r="X13" s="1">
        <v>73.83</v>
      </c>
      <c r="Y13" s="1">
        <v>76.23</v>
      </c>
      <c r="Z13" s="1">
        <v>76.47</v>
      </c>
      <c r="AA13" s="1">
        <v>78.02</v>
      </c>
      <c r="AB13" s="1">
        <v>77.540000000000006</v>
      </c>
      <c r="AC13" s="1">
        <v>78.75</v>
      </c>
      <c r="AD13" s="1">
        <v>80.930000000000007</v>
      </c>
      <c r="AE13" s="1">
        <v>81.42</v>
      </c>
      <c r="AF13" s="1">
        <v>82.77</v>
      </c>
      <c r="AG13" s="1">
        <v>84.11</v>
      </c>
      <c r="AH13" s="1">
        <v>87.63</v>
      </c>
      <c r="AI13" s="1">
        <v>84.28</v>
      </c>
      <c r="AJ13" s="1">
        <v>87.35</v>
      </c>
      <c r="AK13" s="1">
        <v>89.04</v>
      </c>
      <c r="AL13" s="1">
        <v>90.89</v>
      </c>
      <c r="AM13" s="1">
        <v>89.23</v>
      </c>
      <c r="AN13" s="1">
        <v>90.88</v>
      </c>
      <c r="AO13" s="1">
        <v>88.86</v>
      </c>
      <c r="AP13" s="1">
        <v>87.84</v>
      </c>
      <c r="AQ13" s="1">
        <v>86.06</v>
      </c>
      <c r="AR13" s="1">
        <v>88.48</v>
      </c>
      <c r="AS13" s="1">
        <v>91.96</v>
      </c>
      <c r="AT13" s="1">
        <v>102.8</v>
      </c>
      <c r="AU13" s="1">
        <v>105.24</v>
      </c>
      <c r="AV13" s="1">
        <v>107.55</v>
      </c>
      <c r="AW13" s="1">
        <v>110.87</v>
      </c>
      <c r="AX13" s="1">
        <v>116.44</v>
      </c>
      <c r="AY13" s="1">
        <v>118.98</v>
      </c>
      <c r="AZ13" s="1">
        <v>120.57</v>
      </c>
      <c r="BA13" s="1">
        <v>126.8</v>
      </c>
      <c r="BB13" s="1">
        <v>119.99</v>
      </c>
      <c r="BC13" s="1">
        <v>123.75</v>
      </c>
      <c r="BD13" s="1">
        <v>120.05</v>
      </c>
      <c r="BE13" s="1">
        <v>121.29</v>
      </c>
    </row>
    <row r="14" spans="1:57" x14ac:dyDescent="0.25">
      <c r="A14" s="18" t="s">
        <v>24</v>
      </c>
      <c r="B14" s="1">
        <v>22.8</v>
      </c>
      <c r="C14" s="1">
        <v>23.98</v>
      </c>
      <c r="D14" s="1">
        <v>23.67</v>
      </c>
      <c r="E14" s="1">
        <v>25.36</v>
      </c>
      <c r="F14" s="1">
        <v>26.15</v>
      </c>
      <c r="G14" s="1">
        <v>27.05</v>
      </c>
      <c r="H14" s="1">
        <v>31.6</v>
      </c>
      <c r="I14" s="1">
        <v>29.99</v>
      </c>
      <c r="J14" s="1">
        <v>31.1</v>
      </c>
      <c r="K14" s="1">
        <v>29</v>
      </c>
      <c r="L14" s="1">
        <v>34.51</v>
      </c>
      <c r="M14" s="1">
        <v>36</v>
      </c>
      <c r="N14" s="1">
        <v>38.42</v>
      </c>
      <c r="O14" s="1">
        <v>38.64</v>
      </c>
      <c r="P14" s="1">
        <v>37.51</v>
      </c>
      <c r="Q14" s="1">
        <v>40.21</v>
      </c>
      <c r="R14" s="1">
        <v>43.2</v>
      </c>
      <c r="S14" s="1">
        <v>44.18</v>
      </c>
      <c r="T14" s="1">
        <v>43.33</v>
      </c>
      <c r="U14" s="1">
        <v>43.09</v>
      </c>
      <c r="V14" s="1">
        <v>45.9</v>
      </c>
      <c r="W14" s="1">
        <v>48.27</v>
      </c>
      <c r="X14" s="1">
        <v>44.67</v>
      </c>
      <c r="Y14" s="1">
        <v>45.9</v>
      </c>
      <c r="Z14" s="1">
        <v>45.44</v>
      </c>
      <c r="AA14" s="1">
        <v>48.04</v>
      </c>
      <c r="AB14" s="1">
        <v>47.42</v>
      </c>
      <c r="AC14" s="1">
        <v>49.18</v>
      </c>
      <c r="AD14" s="1">
        <v>48.05</v>
      </c>
      <c r="AE14" s="1">
        <v>46.21</v>
      </c>
      <c r="AF14" s="1">
        <v>50.53</v>
      </c>
      <c r="AG14" s="1">
        <v>39</v>
      </c>
      <c r="AH14" s="1">
        <v>51.77</v>
      </c>
      <c r="AI14" s="1">
        <v>43.62</v>
      </c>
      <c r="AJ14" s="1">
        <v>51.55</v>
      </c>
      <c r="AK14" s="1">
        <v>61.28</v>
      </c>
      <c r="AL14" s="1">
        <v>58.62</v>
      </c>
      <c r="AM14" s="1">
        <v>70.81</v>
      </c>
      <c r="AN14" s="1">
        <v>83.49</v>
      </c>
      <c r="AO14" s="1">
        <v>99.74</v>
      </c>
      <c r="AP14" s="1">
        <v>110.63</v>
      </c>
      <c r="AQ14" s="1">
        <v>82.69</v>
      </c>
      <c r="AR14" s="1">
        <v>95.15</v>
      </c>
      <c r="AS14" s="1">
        <v>98.41</v>
      </c>
      <c r="AT14" s="1">
        <v>85.86</v>
      </c>
      <c r="AU14" s="1">
        <v>115.73</v>
      </c>
      <c r="AV14" s="1">
        <v>135.05000000000001</v>
      </c>
      <c r="AW14" s="1">
        <v>135.69999999999999</v>
      </c>
      <c r="AX14" s="1">
        <v>154.86000000000001</v>
      </c>
      <c r="AY14" s="1">
        <v>156.22</v>
      </c>
      <c r="AZ14" s="1">
        <v>164.99</v>
      </c>
      <c r="BA14" s="1">
        <v>180.33</v>
      </c>
      <c r="BB14" s="1">
        <v>192.35</v>
      </c>
      <c r="BC14" s="1">
        <v>163.59</v>
      </c>
      <c r="BD14" s="1">
        <v>150.41</v>
      </c>
      <c r="BE14" s="1">
        <v>147.18</v>
      </c>
    </row>
    <row r="15" spans="1:57" x14ac:dyDescent="0.25">
      <c r="A15" s="18" t="s">
        <v>25</v>
      </c>
      <c r="B15" s="1">
        <v>23.17</v>
      </c>
      <c r="C15" s="1">
        <v>24.87</v>
      </c>
      <c r="D15" s="1">
        <v>25.69</v>
      </c>
      <c r="E15" s="1">
        <v>25.78</v>
      </c>
      <c r="F15" s="1">
        <v>27.55</v>
      </c>
      <c r="G15" s="1">
        <v>27.73</v>
      </c>
      <c r="H15" s="1">
        <v>29.37</v>
      </c>
      <c r="I15" s="1">
        <v>28.7</v>
      </c>
      <c r="J15" s="1">
        <v>31.49</v>
      </c>
      <c r="K15" s="1">
        <v>31.62</v>
      </c>
      <c r="L15" s="1">
        <v>31.07</v>
      </c>
      <c r="M15" s="1">
        <v>27.42</v>
      </c>
      <c r="N15" s="1">
        <v>25.11</v>
      </c>
      <c r="O15" s="1">
        <v>28.59</v>
      </c>
      <c r="P15" s="1">
        <v>32.47</v>
      </c>
      <c r="Q15" s="1">
        <v>33.520000000000003</v>
      </c>
      <c r="R15" s="1">
        <v>33.82</v>
      </c>
      <c r="S15" s="1">
        <v>35.380000000000003</v>
      </c>
      <c r="T15" s="1">
        <v>35.97</v>
      </c>
      <c r="U15" s="1">
        <v>36.81</v>
      </c>
      <c r="V15" s="1">
        <v>40.840000000000003</v>
      </c>
      <c r="W15" s="1">
        <v>42.33</v>
      </c>
      <c r="X15" s="1">
        <v>41.66</v>
      </c>
      <c r="Y15" s="1">
        <v>37.26</v>
      </c>
      <c r="Z15" s="1">
        <v>39.53</v>
      </c>
      <c r="AA15" s="1">
        <v>42.55</v>
      </c>
      <c r="AB15" s="1">
        <v>41.01</v>
      </c>
      <c r="AC15" s="1">
        <v>47.89</v>
      </c>
      <c r="AD15" s="1">
        <v>47.31</v>
      </c>
      <c r="AE15" s="1">
        <v>47.29</v>
      </c>
      <c r="AF15" s="1">
        <v>69.010000000000005</v>
      </c>
      <c r="AG15" s="1">
        <v>62.78</v>
      </c>
      <c r="AH15" s="1">
        <v>65.13</v>
      </c>
      <c r="AI15" s="1">
        <v>68.88</v>
      </c>
      <c r="AJ15" s="1">
        <v>68.55</v>
      </c>
      <c r="AK15" s="1">
        <v>70.900000000000006</v>
      </c>
      <c r="AL15" s="1">
        <v>71.709999999999994</v>
      </c>
      <c r="AM15" s="1">
        <v>76.69</v>
      </c>
      <c r="AN15" s="1">
        <v>81.86</v>
      </c>
      <c r="AO15" s="1">
        <v>77.66</v>
      </c>
      <c r="AP15" s="1">
        <v>83.35</v>
      </c>
      <c r="AQ15" s="1">
        <v>82.3</v>
      </c>
      <c r="AR15" s="1">
        <v>95.02</v>
      </c>
      <c r="AS15" s="1">
        <v>93.15</v>
      </c>
      <c r="AT15" s="1">
        <v>102.28</v>
      </c>
      <c r="AU15" s="1">
        <v>104.58</v>
      </c>
      <c r="AV15" s="1">
        <v>116.85</v>
      </c>
      <c r="AW15" s="1">
        <v>129.34</v>
      </c>
      <c r="AX15" s="1">
        <v>139.6</v>
      </c>
      <c r="AY15" s="1">
        <v>132.25</v>
      </c>
      <c r="AZ15" s="1">
        <v>146.54</v>
      </c>
      <c r="BA15" s="1">
        <v>151.22999999999999</v>
      </c>
      <c r="BB15" s="1">
        <v>149.86000000000001</v>
      </c>
      <c r="BC15" s="1">
        <v>151.59</v>
      </c>
      <c r="BD15" s="1">
        <v>159.53</v>
      </c>
      <c r="BE15" s="1">
        <v>175.83</v>
      </c>
    </row>
    <row r="16" spans="1:57" x14ac:dyDescent="0.25">
      <c r="A16" s="18" t="s">
        <v>26</v>
      </c>
      <c r="AG16" s="1">
        <v>132.29</v>
      </c>
      <c r="AH16" s="1">
        <v>161.02000000000001</v>
      </c>
      <c r="AI16" s="1">
        <v>110.97</v>
      </c>
      <c r="AJ16" s="1">
        <v>125.04</v>
      </c>
      <c r="AK16" s="1">
        <v>108.16</v>
      </c>
      <c r="AL16" s="1">
        <v>109.12</v>
      </c>
      <c r="AM16" s="1">
        <v>84.06</v>
      </c>
      <c r="AN16" s="1">
        <v>89.22</v>
      </c>
      <c r="AO16" s="1">
        <v>85.68</v>
      </c>
      <c r="AP16" s="1">
        <v>84.58</v>
      </c>
      <c r="AQ16" s="1">
        <v>98.1</v>
      </c>
      <c r="AR16" s="1">
        <v>102.04</v>
      </c>
      <c r="AS16" s="1">
        <v>104.94</v>
      </c>
      <c r="AT16" s="1">
        <v>99.51</v>
      </c>
      <c r="AU16" s="1">
        <v>95.56</v>
      </c>
      <c r="AV16" s="1">
        <v>82.06</v>
      </c>
      <c r="AW16" s="1">
        <v>103.22</v>
      </c>
      <c r="AX16" s="1">
        <v>90.1</v>
      </c>
      <c r="AY16" s="1">
        <v>92.5</v>
      </c>
      <c r="AZ16" s="1">
        <v>101.5</v>
      </c>
      <c r="BA16" s="1">
        <v>85.02</v>
      </c>
      <c r="BB16" s="1">
        <v>99.76</v>
      </c>
      <c r="BC16" s="1">
        <v>92.94</v>
      </c>
      <c r="BD16" s="1">
        <v>78.23</v>
      </c>
      <c r="BE16" s="1">
        <v>97.43</v>
      </c>
    </row>
    <row r="17" spans="1:57" x14ac:dyDescent="0.25">
      <c r="A17" s="18" t="s">
        <v>27</v>
      </c>
      <c r="B17" s="1">
        <v>45.97</v>
      </c>
      <c r="C17" s="1">
        <v>47.17</v>
      </c>
      <c r="D17" s="1">
        <v>48.69</v>
      </c>
      <c r="E17" s="1">
        <v>50.61</v>
      </c>
      <c r="F17" s="1">
        <v>49.71</v>
      </c>
      <c r="G17" s="1">
        <v>49.69</v>
      </c>
      <c r="H17" s="1">
        <v>51.71</v>
      </c>
      <c r="I17" s="1">
        <v>57.22</v>
      </c>
      <c r="J17" s="1">
        <v>56.88</v>
      </c>
      <c r="K17" s="1">
        <v>59.74</v>
      </c>
      <c r="L17" s="1">
        <v>63.03</v>
      </c>
      <c r="M17" s="1">
        <v>64.63</v>
      </c>
      <c r="N17" s="1">
        <v>68.400000000000006</v>
      </c>
      <c r="O17" s="1">
        <v>66.209999999999994</v>
      </c>
      <c r="P17" s="1">
        <v>61.14</v>
      </c>
      <c r="Q17" s="1">
        <v>57.92</v>
      </c>
      <c r="R17" s="1">
        <v>57.04</v>
      </c>
      <c r="S17" s="1">
        <v>55.47</v>
      </c>
      <c r="T17" s="1">
        <v>56.2</v>
      </c>
      <c r="U17" s="1">
        <v>57.67</v>
      </c>
      <c r="V17" s="1">
        <v>58.07</v>
      </c>
      <c r="W17" s="1">
        <v>56.36</v>
      </c>
      <c r="X17" s="1">
        <v>53.88</v>
      </c>
      <c r="Y17" s="1">
        <v>52.81</v>
      </c>
      <c r="Z17" s="1">
        <v>52.97</v>
      </c>
      <c r="AA17" s="1">
        <v>54.03</v>
      </c>
      <c r="AB17" s="1">
        <v>52.99</v>
      </c>
      <c r="AC17" s="1">
        <v>53.41</v>
      </c>
      <c r="AD17" s="1">
        <v>54.88</v>
      </c>
      <c r="AE17" s="1">
        <v>57.57</v>
      </c>
      <c r="AF17" s="1">
        <v>58.57</v>
      </c>
      <c r="AG17" s="1">
        <v>51.03</v>
      </c>
      <c r="AH17" s="1">
        <v>57.25</v>
      </c>
      <c r="AI17" s="1">
        <v>56.54</v>
      </c>
      <c r="AJ17" s="1">
        <v>75.010000000000005</v>
      </c>
      <c r="AK17" s="1">
        <v>83.42</v>
      </c>
      <c r="AL17" s="1">
        <v>88.25</v>
      </c>
      <c r="AM17" s="1">
        <v>92.78</v>
      </c>
      <c r="AN17" s="1">
        <v>94.16</v>
      </c>
      <c r="AO17" s="1">
        <v>88.24</v>
      </c>
      <c r="AP17" s="1">
        <v>92.16</v>
      </c>
      <c r="AQ17" s="1">
        <v>81.39</v>
      </c>
      <c r="AR17" s="1">
        <v>99.6</v>
      </c>
      <c r="AS17" s="1">
        <v>100.94</v>
      </c>
      <c r="AT17" s="1">
        <v>95.98</v>
      </c>
      <c r="AU17" s="1">
        <v>103.09</v>
      </c>
      <c r="AV17" s="1">
        <v>103.48</v>
      </c>
      <c r="AW17" s="1">
        <v>100.44</v>
      </c>
      <c r="AX17" s="1">
        <v>116.31</v>
      </c>
      <c r="AY17" s="1">
        <v>149.53</v>
      </c>
      <c r="AZ17" s="1">
        <v>157.55000000000001</v>
      </c>
      <c r="BA17" s="1">
        <v>158.62</v>
      </c>
      <c r="BB17" s="1">
        <v>124.27</v>
      </c>
      <c r="BC17" s="1">
        <v>143.47</v>
      </c>
      <c r="BD17" s="1">
        <v>141.25</v>
      </c>
      <c r="BE17" s="1">
        <v>149.72999999999999</v>
      </c>
    </row>
    <row r="18" spans="1:57" x14ac:dyDescent="0.25">
      <c r="A18" s="18" t="s">
        <v>29</v>
      </c>
      <c r="B18" s="1">
        <v>21.53</v>
      </c>
      <c r="C18" s="1">
        <v>24</v>
      </c>
      <c r="D18" s="1">
        <v>24.95</v>
      </c>
      <c r="E18" s="1">
        <v>26.2</v>
      </c>
      <c r="F18" s="1">
        <v>25.46</v>
      </c>
      <c r="G18" s="1">
        <v>22.44</v>
      </c>
      <c r="H18" s="1">
        <v>24.98</v>
      </c>
      <c r="I18" s="1">
        <v>25.31</v>
      </c>
      <c r="J18" s="1">
        <v>25.12</v>
      </c>
      <c r="K18" s="1">
        <v>26</v>
      </c>
      <c r="L18" s="1">
        <v>26.72</v>
      </c>
      <c r="M18" s="1">
        <v>25.12</v>
      </c>
      <c r="N18" s="1">
        <v>27.45</v>
      </c>
      <c r="O18" s="1">
        <v>27.76</v>
      </c>
      <c r="P18" s="1">
        <v>29.13</v>
      </c>
      <c r="Q18" s="1">
        <v>29.6</v>
      </c>
      <c r="R18" s="1">
        <v>30.41</v>
      </c>
      <c r="S18" s="1">
        <v>33.31</v>
      </c>
      <c r="T18" s="1">
        <v>33.76</v>
      </c>
      <c r="U18" s="1">
        <v>39.49</v>
      </c>
      <c r="V18" s="1">
        <v>42.82</v>
      </c>
      <c r="W18" s="1">
        <v>45.12</v>
      </c>
      <c r="X18" s="1">
        <v>46</v>
      </c>
      <c r="Y18" s="1">
        <v>47.3</v>
      </c>
      <c r="Z18" s="1">
        <v>48.47</v>
      </c>
      <c r="AA18" s="1">
        <v>48.64</v>
      </c>
      <c r="AB18" s="1">
        <v>47.52</v>
      </c>
      <c r="AC18" s="1">
        <v>46.29</v>
      </c>
      <c r="AD18" s="1">
        <v>43.93</v>
      </c>
      <c r="AE18" s="1">
        <v>43.39</v>
      </c>
      <c r="AF18" s="1">
        <v>42.07</v>
      </c>
      <c r="AG18" s="1">
        <v>47.59</v>
      </c>
      <c r="AH18" s="1">
        <v>51.69</v>
      </c>
      <c r="AI18" s="1">
        <v>55.72</v>
      </c>
      <c r="AJ18" s="1">
        <v>57.55</v>
      </c>
      <c r="AK18" s="1">
        <v>58.9</v>
      </c>
      <c r="AL18" s="1">
        <v>58.41</v>
      </c>
      <c r="AM18" s="1">
        <v>59.34</v>
      </c>
      <c r="AN18" s="1">
        <v>68</v>
      </c>
      <c r="AO18" s="1">
        <v>75.010000000000005</v>
      </c>
      <c r="AP18" s="1">
        <v>79.849999999999994</v>
      </c>
      <c r="AQ18" s="1">
        <v>82.5</v>
      </c>
      <c r="AR18" s="1">
        <v>87.63</v>
      </c>
      <c r="AS18" s="1">
        <v>91.41</v>
      </c>
      <c r="AT18" s="1">
        <v>98.07</v>
      </c>
      <c r="AU18" s="1">
        <v>110.53</v>
      </c>
      <c r="AV18" s="1">
        <v>117.01</v>
      </c>
      <c r="AW18" s="1">
        <v>126.3</v>
      </c>
      <c r="AX18" s="1">
        <v>129.81</v>
      </c>
      <c r="AY18" s="1">
        <v>131.81</v>
      </c>
      <c r="AZ18" s="1">
        <v>129.44999999999999</v>
      </c>
      <c r="BA18" s="1">
        <v>125.39</v>
      </c>
      <c r="BB18" s="1">
        <v>129.97999999999999</v>
      </c>
      <c r="BC18" s="1">
        <v>132.82</v>
      </c>
      <c r="BD18" s="1">
        <v>135.35</v>
      </c>
      <c r="BE18" s="1">
        <v>135.83000000000001</v>
      </c>
    </row>
    <row r="19" spans="1:57" x14ac:dyDescent="0.25">
      <c r="A19" s="18" t="s">
        <v>30</v>
      </c>
      <c r="B19" s="1">
        <v>28.34</v>
      </c>
      <c r="C19" s="1">
        <v>28.59</v>
      </c>
      <c r="D19" s="1">
        <v>29.14</v>
      </c>
      <c r="E19" s="1">
        <v>29.64</v>
      </c>
      <c r="F19" s="1">
        <v>30.49</v>
      </c>
      <c r="G19" s="1">
        <v>29.23</v>
      </c>
      <c r="H19" s="1">
        <v>30.24</v>
      </c>
      <c r="I19" s="1">
        <v>31.03</v>
      </c>
      <c r="J19" s="1">
        <v>32.1</v>
      </c>
      <c r="K19" s="1">
        <v>33.119999999999997</v>
      </c>
      <c r="L19" s="1">
        <v>33.450000000000003</v>
      </c>
      <c r="M19" s="1">
        <v>32.119999999999997</v>
      </c>
      <c r="N19" s="1">
        <v>35.44</v>
      </c>
      <c r="O19" s="1">
        <v>36.51</v>
      </c>
      <c r="P19" s="1">
        <v>38.200000000000003</v>
      </c>
      <c r="Q19" s="1">
        <v>37.54</v>
      </c>
      <c r="R19" s="1">
        <v>37.24</v>
      </c>
      <c r="S19" s="1">
        <v>38.369999999999997</v>
      </c>
      <c r="T19" s="1">
        <v>37.06</v>
      </c>
      <c r="U19" s="1">
        <v>40.61</v>
      </c>
      <c r="V19" s="1">
        <v>42.74</v>
      </c>
      <c r="W19" s="1">
        <v>39.71</v>
      </c>
      <c r="X19" s="1">
        <v>48.98</v>
      </c>
      <c r="Y19" s="1">
        <v>49.29</v>
      </c>
      <c r="Z19" s="1">
        <v>50.69</v>
      </c>
      <c r="AA19" s="1">
        <v>48.87</v>
      </c>
      <c r="AB19" s="1">
        <v>54.64</v>
      </c>
      <c r="AC19" s="1">
        <v>59.16</v>
      </c>
      <c r="AD19" s="1">
        <v>62.02</v>
      </c>
      <c r="AE19" s="1">
        <v>65.17</v>
      </c>
      <c r="AF19" s="1">
        <v>68.55</v>
      </c>
      <c r="AG19" s="1">
        <v>65.37</v>
      </c>
      <c r="AH19" s="1">
        <v>72.5</v>
      </c>
      <c r="AI19" s="1">
        <v>70.849999999999994</v>
      </c>
      <c r="AJ19" s="1">
        <v>76.63</v>
      </c>
      <c r="AK19" s="1">
        <v>76.09</v>
      </c>
      <c r="AL19" s="1">
        <v>78.72</v>
      </c>
      <c r="AM19" s="1">
        <v>79.709999999999994</v>
      </c>
      <c r="AN19" s="1">
        <v>82.9</v>
      </c>
      <c r="AO19" s="1">
        <v>87.17</v>
      </c>
      <c r="AP19" s="1">
        <v>89.33</v>
      </c>
      <c r="AQ19" s="1">
        <v>91.38</v>
      </c>
      <c r="AR19" s="1">
        <v>94.74</v>
      </c>
      <c r="AS19" s="1">
        <v>98.5</v>
      </c>
      <c r="AT19" s="1">
        <v>100.47</v>
      </c>
      <c r="AU19" s="1">
        <v>101.03</v>
      </c>
      <c r="AV19" s="1">
        <v>100.39</v>
      </c>
      <c r="AW19" s="1">
        <v>107.14</v>
      </c>
      <c r="AX19" s="1">
        <v>112.21</v>
      </c>
      <c r="AY19" s="1">
        <v>113.3</v>
      </c>
      <c r="AZ19" s="1">
        <v>121.52</v>
      </c>
      <c r="BA19" s="1">
        <v>140.02000000000001</v>
      </c>
      <c r="BB19" s="1">
        <v>130.62</v>
      </c>
      <c r="BC19" s="1">
        <v>136.19999999999999</v>
      </c>
      <c r="BD19" s="1">
        <v>135.94</v>
      </c>
      <c r="BE19" s="1">
        <v>137.83000000000001</v>
      </c>
    </row>
    <row r="20" spans="1:57" x14ac:dyDescent="0.25">
      <c r="A20" s="18" t="s">
        <v>31</v>
      </c>
      <c r="B20" s="1">
        <v>28.01</v>
      </c>
      <c r="C20" s="1">
        <v>29.54</v>
      </c>
      <c r="D20" s="1">
        <v>32.33</v>
      </c>
      <c r="E20" s="1">
        <v>34.71</v>
      </c>
      <c r="F20" s="1">
        <v>35.68</v>
      </c>
      <c r="G20" s="1">
        <v>36.979999999999997</v>
      </c>
      <c r="H20" s="1">
        <v>40.299999999999997</v>
      </c>
      <c r="I20" s="1">
        <v>43.15</v>
      </c>
      <c r="J20" s="1">
        <v>45.06</v>
      </c>
      <c r="K20" s="1">
        <v>46.57</v>
      </c>
      <c r="L20" s="1">
        <v>47.97</v>
      </c>
      <c r="M20" s="1">
        <v>49.57</v>
      </c>
      <c r="N20" s="1">
        <v>49.91</v>
      </c>
      <c r="O20" s="1">
        <v>52.16</v>
      </c>
      <c r="P20" s="1">
        <v>57.58</v>
      </c>
      <c r="Q20" s="1">
        <v>60.25</v>
      </c>
      <c r="R20" s="1">
        <v>63.09</v>
      </c>
      <c r="S20" s="1">
        <v>67.78</v>
      </c>
      <c r="T20" s="1">
        <v>72.650000000000006</v>
      </c>
      <c r="U20" s="1">
        <v>48.99</v>
      </c>
      <c r="V20" s="1">
        <v>47.79</v>
      </c>
      <c r="W20" s="1">
        <v>50.34</v>
      </c>
      <c r="X20" s="1">
        <v>49.65</v>
      </c>
      <c r="Y20" s="1">
        <v>51.51</v>
      </c>
      <c r="Z20" s="1">
        <v>47.67</v>
      </c>
      <c r="AA20" s="1">
        <v>46</v>
      </c>
      <c r="AB20" s="1">
        <v>42.45</v>
      </c>
      <c r="AC20" s="1">
        <v>42.09</v>
      </c>
      <c r="AD20" s="1">
        <v>46.61</v>
      </c>
      <c r="AE20" s="1">
        <v>49.5</v>
      </c>
      <c r="AF20" s="1">
        <v>50.49</v>
      </c>
      <c r="AG20" s="1">
        <v>52.43</v>
      </c>
      <c r="AH20" s="1">
        <v>55.4</v>
      </c>
      <c r="AI20" s="1">
        <v>56.43</v>
      </c>
      <c r="AJ20" s="1">
        <v>58.48</v>
      </c>
      <c r="AK20" s="1">
        <v>60.96</v>
      </c>
      <c r="AL20" s="1">
        <v>61</v>
      </c>
      <c r="AM20" s="1">
        <v>65.31</v>
      </c>
      <c r="AN20" s="1">
        <v>71.39</v>
      </c>
      <c r="AO20" s="1">
        <v>82.23</v>
      </c>
      <c r="AP20" s="1">
        <v>82.38</v>
      </c>
      <c r="AQ20" s="1">
        <v>85.71</v>
      </c>
      <c r="AR20" s="1">
        <v>95.61</v>
      </c>
      <c r="AS20" s="1">
        <v>94.61</v>
      </c>
      <c r="AT20" s="1">
        <v>102.04</v>
      </c>
      <c r="AU20" s="1">
        <v>103.35</v>
      </c>
      <c r="AV20" s="1">
        <v>106.22</v>
      </c>
      <c r="AW20" s="1">
        <v>107.82</v>
      </c>
      <c r="AX20" s="1">
        <v>117.62</v>
      </c>
      <c r="AY20" s="1">
        <v>119.93</v>
      </c>
      <c r="AZ20" s="1">
        <v>126.07</v>
      </c>
      <c r="BA20" s="1">
        <v>128.74</v>
      </c>
      <c r="BB20" s="1">
        <v>131.38</v>
      </c>
      <c r="BC20" s="1">
        <v>127.63</v>
      </c>
      <c r="BD20" s="1">
        <v>122.93</v>
      </c>
      <c r="BE20" s="1">
        <v>128.52000000000001</v>
      </c>
    </row>
    <row r="21" spans="1:57" x14ac:dyDescent="0.25">
      <c r="A21" s="18" t="s">
        <v>32</v>
      </c>
      <c r="B21" s="1">
        <v>24.84</v>
      </c>
      <c r="C21" s="1">
        <v>28.05</v>
      </c>
      <c r="D21" s="1">
        <v>29.55</v>
      </c>
      <c r="E21" s="1">
        <v>29.46</v>
      </c>
      <c r="F21" s="1">
        <v>29.75</v>
      </c>
      <c r="G21" s="1">
        <v>31.65</v>
      </c>
      <c r="H21" s="1">
        <v>34.42</v>
      </c>
      <c r="I21" s="1">
        <v>32.049999999999997</v>
      </c>
      <c r="J21" s="1">
        <v>34.69</v>
      </c>
      <c r="K21" s="1">
        <v>33.03</v>
      </c>
      <c r="L21" s="1">
        <v>33.57</v>
      </c>
      <c r="M21" s="1">
        <v>33.5</v>
      </c>
      <c r="N21" s="1">
        <v>24.63</v>
      </c>
      <c r="O21" s="1">
        <v>28.98</v>
      </c>
      <c r="P21" s="1">
        <v>27.58</v>
      </c>
      <c r="Q21" s="1">
        <v>32.67</v>
      </c>
      <c r="R21" s="1">
        <v>38.99</v>
      </c>
      <c r="S21" s="1">
        <v>40.47</v>
      </c>
      <c r="T21" s="1">
        <v>40.53</v>
      </c>
      <c r="U21" s="1">
        <v>43.69</v>
      </c>
      <c r="V21" s="1">
        <v>43.02</v>
      </c>
      <c r="W21" s="1">
        <v>43.04</v>
      </c>
      <c r="X21" s="1">
        <v>42.92</v>
      </c>
      <c r="Y21" s="1">
        <v>32.97</v>
      </c>
      <c r="Z21" s="1">
        <v>33.78</v>
      </c>
      <c r="AA21" s="1">
        <v>37.56</v>
      </c>
      <c r="AB21" s="1">
        <v>34.520000000000003</v>
      </c>
      <c r="AC21" s="1">
        <v>44</v>
      </c>
      <c r="AD21" s="1">
        <v>41.74</v>
      </c>
      <c r="AE21" s="1">
        <v>45.75</v>
      </c>
      <c r="AF21" s="1">
        <v>49.4</v>
      </c>
      <c r="AG21" s="1">
        <v>52.76</v>
      </c>
      <c r="AH21" s="1">
        <v>50.24</v>
      </c>
      <c r="AI21" s="1">
        <v>51.99</v>
      </c>
      <c r="AJ21" s="1">
        <v>53.24</v>
      </c>
      <c r="AK21" s="1">
        <v>61.73</v>
      </c>
      <c r="AL21" s="1">
        <v>57.41</v>
      </c>
      <c r="AM21" s="1">
        <v>76.63</v>
      </c>
      <c r="AN21" s="1">
        <v>74.930000000000007</v>
      </c>
      <c r="AO21" s="1">
        <v>68.91</v>
      </c>
      <c r="AP21" s="1">
        <v>83.43</v>
      </c>
      <c r="AQ21" s="1">
        <v>92.02</v>
      </c>
      <c r="AR21" s="1">
        <v>93.58</v>
      </c>
      <c r="AS21" s="1">
        <v>87.98</v>
      </c>
      <c r="AT21" s="1">
        <v>102.42</v>
      </c>
      <c r="AU21" s="1">
        <v>109.6</v>
      </c>
      <c r="AV21" s="1">
        <v>115.76</v>
      </c>
      <c r="AW21" s="1">
        <v>139.28</v>
      </c>
      <c r="AX21" s="1">
        <v>113.47</v>
      </c>
      <c r="AY21" s="1">
        <v>145.66</v>
      </c>
      <c r="AZ21" s="1">
        <v>128.03</v>
      </c>
      <c r="BA21" s="1">
        <v>140.05000000000001</v>
      </c>
      <c r="BB21" s="1">
        <v>146.18</v>
      </c>
      <c r="BC21" s="1">
        <v>153.24</v>
      </c>
      <c r="BD21" s="1">
        <v>163.26</v>
      </c>
      <c r="BE21" s="1">
        <v>176.35</v>
      </c>
    </row>
    <row r="22" spans="1:57" x14ac:dyDescent="0.25">
      <c r="A22" s="18" t="s">
        <v>33</v>
      </c>
      <c r="B22" s="1">
        <v>24.48</v>
      </c>
      <c r="C22" s="1">
        <v>32.71</v>
      </c>
      <c r="D22" s="1">
        <v>23.99</v>
      </c>
      <c r="E22" s="1">
        <v>23.84</v>
      </c>
      <c r="F22" s="1">
        <v>26.79</v>
      </c>
      <c r="G22" s="1">
        <v>29.35</v>
      </c>
      <c r="H22" s="1">
        <v>35.549999999999997</v>
      </c>
      <c r="I22" s="1">
        <v>34.81</v>
      </c>
      <c r="J22" s="1">
        <v>37.49</v>
      </c>
      <c r="K22" s="1">
        <v>39.14</v>
      </c>
      <c r="L22" s="1">
        <v>39.99</v>
      </c>
      <c r="M22" s="1">
        <v>39.35</v>
      </c>
      <c r="N22" s="1">
        <v>41.02</v>
      </c>
      <c r="O22" s="1">
        <v>39.24</v>
      </c>
      <c r="P22" s="1">
        <v>44.02</v>
      </c>
      <c r="Q22" s="1">
        <v>46.59</v>
      </c>
      <c r="R22" s="1">
        <v>48.59</v>
      </c>
      <c r="S22" s="1">
        <v>49.27</v>
      </c>
      <c r="T22" s="1">
        <v>52.94</v>
      </c>
      <c r="U22" s="1">
        <v>53.41</v>
      </c>
      <c r="V22" s="1">
        <v>58.37</v>
      </c>
      <c r="W22" s="1">
        <v>61.28</v>
      </c>
      <c r="X22" s="1">
        <v>60.98</v>
      </c>
      <c r="Y22" s="1">
        <v>55.57</v>
      </c>
      <c r="Z22" s="1">
        <v>66.260000000000005</v>
      </c>
      <c r="AA22" s="1">
        <v>60.69</v>
      </c>
      <c r="AB22" s="1">
        <v>60.54</v>
      </c>
      <c r="AC22" s="1">
        <v>58.5</v>
      </c>
      <c r="AD22" s="1">
        <v>66.34</v>
      </c>
      <c r="AE22" s="1">
        <v>76.02</v>
      </c>
      <c r="AF22" s="1">
        <v>86.39</v>
      </c>
      <c r="AG22" s="1">
        <v>91.7</v>
      </c>
      <c r="AH22" s="1">
        <v>64.290000000000006</v>
      </c>
      <c r="AI22" s="1">
        <v>45.24</v>
      </c>
      <c r="AJ22" s="1">
        <v>54.34</v>
      </c>
      <c r="AK22" s="1">
        <v>60.65</v>
      </c>
      <c r="AL22" s="1">
        <v>63.39</v>
      </c>
      <c r="AM22" s="1">
        <v>71.44</v>
      </c>
      <c r="AN22" s="1">
        <v>77.8</v>
      </c>
      <c r="AO22" s="1">
        <v>83.16</v>
      </c>
      <c r="AP22" s="1">
        <v>79.16</v>
      </c>
      <c r="AQ22" s="1">
        <v>100.18</v>
      </c>
      <c r="AR22" s="1">
        <v>93.84</v>
      </c>
      <c r="AS22" s="1">
        <v>93.75</v>
      </c>
      <c r="AT22" s="1">
        <v>100.61</v>
      </c>
      <c r="AU22" s="1">
        <v>105.63</v>
      </c>
      <c r="AV22" s="1">
        <v>106.87</v>
      </c>
      <c r="AW22" s="1">
        <v>115.92</v>
      </c>
      <c r="AX22" s="1">
        <v>135.38999999999999</v>
      </c>
      <c r="AY22" s="1">
        <v>140.38</v>
      </c>
      <c r="AZ22" s="1">
        <v>150.5</v>
      </c>
      <c r="BA22" s="1">
        <v>162.16</v>
      </c>
      <c r="BB22" s="1">
        <v>165.22</v>
      </c>
      <c r="BC22" s="1">
        <v>155.01</v>
      </c>
      <c r="BD22" s="1">
        <v>150.30000000000001</v>
      </c>
      <c r="BE22" s="1">
        <v>140.61000000000001</v>
      </c>
    </row>
    <row r="23" spans="1:57" x14ac:dyDescent="0.25">
      <c r="A23" s="18" t="s">
        <v>34</v>
      </c>
      <c r="B23" s="1">
        <v>79.56</v>
      </c>
      <c r="C23" s="1">
        <v>83.43</v>
      </c>
      <c r="D23" s="1">
        <v>71.260000000000005</v>
      </c>
      <c r="E23" s="1">
        <v>86.37</v>
      </c>
      <c r="F23" s="1">
        <v>79.98</v>
      </c>
      <c r="G23" s="1">
        <v>83.25</v>
      </c>
      <c r="H23" s="1">
        <v>83.62</v>
      </c>
      <c r="I23" s="1">
        <v>80.7</v>
      </c>
      <c r="J23" s="1">
        <v>74.8</v>
      </c>
      <c r="K23" s="1">
        <v>74.930000000000007</v>
      </c>
      <c r="L23" s="1">
        <v>81.150000000000006</v>
      </c>
      <c r="M23" s="1">
        <v>78.52</v>
      </c>
      <c r="N23" s="1">
        <v>82.15</v>
      </c>
      <c r="O23" s="1">
        <v>77.78</v>
      </c>
      <c r="P23" s="1">
        <v>65.22</v>
      </c>
      <c r="Q23" s="1">
        <v>62.32</v>
      </c>
      <c r="R23" s="1">
        <v>61.09</v>
      </c>
      <c r="S23" s="1">
        <v>63.57</v>
      </c>
      <c r="T23" s="1">
        <v>69.52</v>
      </c>
      <c r="U23" s="1">
        <v>56.9</v>
      </c>
      <c r="V23" s="1">
        <v>60.52</v>
      </c>
      <c r="W23" s="1">
        <v>58.16</v>
      </c>
      <c r="X23" s="1">
        <v>58.2</v>
      </c>
      <c r="Y23" s="1">
        <v>51.56</v>
      </c>
      <c r="Z23" s="1">
        <v>54.21</v>
      </c>
      <c r="AA23" s="1">
        <v>56.96</v>
      </c>
      <c r="AB23" s="1">
        <v>56.12</v>
      </c>
      <c r="AC23" s="1">
        <v>57.71</v>
      </c>
      <c r="AD23" s="1">
        <v>52.8</v>
      </c>
      <c r="AE23" s="1">
        <v>49.09</v>
      </c>
      <c r="AF23" s="1">
        <v>53.08</v>
      </c>
      <c r="AG23" s="1">
        <v>67.010000000000005</v>
      </c>
      <c r="AH23" s="1">
        <v>69.62</v>
      </c>
      <c r="AI23" s="1">
        <v>73.239999999999995</v>
      </c>
      <c r="AJ23" s="1">
        <v>67.489999999999995</v>
      </c>
      <c r="AK23" s="1">
        <v>76.58</v>
      </c>
      <c r="AL23" s="1">
        <v>89.86</v>
      </c>
      <c r="AM23" s="1">
        <v>94.33</v>
      </c>
      <c r="AN23" s="1">
        <v>96.42</v>
      </c>
      <c r="AO23" s="1">
        <v>98.53</v>
      </c>
      <c r="AP23" s="1">
        <v>103.13</v>
      </c>
      <c r="AQ23" s="1">
        <v>103.56</v>
      </c>
      <c r="AR23" s="1">
        <v>104.6</v>
      </c>
      <c r="AS23" s="1">
        <v>97.88</v>
      </c>
      <c r="AT23" s="1">
        <v>100.78</v>
      </c>
      <c r="AU23" s="1">
        <v>101.34</v>
      </c>
      <c r="AV23" s="1">
        <v>102.65</v>
      </c>
      <c r="AW23" s="1">
        <v>99.58</v>
      </c>
      <c r="AX23" s="1">
        <v>101.98</v>
      </c>
      <c r="AY23" s="1">
        <v>104.97</v>
      </c>
      <c r="AZ23" s="1">
        <v>105.83</v>
      </c>
      <c r="BA23" s="1">
        <v>107.93</v>
      </c>
      <c r="BB23" s="1">
        <v>117.54</v>
      </c>
      <c r="BC23" s="1">
        <v>126.18</v>
      </c>
      <c r="BD23" s="1">
        <v>113.16</v>
      </c>
      <c r="BE23" s="1">
        <v>111.36</v>
      </c>
    </row>
    <row r="24" spans="1:57" x14ac:dyDescent="0.25">
      <c r="A24" s="18" t="s">
        <v>35</v>
      </c>
      <c r="B24" s="1">
        <v>41.48</v>
      </c>
      <c r="C24" s="1">
        <v>44.39</v>
      </c>
      <c r="D24" s="1">
        <v>46.3</v>
      </c>
      <c r="E24" s="1">
        <v>49.21</v>
      </c>
      <c r="F24" s="1">
        <v>44.53</v>
      </c>
      <c r="G24" s="1">
        <v>45.13</v>
      </c>
      <c r="H24" s="1">
        <v>50.38</v>
      </c>
      <c r="I24" s="1">
        <v>53.04</v>
      </c>
      <c r="J24" s="1">
        <v>52.7</v>
      </c>
      <c r="K24" s="1">
        <v>56.67</v>
      </c>
      <c r="L24" s="1">
        <v>56.29</v>
      </c>
      <c r="M24" s="1">
        <v>55.46</v>
      </c>
      <c r="N24" s="1">
        <v>54.14</v>
      </c>
      <c r="O24" s="1">
        <v>60.88</v>
      </c>
      <c r="P24" s="1">
        <v>62.73</v>
      </c>
      <c r="Q24" s="1">
        <v>63.84</v>
      </c>
      <c r="R24" s="1">
        <v>65.78</v>
      </c>
      <c r="S24" s="1">
        <v>69.75</v>
      </c>
      <c r="T24" s="1">
        <v>80.069999999999993</v>
      </c>
      <c r="U24" s="1">
        <v>86.72</v>
      </c>
      <c r="V24" s="1">
        <v>83.64</v>
      </c>
      <c r="W24" s="1">
        <v>79.41</v>
      </c>
      <c r="X24" s="1">
        <v>90.76</v>
      </c>
      <c r="Y24" s="1">
        <v>84.74</v>
      </c>
      <c r="Z24" s="1">
        <v>88.79</v>
      </c>
      <c r="AA24" s="1">
        <v>88.36</v>
      </c>
      <c r="AB24" s="1">
        <v>76.430000000000007</v>
      </c>
      <c r="AC24" s="1">
        <v>81.31</v>
      </c>
      <c r="AD24" s="1">
        <v>77.41</v>
      </c>
      <c r="AE24" s="1">
        <v>85.11</v>
      </c>
      <c r="AF24" s="1">
        <v>81.84</v>
      </c>
      <c r="AG24" s="1">
        <v>82.66</v>
      </c>
      <c r="AH24" s="1">
        <v>88.05</v>
      </c>
      <c r="AI24" s="1">
        <v>94.41</v>
      </c>
      <c r="AJ24" s="1">
        <v>96.99</v>
      </c>
      <c r="AK24" s="1">
        <v>85.09</v>
      </c>
      <c r="AL24" s="1">
        <v>87.57</v>
      </c>
      <c r="AM24" s="1">
        <v>89.4</v>
      </c>
      <c r="AN24" s="1">
        <v>93.21</v>
      </c>
      <c r="AO24" s="1">
        <v>95.29</v>
      </c>
      <c r="AP24" s="1">
        <v>92.35</v>
      </c>
      <c r="AQ24" s="1">
        <v>94.16</v>
      </c>
      <c r="AR24" s="1">
        <v>97.94</v>
      </c>
      <c r="AS24" s="1">
        <v>93.25</v>
      </c>
      <c r="AT24" s="1">
        <v>102.32</v>
      </c>
      <c r="AU24" s="1">
        <v>104.42</v>
      </c>
      <c r="AV24" s="1">
        <v>103.33</v>
      </c>
      <c r="AW24" s="1">
        <v>115.11</v>
      </c>
      <c r="AX24" s="1">
        <v>113.5</v>
      </c>
      <c r="AY24" s="1">
        <v>124.68</v>
      </c>
      <c r="AZ24" s="1">
        <v>118.99</v>
      </c>
      <c r="BA24" s="1">
        <v>124.86</v>
      </c>
      <c r="BB24" s="1">
        <v>139.80000000000001</v>
      </c>
      <c r="BC24" s="1">
        <v>125.25</v>
      </c>
      <c r="BD24" s="1">
        <v>130.6</v>
      </c>
      <c r="BE24" s="1">
        <v>131.27000000000001</v>
      </c>
    </row>
    <row r="25" spans="1:57" x14ac:dyDescent="0.25">
      <c r="A25" s="18" t="s">
        <v>36</v>
      </c>
      <c r="AG25" s="1">
        <v>96.4</v>
      </c>
      <c r="AH25" s="1">
        <v>85.95</v>
      </c>
      <c r="AI25" s="1">
        <v>86.72</v>
      </c>
      <c r="AJ25" s="1">
        <v>81.67</v>
      </c>
      <c r="AK25" s="1">
        <v>67.53</v>
      </c>
      <c r="AL25" s="1">
        <v>67.86</v>
      </c>
      <c r="AM25" s="1">
        <v>61.54</v>
      </c>
      <c r="AN25" s="1">
        <v>64.62</v>
      </c>
      <c r="AO25" s="1">
        <v>76.11</v>
      </c>
      <c r="AP25" s="1">
        <v>78.13</v>
      </c>
      <c r="AQ25" s="1">
        <v>85.56</v>
      </c>
      <c r="AR25" s="1">
        <v>89.14</v>
      </c>
      <c r="AS25" s="1">
        <v>101.99</v>
      </c>
      <c r="AT25" s="1">
        <v>96.71</v>
      </c>
      <c r="AU25" s="1">
        <v>101.29</v>
      </c>
      <c r="AV25" s="1">
        <v>100.91</v>
      </c>
      <c r="AW25" s="1">
        <v>108.99</v>
      </c>
      <c r="AX25" s="1">
        <v>120.11</v>
      </c>
      <c r="AY25" s="1">
        <v>120.78</v>
      </c>
      <c r="AZ25" s="1">
        <v>123.82</v>
      </c>
      <c r="BA25" s="1">
        <v>134.06</v>
      </c>
      <c r="BB25" s="1">
        <v>152.05000000000001</v>
      </c>
      <c r="BC25" s="1">
        <v>149.96</v>
      </c>
      <c r="BD25" s="1">
        <v>160.46</v>
      </c>
      <c r="BE25" s="1">
        <v>155.46</v>
      </c>
    </row>
    <row r="26" spans="1:57" x14ac:dyDescent="0.25">
      <c r="A26" s="18" t="s">
        <v>37</v>
      </c>
      <c r="B26" s="1">
        <v>25.01</v>
      </c>
      <c r="C26" s="1">
        <v>25.84</v>
      </c>
      <c r="D26" s="1">
        <v>28.18</v>
      </c>
      <c r="E26" s="1">
        <v>28.2</v>
      </c>
      <c r="F26" s="1">
        <v>28.58</v>
      </c>
      <c r="G26" s="1">
        <v>31.89</v>
      </c>
      <c r="H26" s="1">
        <v>31.81</v>
      </c>
      <c r="I26" s="1">
        <v>31.36</v>
      </c>
      <c r="J26" s="1">
        <v>32.28</v>
      </c>
      <c r="K26" s="1">
        <v>34</v>
      </c>
      <c r="L26" s="1">
        <v>34.25</v>
      </c>
      <c r="M26" s="1">
        <v>34.42</v>
      </c>
      <c r="N26" s="1">
        <v>36.369999999999997</v>
      </c>
      <c r="O26" s="1">
        <v>36.44</v>
      </c>
      <c r="P26" s="1">
        <v>41.34</v>
      </c>
      <c r="Q26" s="1">
        <v>42.82</v>
      </c>
      <c r="R26" s="1">
        <v>45.88</v>
      </c>
      <c r="S26" s="1">
        <v>46.64</v>
      </c>
      <c r="T26" s="1">
        <v>49.27</v>
      </c>
      <c r="U26" s="1">
        <v>46.42</v>
      </c>
      <c r="V26" s="1">
        <v>48.76</v>
      </c>
      <c r="W26" s="1">
        <v>51.27</v>
      </c>
      <c r="X26" s="1">
        <v>54.1</v>
      </c>
      <c r="Y26" s="1">
        <v>55.4</v>
      </c>
      <c r="Z26" s="1">
        <v>58.29</v>
      </c>
      <c r="AA26" s="1">
        <v>59.56</v>
      </c>
      <c r="AB26" s="1">
        <v>59.31</v>
      </c>
      <c r="AC26" s="1">
        <v>59.16</v>
      </c>
      <c r="AD26" s="1">
        <v>63.05</v>
      </c>
      <c r="AE26" s="1">
        <v>64.260000000000005</v>
      </c>
      <c r="AF26" s="1">
        <v>66.040000000000006</v>
      </c>
      <c r="AG26" s="1">
        <v>64.28</v>
      </c>
      <c r="AH26" s="1">
        <v>65.709999999999994</v>
      </c>
      <c r="AI26" s="1">
        <v>64.430000000000007</v>
      </c>
      <c r="AJ26" s="1">
        <v>69.47</v>
      </c>
      <c r="AK26" s="1">
        <v>69.36</v>
      </c>
      <c r="AL26" s="1">
        <v>66.569999999999993</v>
      </c>
      <c r="AM26" s="1">
        <v>72.64</v>
      </c>
      <c r="AN26" s="1">
        <v>75.25</v>
      </c>
      <c r="AO26" s="1">
        <v>73.88</v>
      </c>
      <c r="AP26" s="1">
        <v>76.89</v>
      </c>
      <c r="AQ26" s="1">
        <v>94.02</v>
      </c>
      <c r="AR26" s="1">
        <v>82.82</v>
      </c>
      <c r="AS26" s="1">
        <v>95.2</v>
      </c>
      <c r="AT26" s="1">
        <v>96.79</v>
      </c>
      <c r="AU26" s="1">
        <v>108.01</v>
      </c>
      <c r="AV26" s="1">
        <v>107.78</v>
      </c>
      <c r="AW26" s="1">
        <v>108.05</v>
      </c>
      <c r="AX26" s="1">
        <v>111.78</v>
      </c>
      <c r="AY26" s="1">
        <v>129.16999999999999</v>
      </c>
      <c r="AZ26" s="1">
        <v>138.25</v>
      </c>
      <c r="BA26" s="1">
        <v>147.41999999999999</v>
      </c>
      <c r="BB26" s="1">
        <v>172.63</v>
      </c>
      <c r="BC26" s="1">
        <v>187.45</v>
      </c>
      <c r="BD26" s="1">
        <v>194.28</v>
      </c>
      <c r="BE26" s="1">
        <v>168.95</v>
      </c>
    </row>
    <row r="27" spans="1:57" x14ac:dyDescent="0.25">
      <c r="A27" s="18" t="s">
        <v>38</v>
      </c>
      <c r="B27" s="1">
        <v>30.99</v>
      </c>
      <c r="C27" s="1">
        <v>30.99</v>
      </c>
      <c r="D27" s="1">
        <v>33.33</v>
      </c>
      <c r="E27" s="1">
        <v>33.94</v>
      </c>
      <c r="F27" s="1">
        <v>30.76</v>
      </c>
      <c r="G27" s="1">
        <v>31.7</v>
      </c>
      <c r="H27" s="1">
        <v>36.81</v>
      </c>
      <c r="I27" s="1">
        <v>39.78</v>
      </c>
      <c r="J27" s="1">
        <v>43.36</v>
      </c>
      <c r="K27" s="1">
        <v>55.41</v>
      </c>
      <c r="L27" s="1">
        <v>54.38</v>
      </c>
      <c r="M27" s="1">
        <v>55.71</v>
      </c>
      <c r="N27" s="1">
        <v>54.96</v>
      </c>
      <c r="O27" s="1">
        <v>58.53</v>
      </c>
      <c r="P27" s="1">
        <v>63.35</v>
      </c>
      <c r="Q27" s="1">
        <v>60.44</v>
      </c>
      <c r="R27" s="1">
        <v>60.34</v>
      </c>
      <c r="S27" s="1">
        <v>61.27</v>
      </c>
      <c r="T27" s="1">
        <v>45.68</v>
      </c>
      <c r="U27" s="1">
        <v>44.37</v>
      </c>
      <c r="V27" s="1">
        <v>49.17</v>
      </c>
      <c r="W27" s="1">
        <v>52.3</v>
      </c>
      <c r="X27" s="1">
        <v>55.46</v>
      </c>
      <c r="Y27" s="1">
        <v>52.04</v>
      </c>
      <c r="Z27" s="1">
        <v>53.17</v>
      </c>
      <c r="AA27" s="1">
        <v>52.57</v>
      </c>
      <c r="AB27" s="1">
        <v>55.33</v>
      </c>
      <c r="AC27" s="1">
        <v>58.65</v>
      </c>
      <c r="AD27" s="1">
        <v>63.04</v>
      </c>
      <c r="AE27" s="1">
        <v>66.53</v>
      </c>
      <c r="AF27" s="1">
        <v>68.62</v>
      </c>
      <c r="AG27" s="1">
        <v>68.45</v>
      </c>
      <c r="AH27" s="1">
        <v>72.209999999999994</v>
      </c>
      <c r="AI27" s="1">
        <v>70.37</v>
      </c>
      <c r="AJ27" s="1">
        <v>73.58</v>
      </c>
      <c r="AK27" s="1">
        <v>69.69</v>
      </c>
      <c r="AL27" s="1">
        <v>71.400000000000006</v>
      </c>
      <c r="AM27" s="1">
        <v>78.41</v>
      </c>
      <c r="AN27" s="1">
        <v>82.87</v>
      </c>
      <c r="AO27" s="1">
        <v>85.72</v>
      </c>
      <c r="AP27" s="1">
        <v>90.37</v>
      </c>
      <c r="AQ27" s="1">
        <v>94.79</v>
      </c>
      <c r="AR27" s="1">
        <v>99.36</v>
      </c>
      <c r="AS27" s="1">
        <v>99.41</v>
      </c>
      <c r="AT27" s="1">
        <v>100.53</v>
      </c>
      <c r="AU27" s="1">
        <v>100.06</v>
      </c>
      <c r="AV27" s="1">
        <v>103.37</v>
      </c>
      <c r="AW27" s="1">
        <v>89.25</v>
      </c>
      <c r="AX27" s="1">
        <v>93.91</v>
      </c>
      <c r="AY27" s="1">
        <v>96.89</v>
      </c>
      <c r="AZ27" s="1">
        <v>98.08</v>
      </c>
      <c r="BA27" s="1">
        <v>96.49</v>
      </c>
      <c r="BB27" s="1">
        <v>98.36</v>
      </c>
      <c r="BC27" s="1">
        <v>101.04</v>
      </c>
      <c r="BD27" s="1">
        <v>100.73</v>
      </c>
      <c r="BE27" s="1">
        <v>98.31</v>
      </c>
    </row>
    <row r="28" spans="1:57" x14ac:dyDescent="0.25">
      <c r="A28" s="18" t="s">
        <v>39</v>
      </c>
      <c r="B28" s="1">
        <v>28.15</v>
      </c>
      <c r="C28" s="1">
        <v>27.85</v>
      </c>
      <c r="D28" s="1">
        <v>27.59</v>
      </c>
      <c r="E28" s="1">
        <v>29.21</v>
      </c>
      <c r="F28" s="1">
        <v>30.5</v>
      </c>
      <c r="G28" s="1">
        <v>33.61</v>
      </c>
      <c r="H28" s="1">
        <v>34.409999999999997</v>
      </c>
      <c r="I28" s="1">
        <v>35.08</v>
      </c>
      <c r="J28" s="1">
        <v>35.83</v>
      </c>
      <c r="K28" s="1">
        <v>34.97</v>
      </c>
      <c r="L28" s="1">
        <v>40.200000000000003</v>
      </c>
      <c r="M28" s="1">
        <v>46.57</v>
      </c>
      <c r="N28" s="1">
        <v>42.07</v>
      </c>
      <c r="O28" s="1">
        <v>44.83</v>
      </c>
      <c r="P28" s="1">
        <v>52.9</v>
      </c>
      <c r="Q28" s="1">
        <v>59.98</v>
      </c>
      <c r="R28" s="1">
        <v>57.36</v>
      </c>
      <c r="S28" s="1">
        <v>53.35</v>
      </c>
      <c r="T28" s="1">
        <v>46.7</v>
      </c>
      <c r="U28" s="1">
        <v>48.86</v>
      </c>
      <c r="V28" s="1">
        <v>49.61</v>
      </c>
      <c r="W28" s="1">
        <v>47.8</v>
      </c>
      <c r="X28" s="1">
        <v>50.12</v>
      </c>
      <c r="Y28" s="1">
        <v>49.6</v>
      </c>
      <c r="Z28" s="1">
        <v>55.08</v>
      </c>
      <c r="AA28" s="1">
        <v>57.43</v>
      </c>
      <c r="AB28" s="1">
        <v>57.54</v>
      </c>
      <c r="AC28" s="1">
        <v>71.180000000000007</v>
      </c>
      <c r="AD28" s="1">
        <v>72</v>
      </c>
      <c r="AE28" s="1">
        <v>67.75</v>
      </c>
      <c r="AF28" s="1">
        <v>79.069999999999993</v>
      </c>
      <c r="AG28" s="1">
        <v>69</v>
      </c>
      <c r="AH28" s="1">
        <v>88.18</v>
      </c>
      <c r="AI28" s="1">
        <v>78.12</v>
      </c>
      <c r="AJ28" s="1">
        <v>72.59</v>
      </c>
      <c r="AK28" s="1">
        <v>83.55</v>
      </c>
      <c r="AL28" s="1">
        <v>77.430000000000007</v>
      </c>
      <c r="AM28" s="1">
        <v>75.09</v>
      </c>
      <c r="AN28" s="1">
        <v>84.3</v>
      </c>
      <c r="AO28" s="1">
        <v>85.61</v>
      </c>
      <c r="AP28" s="1">
        <v>85.66</v>
      </c>
      <c r="AQ28" s="1">
        <v>87.21</v>
      </c>
      <c r="AR28" s="1">
        <v>96.63</v>
      </c>
      <c r="AS28" s="1">
        <v>97.01</v>
      </c>
      <c r="AT28" s="1">
        <v>98.09</v>
      </c>
      <c r="AU28" s="1">
        <v>104.91</v>
      </c>
      <c r="AV28" s="1">
        <v>105.39</v>
      </c>
      <c r="AW28" s="1">
        <v>110.56</v>
      </c>
      <c r="AX28" s="1">
        <v>141.88999999999999</v>
      </c>
      <c r="AY28" s="1">
        <v>165.17</v>
      </c>
      <c r="AZ28" s="1">
        <v>174.44</v>
      </c>
      <c r="BA28" s="1">
        <v>176.25</v>
      </c>
      <c r="BB28" s="1">
        <v>179.29</v>
      </c>
      <c r="BC28" s="1">
        <v>186.77</v>
      </c>
      <c r="BD28" s="1">
        <v>180.4</v>
      </c>
      <c r="BE28" s="1">
        <v>179.77</v>
      </c>
    </row>
    <row r="29" spans="1:57" x14ac:dyDescent="0.25">
      <c r="A29" s="18" t="s">
        <v>40</v>
      </c>
      <c r="B29" s="1">
        <v>39.58</v>
      </c>
      <c r="C29" s="1">
        <v>42.59</v>
      </c>
      <c r="D29" s="1">
        <v>40.659999999999997</v>
      </c>
      <c r="E29" s="1">
        <v>39.61</v>
      </c>
      <c r="F29" s="1">
        <v>39.880000000000003</v>
      </c>
      <c r="G29" s="1">
        <v>46.98</v>
      </c>
      <c r="H29" s="1">
        <v>51.82</v>
      </c>
      <c r="I29" s="1">
        <v>44.43</v>
      </c>
      <c r="J29" s="1">
        <v>56.38</v>
      </c>
      <c r="K29" s="1">
        <v>53.82</v>
      </c>
      <c r="L29" s="1">
        <v>68.459999999999994</v>
      </c>
      <c r="M29" s="1">
        <v>78.53</v>
      </c>
      <c r="N29" s="1">
        <v>63.91</v>
      </c>
      <c r="O29" s="1">
        <v>77.260000000000005</v>
      </c>
      <c r="P29" s="1">
        <v>71.39</v>
      </c>
      <c r="Q29" s="1">
        <v>77.819999999999993</v>
      </c>
      <c r="R29" s="1">
        <v>79.33</v>
      </c>
      <c r="S29" s="1">
        <v>78.61</v>
      </c>
      <c r="T29" s="1">
        <v>66.88</v>
      </c>
      <c r="U29" s="1">
        <v>67.040000000000006</v>
      </c>
      <c r="V29" s="1">
        <v>82.04</v>
      </c>
      <c r="W29" s="1">
        <v>74.33</v>
      </c>
      <c r="X29" s="1">
        <v>61.61</v>
      </c>
      <c r="Y29" s="1">
        <v>67.569999999999993</v>
      </c>
      <c r="Z29" s="1">
        <v>91.27</v>
      </c>
      <c r="AA29" s="1">
        <v>87.47</v>
      </c>
      <c r="AB29" s="1">
        <v>73.37</v>
      </c>
      <c r="AC29" s="1">
        <v>94.66</v>
      </c>
      <c r="AD29" s="1">
        <v>87.41</v>
      </c>
      <c r="AE29" s="1">
        <v>88.83</v>
      </c>
      <c r="AF29" s="1">
        <v>83.63</v>
      </c>
      <c r="AG29" s="1">
        <v>56.97</v>
      </c>
      <c r="AH29" s="1">
        <v>77.94</v>
      </c>
      <c r="AI29" s="1">
        <v>85.83</v>
      </c>
      <c r="AJ29" s="1">
        <v>66.92</v>
      </c>
      <c r="AK29" s="1">
        <v>84.09</v>
      </c>
      <c r="AL29" s="1">
        <v>84.48</v>
      </c>
      <c r="AM29" s="1">
        <v>82.36</v>
      </c>
      <c r="AN29" s="1">
        <v>90.18</v>
      </c>
      <c r="AO29" s="1">
        <v>94.53</v>
      </c>
      <c r="AP29" s="1">
        <v>99.91</v>
      </c>
      <c r="AQ29" s="1">
        <v>77.81</v>
      </c>
      <c r="AR29" s="1">
        <v>88.49</v>
      </c>
      <c r="AS29" s="1">
        <v>109.29</v>
      </c>
      <c r="AT29" s="1">
        <v>89.34</v>
      </c>
      <c r="AU29" s="1">
        <v>101.37</v>
      </c>
      <c r="AV29" s="1">
        <v>99.22</v>
      </c>
      <c r="AW29" s="1">
        <v>84.22</v>
      </c>
      <c r="AX29" s="1">
        <v>84.03</v>
      </c>
      <c r="AY29" s="1">
        <v>91.92</v>
      </c>
      <c r="AZ29" s="1">
        <v>88.43</v>
      </c>
      <c r="BA29" s="1">
        <v>94.08</v>
      </c>
      <c r="BB29" s="1">
        <v>92.05</v>
      </c>
      <c r="BC29" s="1">
        <v>91.23</v>
      </c>
      <c r="BD29" s="1">
        <v>83.42</v>
      </c>
      <c r="BE29" s="1">
        <v>88.75</v>
      </c>
    </row>
    <row r="30" spans="1:57" x14ac:dyDescent="0.25">
      <c r="B30" s="1">
        <f xml:space="preserve"> AVERAGE(B2:B29)</f>
        <v>35.872500000000002</v>
      </c>
      <c r="BE30" s="1">
        <f>AVERAGE(BE2:BE29)</f>
        <v>139.22037037037035</v>
      </c>
    </row>
    <row r="32" spans="1:57" x14ac:dyDescent="0.25">
      <c r="B32" s="1">
        <v>1961</v>
      </c>
      <c r="C32" s="1">
        <f>VLOOKUP(Indicateur11!$K$6,prevision11!$A$1:$BE$29,MATCH(prevision11!B32,prevision11!$A$1:$BE$1,0),FALSE)</f>
        <v>21.53</v>
      </c>
      <c r="H32" s="1">
        <v>1961</v>
      </c>
      <c r="I32" s="1">
        <f>VLOOKUP('comite 4'!$C$4,prevision11!$A$1:$BG$28,MATCH(H32,$A$1:$BG$1,0),FALSE)</f>
        <v>21.53</v>
      </c>
    </row>
    <row r="33" spans="2:9" x14ac:dyDescent="0.25">
      <c r="B33" s="1">
        <v>1962</v>
      </c>
      <c r="C33" s="1">
        <f>VLOOKUP(Indicateur11!$K$6,prevision11!$A$1:$BE$29,MATCH(prevision11!B33,prevision11!$A$1:$BE$1,0),FALSE)</f>
        <v>24</v>
      </c>
      <c r="H33" s="1">
        <v>1962</v>
      </c>
      <c r="I33" s="1">
        <f>VLOOKUP('comite 4'!$C$4,prevision11!$A$1:$BG$28,MATCH(H33,$A$1:$BG$1,0),FALSE)</f>
        <v>24</v>
      </c>
    </row>
    <row r="34" spans="2:9" x14ac:dyDescent="0.25">
      <c r="B34" s="1">
        <v>1963</v>
      </c>
      <c r="C34" s="1">
        <f>VLOOKUP(Indicateur11!$K$6,prevision11!$A$1:$BE$29,MATCH(prevision11!B34,prevision11!$A$1:$BE$1,0),FALSE)</f>
        <v>24.95</v>
      </c>
      <c r="H34" s="1">
        <v>1963</v>
      </c>
      <c r="I34" s="1">
        <f>VLOOKUP('comite 4'!$C$4,prevision11!$A$1:$BG$28,MATCH(H34,$A$1:$BG$1,0),FALSE)</f>
        <v>24.95</v>
      </c>
    </row>
    <row r="35" spans="2:9" x14ac:dyDescent="0.25">
      <c r="B35" s="1">
        <v>1964</v>
      </c>
      <c r="C35" s="1">
        <f>VLOOKUP(Indicateur11!$K$6,prevision11!$A$1:$BE$29,MATCH(prevision11!B35,prevision11!$A$1:$BE$1,0),FALSE)</f>
        <v>26.2</v>
      </c>
      <c r="H35" s="1">
        <v>1964</v>
      </c>
      <c r="I35" s="1">
        <f>VLOOKUP('comite 4'!$C$4,prevision11!$A$1:$BG$28,MATCH(H35,$A$1:$BG$1,0),FALSE)</f>
        <v>26.2</v>
      </c>
    </row>
    <row r="36" spans="2:9" x14ac:dyDescent="0.25">
      <c r="B36" s="1">
        <v>1965</v>
      </c>
      <c r="C36" s="1">
        <f>VLOOKUP(Indicateur11!$K$6,prevision11!$A$1:$BE$29,MATCH(prevision11!B36,prevision11!$A$1:$BE$1,0),FALSE)</f>
        <v>25.46</v>
      </c>
      <c r="H36" s="1">
        <v>1965</v>
      </c>
      <c r="I36" s="1">
        <f>VLOOKUP('comite 4'!$C$4,prevision11!$A$1:$BG$28,MATCH(H36,$A$1:$BG$1,0),FALSE)</f>
        <v>25.46</v>
      </c>
    </row>
    <row r="37" spans="2:9" x14ac:dyDescent="0.25">
      <c r="B37" s="1">
        <v>1966</v>
      </c>
      <c r="C37" s="1">
        <f>VLOOKUP(Indicateur11!$K$6,prevision11!$A$1:$BE$29,MATCH(prevision11!B37,prevision11!$A$1:$BE$1,0),FALSE)</f>
        <v>22.44</v>
      </c>
      <c r="H37" s="1">
        <v>1966</v>
      </c>
      <c r="I37" s="1">
        <f>VLOOKUP('comite 4'!$C$4,prevision11!$A$1:$BG$28,MATCH(H37,$A$1:$BG$1,0),FALSE)</f>
        <v>22.44</v>
      </c>
    </row>
    <row r="38" spans="2:9" x14ac:dyDescent="0.25">
      <c r="B38" s="1">
        <v>1967</v>
      </c>
      <c r="C38" s="1">
        <f>VLOOKUP(Indicateur11!$K$6,prevision11!$A$1:$BE$29,MATCH(prevision11!B38,prevision11!$A$1:$BE$1,0),FALSE)</f>
        <v>24.98</v>
      </c>
      <c r="H38" s="1">
        <v>1967</v>
      </c>
      <c r="I38" s="1">
        <f>VLOOKUP('comite 4'!$C$4,prevision11!$A$1:$BG$28,MATCH(H38,$A$1:$BG$1,0),FALSE)</f>
        <v>24.98</v>
      </c>
    </row>
    <row r="39" spans="2:9" x14ac:dyDescent="0.25">
      <c r="B39" s="1">
        <v>1968</v>
      </c>
      <c r="C39" s="1">
        <f>VLOOKUP(Indicateur11!$K$6,prevision11!$A$1:$BE$29,MATCH(prevision11!B39,prevision11!$A$1:$BE$1,0),FALSE)</f>
        <v>25.31</v>
      </c>
      <c r="H39" s="1">
        <v>1968</v>
      </c>
      <c r="I39" s="1">
        <f>VLOOKUP('comite 4'!$C$4,prevision11!$A$1:$BG$28,MATCH(H39,$A$1:$BG$1,0),FALSE)</f>
        <v>25.31</v>
      </c>
    </row>
    <row r="40" spans="2:9" x14ac:dyDescent="0.25">
      <c r="B40" s="1">
        <v>1969</v>
      </c>
      <c r="C40" s="1">
        <f>VLOOKUP(Indicateur11!$K$6,prevision11!$A$1:$BE$29,MATCH(prevision11!B40,prevision11!$A$1:$BE$1,0),FALSE)</f>
        <v>25.12</v>
      </c>
      <c r="H40" s="1">
        <v>1969</v>
      </c>
      <c r="I40" s="1">
        <f>VLOOKUP('comite 4'!$C$4,prevision11!$A$1:$BG$28,MATCH(H40,$A$1:$BG$1,0),FALSE)</f>
        <v>25.12</v>
      </c>
    </row>
    <row r="41" spans="2:9" x14ac:dyDescent="0.25">
      <c r="B41" s="1">
        <v>1970</v>
      </c>
      <c r="C41" s="1">
        <f>VLOOKUP(Indicateur11!$K$6,prevision11!$A$1:$BE$29,MATCH(prevision11!B41,prevision11!$A$1:$BE$1,0),FALSE)</f>
        <v>26</v>
      </c>
      <c r="H41" s="1">
        <v>1970</v>
      </c>
      <c r="I41" s="1">
        <f>VLOOKUP('comite 4'!$C$4,prevision11!$A$1:$BG$28,MATCH(H41,$A$1:$BG$1,0),FALSE)</f>
        <v>26</v>
      </c>
    </row>
    <row r="42" spans="2:9" x14ac:dyDescent="0.25">
      <c r="B42" s="1">
        <v>1971</v>
      </c>
      <c r="C42" s="1">
        <f>VLOOKUP(Indicateur11!$K$6,prevision11!$A$1:$BE$29,MATCH(prevision11!B42,prevision11!$A$1:$BE$1,0),FALSE)</f>
        <v>26.72</v>
      </c>
      <c r="H42" s="1">
        <v>1971</v>
      </c>
      <c r="I42" s="1">
        <f>VLOOKUP('comite 4'!$C$4,prevision11!$A$1:$BG$28,MATCH(H42,$A$1:$BG$1,0),FALSE)</f>
        <v>26.72</v>
      </c>
    </row>
    <row r="43" spans="2:9" x14ac:dyDescent="0.25">
      <c r="B43" s="1">
        <v>1972</v>
      </c>
      <c r="C43" s="1">
        <f>VLOOKUP(Indicateur11!$K$6,prevision11!$A$1:$BE$29,MATCH(prevision11!B43,prevision11!$A$1:$BE$1,0),FALSE)</f>
        <v>25.12</v>
      </c>
      <c r="H43" s="1">
        <v>1972</v>
      </c>
      <c r="I43" s="1">
        <f>VLOOKUP('comite 4'!$C$4,prevision11!$A$1:$BG$28,MATCH(H43,$A$1:$BG$1,0),FALSE)</f>
        <v>25.12</v>
      </c>
    </row>
    <row r="44" spans="2:9" x14ac:dyDescent="0.25">
      <c r="B44" s="1">
        <v>1973</v>
      </c>
      <c r="C44" s="1">
        <f>VLOOKUP(Indicateur11!$K$6,prevision11!$A$1:$BE$29,MATCH(prevision11!B44,prevision11!$A$1:$BE$1,0),FALSE)</f>
        <v>27.45</v>
      </c>
      <c r="H44" s="1">
        <v>1973</v>
      </c>
      <c r="I44" s="1">
        <f>VLOOKUP('comite 4'!$C$4,prevision11!$A$1:$BG$28,MATCH(H44,$A$1:$BG$1,0),FALSE)</f>
        <v>27.45</v>
      </c>
    </row>
    <row r="45" spans="2:9" x14ac:dyDescent="0.25">
      <c r="B45" s="1">
        <v>1974</v>
      </c>
      <c r="C45" s="1">
        <f>VLOOKUP(Indicateur11!$K$6,prevision11!$A$1:$BE$29,MATCH(prevision11!B45,prevision11!$A$1:$BE$1,0),FALSE)</f>
        <v>27.76</v>
      </c>
      <c r="H45" s="1">
        <v>1974</v>
      </c>
      <c r="I45" s="1">
        <f>VLOOKUP('comite 4'!$C$4,prevision11!$A$1:$BG$28,MATCH(H45,$A$1:$BG$1,0),FALSE)</f>
        <v>27.76</v>
      </c>
    </row>
    <row r="46" spans="2:9" x14ac:dyDescent="0.25">
      <c r="B46" s="1">
        <v>1975</v>
      </c>
      <c r="C46" s="1">
        <f>VLOOKUP(Indicateur11!$K$6,prevision11!$A$1:$BE$29,MATCH(prevision11!B46,prevision11!$A$1:$BE$1,0),FALSE)</f>
        <v>29.13</v>
      </c>
      <c r="H46" s="1">
        <v>1975</v>
      </c>
      <c r="I46" s="1">
        <f>VLOOKUP('comite 4'!$C$4,prevision11!$A$1:$BG$28,MATCH(H46,$A$1:$BG$1,0),FALSE)</f>
        <v>29.13</v>
      </c>
    </row>
    <row r="47" spans="2:9" x14ac:dyDescent="0.25">
      <c r="B47" s="1">
        <v>1976</v>
      </c>
      <c r="C47" s="1">
        <f>VLOOKUP(Indicateur11!$K$6,prevision11!$A$1:$BE$29,MATCH(prevision11!B47,prevision11!$A$1:$BE$1,0),FALSE)</f>
        <v>29.6</v>
      </c>
      <c r="H47" s="1">
        <v>1976</v>
      </c>
      <c r="I47" s="1">
        <f>VLOOKUP('comite 4'!$C$4,prevision11!$A$1:$BG$28,MATCH(H47,$A$1:$BG$1,0),FALSE)</f>
        <v>29.6</v>
      </c>
    </row>
    <row r="48" spans="2:9" x14ac:dyDescent="0.25">
      <c r="B48" s="1">
        <v>1977</v>
      </c>
      <c r="C48" s="1">
        <f>VLOOKUP(Indicateur11!$K$6,prevision11!$A$1:$BE$29,MATCH(prevision11!B48,prevision11!$A$1:$BE$1,0),FALSE)</f>
        <v>30.41</v>
      </c>
      <c r="H48" s="1">
        <v>1977</v>
      </c>
      <c r="I48" s="1">
        <f>VLOOKUP('comite 4'!$C$4,prevision11!$A$1:$BG$28,MATCH(H48,$A$1:$BG$1,0),FALSE)</f>
        <v>30.41</v>
      </c>
    </row>
    <row r="49" spans="2:9" x14ac:dyDescent="0.25">
      <c r="B49" s="1">
        <v>1978</v>
      </c>
      <c r="C49" s="1">
        <f>VLOOKUP(Indicateur11!$K$6,prevision11!$A$1:$BE$29,MATCH(prevision11!B49,prevision11!$A$1:$BE$1,0),FALSE)</f>
        <v>33.31</v>
      </c>
      <c r="H49" s="1">
        <v>1978</v>
      </c>
      <c r="I49" s="1">
        <f>VLOOKUP('comite 4'!$C$4,prevision11!$A$1:$BG$28,MATCH(H49,$A$1:$BG$1,0),FALSE)</f>
        <v>33.31</v>
      </c>
    </row>
    <row r="50" spans="2:9" x14ac:dyDescent="0.25">
      <c r="B50" s="1">
        <v>1979</v>
      </c>
      <c r="C50" s="1">
        <f>VLOOKUP(Indicateur11!$K$6,prevision11!$A$1:$BE$29,MATCH(prevision11!B50,prevision11!$A$1:$BE$1,0),FALSE)</f>
        <v>33.76</v>
      </c>
      <c r="H50" s="1">
        <v>1979</v>
      </c>
      <c r="I50" s="1">
        <f>VLOOKUP('comite 4'!$C$4,prevision11!$A$1:$BG$28,MATCH(H50,$A$1:$BG$1,0),FALSE)</f>
        <v>33.76</v>
      </c>
    </row>
    <row r="51" spans="2:9" x14ac:dyDescent="0.25">
      <c r="B51" s="1">
        <v>1980</v>
      </c>
      <c r="C51" s="1">
        <f>VLOOKUP(Indicateur11!$K$6,prevision11!$A$1:$BE$29,MATCH(prevision11!B51,prevision11!$A$1:$BE$1,0),FALSE)</f>
        <v>39.49</v>
      </c>
      <c r="H51" s="1">
        <v>1980</v>
      </c>
      <c r="I51" s="1">
        <f>VLOOKUP('comite 4'!$C$4,prevision11!$A$1:$BG$28,MATCH(H51,$A$1:$BG$1,0),FALSE)</f>
        <v>39.49</v>
      </c>
    </row>
    <row r="52" spans="2:9" x14ac:dyDescent="0.25">
      <c r="B52" s="1">
        <v>1981</v>
      </c>
      <c r="C52" s="1">
        <f>VLOOKUP(Indicateur11!$K$6,prevision11!$A$1:$BE$29,MATCH(prevision11!B52,prevision11!$A$1:$BE$1,0),FALSE)</f>
        <v>42.82</v>
      </c>
      <c r="H52" s="1">
        <v>1981</v>
      </c>
      <c r="I52" s="1">
        <f>VLOOKUP('comite 4'!$C$4,prevision11!$A$1:$BG$28,MATCH(H52,$A$1:$BG$1,0),FALSE)</f>
        <v>42.82</v>
      </c>
    </row>
    <row r="53" spans="2:9" x14ac:dyDescent="0.25">
      <c r="B53" s="1">
        <v>1982</v>
      </c>
      <c r="C53" s="1">
        <f>VLOOKUP(Indicateur11!$K$6,prevision11!$A$1:$BE$29,MATCH(prevision11!B53,prevision11!$A$1:$BE$1,0),FALSE)</f>
        <v>45.12</v>
      </c>
      <c r="H53" s="1">
        <v>1982</v>
      </c>
      <c r="I53" s="1">
        <f>VLOOKUP('comite 4'!$C$4,prevision11!$A$1:$BG$28,MATCH(H53,$A$1:$BG$1,0),FALSE)</f>
        <v>45.12</v>
      </c>
    </row>
    <row r="54" spans="2:9" x14ac:dyDescent="0.25">
      <c r="B54" s="1">
        <v>1983</v>
      </c>
      <c r="C54" s="1">
        <f>VLOOKUP(Indicateur11!$K$6,prevision11!$A$1:$BE$29,MATCH(prevision11!B54,prevision11!$A$1:$BE$1,0),FALSE)</f>
        <v>46</v>
      </c>
      <c r="H54" s="1">
        <v>1983</v>
      </c>
      <c r="I54" s="1">
        <f>VLOOKUP('comite 4'!$C$4,prevision11!$A$1:$BG$28,MATCH(H54,$A$1:$BG$1,0),FALSE)</f>
        <v>46</v>
      </c>
    </row>
    <row r="55" spans="2:9" x14ac:dyDescent="0.25">
      <c r="B55" s="1">
        <v>1984</v>
      </c>
      <c r="C55" s="1">
        <f>VLOOKUP(Indicateur11!$K$6,prevision11!$A$1:$BE$29,MATCH(prevision11!B55,prevision11!$A$1:$BE$1,0),FALSE)</f>
        <v>47.3</v>
      </c>
      <c r="H55" s="1">
        <v>1984</v>
      </c>
      <c r="I55" s="1">
        <f>VLOOKUP('comite 4'!$C$4,prevision11!$A$1:$BG$28,MATCH(H55,$A$1:$BG$1,0),FALSE)</f>
        <v>47.3</v>
      </c>
    </row>
    <row r="56" spans="2:9" x14ac:dyDescent="0.25">
      <c r="B56" s="1">
        <v>1985</v>
      </c>
      <c r="C56" s="1">
        <f>VLOOKUP(Indicateur11!$K$6,prevision11!$A$1:$BE$29,MATCH(prevision11!B56,prevision11!$A$1:$BE$1,0),FALSE)</f>
        <v>48.47</v>
      </c>
      <c r="H56" s="1">
        <v>1985</v>
      </c>
      <c r="I56" s="1">
        <f>VLOOKUP('comite 4'!$C$4,prevision11!$A$1:$BG$28,MATCH(H56,$A$1:$BG$1,0),FALSE)</f>
        <v>48.47</v>
      </c>
    </row>
    <row r="57" spans="2:9" x14ac:dyDescent="0.25">
      <c r="B57" s="1">
        <v>1986</v>
      </c>
      <c r="C57" s="1">
        <f>VLOOKUP(Indicateur11!$K$6,prevision11!$A$1:$BE$29,MATCH(prevision11!B57,prevision11!$A$1:$BE$1,0),FALSE)</f>
        <v>48.64</v>
      </c>
      <c r="H57" s="1">
        <v>1986</v>
      </c>
      <c r="I57" s="1">
        <f>VLOOKUP('comite 4'!$C$4,prevision11!$A$1:$BG$28,MATCH(H57,$A$1:$BG$1,0),FALSE)</f>
        <v>48.64</v>
      </c>
    </row>
    <row r="58" spans="2:9" x14ac:dyDescent="0.25">
      <c r="B58" s="1">
        <v>1987</v>
      </c>
      <c r="C58" s="1">
        <f>VLOOKUP(Indicateur11!$K$6,prevision11!$A$1:$BE$29,MATCH(prevision11!B58,prevision11!$A$1:$BE$1,0),FALSE)</f>
        <v>47.52</v>
      </c>
      <c r="H58" s="1">
        <v>1987</v>
      </c>
      <c r="I58" s="1">
        <f>VLOOKUP('comite 4'!$C$4,prevision11!$A$1:$BG$28,MATCH(H58,$A$1:$BG$1,0),FALSE)</f>
        <v>47.52</v>
      </c>
    </row>
    <row r="59" spans="2:9" x14ac:dyDescent="0.25">
      <c r="B59" s="1">
        <v>1988</v>
      </c>
      <c r="C59" s="1">
        <f>VLOOKUP(Indicateur11!$K$6,prevision11!$A$1:$BE$29,MATCH(prevision11!B59,prevision11!$A$1:$BE$1,0),FALSE)</f>
        <v>46.29</v>
      </c>
      <c r="H59" s="1">
        <v>1988</v>
      </c>
      <c r="I59" s="1">
        <f>VLOOKUP('comite 4'!$C$4,prevision11!$A$1:$BG$28,MATCH(H59,$A$1:$BG$1,0),FALSE)</f>
        <v>46.29</v>
      </c>
    </row>
    <row r="60" spans="2:9" x14ac:dyDescent="0.25">
      <c r="B60" s="1">
        <v>1989</v>
      </c>
      <c r="C60" s="1">
        <f>VLOOKUP(Indicateur11!$K$6,prevision11!$A$1:$BE$29,MATCH(prevision11!B60,prevision11!$A$1:$BE$1,0),FALSE)</f>
        <v>43.93</v>
      </c>
      <c r="H60" s="1">
        <v>1989</v>
      </c>
      <c r="I60" s="1">
        <f>VLOOKUP('comite 4'!$C$4,prevision11!$A$1:$BG$28,MATCH(H60,$A$1:$BG$1,0),FALSE)</f>
        <v>43.93</v>
      </c>
    </row>
    <row r="61" spans="2:9" x14ac:dyDescent="0.25">
      <c r="B61" s="1">
        <v>1990</v>
      </c>
      <c r="C61" s="1">
        <f>VLOOKUP(Indicateur11!$K$6,prevision11!$A$1:$BE$29,MATCH(prevision11!B61,prevision11!$A$1:$BE$1,0),FALSE)</f>
        <v>43.39</v>
      </c>
      <c r="H61" s="1">
        <v>1990</v>
      </c>
      <c r="I61" s="1">
        <f>VLOOKUP('comite 4'!$C$4,prevision11!$A$1:$BG$28,MATCH(H61,$A$1:$BG$1,0),FALSE)</f>
        <v>43.39</v>
      </c>
    </row>
    <row r="62" spans="2:9" x14ac:dyDescent="0.25">
      <c r="B62" s="1">
        <v>1991</v>
      </c>
      <c r="C62" s="1">
        <f>VLOOKUP(Indicateur11!$K$6,prevision11!$A$1:$BE$29,MATCH(prevision11!B62,prevision11!$A$1:$BE$1,0),FALSE)</f>
        <v>42.07</v>
      </c>
      <c r="H62" s="1">
        <v>1991</v>
      </c>
      <c r="I62" s="1">
        <f>VLOOKUP('comite 4'!$C$4,prevision11!$A$1:$BG$28,MATCH(H62,$A$1:$BG$1,0),FALSE)</f>
        <v>42.07</v>
      </c>
    </row>
    <row r="63" spans="2:9" x14ac:dyDescent="0.25">
      <c r="B63" s="1">
        <v>1992</v>
      </c>
      <c r="C63" s="1">
        <f>VLOOKUP(Indicateur11!$K$6,prevision11!$A$1:$BE$29,MATCH(prevision11!B63,prevision11!$A$1:$BE$1,0),FALSE)</f>
        <v>47.59</v>
      </c>
      <c r="H63" s="1">
        <v>1992</v>
      </c>
      <c r="I63" s="1">
        <f>VLOOKUP('comite 4'!$C$4,prevision11!$A$1:$BG$28,MATCH(H63,$A$1:$BG$1,0),FALSE)</f>
        <v>47.59</v>
      </c>
    </row>
    <row r="64" spans="2:9" x14ac:dyDescent="0.25">
      <c r="B64" s="1">
        <v>1993</v>
      </c>
      <c r="C64" s="1">
        <f>VLOOKUP(Indicateur11!$K$6,prevision11!$A$1:$BE$29,MATCH(prevision11!B64,prevision11!$A$1:$BE$1,0),FALSE)</f>
        <v>51.69</v>
      </c>
      <c r="H64" s="1">
        <v>1993</v>
      </c>
      <c r="I64" s="1">
        <f>VLOOKUP('comite 4'!$C$4,prevision11!$A$1:$BG$28,MATCH(H64,$A$1:$BG$1,0),FALSE)</f>
        <v>51.69</v>
      </c>
    </row>
    <row r="65" spans="2:9" x14ac:dyDescent="0.25">
      <c r="B65" s="1">
        <v>1994</v>
      </c>
      <c r="C65" s="1">
        <f>VLOOKUP(Indicateur11!$K$6,prevision11!$A$1:$BE$29,MATCH(prevision11!B65,prevision11!$A$1:$BE$1,0),FALSE)</f>
        <v>55.72</v>
      </c>
      <c r="H65" s="1">
        <v>1994</v>
      </c>
      <c r="I65" s="1">
        <f>VLOOKUP('comite 4'!$C$4,prevision11!$A$1:$BG$28,MATCH(H65,$A$1:$BG$1,0),FALSE)</f>
        <v>55.72</v>
      </c>
    </row>
    <row r="66" spans="2:9" x14ac:dyDescent="0.25">
      <c r="B66" s="1">
        <v>1995</v>
      </c>
      <c r="C66" s="1">
        <f>VLOOKUP(Indicateur11!$K$6,prevision11!$A$1:$BE$29,MATCH(prevision11!B66,prevision11!$A$1:$BE$1,0),FALSE)</f>
        <v>57.55</v>
      </c>
      <c r="H66" s="1">
        <v>1995</v>
      </c>
      <c r="I66" s="1">
        <f>VLOOKUP('comite 4'!$C$4,prevision11!$A$1:$BG$28,MATCH(H66,$A$1:$BG$1,0),FALSE)</f>
        <v>57.55</v>
      </c>
    </row>
    <row r="67" spans="2:9" x14ac:dyDescent="0.25">
      <c r="B67" s="1">
        <v>1996</v>
      </c>
      <c r="C67" s="1">
        <f>VLOOKUP(Indicateur11!$K$6,prevision11!$A$1:$BE$29,MATCH(prevision11!B67,prevision11!$A$1:$BE$1,0),FALSE)</f>
        <v>58.9</v>
      </c>
      <c r="H67" s="1">
        <v>1996</v>
      </c>
      <c r="I67" s="1">
        <f>VLOOKUP('comite 4'!$C$4,prevision11!$A$1:$BG$28,MATCH(H67,$A$1:$BG$1,0),FALSE)</f>
        <v>58.9</v>
      </c>
    </row>
    <row r="68" spans="2:9" x14ac:dyDescent="0.25">
      <c r="B68" s="1">
        <v>1997</v>
      </c>
      <c r="C68" s="1">
        <f>VLOOKUP(Indicateur11!$K$6,prevision11!$A$1:$BE$29,MATCH(prevision11!B68,prevision11!$A$1:$BE$1,0),FALSE)</f>
        <v>58.41</v>
      </c>
      <c r="H68" s="1">
        <v>1997</v>
      </c>
      <c r="I68" s="1">
        <f>VLOOKUP('comite 4'!$C$4,prevision11!$A$1:$BG$28,MATCH(H68,$A$1:$BG$1,0),FALSE)</f>
        <v>58.41</v>
      </c>
    </row>
    <row r="69" spans="2:9" x14ac:dyDescent="0.25">
      <c r="B69" s="1">
        <v>1998</v>
      </c>
      <c r="C69" s="1">
        <f>VLOOKUP(Indicateur11!$K$6,prevision11!$A$1:$BE$29,MATCH(prevision11!B69,prevision11!$A$1:$BE$1,0),FALSE)</f>
        <v>59.34</v>
      </c>
      <c r="H69" s="1">
        <v>1998</v>
      </c>
      <c r="I69" s="1">
        <f>VLOOKUP('comite 4'!$C$4,prevision11!$A$1:$BG$28,MATCH(H69,$A$1:$BG$1,0),FALSE)</f>
        <v>59.34</v>
      </c>
    </row>
    <row r="70" spans="2:9" x14ac:dyDescent="0.25">
      <c r="B70" s="1">
        <v>1999</v>
      </c>
      <c r="C70" s="1">
        <f>VLOOKUP(Indicateur11!$K$6,prevision11!$A$1:$BE$29,MATCH(prevision11!B70,prevision11!$A$1:$BE$1,0),FALSE)</f>
        <v>68</v>
      </c>
      <c r="H70" s="1">
        <v>1999</v>
      </c>
      <c r="I70" s="1">
        <f>VLOOKUP('comite 4'!$C$4,prevision11!$A$1:$BG$28,MATCH(H70,$A$1:$BG$1,0),FALSE)</f>
        <v>68</v>
      </c>
    </row>
    <row r="71" spans="2:9" x14ac:dyDescent="0.25">
      <c r="B71" s="1">
        <v>2000</v>
      </c>
      <c r="C71" s="1">
        <f>VLOOKUP(Indicateur11!$K$6,prevision11!$A$1:$BE$29,MATCH(prevision11!B71,prevision11!$A$1:$BE$1,0),FALSE)</f>
        <v>75.010000000000005</v>
      </c>
      <c r="H71" s="1">
        <v>2000</v>
      </c>
      <c r="I71" s="1">
        <f>VLOOKUP('comite 4'!$C$4,prevision11!$A$1:$BG$28,MATCH(H71,$A$1:$BG$1,0),FALSE)</f>
        <v>75.010000000000005</v>
      </c>
    </row>
    <row r="72" spans="2:9" x14ac:dyDescent="0.25">
      <c r="B72" s="1">
        <v>2001</v>
      </c>
      <c r="C72" s="1">
        <f>VLOOKUP(Indicateur11!$K$6,prevision11!$A$1:$BE$29,MATCH(prevision11!B72,prevision11!$A$1:$BE$1,0),FALSE)</f>
        <v>79.849999999999994</v>
      </c>
      <c r="H72" s="1">
        <v>2001</v>
      </c>
      <c r="I72" s="1">
        <f>VLOOKUP('comite 4'!$C$4,prevision11!$A$1:$BG$28,MATCH(H72,$A$1:$BG$1,0),FALSE)</f>
        <v>79.849999999999994</v>
      </c>
    </row>
    <row r="73" spans="2:9" x14ac:dyDescent="0.25">
      <c r="B73" s="1">
        <v>2002</v>
      </c>
      <c r="C73" s="1">
        <f>VLOOKUP(Indicateur11!$K$6,prevision11!$A$1:$BE$29,MATCH(prevision11!B73,prevision11!$A$1:$BE$1,0),FALSE)</f>
        <v>82.5</v>
      </c>
      <c r="H73" s="1">
        <v>2002</v>
      </c>
      <c r="I73" s="1">
        <f>VLOOKUP('comite 4'!$C$4,prevision11!$A$1:$BG$28,MATCH(H73,$A$1:$BG$1,0),FALSE)</f>
        <v>82.5</v>
      </c>
    </row>
    <row r="74" spans="2:9" x14ac:dyDescent="0.25">
      <c r="B74" s="1">
        <v>2003</v>
      </c>
      <c r="C74" s="1">
        <f>VLOOKUP(Indicateur11!$K$6,prevision11!$A$1:$BE$29,MATCH(prevision11!B74,prevision11!$A$1:$BE$1,0),FALSE)</f>
        <v>87.63</v>
      </c>
      <c r="H74" s="1">
        <v>2003</v>
      </c>
      <c r="I74" s="1">
        <f>VLOOKUP('comite 4'!$C$4,prevision11!$A$1:$BG$28,MATCH(H74,$A$1:$BG$1,0),FALSE)</f>
        <v>87.63</v>
      </c>
    </row>
    <row r="75" spans="2:9" x14ac:dyDescent="0.25">
      <c r="B75" s="1">
        <v>2004</v>
      </c>
      <c r="C75" s="1">
        <f>VLOOKUP(Indicateur11!$K$6,prevision11!$A$1:$BE$29,MATCH(prevision11!B75,prevision11!$A$1:$BE$1,0),FALSE)</f>
        <v>91.41</v>
      </c>
      <c r="H75" s="1">
        <v>2004</v>
      </c>
      <c r="I75" s="1">
        <f>VLOOKUP('comite 4'!$C$4,prevision11!$A$1:$BG$28,MATCH(H75,$A$1:$BG$1,0),FALSE)</f>
        <v>91.41</v>
      </c>
    </row>
    <row r="76" spans="2:9" x14ac:dyDescent="0.25">
      <c r="B76" s="1">
        <v>2005</v>
      </c>
      <c r="C76" s="1">
        <f>VLOOKUP(Indicateur11!$K$6,prevision11!$A$1:$BE$29,MATCH(prevision11!B76,prevision11!$A$1:$BE$1,0),FALSE)</f>
        <v>98.07</v>
      </c>
      <c r="H76" s="1">
        <v>2005</v>
      </c>
      <c r="I76" s="1">
        <f>VLOOKUP('comite 4'!$C$4,prevision11!$A$1:$BG$28,MATCH(H76,$A$1:$BG$1,0),FALSE)</f>
        <v>98.07</v>
      </c>
    </row>
    <row r="77" spans="2:9" x14ac:dyDescent="0.25">
      <c r="B77" s="1">
        <v>2006</v>
      </c>
      <c r="C77" s="1">
        <f>VLOOKUP(Indicateur11!$K$6,prevision11!$A$1:$BE$29,MATCH(prevision11!B77,prevision11!$A$1:$BE$1,0),FALSE)</f>
        <v>110.53</v>
      </c>
      <c r="H77" s="1">
        <v>2006</v>
      </c>
      <c r="I77" s="1">
        <f>VLOOKUP('comite 4'!$C$4,prevision11!$A$1:$BG$28,MATCH(H77,$A$1:$BG$1,0),FALSE)</f>
        <v>110.53</v>
      </c>
    </row>
    <row r="78" spans="2:9" x14ac:dyDescent="0.25">
      <c r="B78" s="1">
        <v>2007</v>
      </c>
      <c r="C78" s="1">
        <f>VLOOKUP(Indicateur11!$K$6,prevision11!$A$1:$BE$29,MATCH(prevision11!B78,prevision11!$A$1:$BE$1,0),FALSE)</f>
        <v>117.01</v>
      </c>
      <c r="H78" s="1">
        <v>2007</v>
      </c>
      <c r="I78" s="1">
        <f>VLOOKUP('comite 4'!$C$4,prevision11!$A$1:$BG$28,MATCH(H78,$A$1:$BG$1,0),FALSE)</f>
        <v>117.01</v>
      </c>
    </row>
    <row r="79" spans="2:9" x14ac:dyDescent="0.25">
      <c r="B79" s="1">
        <v>2008</v>
      </c>
      <c r="C79" s="1">
        <f>VLOOKUP(Indicateur11!$K$6,prevision11!$A$1:$BE$29,MATCH(prevision11!B79,prevision11!$A$1:$BE$1,0),FALSE)</f>
        <v>126.3</v>
      </c>
      <c r="H79" s="1">
        <v>2008</v>
      </c>
      <c r="I79" s="1">
        <f>VLOOKUP('comite 4'!$C$4,prevision11!$A$1:$BG$28,MATCH(H79,$A$1:$BG$1,0),FALSE)</f>
        <v>126.3</v>
      </c>
    </row>
    <row r="80" spans="2:9" x14ac:dyDescent="0.25">
      <c r="B80" s="1">
        <v>2009</v>
      </c>
      <c r="C80" s="1">
        <f>VLOOKUP(Indicateur11!$K$6,prevision11!$A$1:$BE$29,MATCH(prevision11!B80,prevision11!$A$1:$BE$1,0),FALSE)</f>
        <v>129.81</v>
      </c>
      <c r="H80" s="1">
        <v>2009</v>
      </c>
      <c r="I80" s="1">
        <f>VLOOKUP('comite 4'!$C$4,prevision11!$A$1:$BG$28,MATCH(H80,$A$1:$BG$1,0),FALSE)</f>
        <v>129.81</v>
      </c>
    </row>
    <row r="81" spans="2:10" x14ac:dyDescent="0.25">
      <c r="B81" s="1">
        <v>2010</v>
      </c>
      <c r="C81" s="1">
        <f>VLOOKUP(Indicateur11!$K$6,prevision11!$A$1:$BE$29,MATCH(prevision11!B81,prevision11!$A$1:$BE$1,0),FALSE)</f>
        <v>131.81</v>
      </c>
      <c r="H81" s="1">
        <v>2010</v>
      </c>
      <c r="I81" s="1">
        <f>VLOOKUP('comite 4'!$C$4,prevision11!$A$1:$BG$28,MATCH(H81,$A$1:$BG$1,0),FALSE)</f>
        <v>131.81</v>
      </c>
    </row>
    <row r="82" spans="2:10" x14ac:dyDescent="0.25">
      <c r="B82" s="1">
        <v>2011</v>
      </c>
      <c r="C82" s="1">
        <f>VLOOKUP(Indicateur11!$K$6,prevision11!$A$1:$BE$29,MATCH(prevision11!B82,prevision11!$A$1:$BE$1,0),FALSE)</f>
        <v>129.44999999999999</v>
      </c>
      <c r="H82" s="1">
        <v>2011</v>
      </c>
      <c r="I82" s="1">
        <f>VLOOKUP('comite 4'!$C$4,prevision11!$A$1:$BG$28,MATCH(H82,$A$1:$BG$1,0),FALSE)</f>
        <v>129.44999999999999</v>
      </c>
    </row>
    <row r="83" spans="2:10" x14ac:dyDescent="0.25">
      <c r="B83" s="1">
        <v>2012</v>
      </c>
      <c r="C83" s="1">
        <f>VLOOKUP(Indicateur11!$K$6,prevision11!$A$1:$BE$29,MATCH(prevision11!B83,prevision11!$A$1:$BE$1,0),FALSE)</f>
        <v>125.39</v>
      </c>
      <c r="H83" s="1">
        <v>2012</v>
      </c>
      <c r="I83" s="1">
        <f>VLOOKUP('comite 4'!$C$4,prevision11!$A$1:$BG$28,MATCH(H83,$A$1:$BG$1,0),FALSE)</f>
        <v>125.39</v>
      </c>
    </row>
    <row r="84" spans="2:10" x14ac:dyDescent="0.25">
      <c r="B84" s="1">
        <v>2013</v>
      </c>
      <c r="C84" s="1">
        <f>VLOOKUP(Indicateur11!$K$6,prevision11!$A$1:$BE$29,MATCH(prevision11!B84,prevision11!$A$1:$BE$1,0),FALSE)</f>
        <v>129.97999999999999</v>
      </c>
      <c r="H84" s="1">
        <v>2013</v>
      </c>
      <c r="I84" s="1">
        <f>VLOOKUP('comite 4'!$C$4,prevision11!$A$1:$BG$28,MATCH(H84,$A$1:$BG$1,0),FALSE)</f>
        <v>129.97999999999999</v>
      </c>
    </row>
    <row r="85" spans="2:10" x14ac:dyDescent="0.25">
      <c r="B85" s="1">
        <v>2014</v>
      </c>
      <c r="C85" s="1">
        <f>VLOOKUP(Indicateur11!$K$6,prevision11!$A$1:$BE$29,MATCH(prevision11!B85,prevision11!$A$1:$BE$1,0),FALSE)</f>
        <v>132.82</v>
      </c>
      <c r="H85" s="1">
        <v>2014</v>
      </c>
      <c r="I85" s="1">
        <f>VLOOKUP('comite 4'!$C$4,prevision11!$A$1:$BG$28,MATCH(H85,$A$1:$BG$1,0),FALSE)</f>
        <v>132.82</v>
      </c>
    </row>
    <row r="86" spans="2:10" x14ac:dyDescent="0.25">
      <c r="B86" s="1">
        <v>2015</v>
      </c>
      <c r="C86" s="1">
        <f>VLOOKUP(Indicateur11!$K$6,prevision11!$A$1:$BE$29,MATCH(prevision11!B86,prevision11!$A$1:$BE$1,0),FALSE)</f>
        <v>135.35</v>
      </c>
      <c r="H86" s="1">
        <v>2015</v>
      </c>
      <c r="I86" s="1">
        <f>VLOOKUP('comite 4'!$C$4,prevision11!$A$1:$BG$28,MATCH(H86,$A$1:$BG$1,0),FALSE)</f>
        <v>135.35</v>
      </c>
    </row>
    <row r="87" spans="2:10" x14ac:dyDescent="0.25">
      <c r="B87" s="1">
        <v>2016</v>
      </c>
      <c r="C87" s="1">
        <f>VLOOKUP(Indicateur11!$K$6,prevision11!$A$1:$BE$29,MATCH(prevision11!B87,prevision11!$A$1:$BE$1,0),FALSE)</f>
        <v>135.83000000000001</v>
      </c>
      <c r="D87" s="1">
        <f>C87</f>
        <v>135.83000000000001</v>
      </c>
      <c r="H87" s="1">
        <v>2016</v>
      </c>
      <c r="I87" s="1">
        <f>VLOOKUP('comite 4'!$C$4,prevision11!$A$1:$BG$28,MATCH(H87,$A$1:$BG$1,0),FALSE)</f>
        <v>135.83000000000001</v>
      </c>
      <c r="J87" s="1">
        <f>I87</f>
        <v>135.83000000000001</v>
      </c>
    </row>
    <row r="88" spans="2:10" x14ac:dyDescent="0.25">
      <c r="B88" s="1">
        <v>2017</v>
      </c>
      <c r="D88" s="1">
        <f>TREND($C$32:$C$87,$B$32:$B$87,B88)</f>
        <v>122.83161038960952</v>
      </c>
      <c r="H88" s="1">
        <v>2017</v>
      </c>
      <c r="J88" s="1">
        <f>TREND($I$32:$I$87,$H$32:$H$87,H88)</f>
        <v>122.83161038960952</v>
      </c>
    </row>
    <row r="89" spans="2:10" x14ac:dyDescent="0.25">
      <c r="B89" s="1">
        <v>2018</v>
      </c>
      <c r="D89" s="1">
        <f t="shared" ref="D89:D101" si="0">TREND($C$32:$C$87,$B$32:$B$87,B89)</f>
        <v>124.99472453861836</v>
      </c>
      <c r="H89" s="1">
        <v>2018</v>
      </c>
      <c r="J89" s="1">
        <f t="shared" ref="J89:J101" si="1">TREND($I$32:$I$87,$H$32:$H$87,H89)</f>
        <v>124.99472453861836</v>
      </c>
    </row>
    <row r="90" spans="2:10" x14ac:dyDescent="0.25">
      <c r="B90" s="1">
        <v>2019</v>
      </c>
      <c r="D90" s="1">
        <f t="shared" si="0"/>
        <v>127.15783868762719</v>
      </c>
      <c r="H90" s="1">
        <v>2019</v>
      </c>
      <c r="J90" s="1">
        <f t="shared" si="1"/>
        <v>127.15783868762719</v>
      </c>
    </row>
    <row r="91" spans="2:10" x14ac:dyDescent="0.25">
      <c r="B91" s="1">
        <v>2020</v>
      </c>
      <c r="D91" s="1">
        <f t="shared" si="0"/>
        <v>129.32095283663602</v>
      </c>
      <c r="H91" s="1">
        <v>2020</v>
      </c>
      <c r="J91" s="1">
        <f t="shared" si="1"/>
        <v>129.32095283663602</v>
      </c>
    </row>
    <row r="92" spans="2:10" x14ac:dyDescent="0.25">
      <c r="B92" s="1">
        <v>2021</v>
      </c>
      <c r="D92" s="1">
        <f t="shared" si="0"/>
        <v>131.48406698564486</v>
      </c>
      <c r="H92" s="1">
        <v>2021</v>
      </c>
      <c r="J92" s="1">
        <f t="shared" si="1"/>
        <v>131.48406698564486</v>
      </c>
    </row>
    <row r="93" spans="2:10" x14ac:dyDescent="0.25">
      <c r="B93" s="1">
        <v>2022</v>
      </c>
      <c r="D93" s="1">
        <f t="shared" si="0"/>
        <v>133.6471811346546</v>
      </c>
      <c r="H93" s="1">
        <v>2022</v>
      </c>
      <c r="J93" s="1">
        <f t="shared" si="1"/>
        <v>133.6471811346546</v>
      </c>
    </row>
    <row r="94" spans="2:10" x14ac:dyDescent="0.25">
      <c r="B94" s="1">
        <v>2023</v>
      </c>
      <c r="D94" s="1">
        <f t="shared" si="0"/>
        <v>135.81029528366344</v>
      </c>
      <c r="H94" s="1">
        <v>2023</v>
      </c>
      <c r="J94" s="1">
        <f t="shared" si="1"/>
        <v>135.81029528366344</v>
      </c>
    </row>
    <row r="95" spans="2:10" x14ac:dyDescent="0.25">
      <c r="B95" s="1">
        <v>2024</v>
      </c>
      <c r="D95" s="1">
        <f t="shared" si="0"/>
        <v>137.97340943267227</v>
      </c>
      <c r="H95" s="1">
        <v>2024</v>
      </c>
      <c r="J95" s="1">
        <f t="shared" si="1"/>
        <v>137.97340943267227</v>
      </c>
    </row>
    <row r="96" spans="2:10" x14ac:dyDescent="0.25">
      <c r="B96" s="1">
        <v>2025</v>
      </c>
      <c r="D96" s="1">
        <f t="shared" si="0"/>
        <v>140.1365235816811</v>
      </c>
      <c r="H96" s="1">
        <v>2025</v>
      </c>
      <c r="J96" s="1">
        <f t="shared" si="1"/>
        <v>140.1365235816811</v>
      </c>
    </row>
    <row r="97" spans="2:10" x14ac:dyDescent="0.25">
      <c r="B97" s="1">
        <v>2026</v>
      </c>
      <c r="D97" s="1">
        <f t="shared" si="0"/>
        <v>142.29963773068994</v>
      </c>
      <c r="H97" s="1">
        <v>2026</v>
      </c>
      <c r="J97" s="1">
        <f t="shared" si="1"/>
        <v>142.29963773068994</v>
      </c>
    </row>
    <row r="98" spans="2:10" x14ac:dyDescent="0.25">
      <c r="B98" s="1">
        <v>2027</v>
      </c>
      <c r="D98" s="1">
        <f t="shared" si="0"/>
        <v>144.46275187969877</v>
      </c>
      <c r="H98" s="1">
        <v>2027</v>
      </c>
      <c r="J98" s="1">
        <f t="shared" si="1"/>
        <v>144.46275187969877</v>
      </c>
    </row>
    <row r="99" spans="2:10" x14ac:dyDescent="0.25">
      <c r="B99" s="1">
        <v>2028</v>
      </c>
      <c r="D99" s="1">
        <f t="shared" si="0"/>
        <v>146.62586602870761</v>
      </c>
      <c r="H99" s="1">
        <v>2028</v>
      </c>
      <c r="J99" s="1">
        <f t="shared" si="1"/>
        <v>146.62586602870761</v>
      </c>
    </row>
    <row r="100" spans="2:10" x14ac:dyDescent="0.25">
      <c r="B100" s="1">
        <v>2029</v>
      </c>
      <c r="D100" s="1">
        <f t="shared" si="0"/>
        <v>148.78898017771644</v>
      </c>
      <c r="H100" s="1">
        <v>2029</v>
      </c>
      <c r="J100" s="1">
        <f t="shared" si="1"/>
        <v>148.78898017771644</v>
      </c>
    </row>
    <row r="101" spans="2:10" x14ac:dyDescent="0.25">
      <c r="B101" s="1">
        <v>2030</v>
      </c>
      <c r="D101" s="1">
        <f t="shared" si="0"/>
        <v>150.95209432672527</v>
      </c>
      <c r="H101" s="1">
        <v>2030</v>
      </c>
      <c r="J101" s="1">
        <f t="shared" si="1"/>
        <v>150.95209432672527</v>
      </c>
    </row>
  </sheetData>
  <phoneticPr fontId="1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L54"/>
  <sheetViews>
    <sheetView topLeftCell="A32" workbookViewId="0">
      <selection activeCell="C30" sqref="C30:C40"/>
    </sheetView>
  </sheetViews>
  <sheetFormatPr defaultColWidth="8" defaultRowHeight="13.8" x14ac:dyDescent="0.25"/>
  <cols>
    <col min="1" max="16384" width="8" style="1"/>
  </cols>
  <sheetData>
    <row r="1" spans="1:12" x14ac:dyDescent="0.25">
      <c r="A1" s="13" t="s">
        <v>7</v>
      </c>
      <c r="B1" s="14">
        <v>1990</v>
      </c>
      <c r="C1" s="14">
        <v>1995</v>
      </c>
      <c r="D1" s="14">
        <v>2000</v>
      </c>
      <c r="E1" s="14">
        <v>2005</v>
      </c>
      <c r="F1" s="14">
        <v>2010</v>
      </c>
      <c r="G1" s="14">
        <v>2011</v>
      </c>
      <c r="H1" s="14">
        <v>2012</v>
      </c>
      <c r="I1" s="14">
        <v>2013</v>
      </c>
      <c r="J1" s="14">
        <v>2014</v>
      </c>
      <c r="K1" s="14">
        <v>2015</v>
      </c>
      <c r="L1" s="14">
        <v>2016</v>
      </c>
    </row>
    <row r="2" spans="1:12" x14ac:dyDescent="0.25">
      <c r="A2" s="13" t="s">
        <v>10</v>
      </c>
      <c r="B2" s="1">
        <v>46.456528792942599</v>
      </c>
      <c r="C2" s="1">
        <v>46.568340848736703</v>
      </c>
      <c r="D2" s="1">
        <v>47.076484142621702</v>
      </c>
      <c r="E2" s="1">
        <v>43.244252956599198</v>
      </c>
      <c r="F2" s="1">
        <v>40.180276772013201</v>
      </c>
      <c r="G2" s="1">
        <v>44.086441995718999</v>
      </c>
      <c r="H2" s="1">
        <v>47.4315119853919</v>
      </c>
      <c r="I2" s="1">
        <v>48.139333019116201</v>
      </c>
      <c r="J2" s="1">
        <v>47.085068613141701</v>
      </c>
      <c r="K2" s="1">
        <v>46.450194640754297</v>
      </c>
      <c r="L2" s="1">
        <v>46.282934616116599</v>
      </c>
    </row>
    <row r="3" spans="1:12" x14ac:dyDescent="0.25">
      <c r="A3" s="13" t="s">
        <v>13</v>
      </c>
      <c r="B3" s="1">
        <v>105.811992395915</v>
      </c>
      <c r="C3" s="1">
        <v>103.21912328086199</v>
      </c>
      <c r="D3" s="1">
        <v>99.645181788517505</v>
      </c>
      <c r="E3" s="1">
        <v>81.867217580517007</v>
      </c>
      <c r="F3" s="1">
        <v>72.270556421920602</v>
      </c>
      <c r="G3" s="1">
        <v>75.543877370719898</v>
      </c>
      <c r="H3" s="1">
        <v>75.040022650454503</v>
      </c>
      <c r="I3" s="1">
        <v>73.848956472607597</v>
      </c>
      <c r="J3" s="1">
        <v>69.508268832506701</v>
      </c>
      <c r="K3" s="1">
        <v>134.79374977262199</v>
      </c>
      <c r="L3" s="1">
        <v>139.705790069454</v>
      </c>
    </row>
    <row r="4" spans="1:12" x14ac:dyDescent="0.25">
      <c r="A4" s="13" t="s">
        <v>15</v>
      </c>
      <c r="B4" s="1">
        <v>64.912882064522904</v>
      </c>
      <c r="C4" s="1">
        <v>64.658381457432</v>
      </c>
      <c r="D4" s="1">
        <v>63.979689644271602</v>
      </c>
      <c r="E4" s="1">
        <v>59.015257242197798</v>
      </c>
      <c r="F4" s="1">
        <v>56.349158514717601</v>
      </c>
      <c r="G4" s="1">
        <v>57.068519320767699</v>
      </c>
      <c r="H4" s="1">
        <v>56.2977302003167</v>
      </c>
      <c r="I4" s="1">
        <v>53.194487335892802</v>
      </c>
      <c r="J4" s="1">
        <v>49.216018876330097</v>
      </c>
      <c r="K4" s="1">
        <v>91.674309029587604</v>
      </c>
      <c r="L4" s="1">
        <v>95.673609098291493</v>
      </c>
    </row>
    <row r="5" spans="1:12" x14ac:dyDescent="0.25">
      <c r="A5" s="13" t="s">
        <v>16</v>
      </c>
      <c r="B5" s="1">
        <v>20.856187096623199</v>
      </c>
      <c r="C5" s="1">
        <v>20.931649135668199</v>
      </c>
      <c r="D5" s="1">
        <v>21.119799944413799</v>
      </c>
      <c r="E5" s="1">
        <v>20.3579409789685</v>
      </c>
      <c r="F5" s="1">
        <v>16.829166150558599</v>
      </c>
      <c r="G5" s="1">
        <v>17.280313779122601</v>
      </c>
      <c r="H5" s="1">
        <v>17.283169902946501</v>
      </c>
      <c r="I5" s="1">
        <v>17.4815775234227</v>
      </c>
      <c r="J5" s="1">
        <v>17.1182035777789</v>
      </c>
      <c r="K5" s="1">
        <v>19.033264278740301</v>
      </c>
      <c r="L5" s="1">
        <v>19.1463515776172</v>
      </c>
    </row>
    <row r="6" spans="1:12" x14ac:dyDescent="0.25">
      <c r="A6" s="13" t="s">
        <v>17</v>
      </c>
      <c r="B6" s="1">
        <v>46.477486076042098</v>
      </c>
      <c r="C6" s="1">
        <v>46.822087451070601</v>
      </c>
      <c r="D6" s="1">
        <v>49.839589146915102</v>
      </c>
      <c r="E6" s="1">
        <v>43.162939624859398</v>
      </c>
      <c r="F6" s="1">
        <v>45.384857609961003</v>
      </c>
      <c r="G6" s="1">
        <v>48.437648384231103</v>
      </c>
      <c r="H6" s="1">
        <v>52.319223618512702</v>
      </c>
      <c r="I6" s="1">
        <v>51.2265068561098</v>
      </c>
      <c r="J6" s="1">
        <v>50.872202717084399</v>
      </c>
      <c r="K6" s="1">
        <v>71.090614302179503</v>
      </c>
      <c r="L6" s="1">
        <v>71.709297659280693</v>
      </c>
    </row>
    <row r="7" spans="1:12" x14ac:dyDescent="0.25">
      <c r="A7" s="13" t="s">
        <v>2</v>
      </c>
      <c r="B7" s="1">
        <v>36.0180487473855</v>
      </c>
      <c r="C7" s="1">
        <v>35.924374760290199</v>
      </c>
      <c r="D7" s="1">
        <v>35.457561015242703</v>
      </c>
      <c r="E7" s="1">
        <v>31.1596866736122</v>
      </c>
      <c r="F7" s="1">
        <v>34.070705470853099</v>
      </c>
      <c r="G7" s="1">
        <v>36.184467323930299</v>
      </c>
      <c r="H7" s="1">
        <v>37.467279799809099</v>
      </c>
      <c r="I7" s="1">
        <v>36.608471563365399</v>
      </c>
      <c r="J7" s="1">
        <v>36.300683159835501</v>
      </c>
      <c r="K7" s="1">
        <v>48.877394619464397</v>
      </c>
      <c r="L7" s="1">
        <v>49.735305708481498</v>
      </c>
    </row>
    <row r="8" spans="1:12" x14ac:dyDescent="0.25">
      <c r="A8" s="13" t="s">
        <v>18</v>
      </c>
      <c r="B8" s="1">
        <v>30.6727539559161</v>
      </c>
      <c r="C8" s="1">
        <v>30.556903082035198</v>
      </c>
      <c r="D8" s="1">
        <v>30.6068189596926</v>
      </c>
      <c r="E8" s="1">
        <v>26.253804724962901</v>
      </c>
      <c r="F8" s="1">
        <v>29.853963692589701</v>
      </c>
      <c r="G8" s="1">
        <v>31.5625467738775</v>
      </c>
      <c r="H8" s="1">
        <v>29.8055807722487</v>
      </c>
      <c r="I8" s="1">
        <v>27.5938937157871</v>
      </c>
      <c r="J8" s="1">
        <v>24.975308244832402</v>
      </c>
      <c r="K8" s="1">
        <v>44.545939684034501</v>
      </c>
      <c r="L8" s="1">
        <v>46.140921243423897</v>
      </c>
    </row>
    <row r="9" spans="1:12" x14ac:dyDescent="0.25">
      <c r="A9" s="13" t="s">
        <v>19</v>
      </c>
      <c r="B9" s="1">
        <v>30.944960963339199</v>
      </c>
      <c r="C9" s="1">
        <v>30.952014214968699</v>
      </c>
      <c r="D9" s="1">
        <v>30.781790810841301</v>
      </c>
      <c r="E9" s="1">
        <v>30.0940881348169</v>
      </c>
      <c r="F9" s="1">
        <v>22.581336994805199</v>
      </c>
      <c r="G9" s="1">
        <v>23.411783648957002</v>
      </c>
      <c r="H9" s="1">
        <v>24.0334570995246</v>
      </c>
      <c r="I9" s="1">
        <v>25.19707460071</v>
      </c>
      <c r="J9" s="1">
        <v>25.183782664640301</v>
      </c>
      <c r="K9" s="1">
        <v>23.614719284738499</v>
      </c>
      <c r="L9" s="1">
        <v>23.5480471708712</v>
      </c>
    </row>
    <row r="10" spans="1:12" x14ac:dyDescent="0.25">
      <c r="A10" s="13" t="s">
        <v>20</v>
      </c>
      <c r="B10" s="1">
        <v>16.451322609320702</v>
      </c>
      <c r="C10" s="1">
        <v>16.463247855336999</v>
      </c>
      <c r="D10" s="1">
        <v>16.190365034014899</v>
      </c>
      <c r="E10" s="1">
        <v>15.134838405710701</v>
      </c>
      <c r="F10" s="1">
        <v>15.0546373354028</v>
      </c>
      <c r="G10" s="1">
        <v>16.110741615559501</v>
      </c>
      <c r="H10" s="1">
        <v>16.651500955190901</v>
      </c>
      <c r="I10" s="1">
        <v>16.723359394249801</v>
      </c>
      <c r="J10" s="1">
        <v>16.5219891167878</v>
      </c>
      <c r="K10" s="1">
        <v>16.274279543100999</v>
      </c>
      <c r="L10" s="1">
        <v>16.294930789772302</v>
      </c>
    </row>
    <row r="11" spans="1:12" x14ac:dyDescent="0.25">
      <c r="A11" s="13" t="s">
        <v>22</v>
      </c>
      <c r="B11" s="1">
        <v>10.5566656199658</v>
      </c>
      <c r="C11" s="1">
        <v>10.412062933678699</v>
      </c>
      <c r="D11" s="1">
        <v>10.555447622356599</v>
      </c>
      <c r="E11" s="1">
        <v>9.5166108403669796</v>
      </c>
      <c r="F11" s="1">
        <v>9.5730184322349707</v>
      </c>
      <c r="G11" s="1">
        <v>10.6829405776383</v>
      </c>
      <c r="H11" s="1">
        <v>11.186371439634399</v>
      </c>
      <c r="I11" s="1">
        <v>10.0836657403425</v>
      </c>
      <c r="J11" s="1">
        <v>8.9884671953866295</v>
      </c>
      <c r="K11" s="1">
        <v>16.752035897923498</v>
      </c>
      <c r="L11" s="1">
        <v>17.332335342519201</v>
      </c>
    </row>
    <row r="12" spans="1:12" x14ac:dyDescent="0.25">
      <c r="A12" s="13" t="s">
        <v>23</v>
      </c>
      <c r="B12" s="1">
        <v>18.8322542340978</v>
      </c>
      <c r="C12" s="1">
        <v>19.158625384506699</v>
      </c>
      <c r="D12" s="1">
        <v>19.357024432303099</v>
      </c>
      <c r="E12" s="1">
        <v>18.275894662321999</v>
      </c>
      <c r="F12" s="1">
        <v>17.303032378489402</v>
      </c>
      <c r="G12" s="1">
        <v>17.236826685291199</v>
      </c>
      <c r="H12" s="1">
        <v>18.171982772617099</v>
      </c>
      <c r="I12" s="1">
        <v>18.370347495292599</v>
      </c>
      <c r="J12" s="1">
        <v>19.1399746859692</v>
      </c>
      <c r="K12" s="1">
        <v>21.3773436136368</v>
      </c>
      <c r="L12" s="1">
        <v>21.4749647374828</v>
      </c>
    </row>
    <row r="13" spans="1:12" x14ac:dyDescent="0.25">
      <c r="A13" s="13" t="s">
        <v>24</v>
      </c>
      <c r="B13" s="1">
        <v>29.310142624090801</v>
      </c>
      <c r="C13" s="1">
        <v>29.018301357717402</v>
      </c>
      <c r="D13" s="1">
        <v>29.173683004910998</v>
      </c>
      <c r="E13" s="1">
        <v>29.3762820492149</v>
      </c>
      <c r="F13" s="1">
        <v>26.576972269399601</v>
      </c>
      <c r="G13" s="1">
        <v>27.8005469240853</v>
      </c>
      <c r="H13" s="1">
        <v>27.8193107975492</v>
      </c>
      <c r="I13" s="1">
        <v>27.590872099197199</v>
      </c>
      <c r="J13" s="1">
        <v>26.521513814298402</v>
      </c>
      <c r="K13" s="1">
        <v>28.1474592853057</v>
      </c>
      <c r="L13" s="1">
        <v>28.259823205112099</v>
      </c>
    </row>
    <row r="14" spans="1:12" x14ac:dyDescent="0.25">
      <c r="A14" s="13" t="s">
        <v>25</v>
      </c>
      <c r="B14" s="1">
        <v>62.550961561504302</v>
      </c>
      <c r="C14" s="1">
        <v>61.635482276783797</v>
      </c>
      <c r="D14" s="1">
        <v>60.2093358539855</v>
      </c>
      <c r="E14" s="1">
        <v>53.896665310033299</v>
      </c>
      <c r="F14" s="1">
        <v>60.133990670055802</v>
      </c>
      <c r="G14" s="1">
        <v>64.971886864380195</v>
      </c>
      <c r="H14" s="1">
        <v>57.5090496861066</v>
      </c>
      <c r="I14" s="1">
        <v>53.487369213120999</v>
      </c>
      <c r="J14" s="1">
        <v>48.012339263403099</v>
      </c>
      <c r="K14" s="1">
        <v>88.607656059382194</v>
      </c>
      <c r="L14" s="1">
        <v>92.210116754322996</v>
      </c>
    </row>
    <row r="15" spans="1:12" x14ac:dyDescent="0.25">
      <c r="A15" s="13" t="s">
        <v>26</v>
      </c>
      <c r="B15" s="1">
        <v>36.001817162034797</v>
      </c>
      <c r="C15" s="1">
        <v>26.180152384588901</v>
      </c>
      <c r="D15" s="1">
        <v>21.8742189684701</v>
      </c>
      <c r="E15" s="1">
        <v>18.554719666729401</v>
      </c>
      <c r="F15" s="1">
        <v>20.636944542572699</v>
      </c>
      <c r="G15" s="1">
        <v>21.2036539247711</v>
      </c>
      <c r="H15" s="1">
        <v>20.9796324466251</v>
      </c>
      <c r="I15" s="1">
        <v>20.6579585567554</v>
      </c>
      <c r="J15" s="1">
        <v>20.593640646755599</v>
      </c>
      <c r="K15" s="1">
        <v>20.0195119024932</v>
      </c>
      <c r="L15" s="1">
        <v>19.9432133698146</v>
      </c>
    </row>
    <row r="16" spans="1:12" x14ac:dyDescent="0.25">
      <c r="A16" s="13" t="s">
        <v>27</v>
      </c>
      <c r="B16" s="1">
        <v>22.521247615027399</v>
      </c>
      <c r="C16" s="1">
        <v>22.4497867316846</v>
      </c>
      <c r="D16" s="1">
        <v>22.758277433082799</v>
      </c>
      <c r="E16" s="1">
        <v>22.5651947738403</v>
      </c>
      <c r="F16" s="1">
        <v>19.689157612155899</v>
      </c>
      <c r="G16" s="1">
        <v>20.02058998583</v>
      </c>
      <c r="H16" s="1">
        <v>20.100159024395801</v>
      </c>
      <c r="I16" s="1">
        <v>19.946890996114</v>
      </c>
      <c r="J16" s="1">
        <v>19.7598785029328</v>
      </c>
      <c r="K16" s="1">
        <v>20.925727401907501</v>
      </c>
      <c r="L16" s="1">
        <v>20.987226868579398</v>
      </c>
    </row>
    <row r="17" spans="1:12" x14ac:dyDescent="0.25">
      <c r="A17" s="13" t="s">
        <v>29</v>
      </c>
      <c r="B17" s="1">
        <v>43.701879194620702</v>
      </c>
      <c r="C17" s="1">
        <v>43.816870362701202</v>
      </c>
      <c r="D17" s="1">
        <v>44.227207948034</v>
      </c>
      <c r="E17" s="1">
        <v>48.0010895231636</v>
      </c>
      <c r="F17" s="1">
        <v>45.834166775704198</v>
      </c>
      <c r="G17" s="1">
        <v>45.922495148855702</v>
      </c>
      <c r="H17" s="1">
        <v>48.2268903647252</v>
      </c>
      <c r="I17" s="1">
        <v>51.1129131584606</v>
      </c>
      <c r="J17" s="1">
        <v>52.428392853048599</v>
      </c>
      <c r="K17" s="1">
        <v>49.018417395899199</v>
      </c>
      <c r="L17" s="1">
        <v>48.811358811618703</v>
      </c>
    </row>
    <row r="18" spans="1:12" x14ac:dyDescent="0.25">
      <c r="A18" s="13" t="s">
        <v>30</v>
      </c>
      <c r="B18" s="1">
        <v>56.1455385699985</v>
      </c>
      <c r="C18" s="1">
        <v>56.949223815671097</v>
      </c>
      <c r="D18" s="1">
        <v>56.050758619398401</v>
      </c>
      <c r="E18" s="1">
        <v>60.254146868980101</v>
      </c>
      <c r="F18" s="1">
        <v>62.6081099621845</v>
      </c>
      <c r="G18" s="1">
        <v>63.399646146535602</v>
      </c>
      <c r="H18" s="1">
        <v>64.687376207007404</v>
      </c>
      <c r="I18" s="1">
        <v>70.227411519253295</v>
      </c>
      <c r="J18" s="1">
        <v>71.623436239305704</v>
      </c>
      <c r="K18" s="1">
        <v>77.906645523914506</v>
      </c>
      <c r="L18" s="1">
        <v>78.497133493777298</v>
      </c>
    </row>
    <row r="19" spans="1:12" x14ac:dyDescent="0.25">
      <c r="A19" s="13" t="s">
        <v>31</v>
      </c>
      <c r="B19" s="1">
        <v>33.182169817317302</v>
      </c>
      <c r="C19" s="1">
        <v>33.283751505549802</v>
      </c>
      <c r="D19" s="1">
        <v>34.339958574100102</v>
      </c>
      <c r="E19" s="1">
        <v>32.0779034418129</v>
      </c>
      <c r="F19" s="1">
        <v>22.881484458445598</v>
      </c>
      <c r="G19" s="1">
        <v>25.210086120575301</v>
      </c>
      <c r="H19" s="1">
        <v>28.649930002673301</v>
      </c>
      <c r="I19" s="1">
        <v>29.099827955632701</v>
      </c>
      <c r="J19" s="1">
        <v>28.238497167915199</v>
      </c>
      <c r="K19" s="1">
        <v>22.998854121201401</v>
      </c>
      <c r="L19" s="1">
        <v>22.708848677358102</v>
      </c>
    </row>
    <row r="20" spans="1:12" x14ac:dyDescent="0.25">
      <c r="A20" s="13" t="s">
        <v>32</v>
      </c>
      <c r="B20" s="1">
        <v>132.261486414979</v>
      </c>
      <c r="C20" s="1">
        <v>131.278695581421</v>
      </c>
      <c r="D20" s="1">
        <v>128.90772520719699</v>
      </c>
      <c r="E20" s="1">
        <v>112.460808217433</v>
      </c>
      <c r="F20" s="1">
        <v>116.207913647193</v>
      </c>
      <c r="G20" s="1">
        <v>118.30717027243701</v>
      </c>
      <c r="H20" s="1">
        <v>102.93374195685099</v>
      </c>
      <c r="I20" s="1">
        <v>83.692217991766</v>
      </c>
      <c r="J20" s="1">
        <v>72.103269704242607</v>
      </c>
      <c r="K20" s="1">
        <v>190.88412581292999</v>
      </c>
      <c r="L20" s="1">
        <v>203.74389172404</v>
      </c>
    </row>
    <row r="21" spans="1:12" x14ac:dyDescent="0.25">
      <c r="A21" s="13" t="s">
        <v>33</v>
      </c>
      <c r="B21" s="1">
        <v>52.948930388718303</v>
      </c>
      <c r="C21" s="1">
        <v>53.266020050959703</v>
      </c>
      <c r="D21" s="1">
        <v>53.753770878857097</v>
      </c>
      <c r="E21" s="1">
        <v>48.706883862937303</v>
      </c>
      <c r="F21" s="1">
        <v>44.468277417049897</v>
      </c>
      <c r="G21" s="1">
        <v>49.074052815667002</v>
      </c>
      <c r="H21" s="1">
        <v>52.775791310940299</v>
      </c>
      <c r="I21" s="1">
        <v>53.918288665436698</v>
      </c>
      <c r="J21" s="1">
        <v>51.863109925687503</v>
      </c>
      <c r="K21" s="1">
        <v>52.5098091852864</v>
      </c>
      <c r="L21" s="1">
        <v>52.790130124716399</v>
      </c>
    </row>
    <row r="22" spans="1:12" x14ac:dyDescent="0.25">
      <c r="A22" s="13" t="s">
        <v>34</v>
      </c>
      <c r="B22" s="1">
        <v>16.033199913514501</v>
      </c>
      <c r="C22" s="1">
        <v>15.9826046371162</v>
      </c>
      <c r="D22" s="1">
        <v>15.867681400442899</v>
      </c>
      <c r="E22" s="1">
        <v>15.528491720489701</v>
      </c>
      <c r="F22" s="1">
        <v>13.0597212897567</v>
      </c>
      <c r="G22" s="1">
        <v>12.8343192379785</v>
      </c>
      <c r="H22" s="1">
        <v>13.3100636181989</v>
      </c>
      <c r="I22" s="1">
        <v>13.140911509996</v>
      </c>
      <c r="J22" s="1">
        <v>13.8566293114297</v>
      </c>
      <c r="K22" s="1">
        <v>15.384606884228001</v>
      </c>
      <c r="L22" s="1">
        <v>15.427656593015101</v>
      </c>
    </row>
    <row r="23" spans="1:12" x14ac:dyDescent="0.25">
      <c r="A23" s="13" t="s">
        <v>35</v>
      </c>
      <c r="B23" s="1">
        <v>29.945704698164899</v>
      </c>
      <c r="C23" s="1">
        <v>29.909027511447</v>
      </c>
      <c r="D23" s="1">
        <v>30.767274322355298</v>
      </c>
      <c r="E23" s="1">
        <v>30.370964662447498</v>
      </c>
      <c r="F23" s="1">
        <v>26.972353959979898</v>
      </c>
      <c r="G23" s="1">
        <v>27.1952991198775</v>
      </c>
      <c r="H23" s="1">
        <v>27.915666952497599</v>
      </c>
      <c r="I23" s="1">
        <v>28.0975955873873</v>
      </c>
      <c r="J23" s="1">
        <v>28.087843327818799</v>
      </c>
      <c r="K23" s="1">
        <v>25.766537504838801</v>
      </c>
      <c r="L23" s="1">
        <v>25.635207569235799</v>
      </c>
    </row>
    <row r="24" spans="1:12" x14ac:dyDescent="0.25">
      <c r="A24" s="13" t="s">
        <v>36</v>
      </c>
      <c r="B24" s="1">
        <v>74.023080857090804</v>
      </c>
      <c r="C24" s="1">
        <v>62.060896521867399</v>
      </c>
      <c r="D24" s="1">
        <v>62.667892882356497</v>
      </c>
      <c r="E24" s="1">
        <v>44.318697524120097</v>
      </c>
      <c r="F24" s="1">
        <v>48.980652428698498</v>
      </c>
      <c r="G24" s="1">
        <v>47.978279388708202</v>
      </c>
      <c r="H24" s="1">
        <v>49.425570670560901</v>
      </c>
      <c r="I24" s="1">
        <v>48.188873341589897</v>
      </c>
      <c r="J24" s="1">
        <v>50.288441410222198</v>
      </c>
      <c r="K24" s="1">
        <v>60.697448208627002</v>
      </c>
      <c r="L24" s="1">
        <v>61.354304422826701</v>
      </c>
    </row>
    <row r="25" spans="1:12" x14ac:dyDescent="0.25">
      <c r="A25" s="13" t="s">
        <v>37</v>
      </c>
      <c r="B25" s="1">
        <v>21.014595443742099</v>
      </c>
      <c r="C25" s="1">
        <v>21.273866053887701</v>
      </c>
      <c r="D25" s="1">
        <v>22.354224596563199</v>
      </c>
      <c r="E25" s="1">
        <v>21.217076970141001</v>
      </c>
      <c r="F25" s="1">
        <v>20.9677688582277</v>
      </c>
      <c r="G25" s="1">
        <v>22.284692468208</v>
      </c>
      <c r="H25" s="1">
        <v>23.473103114250499</v>
      </c>
      <c r="I25" s="1">
        <v>23.723987437499201</v>
      </c>
      <c r="J25" s="1">
        <v>23.489643870927999</v>
      </c>
      <c r="K25" s="1">
        <v>22.386705390008199</v>
      </c>
      <c r="L25" s="1">
        <v>22.349307273381999</v>
      </c>
    </row>
    <row r="26" spans="1:12" x14ac:dyDescent="0.25">
      <c r="A26" s="13" t="s">
        <v>38</v>
      </c>
      <c r="B26" s="1">
        <v>60.621680465965603</v>
      </c>
      <c r="C26" s="1">
        <v>61.228678227902599</v>
      </c>
      <c r="D26" s="1">
        <v>60.360426287244699</v>
      </c>
      <c r="E26" s="1">
        <v>55.956463546987997</v>
      </c>
      <c r="F26" s="1">
        <v>52.9009733213773</v>
      </c>
      <c r="G26" s="1">
        <v>58.361327984355498</v>
      </c>
      <c r="H26" s="1">
        <v>62.146828223728399</v>
      </c>
      <c r="I26" s="1">
        <v>62.338002234295203</v>
      </c>
      <c r="J26" s="1">
        <v>61.386416666532803</v>
      </c>
      <c r="K26" s="1">
        <v>72.756373489062298</v>
      </c>
      <c r="L26" s="1">
        <v>73.511722754226099</v>
      </c>
    </row>
    <row r="27" spans="1:12" x14ac:dyDescent="0.25">
      <c r="A27" s="13" t="s">
        <v>39</v>
      </c>
      <c r="B27" s="1">
        <v>32.444821613546701</v>
      </c>
      <c r="C27" s="1">
        <v>30.6239025786914</v>
      </c>
      <c r="D27" s="1">
        <v>30.860930201084699</v>
      </c>
      <c r="E27" s="1">
        <v>28.236991301447301</v>
      </c>
      <c r="F27" s="1">
        <v>26.427642178678202</v>
      </c>
      <c r="G27" s="1">
        <v>27.229629950130999</v>
      </c>
      <c r="H27" s="1">
        <v>27.80475151041</v>
      </c>
      <c r="I27" s="1">
        <v>27.6507332029129</v>
      </c>
      <c r="J27" s="1">
        <v>27.109114140595601</v>
      </c>
      <c r="K27" s="1">
        <v>30.402645037229501</v>
      </c>
      <c r="L27" s="1">
        <v>30.5502949634744</v>
      </c>
    </row>
    <row r="28" spans="1:12" x14ac:dyDescent="0.25">
      <c r="A28" s="13" t="s">
        <v>40</v>
      </c>
      <c r="B28" s="1">
        <v>26.2731157046872</v>
      </c>
      <c r="C28" s="1">
        <v>24.8185001748631</v>
      </c>
      <c r="D28" s="1">
        <v>25.0884950757689</v>
      </c>
      <c r="E28" s="1">
        <v>25.423199861177501</v>
      </c>
      <c r="F28" s="1">
        <v>22.480426982858699</v>
      </c>
      <c r="G28" s="1">
        <v>23.3976660517745</v>
      </c>
      <c r="H28" s="1">
        <v>23.359478388554798</v>
      </c>
      <c r="I28" s="1">
        <v>23.448375552086301</v>
      </c>
      <c r="J28" s="1">
        <v>23.072327085418799</v>
      </c>
      <c r="K28" s="1">
        <v>24.371785659132499</v>
      </c>
      <c r="L28" s="1">
        <v>24.513034972283901</v>
      </c>
    </row>
    <row r="30" spans="1:12" x14ac:dyDescent="0.25">
      <c r="B30" s="1">
        <v>1990</v>
      </c>
      <c r="C30" s="1">
        <f>VLOOKUP(Indicateur12!$K$6,prevision12!$A$1:$L$28,MATCH(prevision12!B30,prevision12!$A$1:$L$1,0),FALSE)</f>
        <v>43.701879194620702</v>
      </c>
      <c r="H30" s="1">
        <v>1990</v>
      </c>
      <c r="I30" s="1">
        <f>VLOOKUP('comite 4'!$C$4,prevision12!$A$1:$BG$28,MATCH(H30,$A$1:$BG$1,0),FALSE)</f>
        <v>43.701879194620702</v>
      </c>
    </row>
    <row r="31" spans="1:12" x14ac:dyDescent="0.25">
      <c r="B31" s="1">
        <v>1995</v>
      </c>
      <c r="C31" s="1">
        <f>VLOOKUP(Indicateur12!$K$6,prevision12!$A$1:$L$28,MATCH(prevision12!B31,prevision12!$A$1:$L$1,0),FALSE)</f>
        <v>43.816870362701202</v>
      </c>
      <c r="H31" s="1">
        <v>1995</v>
      </c>
      <c r="I31" s="1">
        <f>VLOOKUP('comite 4'!$C$4,prevision12!$A$1:$BG$28,MATCH(H31,$A$1:$BG$1,0),FALSE)</f>
        <v>43.816870362701202</v>
      </c>
    </row>
    <row r="32" spans="1:12" x14ac:dyDescent="0.25">
      <c r="B32" s="1">
        <v>2000</v>
      </c>
      <c r="C32" s="1">
        <f>VLOOKUP(Indicateur12!$K$6,prevision12!$A$1:$L$28,MATCH(prevision12!B32,prevision12!$A$1:$L$1,0),FALSE)</f>
        <v>44.227207948034</v>
      </c>
      <c r="H32" s="1">
        <v>2000</v>
      </c>
      <c r="I32" s="1">
        <f>VLOOKUP('comite 4'!$C$4,prevision12!$A$1:$BG$28,MATCH(H32,$A$1:$BG$1,0),FALSE)</f>
        <v>44.227207948034</v>
      </c>
    </row>
    <row r="33" spans="2:10" x14ac:dyDescent="0.25">
      <c r="B33" s="1">
        <v>2005</v>
      </c>
      <c r="C33" s="1">
        <f>VLOOKUP(Indicateur12!$K$6,prevision12!$A$1:$L$28,MATCH(prevision12!B33,prevision12!$A$1:$L$1,0),FALSE)</f>
        <v>48.0010895231636</v>
      </c>
      <c r="H33" s="1">
        <v>2005</v>
      </c>
      <c r="I33" s="1">
        <f>VLOOKUP('comite 4'!$C$4,prevision12!$A$1:$BG$28,MATCH(H33,$A$1:$BG$1,0),FALSE)</f>
        <v>48.0010895231636</v>
      </c>
    </row>
    <row r="34" spans="2:10" x14ac:dyDescent="0.25">
      <c r="B34" s="1">
        <v>2010</v>
      </c>
      <c r="C34" s="1">
        <f>VLOOKUP(Indicateur12!$K$6,prevision12!$A$1:$L$28,MATCH(prevision12!B34,prevision12!$A$1:$L$1,0),FALSE)</f>
        <v>45.834166775704198</v>
      </c>
      <c r="H34" s="1">
        <v>2010</v>
      </c>
      <c r="I34" s="1">
        <f>VLOOKUP('comite 4'!$C$4,prevision12!$A$1:$BG$28,MATCH(H34,$A$1:$BG$1,0),FALSE)</f>
        <v>45.834166775704198</v>
      </c>
    </row>
    <row r="35" spans="2:10" x14ac:dyDescent="0.25">
      <c r="B35" s="1">
        <v>2011</v>
      </c>
      <c r="C35" s="1">
        <f>VLOOKUP(Indicateur12!$K$6,prevision12!$A$1:$L$28,MATCH(prevision12!B35,prevision12!$A$1:$L$1,0),FALSE)</f>
        <v>45.922495148855702</v>
      </c>
      <c r="H35" s="1">
        <v>2011</v>
      </c>
      <c r="I35" s="1">
        <f>VLOOKUP('comite 4'!$C$4,prevision12!$A$1:$BG$28,MATCH(H35,$A$1:$BG$1,0),FALSE)</f>
        <v>45.922495148855702</v>
      </c>
    </row>
    <row r="36" spans="2:10" x14ac:dyDescent="0.25">
      <c r="B36" s="1">
        <v>2012</v>
      </c>
      <c r="C36" s="1">
        <f>VLOOKUP(Indicateur12!$K$6,prevision12!$A$1:$L$28,MATCH(prevision12!B36,prevision12!$A$1:$L$1,0),FALSE)</f>
        <v>48.2268903647252</v>
      </c>
      <c r="H36" s="1">
        <v>2012</v>
      </c>
      <c r="I36" s="1">
        <f>VLOOKUP('comite 4'!$C$4,prevision12!$A$1:$BG$28,MATCH(H36,$A$1:$BG$1,0),FALSE)</f>
        <v>48.2268903647252</v>
      </c>
    </row>
    <row r="37" spans="2:10" x14ac:dyDescent="0.25">
      <c r="B37" s="1">
        <v>2013</v>
      </c>
      <c r="C37" s="1">
        <f>VLOOKUP(Indicateur12!$K$6,prevision12!$A$1:$L$28,MATCH(prevision12!B37,prevision12!$A$1:$L$1,0),FALSE)</f>
        <v>51.1129131584606</v>
      </c>
      <c r="H37" s="1">
        <v>2013</v>
      </c>
      <c r="I37" s="1">
        <f>VLOOKUP('comite 4'!$C$4,prevision12!$A$1:$BG$28,MATCH(H37,$A$1:$BG$1,0),FALSE)</f>
        <v>51.1129131584606</v>
      </c>
    </row>
    <row r="38" spans="2:10" x14ac:dyDescent="0.25">
      <c r="B38" s="1">
        <v>2014</v>
      </c>
      <c r="C38" s="1">
        <f>VLOOKUP(Indicateur12!$K$6,prevision12!$A$1:$L$28,MATCH(prevision12!B38,prevision12!$A$1:$L$1,0),FALSE)</f>
        <v>52.428392853048599</v>
      </c>
      <c r="H38" s="1">
        <v>2014</v>
      </c>
      <c r="I38" s="1">
        <f>VLOOKUP('comite 4'!$C$4,prevision12!$A$1:$BG$28,MATCH(H38,$A$1:$BG$1,0),FALSE)</f>
        <v>52.428392853048599</v>
      </c>
    </row>
    <row r="39" spans="2:10" x14ac:dyDescent="0.25">
      <c r="B39" s="1">
        <v>2015</v>
      </c>
      <c r="C39" s="1">
        <f>VLOOKUP(Indicateur12!$K$6,prevision12!$A$1:$L$28,MATCH(prevision12!B39,prevision12!$A$1:$L$1,0),FALSE)</f>
        <v>49.018417395899199</v>
      </c>
      <c r="H39" s="1">
        <v>2015</v>
      </c>
      <c r="I39" s="1">
        <f>VLOOKUP('comite 4'!$C$4,prevision12!$A$1:$BG$28,MATCH(H39,$A$1:$BG$1,0),FALSE)</f>
        <v>49.018417395899199</v>
      </c>
    </row>
    <row r="40" spans="2:10" x14ac:dyDescent="0.25">
      <c r="B40" s="1">
        <v>2016</v>
      </c>
      <c r="C40" s="1">
        <f>VLOOKUP(Indicateur12!$K$6,prevision12!$A$1:$L$28,MATCH(prevision12!B40,prevision12!$A$1:$L$1,0),FALSE)</f>
        <v>48.811358811618703</v>
      </c>
      <c r="D40" s="1">
        <f>C40</f>
        <v>48.811358811618703</v>
      </c>
      <c r="H40" s="1">
        <v>2016</v>
      </c>
      <c r="I40" s="1">
        <f>VLOOKUP('comite 4'!$C$4,prevision12!$A$1:$BG$28,MATCH(H40,$A$1:$BG$1,0),FALSE)</f>
        <v>48.811358811618703</v>
      </c>
      <c r="J40" s="1">
        <f>I40</f>
        <v>48.811358811618703</v>
      </c>
    </row>
    <row r="41" spans="2:10" x14ac:dyDescent="0.25">
      <c r="B41" s="1">
        <v>2017</v>
      </c>
      <c r="D41" s="1">
        <f>TREND($C$30:$C$40,$B$30:$B$40,B41)</f>
        <v>49.93949411464547</v>
      </c>
      <c r="H41" s="1">
        <v>2017</v>
      </c>
      <c r="J41" s="1">
        <f>TREND($I$30:$I$40,$H$30:$H$40,H41)</f>
        <v>49.93949411464547</v>
      </c>
    </row>
    <row r="42" spans="2:10" x14ac:dyDescent="0.25">
      <c r="B42" s="1">
        <v>2018</v>
      </c>
      <c r="D42" s="1">
        <f t="shared" ref="D42:D54" si="0">TREND($C$30:$C$40,$B$30:$B$40,B42)</f>
        <v>50.205840847893285</v>
      </c>
      <c r="H42" s="1">
        <v>2018</v>
      </c>
      <c r="J42" s="1">
        <f t="shared" ref="J42:J54" si="1">TREND($I$30:$I$40,$H$30:$H$40,H42)</f>
        <v>50.205840847893285</v>
      </c>
    </row>
    <row r="43" spans="2:10" x14ac:dyDescent="0.25">
      <c r="B43" s="1">
        <v>2019</v>
      </c>
      <c r="D43" s="1">
        <f t="shared" si="0"/>
        <v>50.4721875811411</v>
      </c>
      <c r="H43" s="1">
        <v>2019</v>
      </c>
      <c r="J43" s="1">
        <f t="shared" si="1"/>
        <v>50.4721875811411</v>
      </c>
    </row>
    <row r="44" spans="2:10" x14ac:dyDescent="0.25">
      <c r="B44" s="1">
        <v>2020</v>
      </c>
      <c r="D44" s="1">
        <f t="shared" si="0"/>
        <v>50.738534314388914</v>
      </c>
      <c r="H44" s="1">
        <v>2020</v>
      </c>
      <c r="J44" s="1">
        <f t="shared" si="1"/>
        <v>50.738534314388914</v>
      </c>
    </row>
    <row r="45" spans="2:10" x14ac:dyDescent="0.25">
      <c r="B45" s="1">
        <v>2021</v>
      </c>
      <c r="D45" s="1">
        <f t="shared" si="0"/>
        <v>51.004881047636729</v>
      </c>
      <c r="H45" s="1">
        <v>2021</v>
      </c>
      <c r="J45" s="1">
        <f t="shared" si="1"/>
        <v>51.004881047636729</v>
      </c>
    </row>
    <row r="46" spans="2:10" x14ac:dyDescent="0.25">
      <c r="B46" s="1">
        <v>2022</v>
      </c>
      <c r="D46" s="1">
        <f t="shared" si="0"/>
        <v>51.271227780884544</v>
      </c>
      <c r="H46" s="1">
        <v>2022</v>
      </c>
      <c r="J46" s="1">
        <f t="shared" si="1"/>
        <v>51.271227780884544</v>
      </c>
    </row>
    <row r="47" spans="2:10" x14ac:dyDescent="0.25">
      <c r="B47" s="1">
        <v>2023</v>
      </c>
      <c r="D47" s="1">
        <f t="shared" si="0"/>
        <v>51.537574514132359</v>
      </c>
      <c r="H47" s="1">
        <v>2023</v>
      </c>
      <c r="J47" s="1">
        <f t="shared" si="1"/>
        <v>51.537574514132359</v>
      </c>
    </row>
    <row r="48" spans="2:10" x14ac:dyDescent="0.25">
      <c r="B48" s="1">
        <v>2024</v>
      </c>
      <c r="D48" s="1">
        <f t="shared" si="0"/>
        <v>51.803921247380174</v>
      </c>
      <c r="H48" s="1">
        <v>2024</v>
      </c>
      <c r="J48" s="1">
        <f t="shared" si="1"/>
        <v>51.803921247380174</v>
      </c>
    </row>
    <row r="49" spans="2:10" x14ac:dyDescent="0.25">
      <c r="B49" s="1">
        <v>2025</v>
      </c>
      <c r="D49" s="1">
        <f t="shared" si="0"/>
        <v>52.070267980627989</v>
      </c>
      <c r="H49" s="1">
        <v>2025</v>
      </c>
      <c r="J49" s="1">
        <f t="shared" si="1"/>
        <v>52.070267980627989</v>
      </c>
    </row>
    <row r="50" spans="2:10" x14ac:dyDescent="0.25">
      <c r="B50" s="1">
        <v>2026</v>
      </c>
      <c r="D50" s="1">
        <f t="shared" si="0"/>
        <v>52.336614713875804</v>
      </c>
      <c r="H50" s="1">
        <v>2026</v>
      </c>
      <c r="J50" s="1">
        <f t="shared" si="1"/>
        <v>52.336614713875804</v>
      </c>
    </row>
    <row r="51" spans="2:10" x14ac:dyDescent="0.25">
      <c r="B51" s="1">
        <v>2027</v>
      </c>
      <c r="D51" s="1">
        <f t="shared" si="0"/>
        <v>52.602961447123619</v>
      </c>
      <c r="H51" s="1">
        <v>2027</v>
      </c>
      <c r="J51" s="1">
        <f t="shared" si="1"/>
        <v>52.602961447123619</v>
      </c>
    </row>
    <row r="52" spans="2:10" x14ac:dyDescent="0.25">
      <c r="B52" s="1">
        <v>2028</v>
      </c>
      <c r="D52" s="1">
        <f t="shared" si="0"/>
        <v>52.869308180371434</v>
      </c>
      <c r="H52" s="1">
        <v>2028</v>
      </c>
      <c r="J52" s="1">
        <f t="shared" si="1"/>
        <v>52.869308180371434</v>
      </c>
    </row>
    <row r="53" spans="2:10" x14ac:dyDescent="0.25">
      <c r="B53" s="1">
        <v>2029</v>
      </c>
      <c r="D53" s="1">
        <f t="shared" si="0"/>
        <v>53.135654913619248</v>
      </c>
      <c r="H53" s="1">
        <v>2029</v>
      </c>
      <c r="J53" s="1">
        <f t="shared" si="1"/>
        <v>53.135654913619248</v>
      </c>
    </row>
    <row r="54" spans="2:10" x14ac:dyDescent="0.25">
      <c r="B54" s="1">
        <v>2030</v>
      </c>
      <c r="D54" s="1">
        <f t="shared" si="0"/>
        <v>53.402001646867063</v>
      </c>
      <c r="H54" s="1">
        <v>2030</v>
      </c>
      <c r="J54" s="1">
        <f t="shared" si="1"/>
        <v>53.402001646867063</v>
      </c>
    </row>
  </sheetData>
  <phoneticPr fontId="12"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comite 4</vt:lpstr>
      <vt:lpstr>Indicateur10</vt:lpstr>
      <vt:lpstr>Indicateur11</vt:lpstr>
      <vt:lpstr>Indicateur12</vt:lpstr>
      <vt:lpstr>prevision10</vt:lpstr>
      <vt:lpstr>prevision11</vt:lpstr>
      <vt:lpstr>prevision12</vt:lpstr>
    </vt:vector>
  </TitlesOfParts>
  <Company>UT1C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WEIHUI TU</dc:creator>
  <cp:lastModifiedBy>maikefeng</cp:lastModifiedBy>
  <dcterms:created xsi:type="dcterms:W3CDTF">2019-03-29T15:42:58Z</dcterms:created>
  <dcterms:modified xsi:type="dcterms:W3CDTF">2019-04-11T05:33:35Z</dcterms:modified>
</cp:coreProperties>
</file>
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slicers/slicer3.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7.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hidePivotFieldList="1"/>
  <mc:AlternateContent xmlns:mc="http://schemas.openxmlformats.org/markup-compatibility/2006">
    <mc:Choice Requires="x15">
      <x15ac:absPath xmlns:x15ac="http://schemas.microsoft.com/office/spreadsheetml/2010/11/ac" url="F:\grand projet 2\"/>
    </mc:Choice>
  </mc:AlternateContent>
  <xr:revisionPtr revIDLastSave="0" documentId="13_ncr:1_{A6C86AE7-3759-487B-9103-0ABC2FF6D296}" xr6:coauthVersionLast="43" xr6:coauthVersionMax="43" xr10:uidLastSave="{00000000-0000-0000-0000-000000000000}"/>
  <bookViews>
    <workbookView xWindow="-108" yWindow="-108" windowWidth="23256" windowHeight="12576" xr2:uid="{00000000-000D-0000-FFFF-FFFF00000000}"/>
  </bookViews>
  <sheets>
    <sheet name="comite 2" sheetId="2" r:id="rId1"/>
    <sheet name="Indicateur4" sheetId="3" r:id="rId2"/>
    <sheet name="Indicateur5" sheetId="4" r:id="rId3"/>
    <sheet name="Indicateur6" sheetId="5" r:id="rId4"/>
    <sheet name="prevision4" sheetId="6" state="hidden" r:id="rId5"/>
    <sheet name="prevision5" sheetId="7" state="hidden" r:id="rId6"/>
    <sheet name="prevision6" sheetId="8" state="hidden" r:id="rId7"/>
  </sheets>
  <definedNames>
    <definedName name="切片器_Country_name2">#N/A</definedName>
    <definedName name="切片器_Country_name3">#N/A</definedName>
    <definedName name="切片器_Country_name4">#N/A</definedName>
  </definedNames>
  <calcPr calcId="191029"/>
  <pivotCaches>
    <pivotCache cacheId="0" r:id="rId8"/>
    <pivotCache cacheId="1" r:id="rId9"/>
    <pivotCache cacheId="2" r:id="rId10"/>
  </pivotCaches>
  <extLs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33" i="8" l="1"/>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32" i="8"/>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I79" i="7"/>
  <c r="I80" i="7"/>
  <c r="I81" i="7"/>
  <c r="I82" i="7"/>
  <c r="I83" i="7"/>
  <c r="I84" i="7"/>
  <c r="I85" i="7"/>
  <c r="I86" i="7"/>
  <c r="I87" i="7"/>
  <c r="I88" i="7"/>
  <c r="I89" i="7"/>
  <c r="I90" i="7"/>
  <c r="I33" i="7"/>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32" i="6"/>
  <c r="J89" i="8" l="1"/>
  <c r="D89" i="8"/>
  <c r="J102" i="8"/>
  <c r="D102" i="8"/>
  <c r="J90" i="7"/>
  <c r="D90" i="7"/>
  <c r="J103" i="7"/>
  <c r="D102" i="7"/>
  <c r="J88" i="6"/>
  <c r="D88" i="6"/>
  <c r="D102" i="6" l="1"/>
  <c r="J102" i="6"/>
  <c r="D91" i="8"/>
  <c r="D93" i="8"/>
  <c r="D95" i="8"/>
  <c r="D97" i="8"/>
  <c r="D99" i="8"/>
  <c r="D101" i="8"/>
  <c r="J91" i="8"/>
  <c r="J93" i="8"/>
  <c r="J95" i="8"/>
  <c r="J97" i="8"/>
  <c r="J99" i="8"/>
  <c r="J101" i="8"/>
  <c r="D90" i="8"/>
  <c r="D92" i="8"/>
  <c r="D94" i="8"/>
  <c r="D96" i="8"/>
  <c r="D98" i="8"/>
  <c r="D100" i="8"/>
  <c r="J90" i="8"/>
  <c r="J92" i="8"/>
  <c r="J94" i="8"/>
  <c r="J96" i="8"/>
  <c r="J98" i="8"/>
  <c r="J100" i="8"/>
  <c r="D94" i="7"/>
  <c r="D100" i="7"/>
  <c r="D91" i="7"/>
  <c r="D93" i="7"/>
  <c r="D95" i="7"/>
  <c r="D97" i="7"/>
  <c r="D99" i="7"/>
  <c r="D101" i="7"/>
  <c r="D103" i="7"/>
  <c r="D92" i="7"/>
  <c r="D96" i="7"/>
  <c r="D98" i="7"/>
  <c r="J92" i="7"/>
  <c r="J94" i="7"/>
  <c r="J96" i="7"/>
  <c r="J98" i="7"/>
  <c r="J100" i="7"/>
  <c r="J102" i="7"/>
  <c r="J91" i="7"/>
  <c r="J93" i="7"/>
  <c r="J95" i="7"/>
  <c r="J97" i="7"/>
  <c r="J99" i="7"/>
  <c r="J101" i="7"/>
  <c r="D91" i="6"/>
  <c r="D95" i="6"/>
  <c r="D99" i="6"/>
  <c r="J89" i="6"/>
  <c r="J91" i="6"/>
  <c r="J93" i="6"/>
  <c r="J95" i="6"/>
  <c r="J97" i="6"/>
  <c r="J99" i="6"/>
  <c r="J101" i="6"/>
  <c r="D89" i="6"/>
  <c r="D93" i="6"/>
  <c r="D97" i="6"/>
  <c r="D101" i="6"/>
  <c r="D90" i="6"/>
  <c r="D92" i="6"/>
  <c r="D94" i="6"/>
  <c r="D96" i="6"/>
  <c r="D98" i="6"/>
  <c r="D100" i="6"/>
  <c r="J90" i="6"/>
  <c r="J92" i="6"/>
  <c r="J94" i="6"/>
  <c r="J96" i="6"/>
  <c r="J98" i="6"/>
  <c r="J100" i="6"/>
</calcChain>
</file>

<file path=xl/sharedStrings.xml><?xml version="1.0" encoding="utf-8"?>
<sst xmlns="http://schemas.openxmlformats.org/spreadsheetml/2006/main" count="9871" uniqueCount="49">
  <si>
    <t>Country name:</t>
  </si>
  <si>
    <t>Ethiopia</t>
  </si>
  <si>
    <t>Commentaire</t>
    <phoneticPr fontId="0" type="noConversion"/>
  </si>
  <si>
    <t>Country name</t>
  </si>
  <si>
    <t>Indicator name</t>
  </si>
  <si>
    <t>Data</t>
  </si>
  <si>
    <t>Year</t>
  </si>
  <si>
    <t>Graphique Croisé Dynamique</t>
    <phoneticPr fontId="0" type="noConversion"/>
  </si>
  <si>
    <t>Tableau Croisé Dynamique</t>
    <phoneticPr fontId="0" type="noConversion"/>
  </si>
  <si>
    <t>Burundi</t>
  </si>
  <si>
    <t>Life expectancy at birth, total (years)</t>
  </si>
  <si>
    <t>Somme:Data</t>
  </si>
  <si>
    <t>Cameroon</t>
  </si>
  <si>
    <t>Chad</t>
  </si>
  <si>
    <t>Life expectancy at birth, total (years)</t>
    <phoneticPr fontId="0" type="noConversion"/>
  </si>
  <si>
    <t>Comoros</t>
  </si>
  <si>
    <t>Djibouti</t>
  </si>
  <si>
    <t>Guinea</t>
  </si>
  <si>
    <t>Haiti</t>
  </si>
  <si>
    <t>Kenya</t>
  </si>
  <si>
    <t>Kosovo</t>
  </si>
  <si>
    <t>Liberia</t>
  </si>
  <si>
    <t>Madagascar</t>
  </si>
  <si>
    <t>Malawi</t>
  </si>
  <si>
    <t>Mali</t>
  </si>
  <si>
    <t>Moldova</t>
  </si>
  <si>
    <t>Mozambique</t>
  </si>
  <si>
    <t xml:space="preserve">Prévision de tendance </t>
    <phoneticPr fontId="0" type="noConversion"/>
  </si>
  <si>
    <t>Myanmar</t>
  </si>
  <si>
    <t>Nepal</t>
  </si>
  <si>
    <t>Nicaragua</t>
  </si>
  <si>
    <t>Niger</t>
  </si>
  <si>
    <t>Rwanda</t>
  </si>
  <si>
    <t>Sao Tome and Principe</t>
  </si>
  <si>
    <t>Sri Lanka</t>
  </si>
  <si>
    <t>Tajikistan</t>
  </si>
  <si>
    <t>Tanzania</t>
  </si>
  <si>
    <t>Uganda</t>
  </si>
  <si>
    <t>Zambia</t>
  </si>
  <si>
    <t>Zimbabwe</t>
  </si>
  <si>
    <t>Mortality rate, infant (per 1,000 live births)</t>
  </si>
  <si>
    <t>Mortality rate, infant (per 1,000 live births)</t>
    <phoneticPr fontId="0" type="noConversion"/>
  </si>
  <si>
    <t>Population growth (annual %)</t>
    <phoneticPr fontId="0" type="noConversion"/>
  </si>
  <si>
    <t>Population growth (annual %)</t>
  </si>
  <si>
    <t xml:space="preserve">Indicateurs de la santé </t>
  </si>
  <si>
    <t>Indicateur: Life expectancy at birth, total (years)</t>
    <phoneticPr fontId="12" type="noConversion"/>
  </si>
  <si>
    <t>Indicateur: Mortality rate, infant (per 1,000 live births)</t>
    <phoneticPr fontId="12" type="noConversion"/>
  </si>
  <si>
    <t>Indicateur: Population growth (annual %)</t>
    <phoneticPr fontId="12" type="noConversion"/>
  </si>
  <si>
    <t>Mozambique</t>
    <phoneticPr fontId="1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</si>
</sst>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Arial"/>
      <family val="2"/>
    </font>
    <font>
      <b/>
      <sz val="11"/>
      <color theme="0"/>
      <name val="Arial"/>
      <family val="2"/>
    </font>
    <font>
      <b/>
      <sz val="11"/>
      <color theme="1"/>
      <name val="Arial"/>
      <family val="2"/>
    </font>
    <font>
      <sz val="11"/>
      <color rgb="FF000000"/>
      <name val="Arial"/>
      <family val="2"/>
    </font>
    <font>
      <sz val="11"/>
      <color theme="1"/>
      <name val="等线"/>
      <family val="2"/>
      <charset val="134"/>
      <scheme val="minor"/>
    </font>
    <font>
      <b/>
      <sz val="12"/>
      <color theme="0"/>
      <name val="Arial"/>
      <family val="2"/>
    </font>
    <font>
      <b/>
      <sz val="11"/>
      <name val="Arial"/>
      <family val="2"/>
    </font>
    <font>
      <sz val="11"/>
      <color rgb="FF000000"/>
      <name val="等线"/>
      <family val="3"/>
      <charset val="134"/>
    </font>
    <font>
      <sz val="12"/>
      <color indexed="8"/>
      <name val="宋体"/>
      <family val="3"/>
      <charset val="134"/>
    </font>
    <font>
      <b/>
      <sz val="11"/>
      <color indexed="8"/>
      <name val="Arial"/>
      <family val="2"/>
    </font>
    <font>
      <sz val="11"/>
      <color indexed="8"/>
      <name val="Arial"/>
      <family val="2"/>
    </font>
    <font>
      <b/>
      <sz val="11"/>
      <color theme="1"/>
      <name val="等线"/>
      <family val="2"/>
      <charset val="134"/>
      <scheme val="minor"/>
    </font>
    <font>
      <sz val="9"/>
      <name val="宋体"/>
      <family val="3"/>
      <charset val="134"/>
    </font>
  </fonts>
  <fills count="7">
    <fill>
      <patternFill patternType="none"/>
    </fill>
    <fill>
      <patternFill patternType="gray125"/>
    </fill>
    <fill>
      <patternFill patternType="solid">
        <fgColor theme="0" tint="-0.34998626667073579"/>
        <bgColor indexed="64"/>
      </patternFill>
    </fill>
    <fill>
      <patternFill patternType="solid">
        <fgColor theme="7" tint="0.39997558519241921"/>
        <bgColor indexed="64"/>
      </patternFill>
    </fill>
    <fill>
      <patternFill patternType="solid">
        <fgColor theme="0" tint="-0.14999847407452621"/>
        <bgColor indexed="64"/>
      </patternFill>
    </fill>
    <fill>
      <patternFill patternType="solid">
        <fgColor theme="7" tint="0.39997558519241921"/>
        <bgColor indexed="0"/>
      </patternFill>
    </fill>
    <fill>
      <patternFill patternType="solid">
        <fgColor theme="0" tint="-4.9989318521683403E-2"/>
        <bgColor indexed="64"/>
      </patternFill>
    </fill>
  </fills>
  <borders count="15">
    <border>
      <left/>
      <right/>
      <top/>
      <bottom/>
      <diagonal/>
    </border>
    <border>
      <left style="double">
        <color theme="7" tint="0.39994506668294322"/>
      </left>
      <right style="double">
        <color theme="7" tint="0.39991454817346722"/>
      </right>
      <top/>
      <bottom style="double">
        <color theme="7" tint="0.39994506668294322"/>
      </bottom>
      <diagonal/>
    </border>
    <border>
      <left style="thin">
        <color indexed="22"/>
      </left>
      <right style="thin">
        <color indexed="22"/>
      </right>
      <top style="thin">
        <color indexed="22"/>
      </top>
      <bottom style="thin">
        <color indexed="22"/>
      </bottom>
      <diagonal/>
    </border>
    <border>
      <left/>
      <right/>
      <top/>
      <bottom style="thin">
        <color theme="7" tint="0.39994506668294322"/>
      </bottom>
      <diagonal/>
    </border>
    <border>
      <left/>
      <right/>
      <top style="thin">
        <color theme="7" tint="0.39994506668294322"/>
      </top>
      <bottom style="thin">
        <color theme="7" tint="0.39994506668294322"/>
      </bottom>
      <diagonal/>
    </border>
    <border>
      <left/>
      <right/>
      <top style="thin">
        <color theme="7" tint="0.39994506668294322"/>
      </top>
      <bottom/>
      <diagonal/>
    </border>
    <border>
      <left/>
      <right/>
      <top/>
      <bottom style="thin">
        <color theme="7" tint="0.39991454817346722"/>
      </bottom>
      <diagonal/>
    </border>
    <border>
      <left/>
      <right/>
      <top style="thin">
        <color theme="7" tint="0.39991454817346722"/>
      </top>
      <bottom style="thin">
        <color theme="7" tint="0.39991454817346722"/>
      </bottom>
      <diagonal/>
    </border>
    <border>
      <left/>
      <right/>
      <top style="thin">
        <color theme="7" tint="0.39991454817346722"/>
      </top>
      <bottom/>
      <diagonal/>
    </border>
    <border>
      <left/>
      <right/>
      <top/>
      <bottom style="thin">
        <color theme="4" tint="0.39997558519241921"/>
      </bottom>
      <diagonal/>
    </border>
    <border>
      <left style="thin">
        <color theme="0" tint="-0.14996795556505021"/>
      </left>
      <right/>
      <top/>
      <bottom/>
      <diagonal/>
    </border>
    <border>
      <left/>
      <right style="thin">
        <color theme="0" tint="-0.14996795556505021"/>
      </right>
      <top/>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right style="thin">
        <color theme="0" tint="-0.14996795556505021"/>
      </right>
      <top/>
      <bottom style="thin">
        <color theme="0" tint="-0.14996795556505021"/>
      </bottom>
      <diagonal/>
    </border>
  </borders>
  <cellStyleXfs count="4">
    <xf numFmtId="0" fontId="0" fillId="0" borderId="0"/>
    <xf numFmtId="0" fontId="4" fillId="0" borderId="0">
      <alignment vertical="center"/>
    </xf>
    <xf numFmtId="0" fontId="8" fillId="0" borderId="0"/>
    <xf numFmtId="0" fontId="8" fillId="0" borderId="0"/>
  </cellStyleXfs>
  <cellXfs count="46">
    <xf numFmtId="0" fontId="0" fillId="0" borderId="0" xfId="0"/>
    <xf numFmtId="0" fontId="4" fillId="0" borderId="0" xfId="1">
      <alignment vertical="center"/>
    </xf>
    <xf numFmtId="0" fontId="2" fillId="3" borderId="0" xfId="1" applyFont="1" applyFill="1">
      <alignment vertical="center"/>
    </xf>
    <xf numFmtId="0" fontId="4" fillId="4" borderId="0" xfId="1" applyFill="1" applyAlignment="1">
      <alignment horizontal="right" vertical="center"/>
    </xf>
    <xf numFmtId="0" fontId="6" fillId="3" borderId="0" xfId="1" applyFont="1" applyFill="1">
      <alignment vertical="center"/>
    </xf>
    <xf numFmtId="0" fontId="9" fillId="5" borderId="0" xfId="2" applyFont="1" applyFill="1" applyAlignment="1">
      <alignment horizontal="center" vertical="center"/>
    </xf>
    <xf numFmtId="0" fontId="6" fillId="3" borderId="1" xfId="1" applyFont="1" applyFill="1" applyBorder="1">
      <alignment vertical="center"/>
    </xf>
    <xf numFmtId="0" fontId="10" fillId="6" borderId="2" xfId="2" applyFont="1" applyFill="1" applyBorder="1" applyAlignment="1">
      <alignment horizontal="center" vertical="center" wrapText="1"/>
    </xf>
    <xf numFmtId="0" fontId="10" fillId="0" borderId="2" xfId="2" applyFont="1" applyBorder="1" applyAlignment="1">
      <alignment horizontal="center" vertical="center" wrapText="1"/>
    </xf>
    <xf numFmtId="0" fontId="10" fillId="6" borderId="2" xfId="3" applyFont="1" applyFill="1" applyBorder="1" applyAlignment="1">
      <alignment horizontal="center" vertical="center" wrapText="1"/>
    </xf>
    <xf numFmtId="0" fontId="10" fillId="0" borderId="2" xfId="3" applyFont="1" applyBorder="1" applyAlignment="1">
      <alignment horizontal="center" vertical="center" wrapText="1"/>
    </xf>
    <xf numFmtId="0" fontId="9" fillId="0" borderId="0" xfId="2" applyFont="1" applyAlignment="1">
      <alignment horizontal="center" vertical="center"/>
    </xf>
    <xf numFmtId="0" fontId="10" fillId="0" borderId="0" xfId="2" applyFont="1" applyAlignment="1">
      <alignment horizontal="center" vertical="center" wrapText="1"/>
    </xf>
    <xf numFmtId="0" fontId="2" fillId="0" borderId="0" xfId="1" applyFont="1">
      <alignment vertical="center"/>
    </xf>
    <xf numFmtId="0" fontId="4" fillId="0" borderId="0" xfId="1" applyAlignment="1">
      <alignment horizontal="left" vertical="top"/>
    </xf>
    <xf numFmtId="0" fontId="2" fillId="0" borderId="0" xfId="1" applyFont="1" applyAlignment="1">
      <alignment horizontal="left" vertical="center"/>
    </xf>
    <xf numFmtId="0" fontId="11" fillId="3" borderId="9" xfId="1" applyFont="1" applyFill="1" applyBorder="1">
      <alignment vertical="center"/>
    </xf>
    <xf numFmtId="0" fontId="4" fillId="6" borderId="0" xfId="1" applyFill="1" applyAlignment="1">
      <alignment horizontal="left" vertical="center"/>
    </xf>
    <xf numFmtId="0" fontId="11" fillId="3" borderId="9" xfId="1" applyFont="1" applyFill="1" applyBorder="1" applyAlignment="1">
      <alignment horizontal="right" vertical="center"/>
    </xf>
    <xf numFmtId="0" fontId="0" fillId="6" borderId="4" xfId="0" applyFill="1" applyBorder="1" applyAlignment="1">
      <alignment horizontal="left"/>
    </xf>
    <xf numFmtId="0" fontId="0" fillId="6" borderId="5" xfId="0" applyFill="1" applyBorder="1" applyAlignment="1">
      <alignment horizontal="left"/>
    </xf>
    <xf numFmtId="0" fontId="0" fillId="6" borderId="7" xfId="0" applyFill="1" applyBorder="1" applyAlignment="1">
      <alignment horizontal="left"/>
    </xf>
    <xf numFmtId="0" fontId="0" fillId="6" borderId="8" xfId="0" applyFill="1" applyBorder="1" applyAlignment="1">
      <alignment horizontal="left"/>
    </xf>
    <xf numFmtId="0" fontId="0" fillId="0" borderId="10" xfId="1" applyFont="1" applyBorder="1" applyAlignment="1">
      <alignment vertical="center" wrapText="1"/>
    </xf>
    <xf numFmtId="0" fontId="0" fillId="0" borderId="0" xfId="1" applyFont="1" applyBorder="1" applyAlignment="1">
      <alignment vertical="center" wrapText="1"/>
    </xf>
    <xf numFmtId="0" fontId="0" fillId="0" borderId="11" xfId="1" applyFont="1" applyBorder="1" applyAlignment="1">
      <alignment vertical="center" wrapText="1"/>
    </xf>
    <xf numFmtId="0" fontId="5" fillId="2" borderId="0" xfId="1" applyFont="1" applyFill="1" applyAlignment="1">
      <alignment horizontal="center" vertical="center"/>
    </xf>
    <xf numFmtId="0" fontId="1" fillId="2" borderId="0" xfId="1" applyFont="1" applyFill="1" applyAlignment="1">
      <alignment horizontal="center" vertical="center"/>
    </xf>
    <xf numFmtId="0" fontId="6" fillId="3" borderId="0" xfId="1" applyFont="1" applyFill="1">
      <alignment vertical="center"/>
    </xf>
    <xf numFmtId="0" fontId="4" fillId="0" borderId="0" xfId="1">
      <alignment vertical="center"/>
    </xf>
    <xf numFmtId="0" fontId="0" fillId="0" borderId="3" xfId="0" applyFill="1" applyBorder="1"/>
    <xf numFmtId="0" fontId="0" fillId="0" borderId="4" xfId="0" applyFill="1" applyBorder="1"/>
    <xf numFmtId="0" fontId="0" fillId="0" borderId="4" xfId="0" applyFill="1" applyBorder="1" applyAlignment="1">
      <alignment horizontal="right"/>
    </xf>
    <xf numFmtId="0" fontId="0" fillId="0" borderId="4" xfId="0" applyNumberFormat="1" applyBorder="1"/>
    <xf numFmtId="0" fontId="0" fillId="0" borderId="5" xfId="0" applyNumberFormat="1" applyBorder="1"/>
    <xf numFmtId="0" fontId="0" fillId="0" borderId="6" xfId="0" applyFill="1" applyBorder="1"/>
    <xf numFmtId="0" fontId="0" fillId="0" borderId="7" xfId="0" applyFill="1" applyBorder="1"/>
    <xf numFmtId="0" fontId="0" fillId="0" borderId="7" xfId="0" applyFill="1" applyBorder="1" applyAlignment="1">
      <alignment horizontal="right"/>
    </xf>
    <xf numFmtId="0" fontId="0" fillId="0" borderId="7" xfId="0" applyNumberFormat="1" applyBorder="1"/>
    <xf numFmtId="0" fontId="0" fillId="0" borderId="8" xfId="0" applyNumberFormat="1" applyBorder="1"/>
    <xf numFmtId="0" fontId="4" fillId="0" borderId="10" xfId="1" applyBorder="1">
      <alignment vertical="center"/>
    </xf>
    <xf numFmtId="0" fontId="4" fillId="0" borderId="0" xfId="1" applyBorder="1">
      <alignment vertical="center"/>
    </xf>
    <xf numFmtId="0" fontId="4" fillId="0" borderId="11" xfId="1" applyBorder="1">
      <alignment vertical="center"/>
    </xf>
    <xf numFmtId="0" fontId="4" fillId="0" borderId="12" xfId="1" applyBorder="1">
      <alignment vertical="center"/>
    </xf>
    <xf numFmtId="0" fontId="4" fillId="0" borderId="13" xfId="1" applyBorder="1">
      <alignment vertical="center"/>
    </xf>
    <xf numFmtId="0" fontId="4" fillId="0" borderId="14" xfId="1" applyBorder="1">
      <alignment vertical="center"/>
    </xf>
  </cellXfs>
  <cellStyles count="4">
    <cellStyle name="Normal 2" xfId="1" xr:uid="{00000000-0005-0000-0000-000001000000}"/>
    <cellStyle name="常规" xfId="0" builtinId="0"/>
    <cellStyle name="常规_Sheet1" xfId="3" xr:uid="{00000000-0005-0000-0000-000002000000}"/>
    <cellStyle name="常规_Sheet1_1" xfId="2" xr:uid="{00000000-0005-0000-0000-000003000000}"/>
  </cellStyles>
  <dxfs count="537">
    <dxf>
      <fill>
        <patternFill patternType="solid">
          <bgColor rgb="FFFFFF00"/>
        </patternFill>
      </fill>
    </dxf>
    <dxf>
      <fill>
        <patternFill patternType="solid">
          <bgColor rgb="FFFFFF00"/>
        </patternFill>
      </fill>
    </dxf>
    <dxf>
      <fill>
        <patternFill patternType="solid">
          <bgColor rgb="FFFFFF00"/>
        </patternFill>
      </fill>
    </dxf>
    <dxf>
      <fill>
        <patternFill>
          <bgColor theme="7" tint="0.39997558519241921"/>
        </patternFill>
      </fill>
    </dxf>
    <dxf>
      <fill>
        <patternFill>
          <bgColor theme="7" tint="0.39997558519241921"/>
        </patternFill>
      </fill>
    </dxf>
    <dxf>
      <fill>
        <patternFill>
          <bgColor theme="7" tint="0.39997558519241921"/>
        </patternFill>
      </fill>
    </dxf>
    <dxf>
      <alignment horizontal="right"/>
    </dxf>
    <dxf>
      <alignment horizontal="right"/>
    </dxf>
    <dxf>
      <fill>
        <patternFill patternType="solid">
          <bgColor theme="0" tint="-4.9989318521683403E-2"/>
        </patternFill>
      </fill>
    </dxf>
    <dxf>
      <fill>
        <patternFill patternType="solid">
          <bgColor theme="0" tint="-4.9989318521683403E-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fill>
        <patternFill patternType="solid">
          <bgColor rgb="FFFFFF00"/>
        </patternFill>
      </fill>
    </dxf>
    <dxf>
      <fill>
        <patternFill patternType="solid">
          <bgColor rgb="FFFFFF00"/>
        </patternFill>
      </fill>
    </dxf>
    <dxf>
      <fill>
        <patternFill patternType="solid">
          <bgColor rgb="FFFFFF00"/>
        </patternFill>
      </fill>
    </dxf>
    <dxf>
      <fill>
        <patternFill>
          <bgColor theme="7" tint="0.39997558519241921"/>
        </patternFill>
      </fill>
    </dxf>
    <dxf>
      <fill>
        <patternFill>
          <bgColor theme="7" tint="0.39997558519241921"/>
        </patternFill>
      </fill>
    </dxf>
    <dxf>
      <fill>
        <patternFill>
          <bgColor theme="7" tint="0.39997558519241921"/>
        </patternFill>
      </fill>
    </dxf>
    <dxf>
      <alignment horizontal="right"/>
    </dxf>
    <dxf>
      <alignment horizontal="right"/>
    </dxf>
    <dxf>
      <fill>
        <patternFill patternType="solid">
          <bgColor theme="0" tint="-4.9989318521683403E-2"/>
        </patternFill>
      </fill>
    </dxf>
    <dxf>
      <fill>
        <patternFill patternType="solid">
          <bgColor theme="0" tint="-4.9989318521683403E-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fill>
        <patternFill patternType="solid">
          <bgColor rgb="FFFFFF00"/>
        </patternFill>
      </fill>
    </dxf>
    <dxf>
      <fill>
        <patternFill patternType="solid">
          <bgColor rgb="FFFFFF00"/>
        </patternFill>
      </fill>
    </dxf>
    <dxf>
      <fill>
        <patternFill patternType="solid">
          <bgColor rgb="FFFFFF00"/>
        </patternFill>
      </fill>
    </dxf>
    <dxf>
      <fill>
        <patternFill>
          <bgColor theme="7" tint="0.39997558519241921"/>
        </patternFill>
      </fill>
    </dxf>
    <dxf>
      <fill>
        <patternFill>
          <bgColor theme="7" tint="0.39997558519241921"/>
        </patternFill>
      </fill>
    </dxf>
    <dxf>
      <fill>
        <patternFill>
          <bgColor theme="7" tint="0.39997558519241921"/>
        </patternFill>
      </fill>
    </dxf>
    <dxf>
      <alignment horizontal="right"/>
    </dxf>
    <dxf>
      <alignment horizontal="right"/>
    </dxf>
    <dxf>
      <fill>
        <patternFill patternType="solid">
          <bgColor theme="0" tint="-4.9989318521683403E-2"/>
        </patternFill>
      </fill>
    </dxf>
    <dxf>
      <fill>
        <patternFill patternType="solid">
          <bgColor theme="0" tint="-4.9989318521683403E-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fill>
        <patternFill patternType="solid">
          <bgColor rgb="FFFFFF00"/>
        </patternFill>
      </fill>
    </dxf>
    <dxf>
      <fill>
        <patternFill patternType="solid">
          <bgColor rgb="FFFFFF00"/>
        </patternFill>
      </fill>
    </dxf>
    <dxf>
      <fill>
        <patternFill patternType="solid">
          <bgColor rgb="FFFFFF00"/>
        </patternFill>
      </fill>
    </dxf>
    <dxf>
      <fill>
        <patternFill>
          <bgColor theme="7" tint="0.39997558519241921"/>
        </patternFill>
      </fill>
    </dxf>
    <dxf>
      <fill>
        <patternFill>
          <bgColor theme="7" tint="0.39997558519241921"/>
        </patternFill>
      </fill>
    </dxf>
    <dxf>
      <fill>
        <patternFill>
          <bgColor theme="7" tint="0.39997558519241921"/>
        </patternFill>
      </fill>
    </dxf>
    <dxf>
      <alignment horizontal="right"/>
    </dxf>
    <dxf>
      <alignment horizontal="right"/>
    </dxf>
    <dxf>
      <fill>
        <patternFill patternType="solid">
          <bgColor theme="0" tint="-4.9989318521683403E-2"/>
        </patternFill>
      </fill>
    </dxf>
    <dxf>
      <fill>
        <patternFill patternType="solid">
          <bgColor theme="0" tint="-4.9989318521683403E-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fill>
        <patternFill patternType="solid">
          <bgColor rgb="FFFFFF00"/>
        </patternFill>
      </fill>
    </dxf>
    <dxf>
      <fill>
        <patternFill patternType="solid">
          <bgColor rgb="FFFFFF00"/>
        </patternFill>
      </fill>
    </dxf>
    <dxf>
      <fill>
        <patternFill patternType="solid">
          <bgColor rgb="FFFFFF00"/>
        </patternFill>
      </fill>
    </dxf>
    <dxf>
      <fill>
        <patternFill>
          <bgColor theme="7" tint="0.39997558519241921"/>
        </patternFill>
      </fill>
    </dxf>
    <dxf>
      <fill>
        <patternFill>
          <bgColor theme="7" tint="0.39997558519241921"/>
        </patternFill>
      </fill>
    </dxf>
    <dxf>
      <fill>
        <patternFill>
          <bgColor theme="7" tint="0.39997558519241921"/>
        </patternFill>
      </fill>
    </dxf>
    <dxf>
      <alignment horizontal="right"/>
    </dxf>
    <dxf>
      <alignment horizontal="right"/>
    </dxf>
    <dxf>
      <fill>
        <patternFill patternType="solid">
          <bgColor theme="0" tint="-4.9989318521683403E-2"/>
        </patternFill>
      </fill>
    </dxf>
    <dxf>
      <fill>
        <patternFill patternType="solid">
          <bgColor theme="0" tint="-4.9989318521683403E-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fill>
        <patternFill patternType="solid">
          <bgColor rgb="FFFFFF00"/>
        </patternFill>
      </fill>
    </dxf>
    <dxf>
      <fill>
        <patternFill patternType="solid">
          <bgColor rgb="FFFFFF00"/>
        </patternFill>
      </fill>
    </dxf>
    <dxf>
      <fill>
        <patternFill patternType="solid">
          <bgColor rgb="FFFFFF00"/>
        </patternFill>
      </fill>
    </dxf>
    <dxf>
      <fill>
        <patternFill>
          <bgColor theme="7" tint="0.39997558519241921"/>
        </patternFill>
      </fill>
    </dxf>
    <dxf>
      <fill>
        <patternFill>
          <bgColor theme="7" tint="0.39997558519241921"/>
        </patternFill>
      </fill>
    </dxf>
    <dxf>
      <fill>
        <patternFill>
          <bgColor theme="7" tint="0.39997558519241921"/>
        </patternFill>
      </fill>
    </dxf>
    <dxf>
      <alignment horizontal="right"/>
    </dxf>
    <dxf>
      <alignment horizontal="right"/>
    </dxf>
    <dxf>
      <fill>
        <patternFill patternType="solid">
          <bgColor theme="0" tint="-4.9989318521683403E-2"/>
        </patternFill>
      </fill>
    </dxf>
    <dxf>
      <fill>
        <patternFill patternType="solid">
          <bgColor theme="0" tint="-4.9989318521683403E-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fill>
        <patternFill patternType="solid">
          <bgColor rgb="FFFFFF00"/>
        </patternFill>
      </fill>
    </dxf>
    <dxf>
      <fill>
        <patternFill patternType="solid">
          <bgColor rgb="FFFFFF00"/>
        </patternFill>
      </fill>
    </dxf>
    <dxf>
      <fill>
        <patternFill patternType="solid">
          <bgColor rgb="FFFFFF00"/>
        </patternFill>
      </fill>
    </dxf>
    <dxf>
      <fill>
        <patternFill>
          <bgColor theme="7" tint="0.39997558519241921"/>
        </patternFill>
      </fill>
    </dxf>
    <dxf>
      <fill>
        <patternFill>
          <bgColor theme="7" tint="0.39997558519241921"/>
        </patternFill>
      </fill>
    </dxf>
    <dxf>
      <fill>
        <patternFill>
          <bgColor theme="7" tint="0.39997558519241921"/>
        </patternFill>
      </fill>
    </dxf>
    <dxf>
      <alignment horizontal="right"/>
    </dxf>
    <dxf>
      <alignment horizontal="right"/>
    </dxf>
    <dxf>
      <fill>
        <patternFill patternType="solid">
          <bgColor theme="0" tint="-4.9989318521683403E-2"/>
        </patternFill>
      </fill>
    </dxf>
    <dxf>
      <fill>
        <patternFill patternType="solid">
          <bgColor theme="0" tint="-4.9989318521683403E-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fill>
        <patternFill patternType="solid">
          <bgColor rgb="FFFFFF00"/>
        </patternFill>
      </fill>
    </dxf>
    <dxf>
      <fill>
        <patternFill patternType="solid">
          <bgColor rgb="FFFFFF00"/>
        </patternFill>
      </fill>
    </dxf>
    <dxf>
      <fill>
        <patternFill patternType="solid">
          <bgColor rgb="FFFFFF00"/>
        </patternFill>
      </fill>
    </dxf>
    <dxf>
      <fill>
        <patternFill>
          <bgColor theme="7" tint="0.39997558519241921"/>
        </patternFill>
      </fill>
    </dxf>
    <dxf>
      <fill>
        <patternFill>
          <bgColor theme="7" tint="0.39997558519241921"/>
        </patternFill>
      </fill>
    </dxf>
    <dxf>
      <fill>
        <patternFill>
          <bgColor theme="7" tint="0.39997558519241921"/>
        </patternFill>
      </fill>
    </dxf>
    <dxf>
      <alignment horizontal="right"/>
    </dxf>
    <dxf>
      <alignment horizontal="right"/>
    </dxf>
    <dxf>
      <fill>
        <patternFill patternType="solid">
          <bgColor theme="0" tint="-4.9989318521683403E-2"/>
        </patternFill>
      </fill>
    </dxf>
    <dxf>
      <fill>
        <patternFill patternType="solid">
          <bgColor theme="0" tint="-4.9989318521683403E-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fill>
        <patternFill patternType="solid">
          <bgColor rgb="FFFFFF00"/>
        </patternFill>
      </fill>
    </dxf>
    <dxf>
      <fill>
        <patternFill patternType="solid">
          <bgColor rgb="FFFFFF00"/>
        </patternFill>
      </fill>
    </dxf>
    <dxf>
      <fill>
        <patternFill patternType="solid">
          <bgColor rgb="FFFFFF00"/>
        </patternFill>
      </fill>
    </dxf>
    <dxf>
      <fill>
        <patternFill>
          <bgColor theme="7" tint="0.39997558519241921"/>
        </patternFill>
      </fill>
    </dxf>
    <dxf>
      <fill>
        <patternFill>
          <bgColor theme="7" tint="0.39997558519241921"/>
        </patternFill>
      </fill>
    </dxf>
    <dxf>
      <fill>
        <patternFill>
          <bgColor theme="7" tint="0.39997558519241921"/>
        </patternFill>
      </fill>
    </dxf>
    <dxf>
      <alignment horizontal="right"/>
    </dxf>
    <dxf>
      <alignment horizontal="right"/>
    </dxf>
    <dxf>
      <fill>
        <patternFill patternType="solid">
          <bgColor theme="0" tint="-4.9989318521683403E-2"/>
        </patternFill>
      </fill>
    </dxf>
    <dxf>
      <fill>
        <patternFill patternType="solid">
          <bgColor theme="0" tint="-4.9989318521683403E-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fill>
        <patternFill patternType="solid">
          <bgColor rgb="FFFFFF00"/>
        </patternFill>
      </fill>
    </dxf>
    <dxf>
      <fill>
        <patternFill patternType="solid">
          <bgColor rgb="FFFFFF00"/>
        </patternFill>
      </fill>
    </dxf>
    <dxf>
      <fill>
        <patternFill patternType="solid">
          <bgColor rgb="FFFFFF00"/>
        </patternFill>
      </fill>
    </dxf>
    <dxf>
      <fill>
        <patternFill>
          <bgColor theme="7" tint="0.39997558519241921"/>
        </patternFill>
      </fill>
    </dxf>
    <dxf>
      <fill>
        <patternFill>
          <bgColor theme="7" tint="0.39997558519241921"/>
        </patternFill>
      </fill>
    </dxf>
    <dxf>
      <fill>
        <patternFill>
          <bgColor theme="7" tint="0.39997558519241921"/>
        </patternFill>
      </fill>
    </dxf>
    <dxf>
      <alignment horizontal="right"/>
    </dxf>
    <dxf>
      <alignment horizontal="right"/>
    </dxf>
    <dxf>
      <fill>
        <patternFill patternType="solid">
          <bgColor theme="0" tint="-4.9989318521683403E-2"/>
        </patternFill>
      </fill>
    </dxf>
    <dxf>
      <fill>
        <patternFill patternType="solid">
          <bgColor theme="0" tint="-4.9989318521683403E-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fill>
        <patternFill patternType="solid">
          <bgColor rgb="FFFFFF00"/>
        </patternFill>
      </fill>
    </dxf>
    <dxf>
      <fill>
        <patternFill patternType="solid">
          <bgColor rgb="FFFFFF00"/>
        </patternFill>
      </fill>
    </dxf>
    <dxf>
      <fill>
        <patternFill patternType="solid">
          <bgColor rgb="FFFFFF00"/>
        </patternFill>
      </fill>
    </dxf>
    <dxf>
      <fill>
        <patternFill>
          <bgColor theme="7" tint="0.39997558519241921"/>
        </patternFill>
      </fill>
    </dxf>
    <dxf>
      <fill>
        <patternFill>
          <bgColor theme="7" tint="0.39997558519241921"/>
        </patternFill>
      </fill>
    </dxf>
    <dxf>
      <fill>
        <patternFill>
          <bgColor theme="7" tint="0.39997558519241921"/>
        </patternFill>
      </fill>
    </dxf>
    <dxf>
      <alignment horizontal="right"/>
    </dxf>
    <dxf>
      <alignment horizontal="right"/>
    </dxf>
    <dxf>
      <fill>
        <patternFill patternType="solid">
          <bgColor theme="0" tint="-4.9989318521683403E-2"/>
        </patternFill>
      </fill>
    </dxf>
    <dxf>
      <fill>
        <patternFill patternType="solid">
          <bgColor theme="0" tint="-4.9989318521683403E-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fill>
        <patternFill patternType="solid">
          <bgColor rgb="FFFFFF00"/>
        </patternFill>
      </fill>
    </dxf>
    <dxf>
      <fill>
        <patternFill patternType="solid">
          <bgColor rgb="FFFFFF00"/>
        </patternFill>
      </fill>
    </dxf>
    <dxf>
      <fill>
        <patternFill patternType="solid">
          <bgColor rgb="FFFFFF00"/>
        </patternFill>
      </fill>
    </dxf>
    <dxf>
      <fill>
        <patternFill>
          <bgColor theme="7" tint="0.39997558519241921"/>
        </patternFill>
      </fill>
    </dxf>
    <dxf>
      <fill>
        <patternFill>
          <bgColor theme="7" tint="0.39997558519241921"/>
        </patternFill>
      </fill>
    </dxf>
    <dxf>
      <fill>
        <patternFill>
          <bgColor theme="7" tint="0.39997558519241921"/>
        </patternFill>
      </fill>
    </dxf>
    <dxf>
      <alignment horizontal="right"/>
    </dxf>
    <dxf>
      <alignment horizontal="right"/>
    </dxf>
    <dxf>
      <fill>
        <patternFill patternType="solid">
          <bgColor theme="0" tint="-4.9989318521683403E-2"/>
        </patternFill>
      </fill>
    </dxf>
    <dxf>
      <fill>
        <patternFill patternType="solid">
          <bgColor theme="0" tint="-4.9989318521683403E-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fill>
        <patternFill patternType="solid">
          <bgColor rgb="FFFFFF00"/>
        </patternFill>
      </fill>
    </dxf>
    <dxf>
      <fill>
        <patternFill patternType="solid">
          <bgColor rgb="FFFFFF00"/>
        </patternFill>
      </fill>
    </dxf>
    <dxf>
      <fill>
        <patternFill patternType="solid">
          <bgColor rgb="FFFFFF00"/>
        </patternFill>
      </fill>
    </dxf>
    <dxf>
      <fill>
        <patternFill>
          <bgColor theme="7" tint="0.39997558519241921"/>
        </patternFill>
      </fill>
    </dxf>
    <dxf>
      <fill>
        <patternFill>
          <bgColor theme="7" tint="0.39997558519241921"/>
        </patternFill>
      </fill>
    </dxf>
    <dxf>
      <fill>
        <patternFill>
          <bgColor theme="7" tint="0.39997558519241921"/>
        </patternFill>
      </fill>
    </dxf>
    <dxf>
      <alignment horizontal="right"/>
    </dxf>
    <dxf>
      <alignment horizontal="right"/>
    </dxf>
    <dxf>
      <fill>
        <patternFill patternType="solid">
          <bgColor theme="0" tint="-4.9989318521683403E-2"/>
        </patternFill>
      </fill>
    </dxf>
    <dxf>
      <fill>
        <patternFill patternType="solid">
          <bgColor theme="0" tint="-4.9989318521683403E-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0" tint="-4.9989318521683403E-2"/>
        </patternFill>
      </fill>
    </dxf>
    <dxf>
      <fill>
        <patternFill patternType="solid">
          <bgColor theme="0" tint="-4.9989318521683403E-2"/>
        </patternFill>
      </fill>
    </dxf>
    <dxf>
      <alignment horizontal="righ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0" tint="-4.9989318521683403E-2"/>
        </patternFill>
      </fill>
    </dxf>
    <dxf>
      <fill>
        <patternFill patternType="solid">
          <bgColor theme="0" tint="-4.9989318521683403E-2"/>
        </patternFill>
      </fill>
    </dxf>
    <dxf>
      <alignment horizontal="righ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0" tint="-4.9989318521683403E-2"/>
        </patternFill>
      </fill>
    </dxf>
    <dxf>
      <alignment horizontal="righ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horizontal style="thin">
          <color theme="7" tint="0.39991454817346722"/>
        </horizontal>
      </border>
    </dxf>
    <dxf>
      <border>
        <horizontal style="thin">
          <color theme="7" tint="0.39991454817346722"/>
        </horizontal>
      </border>
    </dxf>
    <dxf>
      <border>
        <horizontal style="thin">
          <color theme="7" tint="0.39991454817346722"/>
        </horizontal>
      </border>
    </dxf>
    <dxf>
      <border>
        <horizontal style="thin">
          <color theme="7" tint="0.39991454817346722"/>
        </horizontal>
      </border>
    </dxf>
    <dxf>
      <border>
        <horizontal style="thin">
          <color theme="7" tint="0.39991454817346722"/>
        </horizontal>
      </border>
    </dxf>
    <dxf>
      <border>
        <horizontal style="thin">
          <color theme="7" tint="0.39991454817346722"/>
        </horizontal>
      </border>
    </dxf>
    <dxf>
      <border>
        <horizontal style="thin">
          <color theme="7" tint="0.39991454817346722"/>
        </horizontal>
      </border>
    </dxf>
    <dxf>
      <border>
        <horizontal style="thin">
          <color theme="7" tint="0.39991454817346722"/>
        </horizontal>
      </border>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0" tint="-4.9989318521683403E-2"/>
        </patternFill>
      </fill>
    </dxf>
    <dxf>
      <alignment horizontal="righ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horizontal style="thin">
          <color theme="7" tint="0.39991454817346722"/>
        </horizontal>
      </border>
    </dxf>
    <dxf>
      <border>
        <horizontal style="thin">
          <color theme="7" tint="0.39991454817346722"/>
        </horizontal>
      </border>
    </dxf>
    <dxf>
      <border>
        <horizontal style="thin">
          <color theme="7" tint="0.39991454817346722"/>
        </horizontal>
      </border>
    </dxf>
    <dxf>
      <border>
        <horizontal style="thin">
          <color theme="7" tint="0.39991454817346722"/>
        </horizontal>
      </border>
    </dxf>
    <dxf>
      <border>
        <horizontal style="thin">
          <color theme="7" tint="0.39991454817346722"/>
        </horizontal>
      </border>
    </dxf>
    <dxf>
      <border>
        <horizontal style="thin">
          <color theme="7" tint="0.39991454817346722"/>
        </horizontal>
      </border>
    </dxf>
    <dxf>
      <border>
        <horizontal style="thin">
          <color theme="7" tint="0.39991454817346722"/>
        </horizontal>
      </border>
    </dxf>
    <dxf>
      <border>
        <horizontal style="thin">
          <color theme="7" tint="0.39991454817346722"/>
        </horizontal>
      </border>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0" tint="-4.9989318521683403E-2"/>
        </patternFill>
      </fill>
    </dxf>
    <dxf>
      <alignment horizontal="righ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horizontal style="thin">
          <color theme="7" tint="0.39991454817346722"/>
        </horizontal>
      </border>
    </dxf>
    <dxf>
      <border>
        <horizontal style="thin">
          <color theme="7" tint="0.39991454817346722"/>
        </horizontal>
      </border>
    </dxf>
    <dxf>
      <border>
        <horizontal style="thin">
          <color theme="7" tint="0.39991454817346722"/>
        </horizontal>
      </border>
    </dxf>
    <dxf>
      <border>
        <horizontal style="thin">
          <color theme="7" tint="0.39991454817346722"/>
        </horizontal>
      </border>
    </dxf>
    <dxf>
      <border>
        <horizontal style="thin">
          <color theme="7" tint="0.39991454817346722"/>
        </horizontal>
      </border>
    </dxf>
    <dxf>
      <border>
        <horizontal style="thin">
          <color theme="7" tint="0.39991454817346722"/>
        </horizontal>
      </border>
    </dxf>
    <dxf>
      <border>
        <horizontal style="thin">
          <color theme="7" tint="0.39991454817346722"/>
        </horizontal>
      </border>
    </dxf>
    <dxf>
      <border>
        <horizontal style="thin">
          <color theme="7" tint="0.39991454817346722"/>
        </horizontal>
      </border>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0" tint="-4.9989318521683403E-2"/>
        </patternFill>
      </fill>
    </dxf>
    <dxf>
      <alignment horizontal="righ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horizontal style="thin">
          <color theme="7" tint="0.39991454817346722"/>
        </horizontal>
      </border>
    </dxf>
    <dxf>
      <border>
        <horizontal style="thin">
          <color theme="7" tint="0.39991454817346722"/>
        </horizontal>
      </border>
    </dxf>
    <dxf>
      <border>
        <horizontal style="thin">
          <color theme="7" tint="0.39991454817346722"/>
        </horizontal>
      </border>
    </dxf>
    <dxf>
      <border>
        <horizontal style="thin">
          <color theme="7" tint="0.39991454817346722"/>
        </horizontal>
      </border>
    </dxf>
    <dxf>
      <border>
        <horizontal style="thin">
          <color theme="7" tint="0.39991454817346722"/>
        </horizontal>
      </border>
    </dxf>
    <dxf>
      <border>
        <horizontal style="thin">
          <color theme="7" tint="0.39991454817346722"/>
        </horizontal>
      </border>
    </dxf>
    <dxf>
      <border>
        <horizontal style="thin">
          <color theme="7" tint="0.39991454817346722"/>
        </horizontal>
      </border>
    </dxf>
    <dxf>
      <border>
        <horizontal style="thin">
          <color theme="7" tint="0.39991454817346722"/>
        </horizontal>
      </border>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0" tint="-4.9989318521683403E-2"/>
        </patternFill>
      </fill>
    </dxf>
    <dxf>
      <fill>
        <patternFill patternType="solid">
          <bgColor theme="0" tint="-4.9989318521683403E-2"/>
        </patternFill>
      </fill>
    </dxf>
    <dxf>
      <alignment horizontal="righ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0" tint="-4.9989318521683403E-2"/>
        </patternFill>
      </fill>
    </dxf>
    <dxf>
      <fill>
        <patternFill patternType="solid">
          <bgColor theme="0" tint="-4.9989318521683403E-2"/>
        </patternFill>
      </fill>
    </dxf>
    <dxf>
      <alignment horizontal="righ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0" tint="-4.9989318521683403E-2"/>
        </patternFill>
      </fill>
    </dxf>
    <dxf>
      <fill>
        <patternFill patternType="solid">
          <bgColor theme="0" tint="-4.9989318521683403E-2"/>
        </patternFill>
      </fill>
    </dxf>
    <dxf>
      <alignment horizontal="righ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0" tint="-4.9989318521683403E-2"/>
        </patternFill>
      </fill>
    </dxf>
    <dxf>
      <fill>
        <patternFill patternType="solid">
          <bgColor theme="0" tint="-4.9989318521683403E-2"/>
        </patternFill>
      </fill>
    </dxf>
    <dxf>
      <alignment horizontal="righ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fill>
        <patternFill patternType="solid">
          <bgColor theme="0" tint="-4.9989318521683403E-2"/>
        </patternFill>
      </fill>
    </dxf>
    <dxf>
      <fill>
        <patternFill patternType="solid">
          <bgColor theme="0" tint="-4.9989318521683403E-2"/>
        </patternFill>
      </fill>
    </dxf>
    <dxf>
      <alignment horizontal="righ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0" tint="-4.9989318521683403E-2"/>
        </patternFill>
      </fill>
    </dxf>
    <dxf>
      <fill>
        <patternFill patternType="solid">
          <bgColor theme="0" tint="-4.9989318521683403E-2"/>
        </patternFill>
      </fill>
    </dxf>
    <dxf>
      <alignment horizontal="right"/>
    </dxf>
    <dxf>
      <alignment horizontal="right"/>
    </dxf>
    <dxf>
      <fill>
        <patternFill>
          <bgColor theme="7" tint="0.39997558519241921"/>
        </patternFill>
      </fill>
    </dxf>
    <dxf>
      <fill>
        <patternFill>
          <bgColor theme="7" tint="0.39997558519241921"/>
        </patternFill>
      </fill>
    </dxf>
    <dxf>
      <fill>
        <patternFill>
          <bgColor theme="7" tint="0.39997558519241921"/>
        </patternFill>
      </fill>
    </dxf>
    <dxf>
      <fill>
        <patternFill patternType="solid">
          <bgColor rgb="FFFFFF00"/>
        </patternFill>
      </fill>
    </dxf>
    <dxf>
      <fill>
        <patternFill patternType="solid">
          <bgColor rgb="FFFFFF00"/>
        </patternFill>
      </fill>
    </dxf>
    <dxf>
      <fill>
        <patternFill patternType="solid">
          <bgColor rgb="FFFFFF00"/>
        </patternFill>
      </fill>
    </dxf>
    <dxf>
      <border>
        <horizontal style="thin">
          <color theme="7" tint="0.39991454817346722"/>
        </horizontal>
      </border>
    </dxf>
    <dxf>
      <border>
        <horizontal style="thin">
          <color theme="7" tint="0.39991454817346722"/>
        </horizontal>
      </border>
    </dxf>
    <dxf>
      <border>
        <horizontal style="thin">
          <color theme="7" tint="0.39991454817346722"/>
        </horizontal>
      </border>
    </dxf>
    <dxf>
      <border>
        <horizontal style="thin">
          <color theme="7" tint="0.39991454817346722"/>
        </horizontal>
      </border>
    </dxf>
    <dxf>
      <border>
        <horizontal style="thin">
          <color theme="7" tint="0.39991454817346722"/>
        </horizontal>
      </border>
    </dxf>
    <dxf>
      <border>
        <horizontal style="thin">
          <color theme="7" tint="0.39991454817346722"/>
        </horizontal>
      </border>
    </dxf>
    <dxf>
      <border>
        <horizontal style="thin">
          <color theme="7" tint="0.39991454817346722"/>
        </horizontal>
      </border>
    </dxf>
    <dxf>
      <border>
        <horizontal style="thin">
          <color theme="7" tint="0.39991454817346722"/>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horizontal="right"/>
    </dxf>
    <dxf>
      <fill>
        <patternFill patternType="solid">
          <bgColor theme="0" tint="-4.9989318521683403E-2"/>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border>
        <horizontal style="thin">
          <color theme="7" tint="0.39994506668294322"/>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horizontal="right"/>
    </dxf>
    <dxf>
      <fill>
        <patternFill patternType="solid">
          <bgColor theme="0" tint="-4.9989318521683403E-2"/>
        </patternFill>
      </fill>
    </dxf>
    <dxf>
      <fill>
        <patternFill patternType="solid">
          <bgColor theme="0" tint="-4.9989318521683403E-2"/>
        </patternFill>
      </fill>
    </dxf>
    <dxf>
      <fill>
        <patternFill patternType="solid">
          <bgColor theme="7" tint="0.39997558519241921"/>
        </patternFill>
      </fill>
    </dxf>
    <dxf>
      <fill>
        <patternFill patternType="solid">
          <bgColor theme="7" tint="0.39997558519241921"/>
        </patternFill>
      </fill>
    </dxf>
    <dxf>
      <fill>
        <patternFill patternType="solid">
          <bgColor theme="7" tint="0.399975585192419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ltLang="zh-CN" sz="1400" b="0" i="0" baseline="0">
                <a:effectLst/>
              </a:rPr>
              <a:t>Population growth (annual %)</a:t>
            </a:r>
            <a:endParaRPr lang="zh-CN" altLang="zh-CN"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spPr>
            <a:ln w="28575" cap="rnd">
              <a:solidFill>
                <a:schemeClr val="accent4">
                  <a:lumMod val="60000"/>
                  <a:lumOff val="40000"/>
                </a:schemeClr>
              </a:solidFill>
              <a:round/>
            </a:ln>
            <a:effectLst/>
          </c:spPr>
          <c:marker>
            <c:symbol val="none"/>
          </c:marker>
          <c:cat>
            <c:numRef>
              <c:f>prevision6!$H$32:$H$102</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prevision6!$I$32:$I$102</c:f>
              <c:numCache>
                <c:formatCode>General</c:formatCode>
                <c:ptCount val="71"/>
                <c:pt idx="0">
                  <c:v>2.01597717128617</c:v>
                </c:pt>
                <c:pt idx="1">
                  <c:v>2.04467666444308</c:v>
                </c:pt>
                <c:pt idx="2">
                  <c:v>2.0710608401475299</c:v>
                </c:pt>
                <c:pt idx="3">
                  <c:v>2.0941680507103499</c:v>
                </c:pt>
                <c:pt idx="4">
                  <c:v>2.1137456346050398</c:v>
                </c:pt>
                <c:pt idx="5">
                  <c:v>2.1321564601922902</c:v>
                </c:pt>
                <c:pt idx="6">
                  <c:v>2.15123212266358</c:v>
                </c:pt>
                <c:pt idx="7">
                  <c:v>2.17412939251864</c:v>
                </c:pt>
                <c:pt idx="8">
                  <c:v>2.2031290878920098</c:v>
                </c:pt>
                <c:pt idx="9">
                  <c:v>2.2396594507136101</c:v>
                </c:pt>
                <c:pt idx="10">
                  <c:v>2.2822925495216202</c:v>
                </c:pt>
                <c:pt idx="11">
                  <c:v>2.3048299824638101</c:v>
                </c:pt>
                <c:pt idx="12">
                  <c:v>2.32596109305288</c:v>
                </c:pt>
                <c:pt idx="13">
                  <c:v>2.387117603399</c:v>
                </c:pt>
                <c:pt idx="14">
                  <c:v>2.49807099076174</c:v>
                </c:pt>
                <c:pt idx="15">
                  <c:v>2.6280968872478399</c:v>
                </c:pt>
                <c:pt idx="16">
                  <c:v>2.7501579980572401</c:v>
                </c:pt>
                <c:pt idx="17">
                  <c:v>2.8189707176192198</c:v>
                </c:pt>
                <c:pt idx="18">
                  <c:v>2.8048740035988402</c:v>
                </c:pt>
                <c:pt idx="19">
                  <c:v>2.6922001653747198</c:v>
                </c:pt>
                <c:pt idx="20">
                  <c:v>2.50705874502273</c:v>
                </c:pt>
                <c:pt idx="21">
                  <c:v>2.3748098339939698</c:v>
                </c:pt>
                <c:pt idx="22">
                  <c:v>2.2506486041998599</c:v>
                </c:pt>
                <c:pt idx="23">
                  <c:v>1.9824759510011201</c:v>
                </c:pt>
                <c:pt idx="24">
                  <c:v>1.5371573835974099</c:v>
                </c:pt>
                <c:pt idx="25">
                  <c:v>1.0111090454645</c:v>
                </c:pt>
                <c:pt idx="26">
                  <c:v>0.38418436425672498</c:v>
                </c:pt>
                <c:pt idx="27">
                  <c:v>-0.103810197873531</c:v>
                </c:pt>
                <c:pt idx="28">
                  <c:v>-0.14070408302661799</c:v>
                </c:pt>
                <c:pt idx="29">
                  <c:v>0.43787681477041401</c:v>
                </c:pt>
                <c:pt idx="30">
                  <c:v>1.42956117830082</c:v>
                </c:pt>
                <c:pt idx="31">
                  <c:v>2.5659074459801299</c:v>
                </c:pt>
                <c:pt idx="32">
                  <c:v>3.4653181228522101</c:v>
                </c:pt>
                <c:pt idx="33">
                  <c:v>3.9419869486674202</c:v>
                </c:pt>
                <c:pt idx="34">
                  <c:v>3.8863887535024499</c:v>
                </c:pt>
                <c:pt idx="35">
                  <c:v>3.5003891334133299</c:v>
                </c:pt>
                <c:pt idx="36">
                  <c:v>3.05640960857425</c:v>
                </c:pt>
                <c:pt idx="37">
                  <c:v>2.75055114976217</c:v>
                </c:pt>
                <c:pt idx="38">
                  <c:v>2.5737416522534802</c:v>
                </c:pt>
                <c:pt idx="39">
                  <c:v>2.5811785490594001</c:v>
                </c:pt>
                <c:pt idx="40">
                  <c:v>2.7086277830193199</c:v>
                </c:pt>
                <c:pt idx="41">
                  <c:v>2.8431895190952701</c:v>
                </c:pt>
                <c:pt idx="42">
                  <c:v>2.9205528138115899</c:v>
                </c:pt>
                <c:pt idx="43">
                  <c:v>2.9698301552437099</c:v>
                </c:pt>
                <c:pt idx="44">
                  <c:v>2.9785733267674899</c:v>
                </c:pt>
                <c:pt idx="45">
                  <c:v>2.9605825605331302</c:v>
                </c:pt>
                <c:pt idx="46">
                  <c:v>2.9405705449331299</c:v>
                </c:pt>
                <c:pt idx="47">
                  <c:v>2.9310960499961398</c:v>
                </c:pt>
                <c:pt idx="48">
                  <c:v>2.9240181534613399</c:v>
                </c:pt>
                <c:pt idx="49">
                  <c:v>2.9214629274130801</c:v>
                </c:pt>
                <c:pt idx="50">
                  <c:v>2.9212891641512302</c:v>
                </c:pt>
                <c:pt idx="51">
                  <c:v>2.9196297354631802</c:v>
                </c:pt>
                <c:pt idx="52">
                  <c:v>2.9147261271914302</c:v>
                </c:pt>
                <c:pt idx="53">
                  <c:v>2.9084828043495299</c:v>
                </c:pt>
                <c:pt idx="54">
                  <c:v>2.90069572870848</c:v>
                </c:pt>
                <c:pt idx="55">
                  <c:v>2.8914168419794501</c:v>
                </c:pt>
                <c:pt idx="56">
                  <c:v>2.8812077244991001</c:v>
                </c:pt>
                <c:pt idx="57">
                  <c:v>2.86987986018184</c:v>
                </c:pt>
              </c:numCache>
            </c:numRef>
          </c:val>
          <c:smooth val="0"/>
          <c:extLst>
            <c:ext xmlns:c16="http://schemas.microsoft.com/office/drawing/2014/chart" uri="{C3380CC4-5D6E-409C-BE32-E72D297353CC}">
              <c16:uniqueId val="{00000000-1A8A-43F7-8636-5491676DAD50}"/>
            </c:ext>
          </c:extLst>
        </c:ser>
        <c:ser>
          <c:idx val="1"/>
          <c:order val="1"/>
          <c:spPr>
            <a:ln w="28575" cap="rnd">
              <a:solidFill>
                <a:schemeClr val="accent2"/>
              </a:solidFill>
              <a:round/>
            </a:ln>
            <a:effectLst/>
          </c:spPr>
          <c:marker>
            <c:symbol val="none"/>
          </c:marker>
          <c:cat>
            <c:numRef>
              <c:f>prevision6!$H$32:$H$102</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prevision6!$J$32:$J$102</c:f>
              <c:numCache>
                <c:formatCode>General</c:formatCode>
                <c:ptCount val="71"/>
                <c:pt idx="57">
                  <c:v>2.86987986018184</c:v>
                </c:pt>
                <c:pt idx="58">
                  <c:v>2.9617597304610328</c:v>
                </c:pt>
                <c:pt idx="59">
                  <c:v>2.9797325455842909</c:v>
                </c:pt>
                <c:pt idx="60">
                  <c:v>2.9977053607075561</c:v>
                </c:pt>
                <c:pt idx="61">
                  <c:v>3.0156781758308142</c:v>
                </c:pt>
                <c:pt idx="62">
                  <c:v>3.0336509909540794</c:v>
                </c:pt>
                <c:pt idx="63">
                  <c:v>3.0516238060773375</c:v>
                </c:pt>
                <c:pt idx="64">
                  <c:v>3.0695966212005956</c:v>
                </c:pt>
                <c:pt idx="65">
                  <c:v>3.0875694363238608</c:v>
                </c:pt>
                <c:pt idx="66">
                  <c:v>3.1055422514471189</c:v>
                </c:pt>
                <c:pt idx="67">
                  <c:v>3.1235150665703841</c:v>
                </c:pt>
                <c:pt idx="68">
                  <c:v>3.1414878816936422</c:v>
                </c:pt>
                <c:pt idx="69">
                  <c:v>3.1594606968169074</c:v>
                </c:pt>
                <c:pt idx="70">
                  <c:v>3.1774335119401655</c:v>
                </c:pt>
              </c:numCache>
            </c:numRef>
          </c:val>
          <c:smooth val="0"/>
          <c:extLst>
            <c:ext xmlns:c16="http://schemas.microsoft.com/office/drawing/2014/chart" uri="{C3380CC4-5D6E-409C-BE32-E72D297353CC}">
              <c16:uniqueId val="{00000001-1A8A-43F7-8636-5491676DAD50}"/>
            </c:ext>
          </c:extLst>
        </c:ser>
        <c:dLbls>
          <c:showLegendKey val="0"/>
          <c:showVal val="0"/>
          <c:showCatName val="0"/>
          <c:showSerName val="0"/>
          <c:showPercent val="0"/>
          <c:showBubbleSize val="0"/>
        </c:dLbls>
        <c:smooth val="0"/>
        <c:axId val="469971224"/>
        <c:axId val="469976144"/>
      </c:lineChart>
      <c:catAx>
        <c:axId val="469971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69976144"/>
        <c:crosses val="autoZero"/>
        <c:auto val="1"/>
        <c:lblAlgn val="ctr"/>
        <c:lblOffset val="100"/>
        <c:noMultiLvlLbl val="0"/>
      </c:catAx>
      <c:valAx>
        <c:axId val="469976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69971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ltLang="zh-CN" sz="1400" b="0" i="0" baseline="0">
                <a:effectLst/>
              </a:rPr>
              <a:t>Life expectancy at birth, total (years)</a:t>
            </a:r>
            <a:endParaRPr lang="zh-CN" altLang="zh-CN"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spPr>
            <a:ln w="28575" cap="rnd">
              <a:solidFill>
                <a:schemeClr val="accent4">
                  <a:lumMod val="60000"/>
                  <a:lumOff val="40000"/>
                </a:schemeClr>
              </a:solidFill>
              <a:round/>
            </a:ln>
            <a:effectLst/>
          </c:spPr>
          <c:marker>
            <c:symbol val="none"/>
          </c:marker>
          <c:cat>
            <c:numRef>
              <c:f>prevision4!$H$32:$H$102</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prevision4!$I$32:$I$102</c:f>
              <c:numCache>
                <c:formatCode>General</c:formatCode>
                <c:ptCount val="71"/>
                <c:pt idx="0">
                  <c:v>35.026000000000003</c:v>
                </c:pt>
                <c:pt idx="1">
                  <c:v>35.49</c:v>
                </c:pt>
                <c:pt idx="2">
                  <c:v>35.936</c:v>
                </c:pt>
                <c:pt idx="3">
                  <c:v>36.363</c:v>
                </c:pt>
                <c:pt idx="4">
                  <c:v>36.773000000000003</c:v>
                </c:pt>
                <c:pt idx="5">
                  <c:v>37.173999999999999</c:v>
                </c:pt>
                <c:pt idx="6">
                  <c:v>37.573</c:v>
                </c:pt>
                <c:pt idx="7">
                  <c:v>37.979999999999997</c:v>
                </c:pt>
                <c:pt idx="8">
                  <c:v>38.396999999999998</c:v>
                </c:pt>
                <c:pt idx="9">
                  <c:v>38.826000000000001</c:v>
                </c:pt>
                <c:pt idx="10">
                  <c:v>39.271000000000001</c:v>
                </c:pt>
                <c:pt idx="11">
                  <c:v>39.734999999999999</c:v>
                </c:pt>
                <c:pt idx="12">
                  <c:v>40.21</c:v>
                </c:pt>
                <c:pt idx="13">
                  <c:v>40.679000000000002</c:v>
                </c:pt>
                <c:pt idx="14">
                  <c:v>41.125</c:v>
                </c:pt>
                <c:pt idx="15">
                  <c:v>41.512</c:v>
                </c:pt>
                <c:pt idx="16">
                  <c:v>41.804000000000002</c:v>
                </c:pt>
                <c:pt idx="17">
                  <c:v>41.982999999999997</c:v>
                </c:pt>
                <c:pt idx="18">
                  <c:v>42.05</c:v>
                </c:pt>
                <c:pt idx="19">
                  <c:v>42.017000000000003</c:v>
                </c:pt>
                <c:pt idx="20">
                  <c:v>41.912999999999997</c:v>
                </c:pt>
                <c:pt idx="21">
                  <c:v>41.777999999999999</c:v>
                </c:pt>
                <c:pt idx="22">
                  <c:v>41.66</c:v>
                </c:pt>
                <c:pt idx="23">
                  <c:v>41.597000000000001</c:v>
                </c:pt>
                <c:pt idx="24">
                  <c:v>41.61</c:v>
                </c:pt>
                <c:pt idx="25">
                  <c:v>41.704999999999998</c:v>
                </c:pt>
                <c:pt idx="26">
                  <c:v>41.872</c:v>
                </c:pt>
                <c:pt idx="27">
                  <c:v>42.085000000000001</c:v>
                </c:pt>
                <c:pt idx="28">
                  <c:v>42.326999999999998</c:v>
                </c:pt>
                <c:pt idx="29">
                  <c:v>42.6</c:v>
                </c:pt>
                <c:pt idx="30">
                  <c:v>42.914999999999999</c:v>
                </c:pt>
                <c:pt idx="31">
                  <c:v>43.292999999999999</c:v>
                </c:pt>
                <c:pt idx="32">
                  <c:v>43.744999999999997</c:v>
                </c:pt>
                <c:pt idx="33">
                  <c:v>44.271999999999998</c:v>
                </c:pt>
                <c:pt idx="34">
                  <c:v>44.862000000000002</c:v>
                </c:pt>
                <c:pt idx="35">
                  <c:v>45.491</c:v>
                </c:pt>
                <c:pt idx="36">
                  <c:v>46.124000000000002</c:v>
                </c:pt>
                <c:pt idx="37">
                  <c:v>46.735999999999997</c:v>
                </c:pt>
                <c:pt idx="38">
                  <c:v>47.308999999999997</c:v>
                </c:pt>
                <c:pt idx="39">
                  <c:v>47.841000000000001</c:v>
                </c:pt>
                <c:pt idx="40">
                  <c:v>48.347999999999999</c:v>
                </c:pt>
                <c:pt idx="41">
                  <c:v>48.859000000000002</c:v>
                </c:pt>
                <c:pt idx="42">
                  <c:v>49.405999999999999</c:v>
                </c:pt>
                <c:pt idx="43">
                  <c:v>50.006999999999998</c:v>
                </c:pt>
                <c:pt idx="44">
                  <c:v>50.662999999999997</c:v>
                </c:pt>
                <c:pt idx="45">
                  <c:v>51.362000000000002</c:v>
                </c:pt>
                <c:pt idx="46">
                  <c:v>52.079000000000001</c:v>
                </c:pt>
                <c:pt idx="47">
                  <c:v>52.784999999999997</c:v>
                </c:pt>
                <c:pt idx="48">
                  <c:v>53.459000000000003</c:v>
                </c:pt>
                <c:pt idx="49">
                  <c:v>54.095999999999997</c:v>
                </c:pt>
                <c:pt idx="50">
                  <c:v>54.7</c:v>
                </c:pt>
                <c:pt idx="51">
                  <c:v>55.287999999999997</c:v>
                </c:pt>
                <c:pt idx="52">
                  <c:v>55.878</c:v>
                </c:pt>
                <c:pt idx="53">
                  <c:v>56.482999999999997</c:v>
                </c:pt>
                <c:pt idx="54">
                  <c:v>57.098999999999997</c:v>
                </c:pt>
                <c:pt idx="55">
                  <c:v>57.713999999999999</c:v>
                </c:pt>
                <c:pt idx="56">
                  <c:v>58.311</c:v>
                </c:pt>
              </c:numCache>
            </c:numRef>
          </c:val>
          <c:smooth val="0"/>
          <c:extLst>
            <c:ext xmlns:c16="http://schemas.microsoft.com/office/drawing/2014/chart" uri="{C3380CC4-5D6E-409C-BE32-E72D297353CC}">
              <c16:uniqueId val="{00000000-9670-4735-B63E-6F302C2781A8}"/>
            </c:ext>
          </c:extLst>
        </c:ser>
        <c:ser>
          <c:idx val="1"/>
          <c:order val="1"/>
          <c:spPr>
            <a:ln w="28575" cap="rnd">
              <a:solidFill>
                <a:schemeClr val="accent2"/>
              </a:solidFill>
              <a:round/>
            </a:ln>
            <a:effectLst/>
          </c:spPr>
          <c:marker>
            <c:symbol val="none"/>
          </c:marker>
          <c:cat>
            <c:numRef>
              <c:f>prevision4!$H$32:$H$102</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prevision4!$J$32:$J$102</c:f>
              <c:numCache>
                <c:formatCode>General</c:formatCode>
                <c:ptCount val="71"/>
                <c:pt idx="56">
                  <c:v>58.311</c:v>
                </c:pt>
                <c:pt idx="57">
                  <c:v>55.698513157894809</c:v>
                </c:pt>
                <c:pt idx="58">
                  <c:v>56.071543557168866</c:v>
                </c:pt>
                <c:pt idx="59">
                  <c:v>56.444573956442923</c:v>
                </c:pt>
                <c:pt idx="60">
                  <c:v>56.817604355716981</c:v>
                </c:pt>
                <c:pt idx="61">
                  <c:v>57.190634754990924</c:v>
                </c:pt>
                <c:pt idx="62">
                  <c:v>57.563665154264982</c:v>
                </c:pt>
                <c:pt idx="63">
                  <c:v>57.936695553539039</c:v>
                </c:pt>
                <c:pt idx="64">
                  <c:v>58.309725952813096</c:v>
                </c:pt>
                <c:pt idx="65">
                  <c:v>58.682756352087154</c:v>
                </c:pt>
                <c:pt idx="66">
                  <c:v>59.055786751361211</c:v>
                </c:pt>
                <c:pt idx="67">
                  <c:v>59.428817150635268</c:v>
                </c:pt>
                <c:pt idx="68">
                  <c:v>59.801847549909326</c:v>
                </c:pt>
                <c:pt idx="69">
                  <c:v>60.174877949183383</c:v>
                </c:pt>
                <c:pt idx="70">
                  <c:v>60.54790834845744</c:v>
                </c:pt>
              </c:numCache>
            </c:numRef>
          </c:val>
          <c:smooth val="0"/>
          <c:extLst>
            <c:ext xmlns:c16="http://schemas.microsoft.com/office/drawing/2014/chart" uri="{C3380CC4-5D6E-409C-BE32-E72D297353CC}">
              <c16:uniqueId val="{00000001-9670-4735-B63E-6F302C2781A8}"/>
            </c:ext>
          </c:extLst>
        </c:ser>
        <c:dLbls>
          <c:showLegendKey val="0"/>
          <c:showVal val="0"/>
          <c:showCatName val="0"/>
          <c:showSerName val="0"/>
          <c:showPercent val="0"/>
          <c:showBubbleSize val="0"/>
        </c:dLbls>
        <c:smooth val="0"/>
        <c:axId val="516994776"/>
        <c:axId val="517000680"/>
      </c:lineChart>
      <c:catAx>
        <c:axId val="516994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17000680"/>
        <c:crosses val="autoZero"/>
        <c:auto val="1"/>
        <c:lblAlgn val="ctr"/>
        <c:lblOffset val="100"/>
        <c:noMultiLvlLbl val="0"/>
      </c:catAx>
      <c:valAx>
        <c:axId val="517000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169947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ltLang="zh-CN" sz="1400" b="0" i="0" baseline="0">
                <a:effectLst/>
              </a:rPr>
              <a:t>Mortality rate, infant (per 1,000 live births)</a:t>
            </a:r>
            <a:endParaRPr lang="zh-CN" altLang="zh-CN"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spPr>
            <a:ln w="28575" cap="rnd">
              <a:solidFill>
                <a:schemeClr val="accent4">
                  <a:lumMod val="60000"/>
                  <a:lumOff val="40000"/>
                </a:schemeClr>
              </a:solidFill>
              <a:round/>
            </a:ln>
            <a:effectLst/>
          </c:spPr>
          <c:marker>
            <c:symbol val="none"/>
          </c:marker>
          <c:cat>
            <c:numRef>
              <c:f>prevision5!$H$33:$H$103</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prevision5!$I$33:$I$103</c:f>
              <c:numCache>
                <c:formatCode>General</c:formatCode>
                <c:ptCount val="71"/>
                <c:pt idx="0">
                  <c:v>0</c:v>
                </c:pt>
                <c:pt idx="1">
                  <c:v>0</c:v>
                </c:pt>
                <c:pt idx="2">
                  <c:v>0</c:v>
                </c:pt>
                <c:pt idx="3">
                  <c:v>0</c:v>
                </c:pt>
                <c:pt idx="4">
                  <c:v>0</c:v>
                </c:pt>
                <c:pt idx="5">
                  <c:v>181.1</c:v>
                </c:pt>
                <c:pt idx="6">
                  <c:v>181.8</c:v>
                </c:pt>
                <c:pt idx="7">
                  <c:v>182.4</c:v>
                </c:pt>
                <c:pt idx="8">
                  <c:v>182.8</c:v>
                </c:pt>
                <c:pt idx="9">
                  <c:v>182.7</c:v>
                </c:pt>
                <c:pt idx="10">
                  <c:v>182.4</c:v>
                </c:pt>
                <c:pt idx="11">
                  <c:v>181.8</c:v>
                </c:pt>
                <c:pt idx="12">
                  <c:v>180.9</c:v>
                </c:pt>
                <c:pt idx="13">
                  <c:v>179.9</c:v>
                </c:pt>
                <c:pt idx="14">
                  <c:v>178.9</c:v>
                </c:pt>
                <c:pt idx="15">
                  <c:v>177.8</c:v>
                </c:pt>
                <c:pt idx="16">
                  <c:v>176.8</c:v>
                </c:pt>
                <c:pt idx="17">
                  <c:v>175.9</c:v>
                </c:pt>
                <c:pt idx="18">
                  <c:v>175.3</c:v>
                </c:pt>
                <c:pt idx="19">
                  <c:v>174.7</c:v>
                </c:pt>
                <c:pt idx="20">
                  <c:v>174.5</c:v>
                </c:pt>
                <c:pt idx="21">
                  <c:v>174.2</c:v>
                </c:pt>
                <c:pt idx="22">
                  <c:v>173.5</c:v>
                </c:pt>
                <c:pt idx="23">
                  <c:v>172.6</c:v>
                </c:pt>
                <c:pt idx="24">
                  <c:v>171.1</c:v>
                </c:pt>
                <c:pt idx="25">
                  <c:v>169.4</c:v>
                </c:pt>
                <c:pt idx="26">
                  <c:v>167.5</c:v>
                </c:pt>
                <c:pt idx="27">
                  <c:v>165.5</c:v>
                </c:pt>
                <c:pt idx="28">
                  <c:v>163.6</c:v>
                </c:pt>
                <c:pt idx="29">
                  <c:v>161.5</c:v>
                </c:pt>
                <c:pt idx="30">
                  <c:v>159.4</c:v>
                </c:pt>
                <c:pt idx="31">
                  <c:v>157.1</c:v>
                </c:pt>
                <c:pt idx="32">
                  <c:v>154.4</c:v>
                </c:pt>
                <c:pt idx="33">
                  <c:v>151.19999999999999</c:v>
                </c:pt>
                <c:pt idx="34">
                  <c:v>147.4</c:v>
                </c:pt>
                <c:pt idx="35">
                  <c:v>143</c:v>
                </c:pt>
                <c:pt idx="36">
                  <c:v>137.69999999999999</c:v>
                </c:pt>
                <c:pt idx="37">
                  <c:v>131.69999999999999</c:v>
                </c:pt>
                <c:pt idx="38">
                  <c:v>125.4</c:v>
                </c:pt>
                <c:pt idx="39">
                  <c:v>119.3</c:v>
                </c:pt>
                <c:pt idx="40">
                  <c:v>113.3</c:v>
                </c:pt>
                <c:pt idx="41">
                  <c:v>107.6</c:v>
                </c:pt>
                <c:pt idx="42">
                  <c:v>102.3</c:v>
                </c:pt>
                <c:pt idx="43">
                  <c:v>97.4</c:v>
                </c:pt>
                <c:pt idx="44">
                  <c:v>92.9</c:v>
                </c:pt>
                <c:pt idx="45">
                  <c:v>88.7</c:v>
                </c:pt>
                <c:pt idx="46">
                  <c:v>84.6</c:v>
                </c:pt>
                <c:pt idx="47">
                  <c:v>79.900000000000006</c:v>
                </c:pt>
                <c:pt idx="48">
                  <c:v>76.5</c:v>
                </c:pt>
                <c:pt idx="49">
                  <c:v>72.8</c:v>
                </c:pt>
                <c:pt idx="50">
                  <c:v>70.7</c:v>
                </c:pt>
                <c:pt idx="51">
                  <c:v>66.900000000000006</c:v>
                </c:pt>
                <c:pt idx="52">
                  <c:v>63.5</c:v>
                </c:pt>
                <c:pt idx="53">
                  <c:v>60.9</c:v>
                </c:pt>
                <c:pt idx="54">
                  <c:v>58.9</c:v>
                </c:pt>
                <c:pt idx="55">
                  <c:v>57</c:v>
                </c:pt>
                <c:pt idx="56">
                  <c:v>55.2</c:v>
                </c:pt>
                <c:pt idx="57">
                  <c:v>53.3</c:v>
                </c:pt>
              </c:numCache>
            </c:numRef>
          </c:val>
          <c:smooth val="0"/>
          <c:extLst>
            <c:ext xmlns:c16="http://schemas.microsoft.com/office/drawing/2014/chart" uri="{C3380CC4-5D6E-409C-BE32-E72D297353CC}">
              <c16:uniqueId val="{00000000-1DE9-4831-B312-1669F5828913}"/>
            </c:ext>
          </c:extLst>
        </c:ser>
        <c:ser>
          <c:idx val="1"/>
          <c:order val="1"/>
          <c:spPr>
            <a:ln w="28575" cap="rnd">
              <a:solidFill>
                <a:schemeClr val="accent2"/>
              </a:solidFill>
              <a:round/>
            </a:ln>
            <a:effectLst/>
          </c:spPr>
          <c:marker>
            <c:symbol val="none"/>
          </c:marker>
          <c:cat>
            <c:numRef>
              <c:f>prevision5!$H$33:$H$103</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prevision5!$J$33:$J$103</c:f>
              <c:numCache>
                <c:formatCode>General</c:formatCode>
                <c:ptCount val="71"/>
                <c:pt idx="57">
                  <c:v>53.3</c:v>
                </c:pt>
                <c:pt idx="58">
                  <c:v>93.594373865698799</c:v>
                </c:pt>
                <c:pt idx="59">
                  <c:v>92.548712664185587</c:v>
                </c:pt>
                <c:pt idx="60">
                  <c:v>91.50305146267192</c:v>
                </c:pt>
                <c:pt idx="61">
                  <c:v>90.457390261158707</c:v>
                </c:pt>
                <c:pt idx="62">
                  <c:v>89.41172905964504</c:v>
                </c:pt>
                <c:pt idx="63">
                  <c:v>88.366067858131828</c:v>
                </c:pt>
                <c:pt idx="64">
                  <c:v>87.320406656618161</c:v>
                </c:pt>
                <c:pt idx="65">
                  <c:v>86.274745455104949</c:v>
                </c:pt>
                <c:pt idx="66">
                  <c:v>85.229084253591282</c:v>
                </c:pt>
                <c:pt idx="67">
                  <c:v>84.183423052078069</c:v>
                </c:pt>
                <c:pt idx="68">
                  <c:v>83.137761850564402</c:v>
                </c:pt>
                <c:pt idx="69">
                  <c:v>82.09210064905119</c:v>
                </c:pt>
                <c:pt idx="70">
                  <c:v>81.046439447537523</c:v>
                </c:pt>
              </c:numCache>
            </c:numRef>
          </c:val>
          <c:smooth val="0"/>
          <c:extLst>
            <c:ext xmlns:c16="http://schemas.microsoft.com/office/drawing/2014/chart" uri="{C3380CC4-5D6E-409C-BE32-E72D297353CC}">
              <c16:uniqueId val="{00000001-1DE9-4831-B312-1669F5828913}"/>
            </c:ext>
          </c:extLst>
        </c:ser>
        <c:dLbls>
          <c:showLegendKey val="0"/>
          <c:showVal val="0"/>
          <c:showCatName val="0"/>
          <c:showSerName val="0"/>
          <c:showPercent val="0"/>
          <c:showBubbleSize val="0"/>
        </c:dLbls>
        <c:smooth val="0"/>
        <c:axId val="574937208"/>
        <c:axId val="574936224"/>
      </c:lineChart>
      <c:catAx>
        <c:axId val="574937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74936224"/>
        <c:crosses val="autoZero"/>
        <c:auto val="1"/>
        <c:lblAlgn val="ctr"/>
        <c:lblOffset val="100"/>
        <c:noMultiLvlLbl val="0"/>
      </c:catAx>
      <c:valAx>
        <c:axId val="5749362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749372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4">
                  <a:lumMod val="60000"/>
                  <a:lumOff val="40000"/>
                </a:schemeClr>
              </a:solidFill>
              <a:round/>
            </a:ln>
            <a:effectLst/>
          </c:spPr>
          <c:marker>
            <c:symbol val="none"/>
          </c:marker>
          <c:trendline>
            <c:spPr>
              <a:ln w="19050" cap="rnd">
                <a:solidFill>
                  <a:schemeClr val="accent1"/>
                </a:solidFill>
                <a:prstDash val="sysDot"/>
              </a:ln>
              <a:effectLst/>
            </c:spPr>
            <c:trendlineType val="linear"/>
            <c:dispRSqr val="1"/>
            <c:dispEq val="1"/>
            <c:trendlineLbl>
              <c:layout>
                <c:manualLayout>
                  <c:x val="2.4697078154486886E-2"/>
                  <c:y val="0.1386577925679423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trendlineLbl>
          </c:trendline>
          <c:cat>
            <c:numRef>
              <c:f>prevision4!$B$32:$B$102</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prevision4!$C$32:$C$102</c:f>
              <c:numCache>
                <c:formatCode>General</c:formatCode>
                <c:ptCount val="71"/>
                <c:pt idx="0">
                  <c:v>35.026000000000003</c:v>
                </c:pt>
                <c:pt idx="1">
                  <c:v>35.49</c:v>
                </c:pt>
                <c:pt idx="2">
                  <c:v>35.936</c:v>
                </c:pt>
                <c:pt idx="3">
                  <c:v>36.363</c:v>
                </c:pt>
                <c:pt idx="4">
                  <c:v>36.773000000000003</c:v>
                </c:pt>
                <c:pt idx="5">
                  <c:v>37.173999999999999</c:v>
                </c:pt>
                <c:pt idx="6">
                  <c:v>37.573</c:v>
                </c:pt>
                <c:pt idx="7">
                  <c:v>37.979999999999997</c:v>
                </c:pt>
                <c:pt idx="8">
                  <c:v>38.396999999999998</c:v>
                </c:pt>
                <c:pt idx="9">
                  <c:v>38.826000000000001</c:v>
                </c:pt>
                <c:pt idx="10">
                  <c:v>39.271000000000001</c:v>
                </c:pt>
                <c:pt idx="11">
                  <c:v>39.734999999999999</c:v>
                </c:pt>
                <c:pt idx="12">
                  <c:v>40.21</c:v>
                </c:pt>
                <c:pt idx="13">
                  <c:v>40.679000000000002</c:v>
                </c:pt>
                <c:pt idx="14">
                  <c:v>41.125</c:v>
                </c:pt>
                <c:pt idx="15">
                  <c:v>41.512</c:v>
                </c:pt>
                <c:pt idx="16">
                  <c:v>41.804000000000002</c:v>
                </c:pt>
                <c:pt idx="17">
                  <c:v>41.982999999999997</c:v>
                </c:pt>
                <c:pt idx="18">
                  <c:v>42.05</c:v>
                </c:pt>
                <c:pt idx="19">
                  <c:v>42.017000000000003</c:v>
                </c:pt>
                <c:pt idx="20">
                  <c:v>41.912999999999997</c:v>
                </c:pt>
                <c:pt idx="21">
                  <c:v>41.777999999999999</c:v>
                </c:pt>
                <c:pt idx="22">
                  <c:v>41.66</c:v>
                </c:pt>
                <c:pt idx="23">
                  <c:v>41.597000000000001</c:v>
                </c:pt>
                <c:pt idx="24">
                  <c:v>41.61</c:v>
                </c:pt>
                <c:pt idx="25">
                  <c:v>41.704999999999998</c:v>
                </c:pt>
                <c:pt idx="26">
                  <c:v>41.872</c:v>
                </c:pt>
                <c:pt idx="27">
                  <c:v>42.085000000000001</c:v>
                </c:pt>
                <c:pt idx="28">
                  <c:v>42.326999999999998</c:v>
                </c:pt>
                <c:pt idx="29">
                  <c:v>42.6</c:v>
                </c:pt>
                <c:pt idx="30">
                  <c:v>42.914999999999999</c:v>
                </c:pt>
                <c:pt idx="31">
                  <c:v>43.292999999999999</c:v>
                </c:pt>
                <c:pt idx="32">
                  <c:v>43.744999999999997</c:v>
                </c:pt>
                <c:pt idx="33">
                  <c:v>44.271999999999998</c:v>
                </c:pt>
                <c:pt idx="34">
                  <c:v>44.862000000000002</c:v>
                </c:pt>
                <c:pt idx="35">
                  <c:v>45.491</c:v>
                </c:pt>
                <c:pt idx="36">
                  <c:v>46.124000000000002</c:v>
                </c:pt>
                <c:pt idx="37">
                  <c:v>46.735999999999997</c:v>
                </c:pt>
                <c:pt idx="38">
                  <c:v>47.308999999999997</c:v>
                </c:pt>
                <c:pt idx="39">
                  <c:v>47.841000000000001</c:v>
                </c:pt>
                <c:pt idx="40">
                  <c:v>48.347999999999999</c:v>
                </c:pt>
                <c:pt idx="41">
                  <c:v>48.859000000000002</c:v>
                </c:pt>
                <c:pt idx="42">
                  <c:v>49.405999999999999</c:v>
                </c:pt>
                <c:pt idx="43">
                  <c:v>50.006999999999998</c:v>
                </c:pt>
                <c:pt idx="44">
                  <c:v>50.662999999999997</c:v>
                </c:pt>
                <c:pt idx="45">
                  <c:v>51.362000000000002</c:v>
                </c:pt>
                <c:pt idx="46">
                  <c:v>52.079000000000001</c:v>
                </c:pt>
                <c:pt idx="47">
                  <c:v>52.784999999999997</c:v>
                </c:pt>
                <c:pt idx="48">
                  <c:v>53.459000000000003</c:v>
                </c:pt>
                <c:pt idx="49">
                  <c:v>54.095999999999997</c:v>
                </c:pt>
                <c:pt idx="50">
                  <c:v>54.7</c:v>
                </c:pt>
                <c:pt idx="51">
                  <c:v>55.287999999999997</c:v>
                </c:pt>
                <c:pt idx="52">
                  <c:v>55.878</c:v>
                </c:pt>
                <c:pt idx="53">
                  <c:v>56.482999999999997</c:v>
                </c:pt>
                <c:pt idx="54">
                  <c:v>57.098999999999997</c:v>
                </c:pt>
                <c:pt idx="55">
                  <c:v>57.713999999999999</c:v>
                </c:pt>
                <c:pt idx="56">
                  <c:v>58.311</c:v>
                </c:pt>
              </c:numCache>
            </c:numRef>
          </c:val>
          <c:smooth val="0"/>
          <c:extLst>
            <c:ext xmlns:c16="http://schemas.microsoft.com/office/drawing/2014/chart" uri="{C3380CC4-5D6E-409C-BE32-E72D297353CC}">
              <c16:uniqueId val="{00000001-B6C5-4F61-A8D8-9027E275C347}"/>
            </c:ext>
          </c:extLst>
        </c:ser>
        <c:ser>
          <c:idx val="1"/>
          <c:order val="1"/>
          <c:spPr>
            <a:ln w="28575" cap="rnd">
              <a:solidFill>
                <a:schemeClr val="accent2"/>
              </a:solidFill>
              <a:round/>
            </a:ln>
            <a:effectLst/>
          </c:spPr>
          <c:marker>
            <c:symbol val="none"/>
          </c:marker>
          <c:cat>
            <c:numRef>
              <c:f>prevision4!$B$32:$B$102</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prevision4!$D$32:$D$102</c:f>
              <c:numCache>
                <c:formatCode>General</c:formatCode>
                <c:ptCount val="71"/>
                <c:pt idx="56">
                  <c:v>58.311</c:v>
                </c:pt>
                <c:pt idx="57">
                  <c:v>55.698513157894809</c:v>
                </c:pt>
                <c:pt idx="58">
                  <c:v>56.071543557168866</c:v>
                </c:pt>
                <c:pt idx="59">
                  <c:v>56.444573956442923</c:v>
                </c:pt>
                <c:pt idx="60">
                  <c:v>56.817604355716981</c:v>
                </c:pt>
                <c:pt idx="61">
                  <c:v>57.190634754990924</c:v>
                </c:pt>
                <c:pt idx="62">
                  <c:v>57.563665154264982</c:v>
                </c:pt>
                <c:pt idx="63">
                  <c:v>57.936695553539039</c:v>
                </c:pt>
                <c:pt idx="64">
                  <c:v>58.309725952813096</c:v>
                </c:pt>
                <c:pt idx="65">
                  <c:v>58.682756352087154</c:v>
                </c:pt>
                <c:pt idx="66">
                  <c:v>59.055786751361211</c:v>
                </c:pt>
                <c:pt idx="67">
                  <c:v>59.428817150635268</c:v>
                </c:pt>
                <c:pt idx="68">
                  <c:v>59.801847549909326</c:v>
                </c:pt>
                <c:pt idx="69">
                  <c:v>60.174877949183383</c:v>
                </c:pt>
                <c:pt idx="70">
                  <c:v>60.54790834845744</c:v>
                </c:pt>
              </c:numCache>
            </c:numRef>
          </c:val>
          <c:smooth val="0"/>
          <c:extLst>
            <c:ext xmlns:c16="http://schemas.microsoft.com/office/drawing/2014/chart" uri="{C3380CC4-5D6E-409C-BE32-E72D297353CC}">
              <c16:uniqueId val="{00000002-B6C5-4F61-A8D8-9027E275C347}"/>
            </c:ext>
          </c:extLst>
        </c:ser>
        <c:dLbls>
          <c:showLegendKey val="0"/>
          <c:showVal val="0"/>
          <c:showCatName val="0"/>
          <c:showSerName val="0"/>
          <c:showPercent val="0"/>
          <c:showBubbleSize val="0"/>
        </c:dLbls>
        <c:smooth val="0"/>
        <c:axId val="729316656"/>
        <c:axId val="729313376"/>
      </c:lineChart>
      <c:catAx>
        <c:axId val="729316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29313376"/>
        <c:crosses val="autoZero"/>
        <c:auto val="1"/>
        <c:lblAlgn val="ctr"/>
        <c:lblOffset val="100"/>
        <c:noMultiLvlLbl val="0"/>
      </c:catAx>
      <c:valAx>
        <c:axId val="729313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29316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[Indicateurs de la santé.xlsm]Indicateur4!数据透视表3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ltLang="zh-CN"/>
              <a:t>Life expectancy at birth, total (years)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a:solidFill>
              <a:schemeClr val="accent4">
                <a:lumMod val="60000"/>
                <a:lumOff val="40000"/>
              </a:schemeClr>
            </a:solidFill>
            <a:round/>
          </a:ln>
          <a:effectLst/>
        </c:spPr>
        <c:marker>
          <c:symbol val="none"/>
        </c:marker>
      </c:pivotFmt>
      <c:pivotFmt>
        <c:idx val="29"/>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Indicateur4!$K$5:$K$6</c:f>
              <c:strCache>
                <c:ptCount val="1"/>
                <c:pt idx="0">
                  <c:v>Mozambique</c:v>
                </c:pt>
              </c:strCache>
            </c:strRef>
          </c:tx>
          <c:spPr>
            <a:ln w="28575" cap="rnd">
              <a:solidFill>
                <a:schemeClr val="accent4">
                  <a:lumMod val="60000"/>
                  <a:lumOff val="40000"/>
                </a:schemeClr>
              </a:solidFill>
              <a:round/>
            </a:ln>
            <a:effectLst/>
          </c:spPr>
          <c:marker>
            <c:symbol val="none"/>
          </c:marker>
          <c:cat>
            <c:strRef>
              <c:f>Indicateur4!$J$7:$J$63</c:f>
              <c:strCache>
                <c:ptCount val="57"/>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strCache>
            </c:strRef>
          </c:cat>
          <c:val>
            <c:numRef>
              <c:f>Indicateur4!$K$7:$K$63</c:f>
              <c:numCache>
                <c:formatCode>General</c:formatCode>
                <c:ptCount val="57"/>
                <c:pt idx="0">
                  <c:v>35.026000000000003</c:v>
                </c:pt>
                <c:pt idx="1">
                  <c:v>35.49</c:v>
                </c:pt>
                <c:pt idx="2">
                  <c:v>35.936</c:v>
                </c:pt>
                <c:pt idx="3">
                  <c:v>36.363</c:v>
                </c:pt>
                <c:pt idx="4">
                  <c:v>36.773000000000003</c:v>
                </c:pt>
                <c:pt idx="5">
                  <c:v>37.173999999999999</c:v>
                </c:pt>
                <c:pt idx="6">
                  <c:v>37.573</c:v>
                </c:pt>
                <c:pt idx="7">
                  <c:v>37.979999999999997</c:v>
                </c:pt>
                <c:pt idx="8">
                  <c:v>38.396999999999998</c:v>
                </c:pt>
                <c:pt idx="9">
                  <c:v>38.826000000000001</c:v>
                </c:pt>
                <c:pt idx="10">
                  <c:v>39.271000000000001</c:v>
                </c:pt>
                <c:pt idx="11">
                  <c:v>39.734999999999999</c:v>
                </c:pt>
                <c:pt idx="12">
                  <c:v>40.21</c:v>
                </c:pt>
                <c:pt idx="13">
                  <c:v>40.679000000000002</c:v>
                </c:pt>
                <c:pt idx="14">
                  <c:v>41.125</c:v>
                </c:pt>
                <c:pt idx="15">
                  <c:v>41.512</c:v>
                </c:pt>
                <c:pt idx="16">
                  <c:v>41.804000000000002</c:v>
                </c:pt>
                <c:pt idx="17">
                  <c:v>41.982999999999997</c:v>
                </c:pt>
                <c:pt idx="18">
                  <c:v>42.05</c:v>
                </c:pt>
                <c:pt idx="19">
                  <c:v>42.017000000000003</c:v>
                </c:pt>
                <c:pt idx="20">
                  <c:v>41.912999999999997</c:v>
                </c:pt>
                <c:pt idx="21">
                  <c:v>41.777999999999999</c:v>
                </c:pt>
                <c:pt idx="22">
                  <c:v>41.66</c:v>
                </c:pt>
                <c:pt idx="23">
                  <c:v>41.597000000000001</c:v>
                </c:pt>
                <c:pt idx="24">
                  <c:v>41.61</c:v>
                </c:pt>
                <c:pt idx="25">
                  <c:v>41.704999999999998</c:v>
                </c:pt>
                <c:pt idx="26">
                  <c:v>41.872</c:v>
                </c:pt>
                <c:pt idx="27">
                  <c:v>42.085000000000001</c:v>
                </c:pt>
                <c:pt idx="28">
                  <c:v>42.326999999999998</c:v>
                </c:pt>
                <c:pt idx="29">
                  <c:v>42.6</c:v>
                </c:pt>
                <c:pt idx="30">
                  <c:v>42.914999999999999</c:v>
                </c:pt>
                <c:pt idx="31">
                  <c:v>43.292999999999999</c:v>
                </c:pt>
                <c:pt idx="32">
                  <c:v>43.744999999999997</c:v>
                </c:pt>
                <c:pt idx="33">
                  <c:v>44.271999999999998</c:v>
                </c:pt>
                <c:pt idx="34">
                  <c:v>44.862000000000002</c:v>
                </c:pt>
                <c:pt idx="35">
                  <c:v>45.491</c:v>
                </c:pt>
                <c:pt idx="36">
                  <c:v>46.124000000000002</c:v>
                </c:pt>
                <c:pt idx="37">
                  <c:v>46.735999999999997</c:v>
                </c:pt>
                <c:pt idx="38">
                  <c:v>47.308999999999997</c:v>
                </c:pt>
                <c:pt idx="39">
                  <c:v>47.841000000000001</c:v>
                </c:pt>
                <c:pt idx="40">
                  <c:v>48.347999999999999</c:v>
                </c:pt>
                <c:pt idx="41">
                  <c:v>48.859000000000002</c:v>
                </c:pt>
                <c:pt idx="42">
                  <c:v>49.405999999999999</c:v>
                </c:pt>
                <c:pt idx="43">
                  <c:v>50.006999999999998</c:v>
                </c:pt>
                <c:pt idx="44">
                  <c:v>50.662999999999997</c:v>
                </c:pt>
                <c:pt idx="45">
                  <c:v>51.362000000000002</c:v>
                </c:pt>
                <c:pt idx="46">
                  <c:v>52.079000000000001</c:v>
                </c:pt>
                <c:pt idx="47">
                  <c:v>52.784999999999997</c:v>
                </c:pt>
                <c:pt idx="48">
                  <c:v>53.459000000000003</c:v>
                </c:pt>
                <c:pt idx="49">
                  <c:v>54.095999999999997</c:v>
                </c:pt>
                <c:pt idx="50">
                  <c:v>54.7</c:v>
                </c:pt>
                <c:pt idx="51">
                  <c:v>55.287999999999997</c:v>
                </c:pt>
                <c:pt idx="52">
                  <c:v>55.878</c:v>
                </c:pt>
                <c:pt idx="53">
                  <c:v>56.482999999999997</c:v>
                </c:pt>
                <c:pt idx="54">
                  <c:v>57.098999999999997</c:v>
                </c:pt>
                <c:pt idx="55">
                  <c:v>57.713999999999999</c:v>
                </c:pt>
                <c:pt idx="56">
                  <c:v>58.311</c:v>
                </c:pt>
              </c:numCache>
            </c:numRef>
          </c:val>
          <c:smooth val="0"/>
          <c:extLst>
            <c:ext xmlns:c16="http://schemas.microsoft.com/office/drawing/2014/chart" uri="{C3380CC4-5D6E-409C-BE32-E72D297353CC}">
              <c16:uniqueId val="{00000000-3FF5-40B5-9C96-635D0CE652C6}"/>
            </c:ext>
          </c:extLst>
        </c:ser>
        <c:dLbls>
          <c:showLegendKey val="0"/>
          <c:showVal val="0"/>
          <c:showCatName val="0"/>
          <c:showSerName val="0"/>
          <c:showPercent val="0"/>
          <c:showBubbleSize val="0"/>
        </c:dLbls>
        <c:smooth val="0"/>
        <c:axId val="572921184"/>
        <c:axId val="572912000"/>
      </c:lineChart>
      <c:catAx>
        <c:axId val="572921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72912000"/>
        <c:crosses val="autoZero"/>
        <c:auto val="1"/>
        <c:lblAlgn val="ctr"/>
        <c:lblOffset val="100"/>
        <c:noMultiLvlLbl val="0"/>
      </c:catAx>
      <c:valAx>
        <c:axId val="572912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729211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4">
                  <a:lumMod val="60000"/>
                  <a:lumOff val="40000"/>
                </a:schemeClr>
              </a:solidFill>
              <a:round/>
            </a:ln>
            <a:effectLst/>
          </c:spPr>
          <c:marker>
            <c:symbol val="none"/>
          </c:marker>
          <c:trendline>
            <c:spPr>
              <a:ln w="19050" cap="rnd">
                <a:solidFill>
                  <a:schemeClr val="accent1"/>
                </a:solidFill>
                <a:prstDash val="sysDot"/>
              </a:ln>
              <a:effectLst/>
            </c:spPr>
            <c:trendlineType val="linear"/>
            <c:dispRSqr val="1"/>
            <c:dispEq val="1"/>
            <c:trendlineLbl>
              <c:layout>
                <c:manualLayout>
                  <c:x val="1.855424321959755E-2"/>
                  <c:y val="-0.3270395888013998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trendlineLbl>
          </c:trendline>
          <c:cat>
            <c:numRef>
              <c:f>prevision5!$B$33:$B$103</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prevision5!$C$33:$C$103</c:f>
              <c:numCache>
                <c:formatCode>General</c:formatCode>
                <c:ptCount val="71"/>
                <c:pt idx="0">
                  <c:v>0</c:v>
                </c:pt>
                <c:pt idx="1">
                  <c:v>0</c:v>
                </c:pt>
                <c:pt idx="2">
                  <c:v>0</c:v>
                </c:pt>
                <c:pt idx="3">
                  <c:v>0</c:v>
                </c:pt>
                <c:pt idx="4">
                  <c:v>0</c:v>
                </c:pt>
                <c:pt idx="5">
                  <c:v>181.1</c:v>
                </c:pt>
                <c:pt idx="6">
                  <c:v>181.8</c:v>
                </c:pt>
                <c:pt idx="7">
                  <c:v>182.4</c:v>
                </c:pt>
                <c:pt idx="8">
                  <c:v>182.8</c:v>
                </c:pt>
                <c:pt idx="9">
                  <c:v>182.7</c:v>
                </c:pt>
                <c:pt idx="10">
                  <c:v>182.4</c:v>
                </c:pt>
                <c:pt idx="11">
                  <c:v>181.8</c:v>
                </c:pt>
                <c:pt idx="12">
                  <c:v>180.9</c:v>
                </c:pt>
                <c:pt idx="13">
                  <c:v>179.9</c:v>
                </c:pt>
                <c:pt idx="14">
                  <c:v>178.9</c:v>
                </c:pt>
                <c:pt idx="15">
                  <c:v>177.8</c:v>
                </c:pt>
                <c:pt idx="16">
                  <c:v>176.8</c:v>
                </c:pt>
                <c:pt idx="17">
                  <c:v>175.9</c:v>
                </c:pt>
                <c:pt idx="18">
                  <c:v>175.3</c:v>
                </c:pt>
                <c:pt idx="19">
                  <c:v>174.7</c:v>
                </c:pt>
                <c:pt idx="20">
                  <c:v>174.5</c:v>
                </c:pt>
                <c:pt idx="21">
                  <c:v>174.2</c:v>
                </c:pt>
                <c:pt idx="22">
                  <c:v>173.5</c:v>
                </c:pt>
                <c:pt idx="23">
                  <c:v>172.6</c:v>
                </c:pt>
                <c:pt idx="24">
                  <c:v>171.1</c:v>
                </c:pt>
                <c:pt idx="25">
                  <c:v>169.4</c:v>
                </c:pt>
                <c:pt idx="26">
                  <c:v>167.5</c:v>
                </c:pt>
                <c:pt idx="27">
                  <c:v>165.5</c:v>
                </c:pt>
                <c:pt idx="28">
                  <c:v>163.6</c:v>
                </c:pt>
                <c:pt idx="29">
                  <c:v>161.5</c:v>
                </c:pt>
                <c:pt idx="30">
                  <c:v>159.4</c:v>
                </c:pt>
                <c:pt idx="31">
                  <c:v>157.1</c:v>
                </c:pt>
                <c:pt idx="32">
                  <c:v>154.4</c:v>
                </c:pt>
                <c:pt idx="33">
                  <c:v>151.19999999999999</c:v>
                </c:pt>
                <c:pt idx="34">
                  <c:v>147.4</c:v>
                </c:pt>
                <c:pt idx="35">
                  <c:v>143</c:v>
                </c:pt>
                <c:pt idx="36">
                  <c:v>137.69999999999999</c:v>
                </c:pt>
                <c:pt idx="37">
                  <c:v>131.69999999999999</c:v>
                </c:pt>
                <c:pt idx="38">
                  <c:v>125.4</c:v>
                </c:pt>
                <c:pt idx="39">
                  <c:v>119.3</c:v>
                </c:pt>
                <c:pt idx="40">
                  <c:v>113.3</c:v>
                </c:pt>
                <c:pt idx="41">
                  <c:v>107.6</c:v>
                </c:pt>
                <c:pt idx="42">
                  <c:v>102.3</c:v>
                </c:pt>
                <c:pt idx="43">
                  <c:v>97.4</c:v>
                </c:pt>
                <c:pt idx="44">
                  <c:v>92.9</c:v>
                </c:pt>
                <c:pt idx="45">
                  <c:v>88.7</c:v>
                </c:pt>
                <c:pt idx="46">
                  <c:v>84.6</c:v>
                </c:pt>
                <c:pt idx="47">
                  <c:v>79.900000000000006</c:v>
                </c:pt>
                <c:pt idx="48">
                  <c:v>76.5</c:v>
                </c:pt>
                <c:pt idx="49">
                  <c:v>72.8</c:v>
                </c:pt>
                <c:pt idx="50">
                  <c:v>70.7</c:v>
                </c:pt>
                <c:pt idx="51">
                  <c:v>66.900000000000006</c:v>
                </c:pt>
                <c:pt idx="52">
                  <c:v>63.5</c:v>
                </c:pt>
                <c:pt idx="53">
                  <c:v>60.9</c:v>
                </c:pt>
                <c:pt idx="54">
                  <c:v>58.9</c:v>
                </c:pt>
                <c:pt idx="55">
                  <c:v>57</c:v>
                </c:pt>
                <c:pt idx="56">
                  <c:v>55.2</c:v>
                </c:pt>
                <c:pt idx="57">
                  <c:v>53.3</c:v>
                </c:pt>
              </c:numCache>
            </c:numRef>
          </c:val>
          <c:smooth val="0"/>
          <c:extLst>
            <c:ext xmlns:c16="http://schemas.microsoft.com/office/drawing/2014/chart" uri="{C3380CC4-5D6E-409C-BE32-E72D297353CC}">
              <c16:uniqueId val="{00000001-5359-4BB1-B487-C4423C3C4612}"/>
            </c:ext>
          </c:extLst>
        </c:ser>
        <c:ser>
          <c:idx val="1"/>
          <c:order val="1"/>
          <c:spPr>
            <a:ln w="28575" cap="rnd">
              <a:solidFill>
                <a:schemeClr val="accent2"/>
              </a:solidFill>
              <a:round/>
            </a:ln>
            <a:effectLst/>
          </c:spPr>
          <c:marker>
            <c:symbol val="none"/>
          </c:marker>
          <c:cat>
            <c:numRef>
              <c:f>prevision5!$B$33:$B$103</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prevision5!$D$33:$D$103</c:f>
              <c:numCache>
                <c:formatCode>General</c:formatCode>
                <c:ptCount val="71"/>
                <c:pt idx="57">
                  <c:v>53.3</c:v>
                </c:pt>
                <c:pt idx="58">
                  <c:v>93.594373865698799</c:v>
                </c:pt>
                <c:pt idx="59">
                  <c:v>92.548712664185587</c:v>
                </c:pt>
                <c:pt idx="60">
                  <c:v>91.50305146267192</c:v>
                </c:pt>
                <c:pt idx="61">
                  <c:v>90.457390261158707</c:v>
                </c:pt>
                <c:pt idx="62">
                  <c:v>89.41172905964504</c:v>
                </c:pt>
                <c:pt idx="63">
                  <c:v>88.366067858131828</c:v>
                </c:pt>
                <c:pt idx="64">
                  <c:v>87.320406656618161</c:v>
                </c:pt>
                <c:pt idx="65">
                  <c:v>86.274745455104949</c:v>
                </c:pt>
                <c:pt idx="66">
                  <c:v>85.229084253591282</c:v>
                </c:pt>
                <c:pt idx="67">
                  <c:v>84.183423052078069</c:v>
                </c:pt>
                <c:pt idx="68">
                  <c:v>83.137761850564402</c:v>
                </c:pt>
                <c:pt idx="69">
                  <c:v>82.09210064905119</c:v>
                </c:pt>
                <c:pt idx="70">
                  <c:v>81.046439447537523</c:v>
                </c:pt>
              </c:numCache>
            </c:numRef>
          </c:val>
          <c:smooth val="0"/>
          <c:extLst>
            <c:ext xmlns:c16="http://schemas.microsoft.com/office/drawing/2014/chart" uri="{C3380CC4-5D6E-409C-BE32-E72D297353CC}">
              <c16:uniqueId val="{00000002-5359-4BB1-B487-C4423C3C4612}"/>
            </c:ext>
          </c:extLst>
        </c:ser>
        <c:dLbls>
          <c:showLegendKey val="0"/>
          <c:showVal val="0"/>
          <c:showCatName val="0"/>
          <c:showSerName val="0"/>
          <c:showPercent val="0"/>
          <c:showBubbleSize val="0"/>
        </c:dLbls>
        <c:smooth val="0"/>
        <c:axId val="533275048"/>
        <c:axId val="533271112"/>
      </c:lineChart>
      <c:catAx>
        <c:axId val="533275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33271112"/>
        <c:crosses val="autoZero"/>
        <c:auto val="1"/>
        <c:lblAlgn val="ctr"/>
        <c:lblOffset val="100"/>
        <c:noMultiLvlLbl val="0"/>
      </c:catAx>
      <c:valAx>
        <c:axId val="5332711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332750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[Indicateurs de la santé.xlsm]Indicateur5!数据透视表4</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ltLang="zh-CN"/>
              <a:t>Mortality rate, infant (per 1,000 live births)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cmpd="sng" algn="ctr">
            <a:solidFill>
              <a:srgbClr val="FFC000">
                <a:lumMod val="60000"/>
                <a:lumOff val="40000"/>
              </a:srgbClr>
            </a:solidFill>
            <a:prstDash val="solid"/>
            <a:round/>
            <a:headEnd type="none" w="med" len="med"/>
            <a:tailEnd type="none" w="med" len="med"/>
          </a:ln>
          <a:effectLst/>
        </c:spPr>
        <c:marker>
          <c:symbol val="none"/>
        </c:marker>
      </c:pivotFmt>
      <c:pivotFmt>
        <c:idx val="29"/>
        <c:spPr>
          <a:ln w="28575" cap="rnd" cmpd="sng" algn="ctr">
            <a:solidFill>
              <a:srgbClr val="FFC000">
                <a:lumMod val="60000"/>
                <a:lumOff val="40000"/>
              </a:srgbClr>
            </a:solidFill>
            <a:prstDash val="solid"/>
            <a:round/>
            <a:headEnd type="none" w="med" len="med"/>
            <a:tailEnd type="none" w="med" len="me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Indicateur5!$K$5:$K$6</c:f>
              <c:strCache>
                <c:ptCount val="1"/>
                <c:pt idx="0">
                  <c:v>Mozambique</c:v>
                </c:pt>
              </c:strCache>
            </c:strRef>
          </c:tx>
          <c:spPr>
            <a:ln w="28575" cap="rnd" cmpd="sng" algn="ctr">
              <a:solidFill>
                <a:srgbClr val="FFC000">
                  <a:lumMod val="60000"/>
                  <a:lumOff val="40000"/>
                </a:srgbClr>
              </a:solidFill>
              <a:prstDash val="solid"/>
              <a:round/>
              <a:headEnd type="none" w="med" len="med"/>
              <a:tailEnd type="none" w="med" len="med"/>
            </a:ln>
            <a:effectLst/>
          </c:spPr>
          <c:marker>
            <c:symbol val="none"/>
          </c:marker>
          <c:cat>
            <c:strRef>
              <c:f>Indicateur5!$J$7:$J$64</c:f>
              <c:strCache>
                <c:ptCount val="58"/>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strCache>
            </c:strRef>
          </c:cat>
          <c:val>
            <c:numRef>
              <c:f>Indicateur5!$K$7:$K$64</c:f>
              <c:numCache>
                <c:formatCode>General</c:formatCode>
                <c:ptCount val="58"/>
                <c:pt idx="5">
                  <c:v>181.1</c:v>
                </c:pt>
                <c:pt idx="6">
                  <c:v>181.8</c:v>
                </c:pt>
                <c:pt idx="7">
                  <c:v>182.4</c:v>
                </c:pt>
                <c:pt idx="8">
                  <c:v>182.8</c:v>
                </c:pt>
                <c:pt idx="9">
                  <c:v>182.7</c:v>
                </c:pt>
                <c:pt idx="10">
                  <c:v>182.4</c:v>
                </c:pt>
                <c:pt idx="11">
                  <c:v>181.8</c:v>
                </c:pt>
                <c:pt idx="12">
                  <c:v>180.9</c:v>
                </c:pt>
                <c:pt idx="13">
                  <c:v>179.9</c:v>
                </c:pt>
                <c:pt idx="14">
                  <c:v>178.9</c:v>
                </c:pt>
                <c:pt idx="15">
                  <c:v>177.8</c:v>
                </c:pt>
                <c:pt idx="16">
                  <c:v>176.8</c:v>
                </c:pt>
                <c:pt idx="17">
                  <c:v>175.9</c:v>
                </c:pt>
                <c:pt idx="18">
                  <c:v>175.3</c:v>
                </c:pt>
                <c:pt idx="19">
                  <c:v>174.7</c:v>
                </c:pt>
                <c:pt idx="20">
                  <c:v>174.5</c:v>
                </c:pt>
                <c:pt idx="21">
                  <c:v>174.2</c:v>
                </c:pt>
                <c:pt idx="22">
                  <c:v>173.5</c:v>
                </c:pt>
                <c:pt idx="23">
                  <c:v>172.6</c:v>
                </c:pt>
                <c:pt idx="24">
                  <c:v>171.1</c:v>
                </c:pt>
                <c:pt idx="25">
                  <c:v>169.4</c:v>
                </c:pt>
                <c:pt idx="26">
                  <c:v>167.5</c:v>
                </c:pt>
                <c:pt idx="27">
                  <c:v>165.5</c:v>
                </c:pt>
                <c:pt idx="28">
                  <c:v>163.6</c:v>
                </c:pt>
                <c:pt idx="29">
                  <c:v>161.5</c:v>
                </c:pt>
                <c:pt idx="30">
                  <c:v>159.4</c:v>
                </c:pt>
                <c:pt idx="31">
                  <c:v>157.1</c:v>
                </c:pt>
                <c:pt idx="32">
                  <c:v>154.4</c:v>
                </c:pt>
                <c:pt idx="33">
                  <c:v>151.19999999999999</c:v>
                </c:pt>
                <c:pt idx="34">
                  <c:v>147.4</c:v>
                </c:pt>
                <c:pt idx="35">
                  <c:v>143</c:v>
                </c:pt>
                <c:pt idx="36">
                  <c:v>137.69999999999999</c:v>
                </c:pt>
                <c:pt idx="37">
                  <c:v>131.69999999999999</c:v>
                </c:pt>
                <c:pt idx="38">
                  <c:v>125.4</c:v>
                </c:pt>
                <c:pt idx="39">
                  <c:v>119.3</c:v>
                </c:pt>
                <c:pt idx="40">
                  <c:v>113.3</c:v>
                </c:pt>
                <c:pt idx="41">
                  <c:v>107.6</c:v>
                </c:pt>
                <c:pt idx="42">
                  <c:v>102.3</c:v>
                </c:pt>
                <c:pt idx="43">
                  <c:v>97.4</c:v>
                </c:pt>
                <c:pt idx="44">
                  <c:v>92.9</c:v>
                </c:pt>
                <c:pt idx="45">
                  <c:v>88.7</c:v>
                </c:pt>
                <c:pt idx="46">
                  <c:v>84.6</c:v>
                </c:pt>
                <c:pt idx="47">
                  <c:v>79.900000000000006</c:v>
                </c:pt>
                <c:pt idx="48">
                  <c:v>76.5</c:v>
                </c:pt>
                <c:pt idx="49">
                  <c:v>72.8</c:v>
                </c:pt>
                <c:pt idx="50">
                  <c:v>70.7</c:v>
                </c:pt>
                <c:pt idx="51">
                  <c:v>66.900000000000006</c:v>
                </c:pt>
                <c:pt idx="52">
                  <c:v>63.5</c:v>
                </c:pt>
                <c:pt idx="53">
                  <c:v>60.9</c:v>
                </c:pt>
                <c:pt idx="54">
                  <c:v>58.9</c:v>
                </c:pt>
                <c:pt idx="55">
                  <c:v>57</c:v>
                </c:pt>
                <c:pt idx="56">
                  <c:v>55.2</c:v>
                </c:pt>
                <c:pt idx="57">
                  <c:v>53.3</c:v>
                </c:pt>
              </c:numCache>
            </c:numRef>
          </c:val>
          <c:smooth val="0"/>
          <c:extLst>
            <c:ext xmlns:c16="http://schemas.microsoft.com/office/drawing/2014/chart" uri="{C3380CC4-5D6E-409C-BE32-E72D297353CC}">
              <c16:uniqueId val="{00000000-04ED-4281-A79E-F7ECAD3B9982}"/>
            </c:ext>
          </c:extLst>
        </c:ser>
        <c:dLbls>
          <c:showLegendKey val="0"/>
          <c:showVal val="0"/>
          <c:showCatName val="0"/>
          <c:showSerName val="0"/>
          <c:showPercent val="0"/>
          <c:showBubbleSize val="0"/>
        </c:dLbls>
        <c:smooth val="0"/>
        <c:axId val="560776224"/>
        <c:axId val="560779832"/>
      </c:lineChart>
      <c:catAx>
        <c:axId val="56077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60779832"/>
        <c:crosses val="autoZero"/>
        <c:auto val="1"/>
        <c:lblAlgn val="ctr"/>
        <c:lblOffset val="100"/>
        <c:noMultiLvlLbl val="0"/>
      </c:catAx>
      <c:valAx>
        <c:axId val="560779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607762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4">
                  <a:lumMod val="60000"/>
                  <a:lumOff val="40000"/>
                </a:schemeClr>
              </a:solidFill>
              <a:round/>
            </a:ln>
            <a:effectLst/>
          </c:spPr>
          <c:marker>
            <c:symbol val="none"/>
          </c:marker>
          <c:trendline>
            <c:spPr>
              <a:ln w="19050" cap="rnd">
                <a:solidFill>
                  <a:schemeClr val="accent1"/>
                </a:solidFill>
                <a:prstDash val="sysDot"/>
              </a:ln>
              <a:effectLst/>
            </c:spPr>
            <c:trendlineType val="linear"/>
            <c:dispRSqr val="1"/>
            <c:dispEq val="1"/>
            <c:trendlineLbl>
              <c:layout>
                <c:manualLayout>
                  <c:x val="1.450984251968504E-2"/>
                  <c:y val="-0.4126746135899679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trendlineLbl>
          </c:trendline>
          <c:cat>
            <c:numRef>
              <c:f>prevision6!$B$32:$B$102</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prevision6!$C$32:$C$102</c:f>
              <c:numCache>
                <c:formatCode>General</c:formatCode>
                <c:ptCount val="71"/>
                <c:pt idx="0">
                  <c:v>2.01597717128617</c:v>
                </c:pt>
                <c:pt idx="1">
                  <c:v>2.04467666444308</c:v>
                </c:pt>
                <c:pt idx="2">
                  <c:v>2.0710608401475299</c:v>
                </c:pt>
                <c:pt idx="3">
                  <c:v>2.0941680507103499</c:v>
                </c:pt>
                <c:pt idx="4">
                  <c:v>2.1137456346050398</c:v>
                </c:pt>
                <c:pt idx="5">
                  <c:v>2.1321564601922902</c:v>
                </c:pt>
                <c:pt idx="6">
                  <c:v>2.15123212266358</c:v>
                </c:pt>
                <c:pt idx="7">
                  <c:v>2.17412939251864</c:v>
                </c:pt>
                <c:pt idx="8">
                  <c:v>2.2031290878920098</c:v>
                </c:pt>
                <c:pt idx="9">
                  <c:v>2.2396594507136101</c:v>
                </c:pt>
                <c:pt idx="10">
                  <c:v>2.2822925495216202</c:v>
                </c:pt>
                <c:pt idx="11">
                  <c:v>2.3048299824638101</c:v>
                </c:pt>
                <c:pt idx="12">
                  <c:v>2.32596109305288</c:v>
                </c:pt>
                <c:pt idx="13">
                  <c:v>2.387117603399</c:v>
                </c:pt>
                <c:pt idx="14">
                  <c:v>2.49807099076174</c:v>
                </c:pt>
                <c:pt idx="15">
                  <c:v>2.6280968872478399</c:v>
                </c:pt>
                <c:pt idx="16">
                  <c:v>2.7501579980572401</c:v>
                </c:pt>
                <c:pt idx="17">
                  <c:v>2.8189707176192198</c:v>
                </c:pt>
                <c:pt idx="18">
                  <c:v>2.8048740035988402</c:v>
                </c:pt>
                <c:pt idx="19">
                  <c:v>2.6922001653747198</c:v>
                </c:pt>
                <c:pt idx="20">
                  <c:v>2.50705874502273</c:v>
                </c:pt>
                <c:pt idx="21">
                  <c:v>2.3748098339939698</c:v>
                </c:pt>
                <c:pt idx="22">
                  <c:v>2.2506486041998599</c:v>
                </c:pt>
                <c:pt idx="23">
                  <c:v>1.9824759510011201</c:v>
                </c:pt>
                <c:pt idx="24">
                  <c:v>1.5371573835974099</c:v>
                </c:pt>
                <c:pt idx="25">
                  <c:v>1.0111090454645</c:v>
                </c:pt>
                <c:pt idx="26">
                  <c:v>0.38418436425672498</c:v>
                </c:pt>
                <c:pt idx="27">
                  <c:v>-0.103810197873531</c:v>
                </c:pt>
                <c:pt idx="28">
                  <c:v>-0.14070408302661799</c:v>
                </c:pt>
                <c:pt idx="29">
                  <c:v>0.43787681477041401</c:v>
                </c:pt>
                <c:pt idx="30">
                  <c:v>1.42956117830082</c:v>
                </c:pt>
                <c:pt idx="31">
                  <c:v>2.5659074459801299</c:v>
                </c:pt>
                <c:pt idx="32">
                  <c:v>3.4653181228522101</c:v>
                </c:pt>
                <c:pt idx="33">
                  <c:v>3.9419869486674202</c:v>
                </c:pt>
                <c:pt idx="34">
                  <c:v>3.8863887535024499</c:v>
                </c:pt>
                <c:pt idx="35">
                  <c:v>3.5003891334133299</c:v>
                </c:pt>
                <c:pt idx="36">
                  <c:v>3.05640960857425</c:v>
                </c:pt>
                <c:pt idx="37">
                  <c:v>2.75055114976217</c:v>
                </c:pt>
                <c:pt idx="38">
                  <c:v>2.5737416522534802</c:v>
                </c:pt>
                <c:pt idx="39">
                  <c:v>2.5811785490594001</c:v>
                </c:pt>
                <c:pt idx="40">
                  <c:v>2.7086277830193199</c:v>
                </c:pt>
                <c:pt idx="41">
                  <c:v>2.8431895190952701</c:v>
                </c:pt>
                <c:pt idx="42">
                  <c:v>2.9205528138115899</c:v>
                </c:pt>
                <c:pt idx="43">
                  <c:v>2.9698301552437099</c:v>
                </c:pt>
                <c:pt idx="44">
                  <c:v>2.9785733267674899</c:v>
                </c:pt>
                <c:pt idx="45">
                  <c:v>2.9605825605331302</c:v>
                </c:pt>
                <c:pt idx="46">
                  <c:v>2.9405705449331299</c:v>
                </c:pt>
                <c:pt idx="47">
                  <c:v>2.9310960499961398</c:v>
                </c:pt>
                <c:pt idx="48">
                  <c:v>2.9240181534613399</c:v>
                </c:pt>
                <c:pt idx="49">
                  <c:v>2.9214629274130801</c:v>
                </c:pt>
                <c:pt idx="50">
                  <c:v>2.9212891641512302</c:v>
                </c:pt>
                <c:pt idx="51">
                  <c:v>2.9196297354631802</c:v>
                </c:pt>
                <c:pt idx="52">
                  <c:v>2.9147261271914302</c:v>
                </c:pt>
                <c:pt idx="53">
                  <c:v>2.9084828043495299</c:v>
                </c:pt>
                <c:pt idx="54">
                  <c:v>2.90069572870848</c:v>
                </c:pt>
                <c:pt idx="55">
                  <c:v>2.8914168419794501</c:v>
                </c:pt>
                <c:pt idx="56">
                  <c:v>2.8812077244991001</c:v>
                </c:pt>
                <c:pt idx="57">
                  <c:v>2.86987986018184</c:v>
                </c:pt>
              </c:numCache>
            </c:numRef>
          </c:val>
          <c:smooth val="0"/>
          <c:extLst>
            <c:ext xmlns:c16="http://schemas.microsoft.com/office/drawing/2014/chart" uri="{C3380CC4-5D6E-409C-BE32-E72D297353CC}">
              <c16:uniqueId val="{00000001-1A36-4FD7-8762-AE33BD7B5A1C}"/>
            </c:ext>
          </c:extLst>
        </c:ser>
        <c:ser>
          <c:idx val="1"/>
          <c:order val="1"/>
          <c:spPr>
            <a:ln w="28575" cap="rnd">
              <a:solidFill>
                <a:schemeClr val="accent2"/>
              </a:solidFill>
              <a:round/>
            </a:ln>
            <a:effectLst/>
          </c:spPr>
          <c:marker>
            <c:symbol val="none"/>
          </c:marker>
          <c:cat>
            <c:numRef>
              <c:f>prevision6!$B$32:$B$102</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prevision6!$D$32:$D$102</c:f>
              <c:numCache>
                <c:formatCode>General</c:formatCode>
                <c:ptCount val="71"/>
                <c:pt idx="57">
                  <c:v>2.86987986018184</c:v>
                </c:pt>
                <c:pt idx="58">
                  <c:v>2.9617597304610328</c:v>
                </c:pt>
                <c:pt idx="59">
                  <c:v>2.9797325455842909</c:v>
                </c:pt>
                <c:pt idx="60">
                  <c:v>2.9977053607075561</c:v>
                </c:pt>
                <c:pt idx="61">
                  <c:v>3.0156781758308142</c:v>
                </c:pt>
                <c:pt idx="62">
                  <c:v>3.0336509909540794</c:v>
                </c:pt>
                <c:pt idx="63">
                  <c:v>3.0516238060773375</c:v>
                </c:pt>
                <c:pt idx="64">
                  <c:v>3.0695966212005956</c:v>
                </c:pt>
                <c:pt idx="65">
                  <c:v>3.0875694363238608</c:v>
                </c:pt>
                <c:pt idx="66">
                  <c:v>3.1055422514471189</c:v>
                </c:pt>
                <c:pt idx="67">
                  <c:v>3.1235150665703841</c:v>
                </c:pt>
                <c:pt idx="68">
                  <c:v>3.1414878816936422</c:v>
                </c:pt>
                <c:pt idx="69">
                  <c:v>3.1594606968169074</c:v>
                </c:pt>
                <c:pt idx="70">
                  <c:v>3.1774335119401655</c:v>
                </c:pt>
              </c:numCache>
            </c:numRef>
          </c:val>
          <c:smooth val="0"/>
          <c:extLst>
            <c:ext xmlns:c16="http://schemas.microsoft.com/office/drawing/2014/chart" uri="{C3380CC4-5D6E-409C-BE32-E72D297353CC}">
              <c16:uniqueId val="{00000002-1A36-4FD7-8762-AE33BD7B5A1C}"/>
            </c:ext>
          </c:extLst>
        </c:ser>
        <c:dLbls>
          <c:showLegendKey val="0"/>
          <c:showVal val="0"/>
          <c:showCatName val="0"/>
          <c:showSerName val="0"/>
          <c:showPercent val="0"/>
          <c:showBubbleSize val="0"/>
        </c:dLbls>
        <c:smooth val="0"/>
        <c:axId val="729314360"/>
        <c:axId val="548261752"/>
      </c:lineChart>
      <c:catAx>
        <c:axId val="729314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48261752"/>
        <c:crosses val="autoZero"/>
        <c:auto val="1"/>
        <c:lblAlgn val="ctr"/>
        <c:lblOffset val="100"/>
        <c:noMultiLvlLbl val="0"/>
      </c:catAx>
      <c:valAx>
        <c:axId val="548261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293143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[Indicateurs de la santé.xlsm]Indicateur6!数据透视表1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Population growth (annual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none"/>
        </c:marker>
      </c:pivotFmt>
      <c:pivotFmt>
        <c:idx val="22"/>
        <c:spPr>
          <a:solidFill>
            <a:schemeClr val="accent1"/>
          </a:solidFill>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solidFill>
            <a:schemeClr val="accent1"/>
          </a:solidFill>
          <a:ln w="28575" cap="rnd">
            <a:solidFill>
              <a:schemeClr val="accent1"/>
            </a:solidFill>
            <a:round/>
          </a:ln>
          <a:effectLst/>
        </c:spPr>
        <c:marker>
          <c:symbol val="none"/>
        </c:marker>
      </c:pivotFmt>
      <c:pivotFmt>
        <c:idx val="25"/>
        <c:spPr>
          <a:solidFill>
            <a:schemeClr val="accent1"/>
          </a:solidFill>
          <a:ln w="28575" cap="rnd">
            <a:solidFill>
              <a:schemeClr val="accent1"/>
            </a:solidFill>
            <a:round/>
          </a:ln>
          <a:effectLst/>
        </c:spPr>
        <c:marker>
          <c:symbol val="none"/>
        </c:marker>
      </c:pivotFmt>
      <c:pivotFmt>
        <c:idx val="26"/>
        <c:spPr>
          <a:solidFill>
            <a:schemeClr val="accent1"/>
          </a:solidFill>
          <a:ln w="28575" cap="rnd">
            <a:solidFill>
              <a:schemeClr val="accent1"/>
            </a:solidFill>
            <a:round/>
          </a:ln>
          <a:effectLst/>
        </c:spPr>
        <c:marker>
          <c:symbol val="none"/>
        </c:marker>
      </c:pivotFmt>
      <c:pivotFmt>
        <c:idx val="27"/>
        <c:spPr>
          <a:solidFill>
            <a:schemeClr val="accent1"/>
          </a:solidFill>
          <a:ln w="28575" cap="rnd">
            <a:solidFill>
              <a:schemeClr val="accent1"/>
            </a:solidFill>
            <a:round/>
          </a:ln>
          <a:effectLst/>
        </c:spPr>
        <c:marker>
          <c:symbol val="none"/>
        </c:marker>
      </c:pivotFmt>
      <c:pivotFmt>
        <c:idx val="28"/>
        <c:spPr>
          <a:solidFill>
            <a:schemeClr val="accent1"/>
          </a:solidFill>
          <a:ln w="28575" cap="rnd" cmpd="sng" algn="ctr">
            <a:solidFill>
              <a:srgbClr val="FFC000">
                <a:lumMod val="60000"/>
                <a:lumOff val="40000"/>
              </a:srgbClr>
            </a:solidFill>
            <a:prstDash val="solid"/>
            <a:round/>
            <a:headEnd type="none" w="med" len="med"/>
            <a:tailEnd type="none" w="med" len="med"/>
          </a:ln>
          <a:effectLst/>
        </c:spPr>
        <c:marker>
          <c:symbol val="none"/>
        </c:marker>
      </c:pivotFmt>
      <c:pivotFmt>
        <c:idx val="29"/>
        <c:spPr>
          <a:ln w="28575" cap="rnd" cmpd="sng" algn="ctr">
            <a:solidFill>
              <a:srgbClr val="FFC000">
                <a:lumMod val="60000"/>
                <a:lumOff val="40000"/>
              </a:srgbClr>
            </a:solidFill>
            <a:prstDash val="solid"/>
            <a:round/>
            <a:headEnd type="none" w="med" len="med"/>
            <a:tailEnd type="none" w="med" len="me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pivotFmt>
      <c:pivotFmt>
        <c:idx val="31"/>
        <c:spPr>
          <a:solidFill>
            <a:schemeClr val="accent1"/>
          </a:solidFill>
          <a:ln w="28575" cap="rnd">
            <a:solidFill>
              <a:schemeClr val="accent1"/>
            </a:solidFill>
            <a:round/>
          </a:ln>
          <a:effectLst/>
        </c:spPr>
        <c:marker>
          <c:symbol val="none"/>
        </c:marker>
      </c:pivotFmt>
      <c:pivotFmt>
        <c:idx val="32"/>
        <c:spPr>
          <a:solidFill>
            <a:schemeClr val="accent1"/>
          </a:solidFill>
          <a:ln w="28575" cap="rnd">
            <a:solidFill>
              <a:schemeClr val="accent1"/>
            </a:solidFill>
            <a:round/>
          </a:ln>
          <a:effectLst/>
        </c:spPr>
        <c:marker>
          <c:symbol val="none"/>
        </c:marker>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pivotFmt>
      <c:pivotFmt>
        <c:idx val="35"/>
        <c:spPr>
          <a:ln w="28575" cap="rnd" cmpd="sng" algn="ctr">
            <a:solidFill>
              <a:srgbClr val="FFC000">
                <a:lumMod val="60000"/>
                <a:lumOff val="40000"/>
              </a:srgbClr>
            </a:solidFill>
            <a:prstDash val="solid"/>
            <a:round/>
            <a:headEnd type="none" w="med" len="med"/>
            <a:tailEnd type="none" w="med" len="me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CN"/>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Indicateur6!$K$5:$K$6</c:f>
              <c:strCache>
                <c:ptCount val="1"/>
                <c:pt idx="0">
                  <c:v>Mozambique</c:v>
                </c:pt>
              </c:strCache>
            </c:strRef>
          </c:tx>
          <c:spPr>
            <a:ln w="28575" cap="rnd" cmpd="sng" algn="ctr">
              <a:solidFill>
                <a:srgbClr val="FFC000">
                  <a:lumMod val="60000"/>
                  <a:lumOff val="40000"/>
                </a:srgbClr>
              </a:solidFill>
              <a:prstDash val="solid"/>
              <a:round/>
              <a:headEnd type="none" w="med" len="med"/>
              <a:tailEnd type="none" w="med" len="med"/>
            </a:ln>
            <a:effectLst/>
          </c:spPr>
          <c:marker>
            <c:symbol val="none"/>
          </c:marker>
          <c:cat>
            <c:strRef>
              <c:f>Indicateur6!$J$7:$J$64</c:f>
              <c:strCache>
                <c:ptCount val="58"/>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strCache>
            </c:strRef>
          </c:cat>
          <c:val>
            <c:numRef>
              <c:f>Indicateur6!$K$7:$K$64</c:f>
              <c:numCache>
                <c:formatCode>General</c:formatCode>
                <c:ptCount val="58"/>
                <c:pt idx="0">
                  <c:v>2.01597717128617</c:v>
                </c:pt>
                <c:pt idx="1">
                  <c:v>2.04467666444308</c:v>
                </c:pt>
                <c:pt idx="2">
                  <c:v>2.0710608401475299</c:v>
                </c:pt>
                <c:pt idx="3">
                  <c:v>2.0941680507103499</c:v>
                </c:pt>
                <c:pt idx="4">
                  <c:v>2.1137456346050398</c:v>
                </c:pt>
                <c:pt idx="5">
                  <c:v>2.1321564601922902</c:v>
                </c:pt>
                <c:pt idx="6">
                  <c:v>2.15123212266358</c:v>
                </c:pt>
                <c:pt idx="7">
                  <c:v>2.17412939251864</c:v>
                </c:pt>
                <c:pt idx="8">
                  <c:v>2.2031290878920098</c:v>
                </c:pt>
                <c:pt idx="9">
                  <c:v>2.2396594507136101</c:v>
                </c:pt>
                <c:pt idx="10">
                  <c:v>2.2822925495216202</c:v>
                </c:pt>
                <c:pt idx="11">
                  <c:v>2.3048299824638101</c:v>
                </c:pt>
                <c:pt idx="12">
                  <c:v>2.32596109305288</c:v>
                </c:pt>
                <c:pt idx="13">
                  <c:v>2.387117603399</c:v>
                </c:pt>
                <c:pt idx="14">
                  <c:v>2.49807099076174</c:v>
                </c:pt>
                <c:pt idx="15">
                  <c:v>2.6280968872478399</c:v>
                </c:pt>
                <c:pt idx="16">
                  <c:v>2.7501579980572401</c:v>
                </c:pt>
                <c:pt idx="17">
                  <c:v>2.8189707176192198</c:v>
                </c:pt>
                <c:pt idx="18">
                  <c:v>2.8048740035988402</c:v>
                </c:pt>
                <c:pt idx="19">
                  <c:v>2.6922001653747198</c:v>
                </c:pt>
                <c:pt idx="20">
                  <c:v>2.50705874502273</c:v>
                </c:pt>
                <c:pt idx="21">
                  <c:v>2.3748098339939698</c:v>
                </c:pt>
                <c:pt idx="22">
                  <c:v>2.2506486041998599</c:v>
                </c:pt>
                <c:pt idx="23">
                  <c:v>1.9824759510011201</c:v>
                </c:pt>
                <c:pt idx="24">
                  <c:v>1.5371573835974099</c:v>
                </c:pt>
                <c:pt idx="25">
                  <c:v>1.0111090454645</c:v>
                </c:pt>
                <c:pt idx="26">
                  <c:v>0.38418436425672498</c:v>
                </c:pt>
                <c:pt idx="27">
                  <c:v>-0.103810197873531</c:v>
                </c:pt>
                <c:pt idx="28">
                  <c:v>-0.14070408302661799</c:v>
                </c:pt>
                <c:pt idx="29">
                  <c:v>0.43787681477041401</c:v>
                </c:pt>
                <c:pt idx="30">
                  <c:v>1.42956117830082</c:v>
                </c:pt>
                <c:pt idx="31">
                  <c:v>2.5659074459801299</c:v>
                </c:pt>
                <c:pt idx="32">
                  <c:v>3.4653181228522101</c:v>
                </c:pt>
                <c:pt idx="33">
                  <c:v>3.9419869486674202</c:v>
                </c:pt>
                <c:pt idx="34">
                  <c:v>3.8863887535024499</c:v>
                </c:pt>
                <c:pt idx="35">
                  <c:v>3.5003891334133299</c:v>
                </c:pt>
                <c:pt idx="36">
                  <c:v>3.05640960857425</c:v>
                </c:pt>
                <c:pt idx="37">
                  <c:v>2.75055114976217</c:v>
                </c:pt>
                <c:pt idx="38">
                  <c:v>2.5737416522534802</c:v>
                </c:pt>
                <c:pt idx="39">
                  <c:v>2.5811785490594001</c:v>
                </c:pt>
                <c:pt idx="40">
                  <c:v>2.7086277830193199</c:v>
                </c:pt>
                <c:pt idx="41">
                  <c:v>2.8431895190952701</c:v>
                </c:pt>
                <c:pt idx="42">
                  <c:v>2.9205528138115899</c:v>
                </c:pt>
                <c:pt idx="43">
                  <c:v>2.9698301552437099</c:v>
                </c:pt>
                <c:pt idx="44">
                  <c:v>2.9785733267674899</c:v>
                </c:pt>
                <c:pt idx="45">
                  <c:v>2.9605825605331302</c:v>
                </c:pt>
                <c:pt idx="46">
                  <c:v>2.9405705449331299</c:v>
                </c:pt>
                <c:pt idx="47">
                  <c:v>2.9310960499961398</c:v>
                </c:pt>
                <c:pt idx="48">
                  <c:v>2.9240181534613399</c:v>
                </c:pt>
                <c:pt idx="49">
                  <c:v>2.9214629274130801</c:v>
                </c:pt>
                <c:pt idx="50">
                  <c:v>2.9212891641512302</c:v>
                </c:pt>
                <c:pt idx="51">
                  <c:v>2.9196297354631802</c:v>
                </c:pt>
                <c:pt idx="52">
                  <c:v>2.9147261271914302</c:v>
                </c:pt>
                <c:pt idx="53">
                  <c:v>2.9084828043495299</c:v>
                </c:pt>
                <c:pt idx="54">
                  <c:v>2.90069572870848</c:v>
                </c:pt>
                <c:pt idx="55">
                  <c:v>2.8914168419794501</c:v>
                </c:pt>
                <c:pt idx="56">
                  <c:v>2.8812077244991001</c:v>
                </c:pt>
                <c:pt idx="57">
                  <c:v>2.86987986018184</c:v>
                </c:pt>
              </c:numCache>
            </c:numRef>
          </c:val>
          <c:smooth val="0"/>
          <c:extLst>
            <c:ext xmlns:c16="http://schemas.microsoft.com/office/drawing/2014/chart" uri="{C3380CC4-5D6E-409C-BE32-E72D297353CC}">
              <c16:uniqueId val="{00000000-1641-4E40-98B4-FDEF2F797BF1}"/>
            </c:ext>
          </c:extLst>
        </c:ser>
        <c:dLbls>
          <c:showLegendKey val="0"/>
          <c:showVal val="0"/>
          <c:showCatName val="0"/>
          <c:showSerName val="0"/>
          <c:showPercent val="0"/>
          <c:showBubbleSize val="0"/>
        </c:dLbls>
        <c:smooth val="0"/>
        <c:axId val="437568568"/>
        <c:axId val="437568896"/>
      </c:lineChart>
      <c:catAx>
        <c:axId val="437568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37568896"/>
        <c:crosses val="autoZero"/>
        <c:auto val="1"/>
        <c:lblAlgn val="ctr"/>
        <c:lblOffset val="100"/>
        <c:noMultiLvlLbl val="0"/>
      </c:catAx>
      <c:valAx>
        <c:axId val="437568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37568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1"/>
            <c:dispEq val="1"/>
            <c:trendlineLbl>
              <c:layout>
                <c:manualLayout>
                  <c:x val="2.4697078154486886E-2"/>
                  <c:y val="0.1386577925679423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trendlineLbl>
          </c:trendline>
          <c:cat>
            <c:numRef>
              <c:f>prevision4!$B$32:$B$102</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prevision4!$C$32:$C$102</c:f>
              <c:numCache>
                <c:formatCode>General</c:formatCode>
                <c:ptCount val="71"/>
                <c:pt idx="0">
                  <c:v>35.026000000000003</c:v>
                </c:pt>
                <c:pt idx="1">
                  <c:v>35.49</c:v>
                </c:pt>
                <c:pt idx="2">
                  <c:v>35.936</c:v>
                </c:pt>
                <c:pt idx="3">
                  <c:v>36.363</c:v>
                </c:pt>
                <c:pt idx="4">
                  <c:v>36.773000000000003</c:v>
                </c:pt>
                <c:pt idx="5">
                  <c:v>37.173999999999999</c:v>
                </c:pt>
                <c:pt idx="6">
                  <c:v>37.573</c:v>
                </c:pt>
                <c:pt idx="7">
                  <c:v>37.979999999999997</c:v>
                </c:pt>
                <c:pt idx="8">
                  <c:v>38.396999999999998</c:v>
                </c:pt>
                <c:pt idx="9">
                  <c:v>38.826000000000001</c:v>
                </c:pt>
                <c:pt idx="10">
                  <c:v>39.271000000000001</c:v>
                </c:pt>
                <c:pt idx="11">
                  <c:v>39.734999999999999</c:v>
                </c:pt>
                <c:pt idx="12">
                  <c:v>40.21</c:v>
                </c:pt>
                <c:pt idx="13">
                  <c:v>40.679000000000002</c:v>
                </c:pt>
                <c:pt idx="14">
                  <c:v>41.125</c:v>
                </c:pt>
                <c:pt idx="15">
                  <c:v>41.512</c:v>
                </c:pt>
                <c:pt idx="16">
                  <c:v>41.804000000000002</c:v>
                </c:pt>
                <c:pt idx="17">
                  <c:v>41.982999999999997</c:v>
                </c:pt>
                <c:pt idx="18">
                  <c:v>42.05</c:v>
                </c:pt>
                <c:pt idx="19">
                  <c:v>42.017000000000003</c:v>
                </c:pt>
                <c:pt idx="20">
                  <c:v>41.912999999999997</c:v>
                </c:pt>
                <c:pt idx="21">
                  <c:v>41.777999999999999</c:v>
                </c:pt>
                <c:pt idx="22">
                  <c:v>41.66</c:v>
                </c:pt>
                <c:pt idx="23">
                  <c:v>41.597000000000001</c:v>
                </c:pt>
                <c:pt idx="24">
                  <c:v>41.61</c:v>
                </c:pt>
                <c:pt idx="25">
                  <c:v>41.704999999999998</c:v>
                </c:pt>
                <c:pt idx="26">
                  <c:v>41.872</c:v>
                </c:pt>
                <c:pt idx="27">
                  <c:v>42.085000000000001</c:v>
                </c:pt>
                <c:pt idx="28">
                  <c:v>42.326999999999998</c:v>
                </c:pt>
                <c:pt idx="29">
                  <c:v>42.6</c:v>
                </c:pt>
                <c:pt idx="30">
                  <c:v>42.914999999999999</c:v>
                </c:pt>
                <c:pt idx="31">
                  <c:v>43.292999999999999</c:v>
                </c:pt>
                <c:pt idx="32">
                  <c:v>43.744999999999997</c:v>
                </c:pt>
                <c:pt idx="33">
                  <c:v>44.271999999999998</c:v>
                </c:pt>
                <c:pt idx="34">
                  <c:v>44.862000000000002</c:v>
                </c:pt>
                <c:pt idx="35">
                  <c:v>45.491</c:v>
                </c:pt>
                <c:pt idx="36">
                  <c:v>46.124000000000002</c:v>
                </c:pt>
                <c:pt idx="37">
                  <c:v>46.735999999999997</c:v>
                </c:pt>
                <c:pt idx="38">
                  <c:v>47.308999999999997</c:v>
                </c:pt>
                <c:pt idx="39">
                  <c:v>47.841000000000001</c:v>
                </c:pt>
                <c:pt idx="40">
                  <c:v>48.347999999999999</c:v>
                </c:pt>
                <c:pt idx="41">
                  <c:v>48.859000000000002</c:v>
                </c:pt>
                <c:pt idx="42">
                  <c:v>49.405999999999999</c:v>
                </c:pt>
                <c:pt idx="43">
                  <c:v>50.006999999999998</c:v>
                </c:pt>
                <c:pt idx="44">
                  <c:v>50.662999999999997</c:v>
                </c:pt>
                <c:pt idx="45">
                  <c:v>51.362000000000002</c:v>
                </c:pt>
                <c:pt idx="46">
                  <c:v>52.079000000000001</c:v>
                </c:pt>
                <c:pt idx="47">
                  <c:v>52.784999999999997</c:v>
                </c:pt>
                <c:pt idx="48">
                  <c:v>53.459000000000003</c:v>
                </c:pt>
                <c:pt idx="49">
                  <c:v>54.095999999999997</c:v>
                </c:pt>
                <c:pt idx="50">
                  <c:v>54.7</c:v>
                </c:pt>
                <c:pt idx="51">
                  <c:v>55.287999999999997</c:v>
                </c:pt>
                <c:pt idx="52">
                  <c:v>55.878</c:v>
                </c:pt>
                <c:pt idx="53">
                  <c:v>56.482999999999997</c:v>
                </c:pt>
                <c:pt idx="54">
                  <c:v>57.098999999999997</c:v>
                </c:pt>
                <c:pt idx="55">
                  <c:v>57.713999999999999</c:v>
                </c:pt>
                <c:pt idx="56">
                  <c:v>58.311</c:v>
                </c:pt>
              </c:numCache>
            </c:numRef>
          </c:val>
          <c:smooth val="0"/>
          <c:extLst>
            <c:ext xmlns:c16="http://schemas.microsoft.com/office/drawing/2014/chart" uri="{C3380CC4-5D6E-409C-BE32-E72D297353CC}">
              <c16:uniqueId val="{00000000-C5C7-4692-A7CA-00B5CC03B641}"/>
            </c:ext>
          </c:extLst>
        </c:ser>
        <c:ser>
          <c:idx val="1"/>
          <c:order val="1"/>
          <c:spPr>
            <a:ln w="28575" cap="rnd">
              <a:solidFill>
                <a:schemeClr val="accent2"/>
              </a:solidFill>
              <a:round/>
            </a:ln>
            <a:effectLst/>
          </c:spPr>
          <c:marker>
            <c:symbol val="none"/>
          </c:marker>
          <c:cat>
            <c:numRef>
              <c:f>prevision4!$B$32:$B$102</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prevision4!$D$32:$D$102</c:f>
              <c:numCache>
                <c:formatCode>General</c:formatCode>
                <c:ptCount val="71"/>
                <c:pt idx="56">
                  <c:v>58.311</c:v>
                </c:pt>
                <c:pt idx="57">
                  <c:v>55.698513157894809</c:v>
                </c:pt>
                <c:pt idx="58">
                  <c:v>56.071543557168866</c:v>
                </c:pt>
                <c:pt idx="59">
                  <c:v>56.444573956442923</c:v>
                </c:pt>
                <c:pt idx="60">
                  <c:v>56.817604355716981</c:v>
                </c:pt>
                <c:pt idx="61">
                  <c:v>57.190634754990924</c:v>
                </c:pt>
                <c:pt idx="62">
                  <c:v>57.563665154264982</c:v>
                </c:pt>
                <c:pt idx="63">
                  <c:v>57.936695553539039</c:v>
                </c:pt>
                <c:pt idx="64">
                  <c:v>58.309725952813096</c:v>
                </c:pt>
                <c:pt idx="65">
                  <c:v>58.682756352087154</c:v>
                </c:pt>
                <c:pt idx="66">
                  <c:v>59.055786751361211</c:v>
                </c:pt>
                <c:pt idx="67">
                  <c:v>59.428817150635268</c:v>
                </c:pt>
                <c:pt idx="68">
                  <c:v>59.801847549909326</c:v>
                </c:pt>
                <c:pt idx="69">
                  <c:v>60.174877949183383</c:v>
                </c:pt>
                <c:pt idx="70">
                  <c:v>60.54790834845744</c:v>
                </c:pt>
              </c:numCache>
            </c:numRef>
          </c:val>
          <c:smooth val="0"/>
          <c:extLst>
            <c:ext xmlns:c16="http://schemas.microsoft.com/office/drawing/2014/chart" uri="{C3380CC4-5D6E-409C-BE32-E72D297353CC}">
              <c16:uniqueId val="{00000001-C5C7-4692-A7CA-00B5CC03B641}"/>
            </c:ext>
          </c:extLst>
        </c:ser>
        <c:dLbls>
          <c:showLegendKey val="0"/>
          <c:showVal val="0"/>
          <c:showCatName val="0"/>
          <c:showSerName val="0"/>
          <c:showPercent val="0"/>
          <c:showBubbleSize val="0"/>
        </c:dLbls>
        <c:smooth val="0"/>
        <c:axId val="729316656"/>
        <c:axId val="729313376"/>
      </c:lineChart>
      <c:catAx>
        <c:axId val="729316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29313376"/>
        <c:crosses val="autoZero"/>
        <c:auto val="1"/>
        <c:lblAlgn val="ctr"/>
        <c:lblOffset val="100"/>
        <c:noMultiLvlLbl val="0"/>
      </c:catAx>
      <c:valAx>
        <c:axId val="729313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29316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spPr>
            <a:ln w="28575" cap="rnd">
              <a:solidFill>
                <a:schemeClr val="accent1"/>
              </a:solidFill>
              <a:round/>
            </a:ln>
            <a:effectLst/>
          </c:spPr>
          <c:marker>
            <c:symbol val="none"/>
          </c:marker>
          <c:cat>
            <c:numRef>
              <c:f>prevision4!$H$32:$H$102</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prevision4!$I$32:$I$102</c:f>
              <c:numCache>
                <c:formatCode>General</c:formatCode>
                <c:ptCount val="71"/>
                <c:pt idx="0">
                  <c:v>35.026000000000003</c:v>
                </c:pt>
                <c:pt idx="1">
                  <c:v>35.49</c:v>
                </c:pt>
                <c:pt idx="2">
                  <c:v>35.936</c:v>
                </c:pt>
                <c:pt idx="3">
                  <c:v>36.363</c:v>
                </c:pt>
                <c:pt idx="4">
                  <c:v>36.773000000000003</c:v>
                </c:pt>
                <c:pt idx="5">
                  <c:v>37.173999999999999</c:v>
                </c:pt>
                <c:pt idx="6">
                  <c:v>37.573</c:v>
                </c:pt>
                <c:pt idx="7">
                  <c:v>37.979999999999997</c:v>
                </c:pt>
                <c:pt idx="8">
                  <c:v>38.396999999999998</c:v>
                </c:pt>
                <c:pt idx="9">
                  <c:v>38.826000000000001</c:v>
                </c:pt>
                <c:pt idx="10">
                  <c:v>39.271000000000001</c:v>
                </c:pt>
                <c:pt idx="11">
                  <c:v>39.734999999999999</c:v>
                </c:pt>
                <c:pt idx="12">
                  <c:v>40.21</c:v>
                </c:pt>
                <c:pt idx="13">
                  <c:v>40.679000000000002</c:v>
                </c:pt>
                <c:pt idx="14">
                  <c:v>41.125</c:v>
                </c:pt>
                <c:pt idx="15">
                  <c:v>41.512</c:v>
                </c:pt>
                <c:pt idx="16">
                  <c:v>41.804000000000002</c:v>
                </c:pt>
                <c:pt idx="17">
                  <c:v>41.982999999999997</c:v>
                </c:pt>
                <c:pt idx="18">
                  <c:v>42.05</c:v>
                </c:pt>
                <c:pt idx="19">
                  <c:v>42.017000000000003</c:v>
                </c:pt>
                <c:pt idx="20">
                  <c:v>41.912999999999997</c:v>
                </c:pt>
                <c:pt idx="21">
                  <c:v>41.777999999999999</c:v>
                </c:pt>
                <c:pt idx="22">
                  <c:v>41.66</c:v>
                </c:pt>
                <c:pt idx="23">
                  <c:v>41.597000000000001</c:v>
                </c:pt>
                <c:pt idx="24">
                  <c:v>41.61</c:v>
                </c:pt>
                <c:pt idx="25">
                  <c:v>41.704999999999998</c:v>
                </c:pt>
                <c:pt idx="26">
                  <c:v>41.872</c:v>
                </c:pt>
                <c:pt idx="27">
                  <c:v>42.085000000000001</c:v>
                </c:pt>
                <c:pt idx="28">
                  <c:v>42.326999999999998</c:v>
                </c:pt>
                <c:pt idx="29">
                  <c:v>42.6</c:v>
                </c:pt>
                <c:pt idx="30">
                  <c:v>42.914999999999999</c:v>
                </c:pt>
                <c:pt idx="31">
                  <c:v>43.292999999999999</c:v>
                </c:pt>
                <c:pt idx="32">
                  <c:v>43.744999999999997</c:v>
                </c:pt>
                <c:pt idx="33">
                  <c:v>44.271999999999998</c:v>
                </c:pt>
                <c:pt idx="34">
                  <c:v>44.862000000000002</c:v>
                </c:pt>
                <c:pt idx="35">
                  <c:v>45.491</c:v>
                </c:pt>
                <c:pt idx="36">
                  <c:v>46.124000000000002</c:v>
                </c:pt>
                <c:pt idx="37">
                  <c:v>46.735999999999997</c:v>
                </c:pt>
                <c:pt idx="38">
                  <c:v>47.308999999999997</c:v>
                </c:pt>
                <c:pt idx="39">
                  <c:v>47.841000000000001</c:v>
                </c:pt>
                <c:pt idx="40">
                  <c:v>48.347999999999999</c:v>
                </c:pt>
                <c:pt idx="41">
                  <c:v>48.859000000000002</c:v>
                </c:pt>
                <c:pt idx="42">
                  <c:v>49.405999999999999</c:v>
                </c:pt>
                <c:pt idx="43">
                  <c:v>50.006999999999998</c:v>
                </c:pt>
                <c:pt idx="44">
                  <c:v>50.662999999999997</c:v>
                </c:pt>
                <c:pt idx="45">
                  <c:v>51.362000000000002</c:v>
                </c:pt>
                <c:pt idx="46">
                  <c:v>52.079000000000001</c:v>
                </c:pt>
                <c:pt idx="47">
                  <c:v>52.784999999999997</c:v>
                </c:pt>
                <c:pt idx="48">
                  <c:v>53.459000000000003</c:v>
                </c:pt>
                <c:pt idx="49">
                  <c:v>54.095999999999997</c:v>
                </c:pt>
                <c:pt idx="50">
                  <c:v>54.7</c:v>
                </c:pt>
                <c:pt idx="51">
                  <c:v>55.287999999999997</c:v>
                </c:pt>
                <c:pt idx="52">
                  <c:v>55.878</c:v>
                </c:pt>
                <c:pt idx="53">
                  <c:v>56.482999999999997</c:v>
                </c:pt>
                <c:pt idx="54">
                  <c:v>57.098999999999997</c:v>
                </c:pt>
                <c:pt idx="55">
                  <c:v>57.713999999999999</c:v>
                </c:pt>
                <c:pt idx="56">
                  <c:v>58.311</c:v>
                </c:pt>
              </c:numCache>
            </c:numRef>
          </c:val>
          <c:smooth val="0"/>
          <c:extLst>
            <c:ext xmlns:c16="http://schemas.microsoft.com/office/drawing/2014/chart" uri="{C3380CC4-5D6E-409C-BE32-E72D297353CC}">
              <c16:uniqueId val="{00000000-2906-4F63-86AC-E16B8B349A0E}"/>
            </c:ext>
          </c:extLst>
        </c:ser>
        <c:ser>
          <c:idx val="1"/>
          <c:order val="1"/>
          <c:spPr>
            <a:ln w="28575" cap="rnd">
              <a:solidFill>
                <a:schemeClr val="accent2"/>
              </a:solidFill>
              <a:round/>
            </a:ln>
            <a:effectLst/>
          </c:spPr>
          <c:marker>
            <c:symbol val="none"/>
          </c:marker>
          <c:cat>
            <c:numRef>
              <c:f>prevision4!$H$32:$H$102</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prevision4!$J$32:$J$102</c:f>
              <c:numCache>
                <c:formatCode>General</c:formatCode>
                <c:ptCount val="71"/>
                <c:pt idx="56">
                  <c:v>58.311</c:v>
                </c:pt>
                <c:pt idx="57">
                  <c:v>55.698513157894809</c:v>
                </c:pt>
                <c:pt idx="58">
                  <c:v>56.071543557168866</c:v>
                </c:pt>
                <c:pt idx="59">
                  <c:v>56.444573956442923</c:v>
                </c:pt>
                <c:pt idx="60">
                  <c:v>56.817604355716981</c:v>
                </c:pt>
                <c:pt idx="61">
                  <c:v>57.190634754990924</c:v>
                </c:pt>
                <c:pt idx="62">
                  <c:v>57.563665154264982</c:v>
                </c:pt>
                <c:pt idx="63">
                  <c:v>57.936695553539039</c:v>
                </c:pt>
                <c:pt idx="64">
                  <c:v>58.309725952813096</c:v>
                </c:pt>
                <c:pt idx="65">
                  <c:v>58.682756352087154</c:v>
                </c:pt>
                <c:pt idx="66">
                  <c:v>59.055786751361211</c:v>
                </c:pt>
                <c:pt idx="67">
                  <c:v>59.428817150635268</c:v>
                </c:pt>
                <c:pt idx="68">
                  <c:v>59.801847549909326</c:v>
                </c:pt>
                <c:pt idx="69">
                  <c:v>60.174877949183383</c:v>
                </c:pt>
                <c:pt idx="70">
                  <c:v>60.54790834845744</c:v>
                </c:pt>
              </c:numCache>
            </c:numRef>
          </c:val>
          <c:smooth val="0"/>
          <c:extLst>
            <c:ext xmlns:c16="http://schemas.microsoft.com/office/drawing/2014/chart" uri="{C3380CC4-5D6E-409C-BE32-E72D297353CC}">
              <c16:uniqueId val="{00000001-2906-4F63-86AC-E16B8B349A0E}"/>
            </c:ext>
          </c:extLst>
        </c:ser>
        <c:dLbls>
          <c:showLegendKey val="0"/>
          <c:showVal val="0"/>
          <c:showCatName val="0"/>
          <c:showSerName val="0"/>
          <c:showPercent val="0"/>
          <c:showBubbleSize val="0"/>
        </c:dLbls>
        <c:smooth val="0"/>
        <c:axId val="516994776"/>
        <c:axId val="517000680"/>
      </c:lineChart>
      <c:catAx>
        <c:axId val="516994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17000680"/>
        <c:crosses val="autoZero"/>
        <c:auto val="1"/>
        <c:lblAlgn val="ctr"/>
        <c:lblOffset val="100"/>
        <c:noMultiLvlLbl val="0"/>
      </c:catAx>
      <c:valAx>
        <c:axId val="517000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169947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1"/>
            <c:dispEq val="1"/>
            <c:trendlineLbl>
              <c:layout>
                <c:manualLayout>
                  <c:x val="1.855424321959755E-2"/>
                  <c:y val="-0.3270395888013998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trendlineLbl>
          </c:trendline>
          <c:cat>
            <c:numRef>
              <c:f>prevision5!$B$33:$B$103</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prevision5!$C$33:$C$103</c:f>
              <c:numCache>
                <c:formatCode>General</c:formatCode>
                <c:ptCount val="71"/>
                <c:pt idx="0">
                  <c:v>0</c:v>
                </c:pt>
                <c:pt idx="1">
                  <c:v>0</c:v>
                </c:pt>
                <c:pt idx="2">
                  <c:v>0</c:v>
                </c:pt>
                <c:pt idx="3">
                  <c:v>0</c:v>
                </c:pt>
                <c:pt idx="4">
                  <c:v>0</c:v>
                </c:pt>
                <c:pt idx="5">
                  <c:v>181.1</c:v>
                </c:pt>
                <c:pt idx="6">
                  <c:v>181.8</c:v>
                </c:pt>
                <c:pt idx="7">
                  <c:v>182.4</c:v>
                </c:pt>
                <c:pt idx="8">
                  <c:v>182.8</c:v>
                </c:pt>
                <c:pt idx="9">
                  <c:v>182.7</c:v>
                </c:pt>
                <c:pt idx="10">
                  <c:v>182.4</c:v>
                </c:pt>
                <c:pt idx="11">
                  <c:v>181.8</c:v>
                </c:pt>
                <c:pt idx="12">
                  <c:v>180.9</c:v>
                </c:pt>
                <c:pt idx="13">
                  <c:v>179.9</c:v>
                </c:pt>
                <c:pt idx="14">
                  <c:v>178.9</c:v>
                </c:pt>
                <c:pt idx="15">
                  <c:v>177.8</c:v>
                </c:pt>
                <c:pt idx="16">
                  <c:v>176.8</c:v>
                </c:pt>
                <c:pt idx="17">
                  <c:v>175.9</c:v>
                </c:pt>
                <c:pt idx="18">
                  <c:v>175.3</c:v>
                </c:pt>
                <c:pt idx="19">
                  <c:v>174.7</c:v>
                </c:pt>
                <c:pt idx="20">
                  <c:v>174.5</c:v>
                </c:pt>
                <c:pt idx="21">
                  <c:v>174.2</c:v>
                </c:pt>
                <c:pt idx="22">
                  <c:v>173.5</c:v>
                </c:pt>
                <c:pt idx="23">
                  <c:v>172.6</c:v>
                </c:pt>
                <c:pt idx="24">
                  <c:v>171.1</c:v>
                </c:pt>
                <c:pt idx="25">
                  <c:v>169.4</c:v>
                </c:pt>
                <c:pt idx="26">
                  <c:v>167.5</c:v>
                </c:pt>
                <c:pt idx="27">
                  <c:v>165.5</c:v>
                </c:pt>
                <c:pt idx="28">
                  <c:v>163.6</c:v>
                </c:pt>
                <c:pt idx="29">
                  <c:v>161.5</c:v>
                </c:pt>
                <c:pt idx="30">
                  <c:v>159.4</c:v>
                </c:pt>
                <c:pt idx="31">
                  <c:v>157.1</c:v>
                </c:pt>
                <c:pt idx="32">
                  <c:v>154.4</c:v>
                </c:pt>
                <c:pt idx="33">
                  <c:v>151.19999999999999</c:v>
                </c:pt>
                <c:pt idx="34">
                  <c:v>147.4</c:v>
                </c:pt>
                <c:pt idx="35">
                  <c:v>143</c:v>
                </c:pt>
                <c:pt idx="36">
                  <c:v>137.69999999999999</c:v>
                </c:pt>
                <c:pt idx="37">
                  <c:v>131.69999999999999</c:v>
                </c:pt>
                <c:pt idx="38">
                  <c:v>125.4</c:v>
                </c:pt>
                <c:pt idx="39">
                  <c:v>119.3</c:v>
                </c:pt>
                <c:pt idx="40">
                  <c:v>113.3</c:v>
                </c:pt>
                <c:pt idx="41">
                  <c:v>107.6</c:v>
                </c:pt>
                <c:pt idx="42">
                  <c:v>102.3</c:v>
                </c:pt>
                <c:pt idx="43">
                  <c:v>97.4</c:v>
                </c:pt>
                <c:pt idx="44">
                  <c:v>92.9</c:v>
                </c:pt>
                <c:pt idx="45">
                  <c:v>88.7</c:v>
                </c:pt>
                <c:pt idx="46">
                  <c:v>84.6</c:v>
                </c:pt>
                <c:pt idx="47">
                  <c:v>79.900000000000006</c:v>
                </c:pt>
                <c:pt idx="48">
                  <c:v>76.5</c:v>
                </c:pt>
                <c:pt idx="49">
                  <c:v>72.8</c:v>
                </c:pt>
                <c:pt idx="50">
                  <c:v>70.7</c:v>
                </c:pt>
                <c:pt idx="51">
                  <c:v>66.900000000000006</c:v>
                </c:pt>
                <c:pt idx="52">
                  <c:v>63.5</c:v>
                </c:pt>
                <c:pt idx="53">
                  <c:v>60.9</c:v>
                </c:pt>
                <c:pt idx="54">
                  <c:v>58.9</c:v>
                </c:pt>
                <c:pt idx="55">
                  <c:v>57</c:v>
                </c:pt>
                <c:pt idx="56">
                  <c:v>55.2</c:v>
                </c:pt>
                <c:pt idx="57">
                  <c:v>53.3</c:v>
                </c:pt>
              </c:numCache>
            </c:numRef>
          </c:val>
          <c:smooth val="0"/>
          <c:extLst>
            <c:ext xmlns:c16="http://schemas.microsoft.com/office/drawing/2014/chart" uri="{C3380CC4-5D6E-409C-BE32-E72D297353CC}">
              <c16:uniqueId val="{00000000-EB82-4034-AB7E-0E090BD6A1CB}"/>
            </c:ext>
          </c:extLst>
        </c:ser>
        <c:ser>
          <c:idx val="1"/>
          <c:order val="1"/>
          <c:spPr>
            <a:ln w="28575" cap="rnd">
              <a:solidFill>
                <a:schemeClr val="accent2"/>
              </a:solidFill>
              <a:round/>
            </a:ln>
            <a:effectLst/>
          </c:spPr>
          <c:marker>
            <c:symbol val="none"/>
          </c:marker>
          <c:cat>
            <c:numRef>
              <c:f>prevision5!$B$33:$B$103</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prevision5!$D$33:$D$103</c:f>
              <c:numCache>
                <c:formatCode>General</c:formatCode>
                <c:ptCount val="71"/>
                <c:pt idx="57">
                  <c:v>53.3</c:v>
                </c:pt>
                <c:pt idx="58">
                  <c:v>93.594373865698799</c:v>
                </c:pt>
                <c:pt idx="59">
                  <c:v>92.548712664185587</c:v>
                </c:pt>
                <c:pt idx="60">
                  <c:v>91.50305146267192</c:v>
                </c:pt>
                <c:pt idx="61">
                  <c:v>90.457390261158707</c:v>
                </c:pt>
                <c:pt idx="62">
                  <c:v>89.41172905964504</c:v>
                </c:pt>
                <c:pt idx="63">
                  <c:v>88.366067858131828</c:v>
                </c:pt>
                <c:pt idx="64">
                  <c:v>87.320406656618161</c:v>
                </c:pt>
                <c:pt idx="65">
                  <c:v>86.274745455104949</c:v>
                </c:pt>
                <c:pt idx="66">
                  <c:v>85.229084253591282</c:v>
                </c:pt>
                <c:pt idx="67">
                  <c:v>84.183423052078069</c:v>
                </c:pt>
                <c:pt idx="68">
                  <c:v>83.137761850564402</c:v>
                </c:pt>
                <c:pt idx="69">
                  <c:v>82.09210064905119</c:v>
                </c:pt>
                <c:pt idx="70">
                  <c:v>81.046439447537523</c:v>
                </c:pt>
              </c:numCache>
            </c:numRef>
          </c:val>
          <c:smooth val="0"/>
          <c:extLst>
            <c:ext xmlns:c16="http://schemas.microsoft.com/office/drawing/2014/chart" uri="{C3380CC4-5D6E-409C-BE32-E72D297353CC}">
              <c16:uniqueId val="{00000001-EB82-4034-AB7E-0E090BD6A1CB}"/>
            </c:ext>
          </c:extLst>
        </c:ser>
        <c:dLbls>
          <c:showLegendKey val="0"/>
          <c:showVal val="0"/>
          <c:showCatName val="0"/>
          <c:showSerName val="0"/>
          <c:showPercent val="0"/>
          <c:showBubbleSize val="0"/>
        </c:dLbls>
        <c:smooth val="0"/>
        <c:axId val="533275048"/>
        <c:axId val="533271112"/>
      </c:lineChart>
      <c:catAx>
        <c:axId val="533275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33271112"/>
        <c:crosses val="autoZero"/>
        <c:auto val="1"/>
        <c:lblAlgn val="ctr"/>
        <c:lblOffset val="100"/>
        <c:noMultiLvlLbl val="0"/>
      </c:catAx>
      <c:valAx>
        <c:axId val="5332711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332750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spPr>
            <a:ln w="28575" cap="rnd">
              <a:solidFill>
                <a:schemeClr val="accent1"/>
              </a:solidFill>
              <a:round/>
            </a:ln>
            <a:effectLst/>
          </c:spPr>
          <c:marker>
            <c:symbol val="none"/>
          </c:marker>
          <c:cat>
            <c:numRef>
              <c:f>prevision5!$H$33:$H$103</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prevision5!$I$33:$I$103</c:f>
              <c:numCache>
                <c:formatCode>General</c:formatCode>
                <c:ptCount val="71"/>
                <c:pt idx="0">
                  <c:v>0</c:v>
                </c:pt>
                <c:pt idx="1">
                  <c:v>0</c:v>
                </c:pt>
                <c:pt idx="2">
                  <c:v>0</c:v>
                </c:pt>
                <c:pt idx="3">
                  <c:v>0</c:v>
                </c:pt>
                <c:pt idx="4">
                  <c:v>0</c:v>
                </c:pt>
                <c:pt idx="5">
                  <c:v>181.1</c:v>
                </c:pt>
                <c:pt idx="6">
                  <c:v>181.8</c:v>
                </c:pt>
                <c:pt idx="7">
                  <c:v>182.4</c:v>
                </c:pt>
                <c:pt idx="8">
                  <c:v>182.8</c:v>
                </c:pt>
                <c:pt idx="9">
                  <c:v>182.7</c:v>
                </c:pt>
                <c:pt idx="10">
                  <c:v>182.4</c:v>
                </c:pt>
                <c:pt idx="11">
                  <c:v>181.8</c:v>
                </c:pt>
                <c:pt idx="12">
                  <c:v>180.9</c:v>
                </c:pt>
                <c:pt idx="13">
                  <c:v>179.9</c:v>
                </c:pt>
                <c:pt idx="14">
                  <c:v>178.9</c:v>
                </c:pt>
                <c:pt idx="15">
                  <c:v>177.8</c:v>
                </c:pt>
                <c:pt idx="16">
                  <c:v>176.8</c:v>
                </c:pt>
                <c:pt idx="17">
                  <c:v>175.9</c:v>
                </c:pt>
                <c:pt idx="18">
                  <c:v>175.3</c:v>
                </c:pt>
                <c:pt idx="19">
                  <c:v>174.7</c:v>
                </c:pt>
                <c:pt idx="20">
                  <c:v>174.5</c:v>
                </c:pt>
                <c:pt idx="21">
                  <c:v>174.2</c:v>
                </c:pt>
                <c:pt idx="22">
                  <c:v>173.5</c:v>
                </c:pt>
                <c:pt idx="23">
                  <c:v>172.6</c:v>
                </c:pt>
                <c:pt idx="24">
                  <c:v>171.1</c:v>
                </c:pt>
                <c:pt idx="25">
                  <c:v>169.4</c:v>
                </c:pt>
                <c:pt idx="26">
                  <c:v>167.5</c:v>
                </c:pt>
                <c:pt idx="27">
                  <c:v>165.5</c:v>
                </c:pt>
                <c:pt idx="28">
                  <c:v>163.6</c:v>
                </c:pt>
                <c:pt idx="29">
                  <c:v>161.5</c:v>
                </c:pt>
                <c:pt idx="30">
                  <c:v>159.4</c:v>
                </c:pt>
                <c:pt idx="31">
                  <c:v>157.1</c:v>
                </c:pt>
                <c:pt idx="32">
                  <c:v>154.4</c:v>
                </c:pt>
                <c:pt idx="33">
                  <c:v>151.19999999999999</c:v>
                </c:pt>
                <c:pt idx="34">
                  <c:v>147.4</c:v>
                </c:pt>
                <c:pt idx="35">
                  <c:v>143</c:v>
                </c:pt>
                <c:pt idx="36">
                  <c:v>137.69999999999999</c:v>
                </c:pt>
                <c:pt idx="37">
                  <c:v>131.69999999999999</c:v>
                </c:pt>
                <c:pt idx="38">
                  <c:v>125.4</c:v>
                </c:pt>
                <c:pt idx="39">
                  <c:v>119.3</c:v>
                </c:pt>
                <c:pt idx="40">
                  <c:v>113.3</c:v>
                </c:pt>
                <c:pt idx="41">
                  <c:v>107.6</c:v>
                </c:pt>
                <c:pt idx="42">
                  <c:v>102.3</c:v>
                </c:pt>
                <c:pt idx="43">
                  <c:v>97.4</c:v>
                </c:pt>
                <c:pt idx="44">
                  <c:v>92.9</c:v>
                </c:pt>
                <c:pt idx="45">
                  <c:v>88.7</c:v>
                </c:pt>
                <c:pt idx="46">
                  <c:v>84.6</c:v>
                </c:pt>
                <c:pt idx="47">
                  <c:v>79.900000000000006</c:v>
                </c:pt>
                <c:pt idx="48">
                  <c:v>76.5</c:v>
                </c:pt>
                <c:pt idx="49">
                  <c:v>72.8</c:v>
                </c:pt>
                <c:pt idx="50">
                  <c:v>70.7</c:v>
                </c:pt>
                <c:pt idx="51">
                  <c:v>66.900000000000006</c:v>
                </c:pt>
                <c:pt idx="52">
                  <c:v>63.5</c:v>
                </c:pt>
                <c:pt idx="53">
                  <c:v>60.9</c:v>
                </c:pt>
                <c:pt idx="54">
                  <c:v>58.9</c:v>
                </c:pt>
                <c:pt idx="55">
                  <c:v>57</c:v>
                </c:pt>
                <c:pt idx="56">
                  <c:v>55.2</c:v>
                </c:pt>
                <c:pt idx="57">
                  <c:v>53.3</c:v>
                </c:pt>
              </c:numCache>
            </c:numRef>
          </c:val>
          <c:smooth val="0"/>
          <c:extLst>
            <c:ext xmlns:c16="http://schemas.microsoft.com/office/drawing/2014/chart" uri="{C3380CC4-5D6E-409C-BE32-E72D297353CC}">
              <c16:uniqueId val="{00000000-D42C-40A1-B306-A35BBE0B9E12}"/>
            </c:ext>
          </c:extLst>
        </c:ser>
        <c:ser>
          <c:idx val="1"/>
          <c:order val="1"/>
          <c:spPr>
            <a:ln w="28575" cap="rnd">
              <a:solidFill>
                <a:schemeClr val="accent2"/>
              </a:solidFill>
              <a:round/>
            </a:ln>
            <a:effectLst/>
          </c:spPr>
          <c:marker>
            <c:symbol val="none"/>
          </c:marker>
          <c:cat>
            <c:numRef>
              <c:f>prevision5!$H$33:$H$103</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prevision5!$J$33:$J$103</c:f>
              <c:numCache>
                <c:formatCode>General</c:formatCode>
                <c:ptCount val="71"/>
                <c:pt idx="57">
                  <c:v>53.3</c:v>
                </c:pt>
                <c:pt idx="58">
                  <c:v>93.594373865698799</c:v>
                </c:pt>
                <c:pt idx="59">
                  <c:v>92.548712664185587</c:v>
                </c:pt>
                <c:pt idx="60">
                  <c:v>91.50305146267192</c:v>
                </c:pt>
                <c:pt idx="61">
                  <c:v>90.457390261158707</c:v>
                </c:pt>
                <c:pt idx="62">
                  <c:v>89.41172905964504</c:v>
                </c:pt>
                <c:pt idx="63">
                  <c:v>88.366067858131828</c:v>
                </c:pt>
                <c:pt idx="64">
                  <c:v>87.320406656618161</c:v>
                </c:pt>
                <c:pt idx="65">
                  <c:v>86.274745455104949</c:v>
                </c:pt>
                <c:pt idx="66">
                  <c:v>85.229084253591282</c:v>
                </c:pt>
                <c:pt idx="67">
                  <c:v>84.183423052078069</c:v>
                </c:pt>
                <c:pt idx="68">
                  <c:v>83.137761850564402</c:v>
                </c:pt>
                <c:pt idx="69">
                  <c:v>82.09210064905119</c:v>
                </c:pt>
                <c:pt idx="70">
                  <c:v>81.046439447537523</c:v>
                </c:pt>
              </c:numCache>
            </c:numRef>
          </c:val>
          <c:smooth val="0"/>
          <c:extLst>
            <c:ext xmlns:c16="http://schemas.microsoft.com/office/drawing/2014/chart" uri="{C3380CC4-5D6E-409C-BE32-E72D297353CC}">
              <c16:uniqueId val="{00000001-D42C-40A1-B306-A35BBE0B9E12}"/>
            </c:ext>
          </c:extLst>
        </c:ser>
        <c:dLbls>
          <c:showLegendKey val="0"/>
          <c:showVal val="0"/>
          <c:showCatName val="0"/>
          <c:showSerName val="0"/>
          <c:showPercent val="0"/>
          <c:showBubbleSize val="0"/>
        </c:dLbls>
        <c:smooth val="0"/>
        <c:axId val="574937208"/>
        <c:axId val="574936224"/>
      </c:lineChart>
      <c:catAx>
        <c:axId val="574937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74936224"/>
        <c:crosses val="autoZero"/>
        <c:auto val="1"/>
        <c:lblAlgn val="ctr"/>
        <c:lblOffset val="100"/>
        <c:noMultiLvlLbl val="0"/>
      </c:catAx>
      <c:valAx>
        <c:axId val="5749362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749372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1"/>
            <c:dispEq val="1"/>
            <c:trendlineLbl>
              <c:layout>
                <c:manualLayout>
                  <c:x val="1.450984251968504E-2"/>
                  <c:y val="-0.4126746135899679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trendlineLbl>
          </c:trendline>
          <c:cat>
            <c:numRef>
              <c:f>prevision6!$B$32:$B$102</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prevision6!$C$32:$C$102</c:f>
              <c:numCache>
                <c:formatCode>General</c:formatCode>
                <c:ptCount val="71"/>
                <c:pt idx="0">
                  <c:v>2.01597717128617</c:v>
                </c:pt>
                <c:pt idx="1">
                  <c:v>2.04467666444308</c:v>
                </c:pt>
                <c:pt idx="2">
                  <c:v>2.0710608401475299</c:v>
                </c:pt>
                <c:pt idx="3">
                  <c:v>2.0941680507103499</c:v>
                </c:pt>
                <c:pt idx="4">
                  <c:v>2.1137456346050398</c:v>
                </c:pt>
                <c:pt idx="5">
                  <c:v>2.1321564601922902</c:v>
                </c:pt>
                <c:pt idx="6">
                  <c:v>2.15123212266358</c:v>
                </c:pt>
                <c:pt idx="7">
                  <c:v>2.17412939251864</c:v>
                </c:pt>
                <c:pt idx="8">
                  <c:v>2.2031290878920098</c:v>
                </c:pt>
                <c:pt idx="9">
                  <c:v>2.2396594507136101</c:v>
                </c:pt>
                <c:pt idx="10">
                  <c:v>2.2822925495216202</c:v>
                </c:pt>
                <c:pt idx="11">
                  <c:v>2.3048299824638101</c:v>
                </c:pt>
                <c:pt idx="12">
                  <c:v>2.32596109305288</c:v>
                </c:pt>
                <c:pt idx="13">
                  <c:v>2.387117603399</c:v>
                </c:pt>
                <c:pt idx="14">
                  <c:v>2.49807099076174</c:v>
                </c:pt>
                <c:pt idx="15">
                  <c:v>2.6280968872478399</c:v>
                </c:pt>
                <c:pt idx="16">
                  <c:v>2.7501579980572401</c:v>
                </c:pt>
                <c:pt idx="17">
                  <c:v>2.8189707176192198</c:v>
                </c:pt>
                <c:pt idx="18">
                  <c:v>2.8048740035988402</c:v>
                </c:pt>
                <c:pt idx="19">
                  <c:v>2.6922001653747198</c:v>
                </c:pt>
                <c:pt idx="20">
                  <c:v>2.50705874502273</c:v>
                </c:pt>
                <c:pt idx="21">
                  <c:v>2.3748098339939698</c:v>
                </c:pt>
                <c:pt idx="22">
                  <c:v>2.2506486041998599</c:v>
                </c:pt>
                <c:pt idx="23">
                  <c:v>1.9824759510011201</c:v>
                </c:pt>
                <c:pt idx="24">
                  <c:v>1.5371573835974099</c:v>
                </c:pt>
                <c:pt idx="25">
                  <c:v>1.0111090454645</c:v>
                </c:pt>
                <c:pt idx="26">
                  <c:v>0.38418436425672498</c:v>
                </c:pt>
                <c:pt idx="27">
                  <c:v>-0.103810197873531</c:v>
                </c:pt>
                <c:pt idx="28">
                  <c:v>-0.14070408302661799</c:v>
                </c:pt>
                <c:pt idx="29">
                  <c:v>0.43787681477041401</c:v>
                </c:pt>
                <c:pt idx="30">
                  <c:v>1.42956117830082</c:v>
                </c:pt>
                <c:pt idx="31">
                  <c:v>2.5659074459801299</c:v>
                </c:pt>
                <c:pt idx="32">
                  <c:v>3.4653181228522101</c:v>
                </c:pt>
                <c:pt idx="33">
                  <c:v>3.9419869486674202</c:v>
                </c:pt>
                <c:pt idx="34">
                  <c:v>3.8863887535024499</c:v>
                </c:pt>
                <c:pt idx="35">
                  <c:v>3.5003891334133299</c:v>
                </c:pt>
                <c:pt idx="36">
                  <c:v>3.05640960857425</c:v>
                </c:pt>
                <c:pt idx="37">
                  <c:v>2.75055114976217</c:v>
                </c:pt>
                <c:pt idx="38">
                  <c:v>2.5737416522534802</c:v>
                </c:pt>
                <c:pt idx="39">
                  <c:v>2.5811785490594001</c:v>
                </c:pt>
                <c:pt idx="40">
                  <c:v>2.7086277830193199</c:v>
                </c:pt>
                <c:pt idx="41">
                  <c:v>2.8431895190952701</c:v>
                </c:pt>
                <c:pt idx="42">
                  <c:v>2.9205528138115899</c:v>
                </c:pt>
                <c:pt idx="43">
                  <c:v>2.9698301552437099</c:v>
                </c:pt>
                <c:pt idx="44">
                  <c:v>2.9785733267674899</c:v>
                </c:pt>
                <c:pt idx="45">
                  <c:v>2.9605825605331302</c:v>
                </c:pt>
                <c:pt idx="46">
                  <c:v>2.9405705449331299</c:v>
                </c:pt>
                <c:pt idx="47">
                  <c:v>2.9310960499961398</c:v>
                </c:pt>
                <c:pt idx="48">
                  <c:v>2.9240181534613399</c:v>
                </c:pt>
                <c:pt idx="49">
                  <c:v>2.9214629274130801</c:v>
                </c:pt>
                <c:pt idx="50">
                  <c:v>2.9212891641512302</c:v>
                </c:pt>
                <c:pt idx="51">
                  <c:v>2.9196297354631802</c:v>
                </c:pt>
                <c:pt idx="52">
                  <c:v>2.9147261271914302</c:v>
                </c:pt>
                <c:pt idx="53">
                  <c:v>2.9084828043495299</c:v>
                </c:pt>
                <c:pt idx="54">
                  <c:v>2.90069572870848</c:v>
                </c:pt>
                <c:pt idx="55">
                  <c:v>2.8914168419794501</c:v>
                </c:pt>
                <c:pt idx="56">
                  <c:v>2.8812077244991001</c:v>
                </c:pt>
                <c:pt idx="57">
                  <c:v>2.86987986018184</c:v>
                </c:pt>
              </c:numCache>
            </c:numRef>
          </c:val>
          <c:smooth val="0"/>
          <c:extLst>
            <c:ext xmlns:c16="http://schemas.microsoft.com/office/drawing/2014/chart" uri="{C3380CC4-5D6E-409C-BE32-E72D297353CC}">
              <c16:uniqueId val="{00000000-6927-41BD-AE05-F3BA6AEDC386}"/>
            </c:ext>
          </c:extLst>
        </c:ser>
        <c:ser>
          <c:idx val="1"/>
          <c:order val="1"/>
          <c:spPr>
            <a:ln w="28575" cap="rnd">
              <a:solidFill>
                <a:schemeClr val="accent2"/>
              </a:solidFill>
              <a:round/>
            </a:ln>
            <a:effectLst/>
          </c:spPr>
          <c:marker>
            <c:symbol val="none"/>
          </c:marker>
          <c:cat>
            <c:numRef>
              <c:f>prevision6!$B$32:$B$102</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prevision6!$D$32:$D$102</c:f>
              <c:numCache>
                <c:formatCode>General</c:formatCode>
                <c:ptCount val="71"/>
                <c:pt idx="57">
                  <c:v>2.86987986018184</c:v>
                </c:pt>
                <c:pt idx="58">
                  <c:v>2.9617597304610328</c:v>
                </c:pt>
                <c:pt idx="59">
                  <c:v>2.9797325455842909</c:v>
                </c:pt>
                <c:pt idx="60">
                  <c:v>2.9977053607075561</c:v>
                </c:pt>
                <c:pt idx="61">
                  <c:v>3.0156781758308142</c:v>
                </c:pt>
                <c:pt idx="62">
                  <c:v>3.0336509909540794</c:v>
                </c:pt>
                <c:pt idx="63">
                  <c:v>3.0516238060773375</c:v>
                </c:pt>
                <c:pt idx="64">
                  <c:v>3.0695966212005956</c:v>
                </c:pt>
                <c:pt idx="65">
                  <c:v>3.0875694363238608</c:v>
                </c:pt>
                <c:pt idx="66">
                  <c:v>3.1055422514471189</c:v>
                </c:pt>
                <c:pt idx="67">
                  <c:v>3.1235150665703841</c:v>
                </c:pt>
                <c:pt idx="68">
                  <c:v>3.1414878816936422</c:v>
                </c:pt>
                <c:pt idx="69">
                  <c:v>3.1594606968169074</c:v>
                </c:pt>
                <c:pt idx="70">
                  <c:v>3.1774335119401655</c:v>
                </c:pt>
              </c:numCache>
            </c:numRef>
          </c:val>
          <c:smooth val="0"/>
          <c:extLst>
            <c:ext xmlns:c16="http://schemas.microsoft.com/office/drawing/2014/chart" uri="{C3380CC4-5D6E-409C-BE32-E72D297353CC}">
              <c16:uniqueId val="{00000001-6927-41BD-AE05-F3BA6AEDC386}"/>
            </c:ext>
          </c:extLst>
        </c:ser>
        <c:dLbls>
          <c:showLegendKey val="0"/>
          <c:showVal val="0"/>
          <c:showCatName val="0"/>
          <c:showSerName val="0"/>
          <c:showPercent val="0"/>
          <c:showBubbleSize val="0"/>
        </c:dLbls>
        <c:smooth val="0"/>
        <c:axId val="729314360"/>
        <c:axId val="548261752"/>
      </c:lineChart>
      <c:catAx>
        <c:axId val="7293143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548261752"/>
        <c:crosses val="autoZero"/>
        <c:auto val="1"/>
        <c:lblAlgn val="ctr"/>
        <c:lblOffset val="100"/>
        <c:noMultiLvlLbl val="0"/>
      </c:catAx>
      <c:valAx>
        <c:axId val="548261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7293143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spPr>
            <a:ln w="28575" cap="rnd">
              <a:solidFill>
                <a:schemeClr val="accent1"/>
              </a:solidFill>
              <a:round/>
            </a:ln>
            <a:effectLst/>
          </c:spPr>
          <c:marker>
            <c:symbol val="none"/>
          </c:marker>
          <c:cat>
            <c:numRef>
              <c:f>prevision6!$H$32:$H$102</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prevision6!$I$32:$I$102</c:f>
              <c:numCache>
                <c:formatCode>General</c:formatCode>
                <c:ptCount val="71"/>
                <c:pt idx="0">
                  <c:v>2.01597717128617</c:v>
                </c:pt>
                <c:pt idx="1">
                  <c:v>2.04467666444308</c:v>
                </c:pt>
                <c:pt idx="2">
                  <c:v>2.0710608401475299</c:v>
                </c:pt>
                <c:pt idx="3">
                  <c:v>2.0941680507103499</c:v>
                </c:pt>
                <c:pt idx="4">
                  <c:v>2.1137456346050398</c:v>
                </c:pt>
                <c:pt idx="5">
                  <c:v>2.1321564601922902</c:v>
                </c:pt>
                <c:pt idx="6">
                  <c:v>2.15123212266358</c:v>
                </c:pt>
                <c:pt idx="7">
                  <c:v>2.17412939251864</c:v>
                </c:pt>
                <c:pt idx="8">
                  <c:v>2.2031290878920098</c:v>
                </c:pt>
                <c:pt idx="9">
                  <c:v>2.2396594507136101</c:v>
                </c:pt>
                <c:pt idx="10">
                  <c:v>2.2822925495216202</c:v>
                </c:pt>
                <c:pt idx="11">
                  <c:v>2.3048299824638101</c:v>
                </c:pt>
                <c:pt idx="12">
                  <c:v>2.32596109305288</c:v>
                </c:pt>
                <c:pt idx="13">
                  <c:v>2.387117603399</c:v>
                </c:pt>
                <c:pt idx="14">
                  <c:v>2.49807099076174</c:v>
                </c:pt>
                <c:pt idx="15">
                  <c:v>2.6280968872478399</c:v>
                </c:pt>
                <c:pt idx="16">
                  <c:v>2.7501579980572401</c:v>
                </c:pt>
                <c:pt idx="17">
                  <c:v>2.8189707176192198</c:v>
                </c:pt>
                <c:pt idx="18">
                  <c:v>2.8048740035988402</c:v>
                </c:pt>
                <c:pt idx="19">
                  <c:v>2.6922001653747198</c:v>
                </c:pt>
                <c:pt idx="20">
                  <c:v>2.50705874502273</c:v>
                </c:pt>
                <c:pt idx="21">
                  <c:v>2.3748098339939698</c:v>
                </c:pt>
                <c:pt idx="22">
                  <c:v>2.2506486041998599</c:v>
                </c:pt>
                <c:pt idx="23">
                  <c:v>1.9824759510011201</c:v>
                </c:pt>
                <c:pt idx="24">
                  <c:v>1.5371573835974099</c:v>
                </c:pt>
                <c:pt idx="25">
                  <c:v>1.0111090454645</c:v>
                </c:pt>
                <c:pt idx="26">
                  <c:v>0.38418436425672498</c:v>
                </c:pt>
                <c:pt idx="27">
                  <c:v>-0.103810197873531</c:v>
                </c:pt>
                <c:pt idx="28">
                  <c:v>-0.14070408302661799</c:v>
                </c:pt>
                <c:pt idx="29">
                  <c:v>0.43787681477041401</c:v>
                </c:pt>
                <c:pt idx="30">
                  <c:v>1.42956117830082</c:v>
                </c:pt>
                <c:pt idx="31">
                  <c:v>2.5659074459801299</c:v>
                </c:pt>
                <c:pt idx="32">
                  <c:v>3.4653181228522101</c:v>
                </c:pt>
                <c:pt idx="33">
                  <c:v>3.9419869486674202</c:v>
                </c:pt>
                <c:pt idx="34">
                  <c:v>3.8863887535024499</c:v>
                </c:pt>
                <c:pt idx="35">
                  <c:v>3.5003891334133299</c:v>
                </c:pt>
                <c:pt idx="36">
                  <c:v>3.05640960857425</c:v>
                </c:pt>
                <c:pt idx="37">
                  <c:v>2.75055114976217</c:v>
                </c:pt>
                <c:pt idx="38">
                  <c:v>2.5737416522534802</c:v>
                </c:pt>
                <c:pt idx="39">
                  <c:v>2.5811785490594001</c:v>
                </c:pt>
                <c:pt idx="40">
                  <c:v>2.7086277830193199</c:v>
                </c:pt>
                <c:pt idx="41">
                  <c:v>2.8431895190952701</c:v>
                </c:pt>
                <c:pt idx="42">
                  <c:v>2.9205528138115899</c:v>
                </c:pt>
                <c:pt idx="43">
                  <c:v>2.9698301552437099</c:v>
                </c:pt>
                <c:pt idx="44">
                  <c:v>2.9785733267674899</c:v>
                </c:pt>
                <c:pt idx="45">
                  <c:v>2.9605825605331302</c:v>
                </c:pt>
                <c:pt idx="46">
                  <c:v>2.9405705449331299</c:v>
                </c:pt>
                <c:pt idx="47">
                  <c:v>2.9310960499961398</c:v>
                </c:pt>
                <c:pt idx="48">
                  <c:v>2.9240181534613399</c:v>
                </c:pt>
                <c:pt idx="49">
                  <c:v>2.9214629274130801</c:v>
                </c:pt>
                <c:pt idx="50">
                  <c:v>2.9212891641512302</c:v>
                </c:pt>
                <c:pt idx="51">
                  <c:v>2.9196297354631802</c:v>
                </c:pt>
                <c:pt idx="52">
                  <c:v>2.9147261271914302</c:v>
                </c:pt>
                <c:pt idx="53">
                  <c:v>2.9084828043495299</c:v>
                </c:pt>
                <c:pt idx="54">
                  <c:v>2.90069572870848</c:v>
                </c:pt>
                <c:pt idx="55">
                  <c:v>2.8914168419794501</c:v>
                </c:pt>
                <c:pt idx="56">
                  <c:v>2.8812077244991001</c:v>
                </c:pt>
                <c:pt idx="57">
                  <c:v>2.86987986018184</c:v>
                </c:pt>
              </c:numCache>
            </c:numRef>
          </c:val>
          <c:smooth val="0"/>
          <c:extLst>
            <c:ext xmlns:c16="http://schemas.microsoft.com/office/drawing/2014/chart" uri="{C3380CC4-5D6E-409C-BE32-E72D297353CC}">
              <c16:uniqueId val="{00000000-42DE-4A37-9B34-C2F820F54D90}"/>
            </c:ext>
          </c:extLst>
        </c:ser>
        <c:ser>
          <c:idx val="1"/>
          <c:order val="1"/>
          <c:spPr>
            <a:ln w="28575" cap="rnd">
              <a:solidFill>
                <a:schemeClr val="accent2"/>
              </a:solidFill>
              <a:round/>
            </a:ln>
            <a:effectLst/>
          </c:spPr>
          <c:marker>
            <c:symbol val="none"/>
          </c:marker>
          <c:cat>
            <c:numRef>
              <c:f>prevision6!$H$32:$H$102</c:f>
              <c:numCache>
                <c:formatCode>General</c:formatCode>
                <c:ptCount val="71"/>
                <c:pt idx="0">
                  <c:v>1960</c:v>
                </c:pt>
                <c:pt idx="1">
                  <c:v>1961</c:v>
                </c:pt>
                <c:pt idx="2">
                  <c:v>1962</c:v>
                </c:pt>
                <c:pt idx="3">
                  <c:v>1963</c:v>
                </c:pt>
                <c:pt idx="4">
                  <c:v>1964</c:v>
                </c:pt>
                <c:pt idx="5">
                  <c:v>1965</c:v>
                </c:pt>
                <c:pt idx="6">
                  <c:v>1966</c:v>
                </c:pt>
                <c:pt idx="7">
                  <c:v>1967</c:v>
                </c:pt>
                <c:pt idx="8">
                  <c:v>1968</c:v>
                </c:pt>
                <c:pt idx="9">
                  <c:v>1969</c:v>
                </c:pt>
                <c:pt idx="10">
                  <c:v>1970</c:v>
                </c:pt>
                <c:pt idx="11">
                  <c:v>1971</c:v>
                </c:pt>
                <c:pt idx="12">
                  <c:v>1972</c:v>
                </c:pt>
                <c:pt idx="13">
                  <c:v>1973</c:v>
                </c:pt>
                <c:pt idx="14">
                  <c:v>1974</c:v>
                </c:pt>
                <c:pt idx="15">
                  <c:v>1975</c:v>
                </c:pt>
                <c:pt idx="16">
                  <c:v>1976</c:v>
                </c:pt>
                <c:pt idx="17">
                  <c:v>1977</c:v>
                </c:pt>
                <c:pt idx="18">
                  <c:v>1978</c:v>
                </c:pt>
                <c:pt idx="19">
                  <c:v>1979</c:v>
                </c:pt>
                <c:pt idx="20">
                  <c:v>1980</c:v>
                </c:pt>
                <c:pt idx="21">
                  <c:v>1981</c:v>
                </c:pt>
                <c:pt idx="22">
                  <c:v>1982</c:v>
                </c:pt>
                <c:pt idx="23">
                  <c:v>1983</c:v>
                </c:pt>
                <c:pt idx="24">
                  <c:v>1984</c:v>
                </c:pt>
                <c:pt idx="25">
                  <c:v>1985</c:v>
                </c:pt>
                <c:pt idx="26">
                  <c:v>1986</c:v>
                </c:pt>
                <c:pt idx="27">
                  <c:v>1987</c:v>
                </c:pt>
                <c:pt idx="28">
                  <c:v>1988</c:v>
                </c:pt>
                <c:pt idx="29">
                  <c:v>1989</c:v>
                </c:pt>
                <c:pt idx="30">
                  <c:v>1990</c:v>
                </c:pt>
                <c:pt idx="31">
                  <c:v>1991</c:v>
                </c:pt>
                <c:pt idx="32">
                  <c:v>1992</c:v>
                </c:pt>
                <c:pt idx="33">
                  <c:v>1993</c:v>
                </c:pt>
                <c:pt idx="34">
                  <c:v>1994</c:v>
                </c:pt>
                <c:pt idx="35">
                  <c:v>1995</c:v>
                </c:pt>
                <c:pt idx="36">
                  <c:v>1996</c:v>
                </c:pt>
                <c:pt idx="37">
                  <c:v>1997</c:v>
                </c:pt>
                <c:pt idx="38">
                  <c:v>1998</c:v>
                </c:pt>
                <c:pt idx="39">
                  <c:v>1999</c:v>
                </c:pt>
                <c:pt idx="40">
                  <c:v>2000</c:v>
                </c:pt>
                <c:pt idx="41">
                  <c:v>2001</c:v>
                </c:pt>
                <c:pt idx="42">
                  <c:v>2002</c:v>
                </c:pt>
                <c:pt idx="43">
                  <c:v>2003</c:v>
                </c:pt>
                <c:pt idx="44">
                  <c:v>2004</c:v>
                </c:pt>
                <c:pt idx="45">
                  <c:v>2005</c:v>
                </c:pt>
                <c:pt idx="46">
                  <c:v>2006</c:v>
                </c:pt>
                <c:pt idx="47">
                  <c:v>2007</c:v>
                </c:pt>
                <c:pt idx="48">
                  <c:v>2008</c:v>
                </c:pt>
                <c:pt idx="49">
                  <c:v>2009</c:v>
                </c:pt>
                <c:pt idx="50">
                  <c:v>2010</c:v>
                </c:pt>
                <c:pt idx="51">
                  <c:v>2011</c:v>
                </c:pt>
                <c:pt idx="52">
                  <c:v>2012</c:v>
                </c:pt>
                <c:pt idx="53">
                  <c:v>2013</c:v>
                </c:pt>
                <c:pt idx="54">
                  <c:v>2014</c:v>
                </c:pt>
                <c:pt idx="55">
                  <c:v>2015</c:v>
                </c:pt>
                <c:pt idx="56">
                  <c:v>2016</c:v>
                </c:pt>
                <c:pt idx="57">
                  <c:v>2017</c:v>
                </c:pt>
                <c:pt idx="58">
                  <c:v>2018</c:v>
                </c:pt>
                <c:pt idx="59">
                  <c:v>2019</c:v>
                </c:pt>
                <c:pt idx="60">
                  <c:v>2020</c:v>
                </c:pt>
                <c:pt idx="61">
                  <c:v>2021</c:v>
                </c:pt>
                <c:pt idx="62">
                  <c:v>2022</c:v>
                </c:pt>
                <c:pt idx="63">
                  <c:v>2023</c:v>
                </c:pt>
                <c:pt idx="64">
                  <c:v>2024</c:v>
                </c:pt>
                <c:pt idx="65">
                  <c:v>2025</c:v>
                </c:pt>
                <c:pt idx="66">
                  <c:v>2026</c:v>
                </c:pt>
                <c:pt idx="67">
                  <c:v>2027</c:v>
                </c:pt>
                <c:pt idx="68">
                  <c:v>2028</c:v>
                </c:pt>
                <c:pt idx="69">
                  <c:v>2029</c:v>
                </c:pt>
                <c:pt idx="70">
                  <c:v>2030</c:v>
                </c:pt>
              </c:numCache>
            </c:numRef>
          </c:cat>
          <c:val>
            <c:numRef>
              <c:f>prevision6!$J$32:$J$102</c:f>
              <c:numCache>
                <c:formatCode>General</c:formatCode>
                <c:ptCount val="71"/>
                <c:pt idx="57">
                  <c:v>2.86987986018184</c:v>
                </c:pt>
                <c:pt idx="58">
                  <c:v>2.9617597304610328</c:v>
                </c:pt>
                <c:pt idx="59">
                  <c:v>2.9797325455842909</c:v>
                </c:pt>
                <c:pt idx="60">
                  <c:v>2.9977053607075561</c:v>
                </c:pt>
                <c:pt idx="61">
                  <c:v>3.0156781758308142</c:v>
                </c:pt>
                <c:pt idx="62">
                  <c:v>3.0336509909540794</c:v>
                </c:pt>
                <c:pt idx="63">
                  <c:v>3.0516238060773375</c:v>
                </c:pt>
                <c:pt idx="64">
                  <c:v>3.0695966212005956</c:v>
                </c:pt>
                <c:pt idx="65">
                  <c:v>3.0875694363238608</c:v>
                </c:pt>
                <c:pt idx="66">
                  <c:v>3.1055422514471189</c:v>
                </c:pt>
                <c:pt idx="67">
                  <c:v>3.1235150665703841</c:v>
                </c:pt>
                <c:pt idx="68">
                  <c:v>3.1414878816936422</c:v>
                </c:pt>
                <c:pt idx="69">
                  <c:v>3.1594606968169074</c:v>
                </c:pt>
                <c:pt idx="70">
                  <c:v>3.1774335119401655</c:v>
                </c:pt>
              </c:numCache>
            </c:numRef>
          </c:val>
          <c:smooth val="0"/>
          <c:extLst>
            <c:ext xmlns:c16="http://schemas.microsoft.com/office/drawing/2014/chart" uri="{C3380CC4-5D6E-409C-BE32-E72D297353CC}">
              <c16:uniqueId val="{00000001-42DE-4A37-9B34-C2F820F54D90}"/>
            </c:ext>
          </c:extLst>
        </c:ser>
        <c:dLbls>
          <c:showLegendKey val="0"/>
          <c:showVal val="0"/>
          <c:showCatName val="0"/>
          <c:showSerName val="0"/>
          <c:showPercent val="0"/>
          <c:showBubbleSize val="0"/>
        </c:dLbls>
        <c:smooth val="0"/>
        <c:axId val="469971224"/>
        <c:axId val="469976144"/>
      </c:lineChart>
      <c:catAx>
        <c:axId val="469971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69976144"/>
        <c:crosses val="autoZero"/>
        <c:auto val="1"/>
        <c:lblAlgn val="ctr"/>
        <c:lblOffset val="100"/>
        <c:noMultiLvlLbl val="0"/>
      </c:catAx>
      <c:valAx>
        <c:axId val="469976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69971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chart" Target="../charts/chart1.xml"/><Relationship Id="rId5" Type="http://schemas.openxmlformats.org/officeDocument/2006/relationships/chart" Target="../charts/chart3.xml"/><Relationship Id="rId4" Type="http://schemas.openxmlformats.org/officeDocument/2006/relationships/chart" Target="../charts/chart2.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4</xdr:col>
      <xdr:colOff>15240</xdr:colOff>
      <xdr:row>15</xdr:row>
      <xdr:rowOff>0</xdr:rowOff>
    </xdr:from>
    <xdr:to>
      <xdr:col>13</xdr:col>
      <xdr:colOff>7620</xdr:colOff>
      <xdr:row>28</xdr:row>
      <xdr:rowOff>7620</xdr:rowOff>
    </xdr:to>
    <xdr:graphicFrame macro="">
      <xdr:nvGraphicFramePr>
        <xdr:cNvPr id="12" name="Graphique 2">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371474</xdr:colOff>
      <xdr:row>1</xdr:row>
      <xdr:rowOff>114299</xdr:rowOff>
    </xdr:from>
    <xdr:to>
      <xdr:col>3</xdr:col>
      <xdr:colOff>33654</xdr:colOff>
      <xdr:row>2</xdr:row>
      <xdr:rowOff>231627</xdr:rowOff>
    </xdr:to>
    <xdr:pic>
      <xdr:nvPicPr>
        <xdr:cNvPr id="5" name="图形 7" descr="指向右边的反手食指  ">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5400000" flipV="1">
          <a:off x="2244162" y="365686"/>
          <a:ext cx="431653" cy="42418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822960</xdr:colOff>
          <xdr:row>5</xdr:row>
          <xdr:rowOff>7620</xdr:rowOff>
        </xdr:from>
        <xdr:to>
          <xdr:col>2</xdr:col>
          <xdr:colOff>60960</xdr:colOff>
          <xdr:row>6</xdr:row>
          <xdr:rowOff>121920</xdr:rowOff>
        </xdr:to>
        <xdr:sp macro="" textlink="">
          <xdr:nvSpPr>
            <xdr:cNvPr id="1025" name="Indicateur4"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Arial"/>
                  <a:cs typeface="Arial"/>
                </a:rPr>
                <a:t>Indicateur4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822960</xdr:colOff>
          <xdr:row>6</xdr:row>
          <xdr:rowOff>190500</xdr:rowOff>
        </xdr:from>
        <xdr:to>
          <xdr:col>2</xdr:col>
          <xdr:colOff>60960</xdr:colOff>
          <xdr:row>8</xdr:row>
          <xdr:rowOff>60960</xdr:rowOff>
        </xdr:to>
        <xdr:sp macro="" textlink="">
          <xdr:nvSpPr>
            <xdr:cNvPr id="1026" name="Indicateur5"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Arial"/>
                  <a:cs typeface="Arial"/>
                </a:rPr>
                <a:t>Indicateur5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822960</xdr:colOff>
          <xdr:row>8</xdr:row>
          <xdr:rowOff>137160</xdr:rowOff>
        </xdr:from>
        <xdr:to>
          <xdr:col>2</xdr:col>
          <xdr:colOff>60960</xdr:colOff>
          <xdr:row>10</xdr:row>
          <xdr:rowOff>0</xdr:rowOff>
        </xdr:to>
        <xdr:sp macro="" textlink="">
          <xdr:nvSpPr>
            <xdr:cNvPr id="1027" name="Indicateur6"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Arial"/>
                  <a:cs typeface="Arial"/>
                </a:rPr>
                <a:t>Indicateur6</a:t>
              </a:r>
            </a:p>
          </xdr:txBody>
        </xdr:sp>
        <xdr:clientData fPrintsWithSheet="0"/>
      </xdr:twoCellAnchor>
    </mc:Choice>
    <mc:Fallback/>
  </mc:AlternateContent>
  <xdr:twoCellAnchor>
    <xdr:from>
      <xdr:col>4</xdr:col>
      <xdr:colOff>7620</xdr:colOff>
      <xdr:row>3</xdr:row>
      <xdr:rowOff>7620</xdr:rowOff>
    </xdr:from>
    <xdr:to>
      <xdr:col>8</xdr:col>
      <xdr:colOff>407220</xdr:colOff>
      <xdr:row>13</xdr:row>
      <xdr:rowOff>193020</xdr:rowOff>
    </xdr:to>
    <xdr:graphicFrame macro="">
      <xdr:nvGraphicFramePr>
        <xdr:cNvPr id="9" name="Graphique 2">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716280</xdr:colOff>
      <xdr:row>3</xdr:row>
      <xdr:rowOff>0</xdr:rowOff>
    </xdr:from>
    <xdr:to>
      <xdr:col>12</xdr:col>
      <xdr:colOff>1001580</xdr:colOff>
      <xdr:row>13</xdr:row>
      <xdr:rowOff>185400</xdr:rowOff>
    </xdr:to>
    <xdr:graphicFrame macro="">
      <xdr:nvGraphicFramePr>
        <xdr:cNvPr id="11" name="Graphique 2">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4</xdr:col>
      <xdr:colOff>182881</xdr:colOff>
      <xdr:row>30</xdr:row>
      <xdr:rowOff>228601</xdr:rowOff>
    </xdr:from>
    <xdr:ext cx="7155179" cy="3881319"/>
    <xdr:sp macro="" textlink="">
      <xdr:nvSpPr>
        <xdr:cNvPr id="2" name="文本框 1">
          <a:extLst>
            <a:ext uri="{FF2B5EF4-FFF2-40B4-BE49-F238E27FC236}">
              <a16:creationId xmlns:a16="http://schemas.microsoft.com/office/drawing/2014/main" id="{EB5BB137-FDEF-485C-B364-39D4E3DBDA43}"/>
            </a:ext>
          </a:extLst>
        </xdr:cNvPr>
        <xdr:cNvSpPr txBox="1"/>
      </xdr:nvSpPr>
      <xdr:spPr>
        <a:xfrm>
          <a:off x="3436621" y="7833361"/>
          <a:ext cx="7155179" cy="38813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fr-FR" altLang="zh-CN" sz="1100">
              <a:solidFill>
                <a:schemeClr val="tx1"/>
              </a:solidFill>
              <a:effectLst/>
              <a:latin typeface="+mn-lt"/>
              <a:ea typeface="+mn-ea"/>
              <a:cs typeface="+mn-cs"/>
            </a:rPr>
            <a:t>Pour</a:t>
          </a:r>
          <a:r>
            <a:rPr lang="fr-FR" altLang="zh-CN" sz="1100" baseline="0">
              <a:solidFill>
                <a:schemeClr val="tx1"/>
              </a:solidFill>
              <a:effectLst/>
              <a:latin typeface="+mn-lt"/>
              <a:ea typeface="+mn-ea"/>
              <a:cs typeface="+mn-cs"/>
            </a:rPr>
            <a:t> l'indicateur de la santé, généralement, nous pouvons constater que, à partir de 1960, </a:t>
          </a:r>
          <a:r>
            <a:rPr lang="fr-FR" altLang="zh-CN" sz="1100">
              <a:solidFill>
                <a:schemeClr val="tx1"/>
              </a:solidFill>
              <a:effectLst/>
              <a:latin typeface="+mn-lt"/>
              <a:ea typeface="+mn-ea"/>
              <a:cs typeface="+mn-cs"/>
            </a:rPr>
            <a:t>L'espérance de vie à la naissance </a:t>
          </a:r>
          <a:r>
            <a:rPr lang="fr-FR" altLang="zh-CN"/>
            <a:t>augmente dans presque tous les pays et la mortalité infantile est en baisse. Dans certains pays, le taux de croissance démographique diminue, certains pays se maintiennent et la croissance démographique continue d'augmenter</a:t>
          </a:r>
          <a:r>
            <a:rPr lang="fr-FR" altLang="zh-CN" baseline="0"/>
            <a:t> </a:t>
          </a:r>
          <a:r>
            <a:rPr lang="fr-FR" altLang="zh-CN"/>
            <a:t>dans quelques pays.</a:t>
          </a:r>
        </a:p>
        <a:p>
          <a:pPr marL="0" marR="0" lvl="0" indent="0" defTabSz="914400" eaLnBrk="1" fontAlgn="auto" latinLnBrk="0" hangingPunct="1">
            <a:lnSpc>
              <a:spcPct val="100000"/>
            </a:lnSpc>
            <a:spcBef>
              <a:spcPts val="0"/>
            </a:spcBef>
            <a:spcAft>
              <a:spcPts val="0"/>
            </a:spcAft>
            <a:buClrTx/>
            <a:buSzTx/>
            <a:buFontTx/>
            <a:buNone/>
            <a:tabLst/>
            <a:defRPr/>
          </a:pPr>
          <a:endParaRPr lang="fr-FR" altLang="zh-CN"/>
        </a:p>
        <a:p>
          <a:r>
            <a:rPr lang="fr-FR" altLang="zh-CN" sz="1100" baseline="0">
              <a:solidFill>
                <a:schemeClr val="tx1"/>
              </a:solidFill>
              <a:effectLst/>
              <a:latin typeface="+mn-lt"/>
              <a:ea typeface="+mn-ea"/>
              <a:cs typeface="+mn-cs"/>
            </a:rPr>
            <a:t>P</a:t>
          </a:r>
          <a:r>
            <a:rPr lang="en-US" altLang="zh-CN" sz="1100" baseline="0">
              <a:solidFill>
                <a:schemeClr val="tx1"/>
              </a:solidFill>
              <a:effectLst/>
              <a:latin typeface="+mn-lt"/>
              <a:ea typeface="+mn-ea"/>
              <a:cs typeface="+mn-cs"/>
            </a:rPr>
            <a:t>ar exemple: Mozambique</a:t>
          </a:r>
          <a:endParaRPr lang="fr-FR" altLang="zh-CN" sz="1100" baseline="0">
            <a:solidFill>
              <a:schemeClr val="tx1"/>
            </a:solidFill>
            <a:effectLst/>
            <a:latin typeface="+mn-lt"/>
            <a:ea typeface="+mn-ea"/>
            <a:cs typeface="+mn-cs"/>
          </a:endParaRPr>
        </a:p>
        <a:p>
          <a:endParaRPr lang="fr-FR" altLang="zh-CN" sz="1100" baseline="0">
            <a:solidFill>
              <a:schemeClr val="tx1"/>
            </a:solidFill>
            <a:effectLst/>
            <a:latin typeface="+mn-lt"/>
            <a:ea typeface="+mn-ea"/>
            <a:cs typeface="+mn-cs"/>
          </a:endParaRPr>
        </a:p>
        <a:p>
          <a:r>
            <a:rPr lang="fr-FR" altLang="zh-CN" sz="1100" b="1"/>
            <a:t>Life expectancy at birth, total (years)</a:t>
          </a:r>
        </a:p>
        <a:p>
          <a:endParaRPr lang="fr-FR" altLang="zh-CN" sz="1100"/>
        </a:p>
        <a:p>
          <a:r>
            <a:rPr lang="fr-FR" altLang="zh-CN"/>
            <a:t>L'espérance de vie à la naissance indique le nombre d'années qu'un nouveau-né vivrait si les modèles de mortalité prévalents au moment de sa naissance restaient les mêmes tout au long de sa vie. Cet</a:t>
          </a:r>
          <a:r>
            <a:rPr lang="fr-FR" altLang="zh-CN" baseline="0"/>
            <a:t> indicateur </a:t>
          </a:r>
          <a:r>
            <a:rPr lang="fr-FR" altLang="zh-CN"/>
            <a:t>du pays est passée de 35 ans en 1960 à 58 ans en 2016. </a:t>
          </a:r>
        </a:p>
        <a:p>
          <a:endParaRPr lang="fr-FR" altLang="zh-CN" sz="1100"/>
        </a:p>
        <a:p>
          <a:r>
            <a:rPr lang="fr-FR" altLang="zh-CN" sz="1100" b="1"/>
            <a:t>Mortality rate, infant (per 1,000 live births)</a:t>
          </a:r>
        </a:p>
        <a:p>
          <a:endParaRPr lang="fr-FR" altLang="zh-CN" sz="1100"/>
        </a:p>
        <a:p>
          <a:pPr marL="0" marR="0" lvl="0" indent="0" defTabSz="914400" eaLnBrk="1" fontAlgn="auto" latinLnBrk="0" hangingPunct="1">
            <a:lnSpc>
              <a:spcPct val="100000"/>
            </a:lnSpc>
            <a:spcBef>
              <a:spcPts val="0"/>
            </a:spcBef>
            <a:spcAft>
              <a:spcPts val="0"/>
            </a:spcAft>
            <a:buClrTx/>
            <a:buSzTx/>
            <a:buFontTx/>
            <a:buNone/>
            <a:tabLst/>
            <a:defRPr/>
          </a:pPr>
          <a:r>
            <a:rPr lang="fr-FR" altLang="zh-CN"/>
            <a:t>Le nombre de décès de nourrissons est passé de 181 pour 1 000 nouvelles vies à 53 en 2017. Cette indication indique que le gouvernement a investi une grande somme d'argent dans le domaine médical pour augmenter le taux de survie à la vie.</a:t>
          </a:r>
        </a:p>
        <a:p>
          <a:endParaRPr lang="fr-FR" altLang="zh-CN" sz="1100"/>
        </a:p>
        <a:p>
          <a:r>
            <a:rPr lang="fr-FR" altLang="zh-CN" sz="1100" b="1"/>
            <a:t>Population growth (annual %)</a:t>
          </a:r>
        </a:p>
        <a:p>
          <a:endParaRPr lang="fr-FR" altLang="zh-CN" sz="1100" b="1"/>
        </a:p>
        <a:p>
          <a:r>
            <a:rPr lang="fr-FR" altLang="zh-CN"/>
            <a:t>Le taux de croissance de la population du pays a beaucoup fluctué entre 1982 et 1991, avec une croissance négative en 1988 et un rebond en 1990, après,</a:t>
          </a:r>
          <a:r>
            <a:rPr lang="fr-FR" altLang="zh-CN" baseline="0"/>
            <a:t> </a:t>
          </a:r>
          <a:r>
            <a:rPr lang="fr-FR" altLang="zh-CN"/>
            <a:t>il a maintenu le taux de croissance de 2,8%.</a:t>
          </a:r>
          <a:endParaRPr lang="zh-CN" altLang="en-US" sz="1100" b="1"/>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7</xdr:col>
      <xdr:colOff>9525</xdr:colOff>
      <xdr:row>20</xdr:row>
      <xdr:rowOff>28574</xdr:rowOff>
    </xdr:from>
    <xdr:to>
      <xdr:col>8</xdr:col>
      <xdr:colOff>9525</xdr:colOff>
      <xdr:row>33</xdr:row>
      <xdr:rowOff>171449</xdr:rowOff>
    </xdr:to>
    <xdr:graphicFrame macro="">
      <xdr:nvGraphicFramePr>
        <xdr:cNvPr id="8" name="图表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xdr:row>
      <xdr:rowOff>1</xdr:rowOff>
    </xdr:from>
    <xdr:to>
      <xdr:col>8</xdr:col>
      <xdr:colOff>13447</xdr:colOff>
      <xdr:row>18</xdr:row>
      <xdr:rowOff>1</xdr:rowOff>
    </xdr:to>
    <xdr:graphicFrame macro="">
      <xdr:nvGraphicFramePr>
        <xdr:cNvPr id="2" name="图表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0</xdr:colOff>
      <xdr:row>3</xdr:row>
      <xdr:rowOff>1905</xdr:rowOff>
    </xdr:from>
    <xdr:to>
      <xdr:col>6</xdr:col>
      <xdr:colOff>1695450</xdr:colOff>
      <xdr:row>31</xdr:row>
      <xdr:rowOff>85725</xdr:rowOff>
    </xdr:to>
    <mc:AlternateContent xmlns:mc="http://schemas.openxmlformats.org/markup-compatibility/2006" xmlns:a14="http://schemas.microsoft.com/office/drawing/2010/main">
      <mc:Choice Requires="a14">
        <xdr:graphicFrame macro="">
          <xdr:nvGraphicFramePr>
            <xdr:cNvPr id="4" name="Country name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Country name 3"/>
            </a:graphicData>
          </a:graphic>
        </xdr:graphicFrame>
      </mc:Choice>
      <mc:Fallback xmlns="">
        <xdr:sp macro="" textlink="">
          <xdr:nvSpPr>
            <xdr:cNvPr id="0" name=""/>
            <xdr:cNvSpPr>
              <a:spLocks noTextEdit="1"/>
            </xdr:cNvSpPr>
          </xdr:nvSpPr>
          <xdr:spPr>
            <a:xfrm>
              <a:off x="1916906" y="680561"/>
              <a:ext cx="1695450" cy="7113270"/>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mc:AlternateContent xmlns:mc="http://schemas.openxmlformats.org/markup-compatibility/2006">
    <mc:Choice xmlns:a14="http://schemas.microsoft.com/office/drawing/2010/main" Requires="a14">
      <xdr:twoCellAnchor>
        <xdr:from>
          <xdr:col>5</xdr:col>
          <xdr:colOff>0</xdr:colOff>
          <xdr:row>6</xdr:row>
          <xdr:rowOff>60960</xdr:rowOff>
        </xdr:from>
        <xdr:to>
          <xdr:col>5</xdr:col>
          <xdr:colOff>1013460</xdr:colOff>
          <xdr:row>7</xdr:row>
          <xdr:rowOff>175260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Enlever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3</xdr:row>
          <xdr:rowOff>274320</xdr:rowOff>
        </xdr:from>
        <xdr:to>
          <xdr:col>5</xdr:col>
          <xdr:colOff>1013460</xdr:colOff>
          <xdr:row>5</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Afficher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822960</xdr:colOff>
          <xdr:row>8</xdr:row>
          <xdr:rowOff>99060</xdr:rowOff>
        </xdr:from>
        <xdr:to>
          <xdr:col>5</xdr:col>
          <xdr:colOff>998220</xdr:colOff>
          <xdr:row>9</xdr:row>
          <xdr:rowOff>213360</xdr:rowOff>
        </xdr:to>
        <xdr:sp macro="" textlink="">
          <xdr:nvSpPr>
            <xdr:cNvPr id="2051" name="comite 2"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Comité 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2047874</xdr:colOff>
      <xdr:row>20</xdr:row>
      <xdr:rowOff>9524</xdr:rowOff>
    </xdr:from>
    <xdr:to>
      <xdr:col>7</xdr:col>
      <xdr:colOff>5972174</xdr:colOff>
      <xdr:row>33</xdr:row>
      <xdr:rowOff>247649</xdr:rowOff>
    </xdr:to>
    <xdr:graphicFrame macro="">
      <xdr:nvGraphicFramePr>
        <xdr:cNvPr id="8" name="图表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9526</xdr:colOff>
      <xdr:row>4</xdr:row>
      <xdr:rowOff>0</xdr:rowOff>
    </xdr:from>
    <xdr:to>
      <xdr:col>8</xdr:col>
      <xdr:colOff>9526</xdr:colOff>
      <xdr:row>17</xdr:row>
      <xdr:rowOff>238126</xdr:rowOff>
    </xdr:to>
    <xdr:graphicFrame macro="">
      <xdr:nvGraphicFramePr>
        <xdr:cNvPr id="2" name="图表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3809</xdr:colOff>
      <xdr:row>3</xdr:row>
      <xdr:rowOff>11430</xdr:rowOff>
    </xdr:from>
    <xdr:to>
      <xdr:col>6</xdr:col>
      <xdr:colOff>1762124</xdr:colOff>
      <xdr:row>30</xdr:row>
      <xdr:rowOff>171450</xdr:rowOff>
    </xdr:to>
    <mc:AlternateContent xmlns:mc="http://schemas.openxmlformats.org/markup-compatibility/2006" xmlns:a14="http://schemas.microsoft.com/office/drawing/2010/main">
      <mc:Choice Requires="a14">
        <xdr:graphicFrame macro="">
          <xdr:nvGraphicFramePr>
            <xdr:cNvPr id="4" name="Country name 4">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Country name 4"/>
            </a:graphicData>
          </a:graphic>
        </xdr:graphicFrame>
      </mc:Choice>
      <mc:Fallback xmlns="">
        <xdr:sp macro="" textlink="">
          <xdr:nvSpPr>
            <xdr:cNvPr id="0" name=""/>
            <xdr:cNvSpPr>
              <a:spLocks noTextEdit="1"/>
            </xdr:cNvSpPr>
          </xdr:nvSpPr>
          <xdr:spPr>
            <a:xfrm>
              <a:off x="1920715" y="690086"/>
              <a:ext cx="1758315" cy="7141845"/>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822960</xdr:colOff>
          <xdr:row>6</xdr:row>
          <xdr:rowOff>45720</xdr:rowOff>
        </xdr:from>
        <xdr:to>
          <xdr:col>5</xdr:col>
          <xdr:colOff>1013460</xdr:colOff>
          <xdr:row>7</xdr:row>
          <xdr:rowOff>160020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Enlever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xdr:row>
          <xdr:rowOff>266700</xdr:rowOff>
        </xdr:from>
        <xdr:to>
          <xdr:col>5</xdr:col>
          <xdr:colOff>1013460</xdr:colOff>
          <xdr:row>5</xdr:row>
          <xdr:rowOff>144780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Afficher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8</xdr:row>
          <xdr:rowOff>60960</xdr:rowOff>
        </xdr:from>
        <xdr:to>
          <xdr:col>5</xdr:col>
          <xdr:colOff>998220</xdr:colOff>
          <xdr:row>9</xdr:row>
          <xdr:rowOff>160020</xdr:rowOff>
        </xdr:to>
        <xdr:sp macro="" textlink="">
          <xdr:nvSpPr>
            <xdr:cNvPr id="3076" name="comite 2"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Comité 2</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9524</xdr:colOff>
      <xdr:row>19</xdr:row>
      <xdr:rowOff>285749</xdr:rowOff>
    </xdr:from>
    <xdr:to>
      <xdr:col>7</xdr:col>
      <xdr:colOff>5981699</xdr:colOff>
      <xdr:row>34</xdr:row>
      <xdr:rowOff>9524</xdr:rowOff>
    </xdr:to>
    <xdr:graphicFrame macro="">
      <xdr:nvGraphicFramePr>
        <xdr:cNvPr id="8" name="图表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xdr:row>
      <xdr:rowOff>9524</xdr:rowOff>
    </xdr:from>
    <xdr:to>
      <xdr:col>8</xdr:col>
      <xdr:colOff>9525</xdr:colOff>
      <xdr:row>18</xdr:row>
      <xdr:rowOff>0</xdr:rowOff>
    </xdr:to>
    <xdr:graphicFrame macro="">
      <xdr:nvGraphicFramePr>
        <xdr:cNvPr id="2" name="图表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1125855</xdr:colOff>
      <xdr:row>3</xdr:row>
      <xdr:rowOff>1905</xdr:rowOff>
    </xdr:from>
    <xdr:to>
      <xdr:col>6</xdr:col>
      <xdr:colOff>1685925</xdr:colOff>
      <xdr:row>31</xdr:row>
      <xdr:rowOff>57151</xdr:rowOff>
    </xdr:to>
    <mc:AlternateContent xmlns:mc="http://schemas.openxmlformats.org/markup-compatibility/2006" xmlns:a14="http://schemas.microsoft.com/office/drawing/2010/main">
      <mc:Choice Requires="a14">
        <xdr:graphicFrame macro="">
          <xdr:nvGraphicFramePr>
            <xdr:cNvPr id="4" name="Country name 5">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Country name 5"/>
            </a:graphicData>
          </a:graphic>
        </xdr:graphicFrame>
      </mc:Choice>
      <mc:Fallback xmlns="">
        <xdr:sp macro="" textlink="">
          <xdr:nvSpPr>
            <xdr:cNvPr id="0" name=""/>
            <xdr:cNvSpPr>
              <a:spLocks noTextEdit="1"/>
            </xdr:cNvSpPr>
          </xdr:nvSpPr>
          <xdr:spPr>
            <a:xfrm>
              <a:off x="1916430" y="680561"/>
              <a:ext cx="1686401" cy="7084696"/>
            </a:xfrm>
            <a:prstGeom prst="rect">
              <a:avLst/>
            </a:prstGeom>
            <a:solidFill>
              <a:prstClr val="white"/>
            </a:solidFill>
            <a:ln w="1">
              <a:solidFill>
                <a:prstClr val="green"/>
              </a:solidFill>
            </a:ln>
          </xdr:spPr>
          <xdr:txBody>
            <a:bodyPr vertOverflow="clip" horzOverflow="clip"/>
            <a:lstStyle/>
            <a:p>
              <a:r>
                <a:rPr lang="fr-FR"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mc:AlternateContent xmlns:mc="http://schemas.openxmlformats.org/markup-compatibility/2006">
    <mc:Choice xmlns:a14="http://schemas.microsoft.com/office/drawing/2010/main" Requires="a14">
      <xdr:twoCellAnchor>
        <xdr:from>
          <xdr:col>5</xdr:col>
          <xdr:colOff>0</xdr:colOff>
          <xdr:row>6</xdr:row>
          <xdr:rowOff>68580</xdr:rowOff>
        </xdr:from>
        <xdr:to>
          <xdr:col>5</xdr:col>
          <xdr:colOff>1013460</xdr:colOff>
          <xdr:row>7</xdr:row>
          <xdr:rowOff>175260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Enlever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5</xdr:col>
          <xdr:colOff>1013460</xdr:colOff>
          <xdr:row>5</xdr:row>
          <xdr:rowOff>175260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Afficher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800100</xdr:colOff>
          <xdr:row>8</xdr:row>
          <xdr:rowOff>60960</xdr:rowOff>
        </xdr:from>
        <xdr:to>
          <xdr:col>5</xdr:col>
          <xdr:colOff>990600</xdr:colOff>
          <xdr:row>9</xdr:row>
          <xdr:rowOff>160020</xdr:rowOff>
        </xdr:to>
        <xdr:sp macro="" textlink="">
          <xdr:nvSpPr>
            <xdr:cNvPr id="4100" name="comite 2"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Comité 2</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219075</xdr:colOff>
      <xdr:row>93</xdr:row>
      <xdr:rowOff>137160</xdr:rowOff>
    </xdr:from>
    <xdr:to>
      <xdr:col>18</xdr:col>
      <xdr:colOff>561975</xdr:colOff>
      <xdr:row>106</xdr:row>
      <xdr:rowOff>148590</xdr:rowOff>
    </xdr:to>
    <xdr:graphicFrame macro="">
      <xdr:nvGraphicFramePr>
        <xdr:cNvPr id="2" name="图表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566737</xdr:colOff>
      <xdr:row>74</xdr:row>
      <xdr:rowOff>100012</xdr:rowOff>
    </xdr:from>
    <xdr:to>
      <xdr:col>18</xdr:col>
      <xdr:colOff>261937</xdr:colOff>
      <xdr:row>88</xdr:row>
      <xdr:rowOff>176212</xdr:rowOff>
    </xdr:to>
    <xdr:graphicFrame macro="">
      <xdr:nvGraphicFramePr>
        <xdr:cNvPr id="3" name="Graphique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13</xdr:col>
      <xdr:colOff>47625</xdr:colOff>
      <xdr:row>71</xdr:row>
      <xdr:rowOff>184785</xdr:rowOff>
    </xdr:from>
    <xdr:to>
      <xdr:col>20</xdr:col>
      <xdr:colOff>352425</xdr:colOff>
      <xdr:row>87</xdr:row>
      <xdr:rowOff>123825</xdr:rowOff>
    </xdr:to>
    <xdr:graphicFrame macro="">
      <xdr:nvGraphicFramePr>
        <xdr:cNvPr id="2" name="图表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328612</xdr:colOff>
      <xdr:row>89</xdr:row>
      <xdr:rowOff>61912</xdr:rowOff>
    </xdr:from>
    <xdr:to>
      <xdr:col>19</xdr:col>
      <xdr:colOff>23812</xdr:colOff>
      <xdr:row>103</xdr:row>
      <xdr:rowOff>138112</xdr:rowOff>
    </xdr:to>
    <xdr:graphicFrame macro="">
      <xdr:nvGraphicFramePr>
        <xdr:cNvPr id="3" name="Graphique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184785</xdr:colOff>
      <xdr:row>80</xdr:row>
      <xdr:rowOff>184785</xdr:rowOff>
    </xdr:from>
    <xdr:to>
      <xdr:col>21</xdr:col>
      <xdr:colOff>489585</xdr:colOff>
      <xdr:row>96</xdr:row>
      <xdr:rowOff>108585</xdr:rowOff>
    </xdr:to>
    <xdr:graphicFrame macro="">
      <xdr:nvGraphicFramePr>
        <xdr:cNvPr id="2" name="图表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452437</xdr:colOff>
      <xdr:row>65</xdr:row>
      <xdr:rowOff>61912</xdr:rowOff>
    </xdr:from>
    <xdr:to>
      <xdr:col>18</xdr:col>
      <xdr:colOff>147637</xdr:colOff>
      <xdr:row>79</xdr:row>
      <xdr:rowOff>138112</xdr:rowOff>
    </xdr:to>
    <xdr:graphicFrame macro="">
      <xdr:nvGraphicFramePr>
        <xdr:cNvPr id="3" name="Graphique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ad.ut-capitole.fr\ETU\Personnel\A\21713620\Desktop\GRAND%20PROJET2.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file:///\\ad.ut-capitole.fr\ETU\Personnel\A\21713620\Desktop\GRAND%20PROJET2.xlsm"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file:///\\ad.ut-capitole.fr\ETU\Personnel\A\21713620\Desktop\GRAND%20PROJET2.xlsm" TargetMode="External"/><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ikefeng" refreshedDate="43547.884310300928" createdVersion="6" refreshedVersion="6" minRefreshableVersion="3" recordCount="1624" xr:uid="{00000000-000A-0000-FFFF-FFFF4C000000}">
  <cacheSource type="worksheet">
    <worksheetSource ref="A4:D1628" sheet="Indicateur4" r:id="rId2"/>
  </cacheSource>
  <cacheFields count="4">
    <cacheField name="Country name" numFmtId="0">
      <sharedItems count="28">
        <s v="Burundi"/>
        <s v="Cameroon"/>
        <s v="Chad"/>
        <s v="Comoros"/>
        <s v="Djibouti"/>
        <s v="Ethiopia"/>
        <s v="Guinea"/>
        <s v="Haiti"/>
        <s v="Kenya"/>
        <s v="Kosovo"/>
        <s v="Liberia"/>
        <s v="Madagascar"/>
        <s v="Malawi"/>
        <s v="Mali"/>
        <s v="Moldova"/>
        <s v="Mozambique"/>
        <s v="Myanmar"/>
        <s v="Nepal"/>
        <s v="Nicaragua"/>
        <s v="Niger"/>
        <s v="Rwanda"/>
        <s v="Sao Tome and Principe"/>
        <s v="Sri Lanka"/>
        <s v="Tajikistan"/>
        <s v="Tanzania"/>
        <s v="Uganda"/>
        <s v="Zambia"/>
        <s v="Zimbabwe"/>
      </sharedItems>
    </cacheField>
    <cacheField name="Indicator name" numFmtId="0">
      <sharedItems/>
    </cacheField>
    <cacheField name="Data" numFmtId="0">
      <sharedItems containsString="0" containsBlank="1" containsNumber="1" minValue="27.61" maxValue="75.403999999999996"/>
    </cacheField>
    <cacheField name="Year" numFmtId="0">
      <sharedItems containsSemiMixedTypes="0" containsString="0" containsNumber="1" containsInteger="1" minValue="1960" maxValue="2017" count="58">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s>
  <extLst>
    <ext xmlns:x14="http://schemas.microsoft.com/office/spreadsheetml/2009/9/main" uri="{725AE2AE-9491-48be-B2B4-4EB974FC3084}">
      <x14:pivotCacheDefinition pivotCacheId="73653682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ikefeng" refreshedDate="43547.888185763892" createdVersion="6" refreshedVersion="6" minRefreshableVersion="3" recordCount="1624" xr:uid="{00000000-000A-0000-FFFF-FFFF4D000000}">
  <cacheSource type="worksheet">
    <worksheetSource ref="A4:D1626" sheet="Indicateur5" r:id="rId2"/>
  </cacheSource>
  <cacheFields count="4">
    <cacheField name="Country name" numFmtId="0">
      <sharedItems count="28">
        <s v="Burundi"/>
        <s v="Cameroon"/>
        <s v="Chad"/>
        <s v="Comoros"/>
        <s v="Djibouti"/>
        <s v="Ethiopia"/>
        <s v="Guinea"/>
        <s v="Haiti"/>
        <s v="Kenya"/>
        <s v="Kosovo"/>
        <s v="Liberia"/>
        <s v="Madagascar"/>
        <s v="Malawi"/>
        <s v="Mali"/>
        <s v="Moldova"/>
        <s v="Mozambique"/>
        <s v="Myanmar"/>
        <s v="Nepal"/>
        <s v="Nicaragua"/>
        <s v="Niger"/>
        <s v="Rwanda"/>
        <s v="Sao Tome and Principe"/>
        <s v="Sri Lanka"/>
        <s v="Tajikistan"/>
        <s v="Tanzania"/>
        <s v="Uganda"/>
        <s v="Zambia"/>
        <s v="Zimbabwe"/>
      </sharedItems>
    </cacheField>
    <cacheField name="Indicator name" numFmtId="0">
      <sharedItems/>
    </cacheField>
    <cacheField name="Data" numFmtId="0">
      <sharedItems containsString="0" containsBlank="1" containsNumber="1" minValue="7.5" maxValue="216.5"/>
    </cacheField>
    <cacheField name="Year" numFmtId="0">
      <sharedItems containsSemiMixedTypes="0" containsString="0" containsNumber="1" containsInteger="1" minValue="1960" maxValue="2017" count="58">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s>
  <extLst>
    <ext xmlns:x14="http://schemas.microsoft.com/office/spreadsheetml/2009/9/main" uri="{725AE2AE-9491-48be-B2B4-4EB974FC3084}">
      <x14:pivotCacheDefinition pivotCacheId="790309814"/>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ikefeng" refreshedDate="43548.648708912035" createdVersion="6" refreshedVersion="6" minRefreshableVersion="3" recordCount="1624" xr:uid="{00000000-000A-0000-FFFF-FFFF4E000000}">
  <cacheSource type="worksheet">
    <worksheetSource ref="A4:D1628" sheet="Indicateur6" r:id="rId2"/>
  </cacheSource>
  <cacheFields count="4">
    <cacheField name="Country name" numFmtId="0">
      <sharedItems count="28">
        <s v="Burundi"/>
        <s v="Cameroon"/>
        <s v="Chad"/>
        <s v="Comoros"/>
        <s v="Djibouti"/>
        <s v="Ethiopia"/>
        <s v="Guinea"/>
        <s v="Haiti"/>
        <s v="Kenya"/>
        <s v="Kosovo"/>
        <s v="Liberia"/>
        <s v="Madagascar"/>
        <s v="Malawi"/>
        <s v="Mali"/>
        <s v="Moldova"/>
        <s v="Mozambique"/>
        <s v="Myanmar"/>
        <s v="Nepal"/>
        <s v="Nicaragua"/>
        <s v="Niger"/>
        <s v="Rwanda"/>
        <s v="Sao Tome and Principe"/>
        <s v="Sri Lanka"/>
        <s v="Tajikistan"/>
        <s v="Tanzania"/>
        <s v="Uganda"/>
        <s v="Zambia"/>
        <s v="Zimbabwe"/>
      </sharedItems>
    </cacheField>
    <cacheField name="Indicator name" numFmtId="0">
      <sharedItems/>
    </cacheField>
    <cacheField name="Data" numFmtId="0">
      <sharedItems containsSemiMixedTypes="0" containsString="0" containsNumber="1" minValue="-10.955149421098699" maxValue="11.007708238587901"/>
    </cacheField>
    <cacheField name="Year" numFmtId="0">
      <sharedItems containsSemiMixedTypes="0" containsString="0" containsNumber="1" containsInteger="1" minValue="1960" maxValue="2017" count="58">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s>
  <extLst>
    <ext xmlns:x14="http://schemas.microsoft.com/office/spreadsheetml/2009/9/main" uri="{725AE2AE-9491-48be-B2B4-4EB974FC3084}">
      <x14:pivotCacheDefinition pivotCacheId="2023659588"/>
    </ext>
  </extLst>
</pivotCacheDefinition>
</file>

<file path=xl/pivotCache/pivotCacheRecords1.xml><?xml version="1.0" encoding="utf-8"?>
<pivotCacheRecords xmlns="http://schemas.openxmlformats.org/spreadsheetml/2006/main" xmlns:r="http://schemas.openxmlformats.org/officeDocument/2006/relationships" count="1624">
  <r>
    <x v="0"/>
    <s v="Life expectancy at birth, total (years)"/>
    <n v="41.280999999999999"/>
    <x v="0"/>
  </r>
  <r>
    <x v="1"/>
    <s v="Life expectancy at birth, total (years)"/>
    <n v="41.545999999999999"/>
    <x v="0"/>
  </r>
  <r>
    <x v="2"/>
    <s v="Life expectancy at birth, total (years)"/>
    <n v="38.018999999999998"/>
    <x v="0"/>
  </r>
  <r>
    <x v="3"/>
    <s v="Life expectancy at birth, total (years)"/>
    <n v="41.447000000000003"/>
    <x v="0"/>
  </r>
  <r>
    <x v="4"/>
    <s v="Life expectancy at birth, total (years)"/>
    <n v="44.037999999999997"/>
    <x v="0"/>
  </r>
  <r>
    <x v="5"/>
    <s v="Life expectancy at birth, total (years)"/>
    <n v="38.418999999999997"/>
    <x v="0"/>
  </r>
  <r>
    <x v="6"/>
    <s v="Life expectancy at birth, total (years)"/>
    <n v="34.89"/>
    <x v="0"/>
  </r>
  <r>
    <x v="7"/>
    <s v="Life expectancy at birth, total (years)"/>
    <n v="42.113"/>
    <x v="0"/>
  </r>
  <r>
    <x v="8"/>
    <s v="Life expectancy at birth, total (years)"/>
    <n v="46.347999999999999"/>
    <x v="0"/>
  </r>
  <r>
    <x v="9"/>
    <s v="Life expectancy at birth, total (years)"/>
    <m/>
    <x v="0"/>
  </r>
  <r>
    <x v="10"/>
    <s v="Life expectancy at birth, total (years)"/>
    <n v="34.670999999999999"/>
    <x v="0"/>
  </r>
  <r>
    <x v="11"/>
    <s v="Life expectancy at birth, total (years)"/>
    <n v="39.962000000000003"/>
    <x v="0"/>
  </r>
  <r>
    <x v="12"/>
    <s v="Life expectancy at birth, total (years)"/>
    <n v="37.805"/>
    <x v="0"/>
  </r>
  <r>
    <x v="13"/>
    <s v="Life expectancy at birth, total (years)"/>
    <n v="28.199000000000002"/>
    <x v="0"/>
  </r>
  <r>
    <x v="14"/>
    <s v="Life expectancy at birth, total (years)"/>
    <n v="61.994999999999997"/>
    <x v="0"/>
  </r>
  <r>
    <x v="15"/>
    <s v="Life expectancy at birth, total (years)"/>
    <n v="35.026000000000003"/>
    <x v="0"/>
  </r>
  <r>
    <x v="16"/>
    <s v="Life expectancy at birth, total (years)"/>
    <n v="42.713999999999999"/>
    <x v="0"/>
  </r>
  <r>
    <x v="17"/>
    <s v="Life expectancy at birth, total (years)"/>
    <n v="35.197000000000003"/>
    <x v="0"/>
  </r>
  <r>
    <x v="18"/>
    <s v="Life expectancy at birth, total (years)"/>
    <n v="47.03"/>
    <x v="0"/>
  </r>
  <r>
    <x v="19"/>
    <s v="Life expectancy at birth, total (years)"/>
    <n v="35.045000000000002"/>
    <x v="0"/>
  </r>
  <r>
    <x v="20"/>
    <s v="Life expectancy at birth, total (years)"/>
    <n v="42.292000000000002"/>
    <x v="0"/>
  </r>
  <r>
    <x v="21"/>
    <s v="Life expectancy at birth, total (years)"/>
    <n v="50.363999999999997"/>
    <x v="0"/>
  </r>
  <r>
    <x v="22"/>
    <s v="Life expectancy at birth, total (years)"/>
    <n v="59.369"/>
    <x v="0"/>
  </r>
  <r>
    <x v="23"/>
    <s v="Life expectancy at birth, total (years)"/>
    <n v="56.152000000000001"/>
    <x v="0"/>
  </r>
  <r>
    <x v="24"/>
    <s v="Life expectancy at birth, total (years)"/>
    <n v="43.686"/>
    <x v="0"/>
  </r>
  <r>
    <x v="25"/>
    <s v="Life expectancy at birth, total (years)"/>
    <n v="43.991"/>
    <x v="0"/>
  </r>
  <r>
    <x v="26"/>
    <s v="Life expectancy at birth, total (years)"/>
    <n v="45.124000000000002"/>
    <x v="0"/>
  </r>
  <r>
    <x v="27"/>
    <s v="Life expectancy at birth, total (years)"/>
    <n v="51.564999999999998"/>
    <x v="0"/>
  </r>
  <r>
    <x v="0"/>
    <s v="Life expectancy at birth, total (years)"/>
    <n v="41.591999999999999"/>
    <x v="1"/>
  </r>
  <r>
    <x v="1"/>
    <s v="Life expectancy at birth, total (years)"/>
    <n v="41.988"/>
    <x v="1"/>
  </r>
  <r>
    <x v="2"/>
    <s v="Life expectancy at birth, total (years)"/>
    <n v="38.279000000000003"/>
    <x v="1"/>
  </r>
  <r>
    <x v="3"/>
    <s v="Life expectancy at birth, total (years)"/>
    <n v="41.845999999999997"/>
    <x v="1"/>
  </r>
  <r>
    <x v="4"/>
    <s v="Life expectancy at birth, total (years)"/>
    <n v="44.469000000000001"/>
    <x v="1"/>
  </r>
  <r>
    <x v="5"/>
    <s v="Life expectancy at birth, total (years)"/>
    <n v="39.082000000000001"/>
    <x v="1"/>
  </r>
  <r>
    <x v="6"/>
    <s v="Life expectancy at birth, total (years)"/>
    <n v="35.085999999999999"/>
    <x v="1"/>
  </r>
  <r>
    <x v="7"/>
    <s v="Life expectancy at birth, total (years)"/>
    <n v="42.697000000000003"/>
    <x v="1"/>
  </r>
  <r>
    <x v="8"/>
    <s v="Life expectancy at birth, total (years)"/>
    <n v="46.997"/>
    <x v="1"/>
  </r>
  <r>
    <x v="9"/>
    <s v="Life expectancy at birth, total (years)"/>
    <m/>
    <x v="1"/>
  </r>
  <r>
    <x v="10"/>
    <s v="Life expectancy at birth, total (years)"/>
    <n v="34.941000000000003"/>
    <x v="1"/>
  </r>
  <r>
    <x v="11"/>
    <s v="Life expectancy at birth, total (years)"/>
    <n v="40.444000000000003"/>
    <x v="1"/>
  </r>
  <r>
    <x v="12"/>
    <s v="Life expectancy at birth, total (years)"/>
    <n v="38.030999999999999"/>
    <x v="1"/>
  </r>
  <r>
    <x v="13"/>
    <s v="Life expectancy at birth, total (years)"/>
    <n v="28.344999999999999"/>
    <x v="1"/>
  </r>
  <r>
    <x v="14"/>
    <s v="Life expectancy at birth, total (years)"/>
    <n v="62.366999999999997"/>
    <x v="1"/>
  </r>
  <r>
    <x v="15"/>
    <s v="Life expectancy at birth, total (years)"/>
    <n v="35.49"/>
    <x v="1"/>
  </r>
  <r>
    <x v="16"/>
    <s v="Life expectancy at birth, total (years)"/>
    <n v="43.384"/>
    <x v="1"/>
  </r>
  <r>
    <x v="17"/>
    <s v="Life expectancy at birth, total (years)"/>
    <n v="35.561"/>
    <x v="1"/>
  </r>
  <r>
    <x v="18"/>
    <s v="Life expectancy at birth, total (years)"/>
    <n v="47.677"/>
    <x v="1"/>
  </r>
  <r>
    <x v="19"/>
    <s v="Life expectancy at birth, total (years)"/>
    <n v="35.131"/>
    <x v="1"/>
  </r>
  <r>
    <x v="20"/>
    <s v="Life expectancy at birth, total (years)"/>
    <n v="42.591999999999999"/>
    <x v="1"/>
  </r>
  <r>
    <x v="21"/>
    <s v="Life expectancy at birth, total (years)"/>
    <n v="50.944000000000003"/>
    <x v="1"/>
  </r>
  <r>
    <x v="22"/>
    <s v="Life expectancy at birth, total (years)"/>
    <n v="59.768999999999998"/>
    <x v="1"/>
  </r>
  <r>
    <x v="23"/>
    <s v="Life expectancy at birth, total (years)"/>
    <n v="56.572000000000003"/>
    <x v="1"/>
  </r>
  <r>
    <x v="24"/>
    <s v="Life expectancy at birth, total (years)"/>
    <n v="43.94"/>
    <x v="1"/>
  </r>
  <r>
    <x v="25"/>
    <s v="Life expectancy at birth, total (years)"/>
    <n v="44.567999999999998"/>
    <x v="1"/>
  </r>
  <r>
    <x v="26"/>
    <s v="Life expectancy at birth, total (years)"/>
    <n v="45.502000000000002"/>
    <x v="1"/>
  </r>
  <r>
    <x v="27"/>
    <s v="Life expectancy at birth, total (years)"/>
    <n v="51.938000000000002"/>
    <x v="1"/>
  </r>
  <r>
    <x v="0"/>
    <s v="Life expectancy at birth, total (years)"/>
    <n v="41.906999999999996"/>
    <x v="2"/>
  </r>
  <r>
    <x v="1"/>
    <s v="Life expectancy at birth, total (years)"/>
    <n v="42.429000000000002"/>
    <x v="2"/>
  </r>
  <r>
    <x v="2"/>
    <s v="Life expectancy at birth, total (years)"/>
    <n v="38.536000000000001"/>
    <x v="2"/>
  </r>
  <r>
    <x v="3"/>
    <s v="Life expectancy at birth, total (years)"/>
    <n v="42.244999999999997"/>
    <x v="2"/>
  </r>
  <r>
    <x v="4"/>
    <s v="Life expectancy at birth, total (years)"/>
    <n v="44.892000000000003"/>
    <x v="2"/>
  </r>
  <r>
    <x v="5"/>
    <s v="Life expectancy at birth, total (years)"/>
    <n v="39.710999999999999"/>
    <x v="2"/>
  </r>
  <r>
    <x v="6"/>
    <s v="Life expectancy at birth, total (years)"/>
    <n v="35.265999999999998"/>
    <x v="2"/>
  </r>
  <r>
    <x v="7"/>
    <s v="Life expectancy at birth, total (years)"/>
    <n v="43.277000000000001"/>
    <x v="2"/>
  </r>
  <r>
    <x v="8"/>
    <s v="Life expectancy at birth, total (years)"/>
    <n v="47.634999999999998"/>
    <x v="2"/>
  </r>
  <r>
    <x v="9"/>
    <s v="Life expectancy at birth, total (years)"/>
    <m/>
    <x v="2"/>
  </r>
  <r>
    <x v="10"/>
    <s v="Life expectancy at birth, total (years)"/>
    <n v="35.256999999999998"/>
    <x v="2"/>
  </r>
  <r>
    <x v="11"/>
    <s v="Life expectancy at birth, total (years)"/>
    <n v="40.923999999999999"/>
    <x v="2"/>
  </r>
  <r>
    <x v="12"/>
    <s v="Life expectancy at birth, total (years)"/>
    <n v="38.249000000000002"/>
    <x v="2"/>
  </r>
  <r>
    <x v="13"/>
    <s v="Life expectancy at birth, total (years)"/>
    <n v="28.535"/>
    <x v="2"/>
  </r>
  <r>
    <x v="14"/>
    <s v="Life expectancy at birth, total (years)"/>
    <n v="62.743000000000002"/>
    <x v="2"/>
  </r>
  <r>
    <x v="15"/>
    <s v="Life expectancy at birth, total (years)"/>
    <n v="35.936"/>
    <x v="2"/>
  </r>
  <r>
    <x v="16"/>
    <s v="Life expectancy at birth, total (years)"/>
    <n v="44.136000000000003"/>
    <x v="2"/>
  </r>
  <r>
    <x v="17"/>
    <s v="Life expectancy at birth, total (years)"/>
    <n v="35.981000000000002"/>
    <x v="2"/>
  </r>
  <r>
    <x v="18"/>
    <s v="Life expectancy at birth, total (years)"/>
    <n v="48.329000000000001"/>
    <x v="2"/>
  </r>
  <r>
    <x v="19"/>
    <s v="Life expectancy at birth, total (years)"/>
    <n v="35.212000000000003"/>
    <x v="2"/>
  </r>
  <r>
    <x v="20"/>
    <s v="Life expectancy at birth, total (years)"/>
    <n v="42.883000000000003"/>
    <x v="2"/>
  </r>
  <r>
    <x v="21"/>
    <s v="Life expectancy at birth, total (years)"/>
    <n v="51.512"/>
    <x v="2"/>
  </r>
  <r>
    <x v="22"/>
    <s v="Life expectancy at birth, total (years)"/>
    <n v="60.177"/>
    <x v="2"/>
  </r>
  <r>
    <x v="23"/>
    <s v="Life expectancy at birth, total (years)"/>
    <n v="56.994999999999997"/>
    <x v="2"/>
  </r>
  <r>
    <x v="24"/>
    <s v="Life expectancy at birth, total (years)"/>
    <n v="44.195"/>
    <x v="2"/>
  </r>
  <r>
    <x v="25"/>
    <s v="Life expectancy at birth, total (years)"/>
    <n v="45.155999999999999"/>
    <x v="2"/>
  </r>
  <r>
    <x v="26"/>
    <s v="Life expectancy at birth, total (years)"/>
    <n v="45.869"/>
    <x v="2"/>
  </r>
  <r>
    <x v="27"/>
    <s v="Life expectancy at birth, total (years)"/>
    <n v="52.3"/>
    <x v="2"/>
  </r>
  <r>
    <x v="0"/>
    <s v="Life expectancy at birth, total (years)"/>
    <n v="42.225000000000001"/>
    <x v="3"/>
  </r>
  <r>
    <x v="1"/>
    <s v="Life expectancy at birth, total (years)"/>
    <n v="42.868000000000002"/>
    <x v="3"/>
  </r>
  <r>
    <x v="2"/>
    <s v="Life expectancy at birth, total (years)"/>
    <n v="38.795000000000002"/>
    <x v="3"/>
  </r>
  <r>
    <x v="3"/>
    <s v="Life expectancy at birth, total (years)"/>
    <n v="42.643999999999998"/>
    <x v="3"/>
  </r>
  <r>
    <x v="4"/>
    <s v="Life expectancy at birth, total (years)"/>
    <n v="45.308999999999997"/>
    <x v="3"/>
  </r>
  <r>
    <x v="5"/>
    <s v="Life expectancy at birth, total (years)"/>
    <n v="40.29"/>
    <x v="3"/>
  </r>
  <r>
    <x v="6"/>
    <s v="Life expectancy at birth, total (years)"/>
    <n v="35.432000000000002"/>
    <x v="3"/>
  </r>
  <r>
    <x v="7"/>
    <s v="Life expectancy at birth, total (years)"/>
    <n v="43.848999999999997"/>
    <x v="3"/>
  </r>
  <r>
    <x v="8"/>
    <s v="Life expectancy at birth, total (years)"/>
    <n v="48.250999999999998"/>
    <x v="3"/>
  </r>
  <r>
    <x v="9"/>
    <s v="Life expectancy at birth, total (years)"/>
    <m/>
    <x v="3"/>
  </r>
  <r>
    <x v="10"/>
    <s v="Life expectancy at birth, total (years)"/>
    <n v="35.625999999999998"/>
    <x v="3"/>
  </r>
  <r>
    <x v="11"/>
    <s v="Life expectancy at birth, total (years)"/>
    <n v="41.401000000000003"/>
    <x v="3"/>
  </r>
  <r>
    <x v="12"/>
    <s v="Life expectancy at birth, total (years)"/>
    <n v="38.457999999999998"/>
    <x v="3"/>
  </r>
  <r>
    <x v="13"/>
    <s v="Life expectancy at birth, total (years)"/>
    <n v="28.782"/>
    <x v="3"/>
  </r>
  <r>
    <x v="14"/>
    <s v="Life expectancy at birth, total (years)"/>
    <n v="63.122"/>
    <x v="3"/>
  </r>
  <r>
    <x v="15"/>
    <s v="Life expectancy at birth, total (years)"/>
    <n v="36.363"/>
    <x v="3"/>
  </r>
  <r>
    <x v="16"/>
    <s v="Life expectancy at birth, total (years)"/>
    <n v="44.993000000000002"/>
    <x v="3"/>
  </r>
  <r>
    <x v="17"/>
    <s v="Life expectancy at birth, total (years)"/>
    <n v="36.454999999999998"/>
    <x v="3"/>
  </r>
  <r>
    <x v="18"/>
    <s v="Life expectancy at birth, total (years)"/>
    <n v="48.984000000000002"/>
    <x v="3"/>
  </r>
  <r>
    <x v="19"/>
    <s v="Life expectancy at birth, total (years)"/>
    <n v="35.287999999999997"/>
    <x v="3"/>
  </r>
  <r>
    <x v="20"/>
    <s v="Life expectancy at birth, total (years)"/>
    <n v="43.16"/>
    <x v="3"/>
  </r>
  <r>
    <x v="21"/>
    <s v="Life expectancy at birth, total (years)"/>
    <n v="52.063000000000002"/>
    <x v="3"/>
  </r>
  <r>
    <x v="22"/>
    <s v="Life expectancy at birth, total (years)"/>
    <n v="60.610999999999997"/>
    <x v="3"/>
  </r>
  <r>
    <x v="23"/>
    <s v="Life expectancy at birth, total (years)"/>
    <n v="57.418999999999997"/>
    <x v="3"/>
  </r>
  <r>
    <x v="24"/>
    <s v="Life expectancy at birth, total (years)"/>
    <n v="44.456000000000003"/>
    <x v="3"/>
  </r>
  <r>
    <x v="25"/>
    <s v="Life expectancy at birth, total (years)"/>
    <n v="45.747999999999998"/>
    <x v="3"/>
  </r>
  <r>
    <x v="26"/>
    <s v="Life expectancy at birth, total (years)"/>
    <n v="46.225000000000001"/>
    <x v="3"/>
  </r>
  <r>
    <x v="27"/>
    <s v="Life expectancy at birth, total (years)"/>
    <n v="52.651000000000003"/>
    <x v="3"/>
  </r>
  <r>
    <x v="0"/>
    <s v="Life expectancy at birth, total (years)"/>
    <n v="42.54"/>
    <x v="4"/>
  </r>
  <r>
    <x v="1"/>
    <s v="Life expectancy at birth, total (years)"/>
    <n v="43.304000000000002"/>
    <x v="4"/>
  </r>
  <r>
    <x v="2"/>
    <s v="Life expectancy at birth, total (years)"/>
    <n v="39.061"/>
    <x v="4"/>
  </r>
  <r>
    <x v="3"/>
    <s v="Life expectancy at birth, total (years)"/>
    <n v="43.042999999999999"/>
    <x v="4"/>
  </r>
  <r>
    <x v="4"/>
    <s v="Life expectancy at birth, total (years)"/>
    <n v="45.726999999999997"/>
    <x v="4"/>
  </r>
  <r>
    <x v="5"/>
    <s v="Life expectancy at birth, total (years)"/>
    <n v="40.81"/>
    <x v="4"/>
  </r>
  <r>
    <x v="6"/>
    <s v="Life expectancy at birth, total (years)"/>
    <n v="35.588000000000001"/>
    <x v="4"/>
  </r>
  <r>
    <x v="7"/>
    <s v="Life expectancy at birth, total (years)"/>
    <n v="44.411999999999999"/>
    <x v="4"/>
  </r>
  <r>
    <x v="8"/>
    <s v="Life expectancy at birth, total (years)"/>
    <n v="48.841000000000001"/>
    <x v="4"/>
  </r>
  <r>
    <x v="9"/>
    <s v="Life expectancy at birth, total (years)"/>
    <m/>
    <x v="4"/>
  </r>
  <r>
    <x v="10"/>
    <s v="Life expectancy at birth, total (years)"/>
    <n v="36.048999999999999"/>
    <x v="4"/>
  </r>
  <r>
    <x v="11"/>
    <s v="Life expectancy at birth, total (years)"/>
    <n v="41.875999999999998"/>
    <x v="4"/>
  </r>
  <r>
    <x v="12"/>
    <s v="Life expectancy at birth, total (years)"/>
    <n v="38.664000000000001"/>
    <x v="4"/>
  </r>
  <r>
    <x v="13"/>
    <s v="Life expectancy at birth, total (years)"/>
    <n v="29.097000000000001"/>
    <x v="4"/>
  </r>
  <r>
    <x v="14"/>
    <s v="Life expectancy at birth, total (years)"/>
    <n v="63.496000000000002"/>
    <x v="4"/>
  </r>
  <r>
    <x v="15"/>
    <s v="Life expectancy at birth, total (years)"/>
    <n v="36.773000000000003"/>
    <x v="4"/>
  </r>
  <r>
    <x v="16"/>
    <s v="Life expectancy at birth, total (years)"/>
    <n v="45.95"/>
    <x v="4"/>
  </r>
  <r>
    <x v="17"/>
    <s v="Life expectancy at birth, total (years)"/>
    <n v="36.975999999999999"/>
    <x v="4"/>
  </r>
  <r>
    <x v="18"/>
    <s v="Life expectancy at birth, total (years)"/>
    <n v="49.642000000000003"/>
    <x v="4"/>
  </r>
  <r>
    <x v="19"/>
    <s v="Life expectancy at birth, total (years)"/>
    <n v="35.359000000000002"/>
    <x v="4"/>
  </r>
  <r>
    <x v="20"/>
    <s v="Life expectancy at birth, total (years)"/>
    <n v="43.417999999999999"/>
    <x v="4"/>
  </r>
  <r>
    <x v="21"/>
    <s v="Life expectancy at birth, total (years)"/>
    <n v="52.597000000000001"/>
    <x v="4"/>
  </r>
  <r>
    <x v="22"/>
    <s v="Life expectancy at birth, total (years)"/>
    <n v="61.078000000000003"/>
    <x v="4"/>
  </r>
  <r>
    <x v="23"/>
    <s v="Life expectancy at birth, total (years)"/>
    <n v="57.843000000000004"/>
    <x v="4"/>
  </r>
  <r>
    <x v="24"/>
    <s v="Life expectancy at birth, total (years)"/>
    <n v="44.731000000000002"/>
    <x v="4"/>
  </r>
  <r>
    <x v="25"/>
    <s v="Life expectancy at birth, total (years)"/>
    <n v="46.332000000000001"/>
    <x v="4"/>
  </r>
  <r>
    <x v="26"/>
    <s v="Life expectancy at birth, total (years)"/>
    <n v="46.573999999999998"/>
    <x v="4"/>
  </r>
  <r>
    <x v="27"/>
    <s v="Life expectancy at birth, total (years)"/>
    <n v="52.993000000000002"/>
    <x v="4"/>
  </r>
  <r>
    <x v="0"/>
    <s v="Life expectancy at birth, total (years)"/>
    <n v="42.838000000000001"/>
    <x v="5"/>
  </r>
  <r>
    <x v="1"/>
    <s v="Life expectancy at birth, total (years)"/>
    <n v="43.741"/>
    <x v="5"/>
  </r>
  <r>
    <x v="2"/>
    <s v="Life expectancy at birth, total (years)"/>
    <n v="39.345999999999997"/>
    <x v="5"/>
  </r>
  <r>
    <x v="3"/>
    <s v="Life expectancy at birth, total (years)"/>
    <n v="43.445999999999998"/>
    <x v="5"/>
  </r>
  <r>
    <x v="4"/>
    <s v="Life expectancy at birth, total (years)"/>
    <n v="46.165999999999997"/>
    <x v="5"/>
  </r>
  <r>
    <x v="5"/>
    <s v="Life expectancy at birth, total (years)"/>
    <n v="41.267000000000003"/>
    <x v="5"/>
  </r>
  <r>
    <x v="6"/>
    <s v="Life expectancy at birth, total (years)"/>
    <n v="35.74"/>
    <x v="5"/>
  </r>
  <r>
    <x v="7"/>
    <s v="Life expectancy at birth, total (years)"/>
    <n v="44.954999999999998"/>
    <x v="5"/>
  </r>
  <r>
    <x v="8"/>
    <s v="Life expectancy at birth, total (years)"/>
    <n v="49.408999999999999"/>
    <x v="5"/>
  </r>
  <r>
    <x v="9"/>
    <s v="Life expectancy at birth, total (years)"/>
    <m/>
    <x v="5"/>
  </r>
  <r>
    <x v="10"/>
    <s v="Life expectancy at birth, total (years)"/>
    <n v="36.520000000000003"/>
    <x v="5"/>
  </r>
  <r>
    <x v="11"/>
    <s v="Life expectancy at birth, total (years)"/>
    <n v="42.350999999999999"/>
    <x v="5"/>
  </r>
  <r>
    <x v="12"/>
    <s v="Life expectancy at birth, total (years)"/>
    <n v="38.881"/>
    <x v="5"/>
  </r>
  <r>
    <x v="13"/>
    <s v="Life expectancy at birth, total (years)"/>
    <n v="29.489000000000001"/>
    <x v="5"/>
  </r>
  <r>
    <x v="14"/>
    <s v="Life expectancy at birth, total (years)"/>
    <n v="63.856000000000002"/>
    <x v="5"/>
  </r>
  <r>
    <x v="15"/>
    <s v="Life expectancy at birth, total (years)"/>
    <n v="37.173999999999999"/>
    <x v="5"/>
  </r>
  <r>
    <x v="16"/>
    <s v="Life expectancy at birth, total (years)"/>
    <n v="46.966999999999999"/>
    <x v="5"/>
  </r>
  <r>
    <x v="17"/>
    <s v="Life expectancy at birth, total (years)"/>
    <n v="37.536999999999999"/>
    <x v="5"/>
  </r>
  <r>
    <x v="18"/>
    <s v="Life expectancy at birth, total (years)"/>
    <n v="50.305999999999997"/>
    <x v="5"/>
  </r>
  <r>
    <x v="19"/>
    <s v="Life expectancy at birth, total (years)"/>
    <n v="35.427999999999997"/>
    <x v="5"/>
  </r>
  <r>
    <x v="20"/>
    <s v="Life expectancy at birth, total (years)"/>
    <n v="43.65"/>
    <x v="5"/>
  </r>
  <r>
    <x v="21"/>
    <s v="Life expectancy at birth, total (years)"/>
    <n v="53.118000000000002"/>
    <x v="5"/>
  </r>
  <r>
    <x v="22"/>
    <s v="Life expectancy at birth, total (years)"/>
    <n v="61.579000000000001"/>
    <x v="5"/>
  </r>
  <r>
    <x v="23"/>
    <s v="Life expectancy at birth, total (years)"/>
    <n v="58.261000000000003"/>
    <x v="5"/>
  </r>
  <r>
    <x v="24"/>
    <s v="Life expectancy at birth, total (years)"/>
    <n v="45.021999999999998"/>
    <x v="5"/>
  </r>
  <r>
    <x v="25"/>
    <s v="Life expectancy at birth, total (years)"/>
    <n v="46.890999999999998"/>
    <x v="5"/>
  </r>
  <r>
    <x v="26"/>
    <s v="Life expectancy at birth, total (years)"/>
    <n v="46.929000000000002"/>
    <x v="5"/>
  </r>
  <r>
    <x v="27"/>
    <s v="Life expectancy at birth, total (years)"/>
    <n v="53.325000000000003"/>
    <x v="5"/>
  </r>
  <r>
    <x v="0"/>
    <s v="Life expectancy at birth, total (years)"/>
    <n v="43.103000000000002"/>
    <x v="6"/>
  </r>
  <r>
    <x v="1"/>
    <s v="Life expectancy at birth, total (years)"/>
    <n v="44.183999999999997"/>
    <x v="6"/>
  </r>
  <r>
    <x v="2"/>
    <s v="Life expectancy at birth, total (years)"/>
    <n v="39.665999999999997"/>
    <x v="6"/>
  </r>
  <r>
    <x v="3"/>
    <s v="Life expectancy at birth, total (years)"/>
    <n v="43.857999999999997"/>
    <x v="6"/>
  </r>
  <r>
    <x v="4"/>
    <s v="Life expectancy at birth, total (years)"/>
    <n v="46.654000000000003"/>
    <x v="6"/>
  </r>
  <r>
    <x v="5"/>
    <s v="Life expectancy at birth, total (years)"/>
    <n v="41.667999999999999"/>
    <x v="6"/>
  </r>
  <r>
    <x v="6"/>
    <s v="Life expectancy at birth, total (years)"/>
    <n v="35.890999999999998"/>
    <x v="6"/>
  </r>
  <r>
    <x v="7"/>
    <s v="Life expectancy at birth, total (years)"/>
    <n v="45.472000000000001"/>
    <x v="6"/>
  </r>
  <r>
    <x v="8"/>
    <s v="Life expectancy at birth, total (years)"/>
    <n v="49.962000000000003"/>
    <x v="6"/>
  </r>
  <r>
    <x v="9"/>
    <s v="Life expectancy at birth, total (years)"/>
    <m/>
    <x v="6"/>
  </r>
  <r>
    <x v="10"/>
    <s v="Life expectancy at birth, total (years)"/>
    <n v="37.03"/>
    <x v="6"/>
  </r>
  <r>
    <x v="11"/>
    <s v="Life expectancy at birth, total (years)"/>
    <n v="42.828000000000003"/>
    <x v="6"/>
  </r>
  <r>
    <x v="12"/>
    <s v="Life expectancy at birth, total (years)"/>
    <n v="39.127000000000002"/>
    <x v="6"/>
  </r>
  <r>
    <x v="13"/>
    <s v="Life expectancy at birth, total (years)"/>
    <n v="29.959"/>
    <x v="6"/>
  </r>
  <r>
    <x v="14"/>
    <s v="Life expectancy at birth, total (years)"/>
    <n v="64.186000000000007"/>
    <x v="6"/>
  </r>
  <r>
    <x v="15"/>
    <s v="Life expectancy at birth, total (years)"/>
    <n v="37.573"/>
    <x v="6"/>
  </r>
  <r>
    <x v="16"/>
    <s v="Life expectancy at birth, total (years)"/>
    <n v="47.981999999999999"/>
    <x v="6"/>
  </r>
  <r>
    <x v="17"/>
    <s v="Life expectancy at birth, total (years)"/>
    <n v="38.125"/>
    <x v="6"/>
  </r>
  <r>
    <x v="18"/>
    <s v="Life expectancy at birth, total (years)"/>
    <n v="50.978000000000002"/>
    <x v="6"/>
  </r>
  <r>
    <x v="19"/>
    <s v="Life expectancy at birth, total (years)"/>
    <n v="35.496000000000002"/>
    <x v="6"/>
  </r>
  <r>
    <x v="20"/>
    <s v="Life expectancy at birth, total (years)"/>
    <n v="43.847000000000001"/>
    <x v="6"/>
  </r>
  <r>
    <x v="21"/>
    <s v="Life expectancy at birth, total (years)"/>
    <n v="53.637999999999998"/>
    <x v="6"/>
  </r>
  <r>
    <x v="22"/>
    <s v="Life expectancy at birth, total (years)"/>
    <n v="62.103999999999999"/>
    <x v="6"/>
  </r>
  <r>
    <x v="23"/>
    <s v="Life expectancy at birth, total (years)"/>
    <n v="58.667000000000002"/>
    <x v="6"/>
  </r>
  <r>
    <x v="24"/>
    <s v="Life expectancy at birth, total (years)"/>
    <n v="45.33"/>
    <x v="6"/>
  </r>
  <r>
    <x v="25"/>
    <s v="Life expectancy at birth, total (years)"/>
    <n v="47.406999999999996"/>
    <x v="6"/>
  </r>
  <r>
    <x v="26"/>
    <s v="Life expectancy at birth, total (years)"/>
    <n v="47.302"/>
    <x v="6"/>
  </r>
  <r>
    <x v="27"/>
    <s v="Life expectancy at birth, total (years)"/>
    <n v="53.648000000000003"/>
    <x v="6"/>
  </r>
  <r>
    <x v="0"/>
    <s v="Life expectancy at birth, total (years)"/>
    <n v="43.328000000000003"/>
    <x v="7"/>
  </r>
  <r>
    <x v="1"/>
    <s v="Life expectancy at birth, total (years)"/>
    <n v="44.64"/>
    <x v="7"/>
  </r>
  <r>
    <x v="2"/>
    <s v="Life expectancy at birth, total (years)"/>
    <n v="40.027999999999999"/>
    <x v="7"/>
  </r>
  <r>
    <x v="3"/>
    <s v="Life expectancy at birth, total (years)"/>
    <n v="44.283000000000001"/>
    <x v="7"/>
  </r>
  <r>
    <x v="4"/>
    <s v="Life expectancy at birth, total (years)"/>
    <n v="47.203000000000003"/>
    <x v="7"/>
  </r>
  <r>
    <x v="5"/>
    <s v="Life expectancy at birth, total (years)"/>
    <n v="42.026000000000003"/>
    <x v="7"/>
  </r>
  <r>
    <x v="6"/>
    <s v="Life expectancy at birth, total (years)"/>
    <n v="36.048000000000002"/>
    <x v="7"/>
  </r>
  <r>
    <x v="7"/>
    <s v="Life expectancy at birth, total (years)"/>
    <n v="45.954999999999998"/>
    <x v="7"/>
  </r>
  <r>
    <x v="8"/>
    <s v="Life expectancy at birth, total (years)"/>
    <n v="50.514000000000003"/>
    <x v="7"/>
  </r>
  <r>
    <x v="9"/>
    <s v="Life expectancy at birth, total (years)"/>
    <m/>
    <x v="7"/>
  </r>
  <r>
    <x v="10"/>
    <s v="Life expectancy at birth, total (years)"/>
    <n v="37.564"/>
    <x v="7"/>
  </r>
  <r>
    <x v="11"/>
    <s v="Life expectancy at birth, total (years)"/>
    <n v="43.31"/>
    <x v="7"/>
  </r>
  <r>
    <x v="12"/>
    <s v="Life expectancy at birth, total (years)"/>
    <n v="39.414999999999999"/>
    <x v="7"/>
  </r>
  <r>
    <x v="13"/>
    <s v="Life expectancy at birth, total (years)"/>
    <n v="30.495999999999999"/>
    <x v="7"/>
  </r>
  <r>
    <x v="14"/>
    <s v="Life expectancy at birth, total (years)"/>
    <n v="64.475999999999999"/>
    <x v="7"/>
  </r>
  <r>
    <x v="15"/>
    <s v="Life expectancy at birth, total (years)"/>
    <n v="37.979999999999997"/>
    <x v="7"/>
  </r>
  <r>
    <x v="16"/>
    <s v="Life expectancy at birth, total (years)"/>
    <n v="48.927"/>
    <x v="7"/>
  </r>
  <r>
    <x v="17"/>
    <s v="Life expectancy at birth, total (years)"/>
    <n v="38.728999999999999"/>
    <x v="7"/>
  </r>
  <r>
    <x v="18"/>
    <s v="Life expectancy at birth, total (years)"/>
    <n v="51.656999999999996"/>
    <x v="7"/>
  </r>
  <r>
    <x v="19"/>
    <s v="Life expectancy at birth, total (years)"/>
    <n v="35.570999999999998"/>
    <x v="7"/>
  </r>
  <r>
    <x v="20"/>
    <s v="Life expectancy at birth, total (years)"/>
    <n v="44.009"/>
    <x v="7"/>
  </r>
  <r>
    <x v="21"/>
    <s v="Life expectancy at birth, total (years)"/>
    <n v="54.164999999999999"/>
    <x v="7"/>
  </r>
  <r>
    <x v="22"/>
    <s v="Life expectancy at birth, total (years)"/>
    <n v="62.631"/>
    <x v="7"/>
  </r>
  <r>
    <x v="23"/>
    <s v="Life expectancy at birth, total (years)"/>
    <n v="59.058999999999997"/>
    <x v="7"/>
  </r>
  <r>
    <x v="24"/>
    <s v="Life expectancy at birth, total (years)"/>
    <n v="45.654000000000003"/>
    <x v="7"/>
  </r>
  <r>
    <x v="25"/>
    <s v="Life expectancy at birth, total (years)"/>
    <n v="47.865000000000002"/>
    <x v="7"/>
  </r>
  <r>
    <x v="26"/>
    <s v="Life expectancy at birth, total (years)"/>
    <n v="47.701000000000001"/>
    <x v="7"/>
  </r>
  <r>
    <x v="27"/>
    <s v="Life expectancy at birth, total (years)"/>
    <n v="53.965000000000003"/>
    <x v="7"/>
  </r>
  <r>
    <x v="0"/>
    <s v="Life expectancy at birth, total (years)"/>
    <n v="43.515000000000001"/>
    <x v="8"/>
  </r>
  <r>
    <x v="1"/>
    <s v="Life expectancy at birth, total (years)"/>
    <n v="45.110999999999997"/>
    <x v="8"/>
  </r>
  <r>
    <x v="2"/>
    <s v="Life expectancy at birth, total (years)"/>
    <n v="40.432000000000002"/>
    <x v="8"/>
  </r>
  <r>
    <x v="3"/>
    <s v="Life expectancy at birth, total (years)"/>
    <n v="44.723999999999997"/>
    <x v="8"/>
  </r>
  <r>
    <x v="4"/>
    <s v="Life expectancy at birth, total (years)"/>
    <n v="47.814"/>
    <x v="8"/>
  </r>
  <r>
    <x v="5"/>
    <s v="Life expectancy at birth, total (years)"/>
    <n v="42.354999999999997"/>
    <x v="8"/>
  </r>
  <r>
    <x v="6"/>
    <s v="Life expectancy at birth, total (years)"/>
    <n v="36.222000000000001"/>
    <x v="8"/>
  </r>
  <r>
    <x v="7"/>
    <s v="Life expectancy at birth, total (years)"/>
    <n v="46.405000000000001"/>
    <x v="8"/>
  </r>
  <r>
    <x v="8"/>
    <s v="Life expectancy at birth, total (years)"/>
    <n v="51.073999999999998"/>
    <x v="8"/>
  </r>
  <r>
    <x v="9"/>
    <s v="Life expectancy at birth, total (years)"/>
    <m/>
    <x v="8"/>
  </r>
  <r>
    <x v="10"/>
    <s v="Life expectancy at birth, total (years)"/>
    <n v="38.113"/>
    <x v="8"/>
  </r>
  <r>
    <x v="11"/>
    <s v="Life expectancy at birth, total (years)"/>
    <n v="43.795999999999999"/>
    <x v="8"/>
  </r>
  <r>
    <x v="12"/>
    <s v="Life expectancy at birth, total (years)"/>
    <n v="39.75"/>
    <x v="8"/>
  </r>
  <r>
    <x v="13"/>
    <s v="Life expectancy at birth, total (years)"/>
    <n v="31.085999999999999"/>
    <x v="8"/>
  </r>
  <r>
    <x v="14"/>
    <s v="Life expectancy at birth, total (years)"/>
    <n v="64.718000000000004"/>
    <x v="8"/>
  </r>
  <r>
    <x v="15"/>
    <s v="Life expectancy at birth, total (years)"/>
    <n v="38.396999999999998"/>
    <x v="8"/>
  </r>
  <r>
    <x v="16"/>
    <s v="Life expectancy at birth, total (years)"/>
    <n v="49.750999999999998"/>
    <x v="8"/>
  </r>
  <r>
    <x v="17"/>
    <s v="Life expectancy at birth, total (years)"/>
    <n v="39.338999999999999"/>
    <x v="8"/>
  </r>
  <r>
    <x v="18"/>
    <s v="Life expectancy at birth, total (years)"/>
    <n v="52.338999999999999"/>
    <x v="8"/>
  </r>
  <r>
    <x v="19"/>
    <s v="Life expectancy at birth, total (years)"/>
    <n v="35.656999999999996"/>
    <x v="8"/>
  </r>
  <r>
    <x v="20"/>
    <s v="Life expectancy at birth, total (years)"/>
    <n v="44.140999999999998"/>
    <x v="8"/>
  </r>
  <r>
    <x v="21"/>
    <s v="Life expectancy at birth, total (years)"/>
    <n v="54.709000000000003"/>
    <x v="8"/>
  </r>
  <r>
    <x v="22"/>
    <s v="Life expectancy at birth, total (years)"/>
    <n v="63.143999999999998"/>
    <x v="8"/>
  </r>
  <r>
    <x v="23"/>
    <s v="Life expectancy at birth, total (years)"/>
    <n v="59.432000000000002"/>
    <x v="8"/>
  </r>
  <r>
    <x v="24"/>
    <s v="Life expectancy at birth, total (years)"/>
    <n v="45.993000000000002"/>
    <x v="8"/>
  </r>
  <r>
    <x v="25"/>
    <s v="Life expectancy at birth, total (years)"/>
    <n v="48.258000000000003"/>
    <x v="8"/>
  </r>
  <r>
    <x v="26"/>
    <s v="Life expectancy at birth, total (years)"/>
    <n v="48.127000000000002"/>
    <x v="8"/>
  </r>
  <r>
    <x v="27"/>
    <s v="Life expectancy at birth, total (years)"/>
    <n v="54.28"/>
    <x v="8"/>
  </r>
  <r>
    <x v="0"/>
    <s v="Life expectancy at birth, total (years)"/>
    <n v="43.674999999999997"/>
    <x v="9"/>
  </r>
  <r>
    <x v="1"/>
    <s v="Life expectancy at birth, total (years)"/>
    <n v="45.597999999999999"/>
    <x v="9"/>
  </r>
  <r>
    <x v="2"/>
    <s v="Life expectancy at birth, total (years)"/>
    <n v="40.872"/>
    <x v="9"/>
  </r>
  <r>
    <x v="3"/>
    <s v="Life expectancy at birth, total (years)"/>
    <n v="45.179000000000002"/>
    <x v="9"/>
  </r>
  <r>
    <x v="4"/>
    <s v="Life expectancy at birth, total (years)"/>
    <n v="48.475999999999999"/>
    <x v="9"/>
  </r>
  <r>
    <x v="5"/>
    <s v="Life expectancy at birth, total (years)"/>
    <n v="42.658999999999999"/>
    <x v="9"/>
  </r>
  <r>
    <x v="6"/>
    <s v="Life expectancy at birth, total (years)"/>
    <n v="36.420999999999999"/>
    <x v="9"/>
  </r>
  <r>
    <x v="7"/>
    <s v="Life expectancy at birth, total (years)"/>
    <n v="46.823"/>
    <x v="9"/>
  </r>
  <r>
    <x v="8"/>
    <s v="Life expectancy at birth, total (years)"/>
    <n v="51.643999999999998"/>
    <x v="9"/>
  </r>
  <r>
    <x v="9"/>
    <s v="Life expectancy at birth, total (years)"/>
    <m/>
    <x v="9"/>
  </r>
  <r>
    <x v="10"/>
    <s v="Life expectancy at birth, total (years)"/>
    <n v="38.673999999999999"/>
    <x v="9"/>
  </r>
  <r>
    <x v="11"/>
    <s v="Life expectancy at birth, total (years)"/>
    <n v="44.283000000000001"/>
    <x v="9"/>
  </r>
  <r>
    <x v="12"/>
    <s v="Life expectancy at birth, total (years)"/>
    <n v="40.134"/>
    <x v="9"/>
  </r>
  <r>
    <x v="13"/>
    <s v="Life expectancy at birth, total (years)"/>
    <n v="31.72"/>
    <x v="9"/>
  </r>
  <r>
    <x v="14"/>
    <s v="Life expectancy at birth, total (years)"/>
    <n v="64.908000000000001"/>
    <x v="9"/>
  </r>
  <r>
    <x v="15"/>
    <s v="Life expectancy at birth, total (years)"/>
    <n v="38.826000000000001"/>
    <x v="9"/>
  </r>
  <r>
    <x v="16"/>
    <s v="Life expectancy at birth, total (years)"/>
    <n v="50.436999999999998"/>
    <x v="9"/>
  </r>
  <r>
    <x v="17"/>
    <s v="Life expectancy at birth, total (years)"/>
    <n v="39.945999999999998"/>
    <x v="9"/>
  </r>
  <r>
    <x v="18"/>
    <s v="Life expectancy at birth, total (years)"/>
    <n v="53.018999999999998"/>
    <x v="9"/>
  </r>
  <r>
    <x v="19"/>
    <s v="Life expectancy at birth, total (years)"/>
    <n v="35.76"/>
    <x v="9"/>
  </r>
  <r>
    <x v="20"/>
    <s v="Life expectancy at birth, total (years)"/>
    <n v="44.249000000000002"/>
    <x v="9"/>
  </r>
  <r>
    <x v="21"/>
    <s v="Life expectancy at birth, total (years)"/>
    <n v="55.271999999999998"/>
    <x v="9"/>
  </r>
  <r>
    <x v="22"/>
    <s v="Life expectancy at birth, total (years)"/>
    <n v="63.634"/>
    <x v="9"/>
  </r>
  <r>
    <x v="23"/>
    <s v="Life expectancy at birth, total (years)"/>
    <n v="59.783999999999999"/>
    <x v="9"/>
  </r>
  <r>
    <x v="24"/>
    <s v="Life expectancy at birth, total (years)"/>
    <n v="46.344999999999999"/>
    <x v="9"/>
  </r>
  <r>
    <x v="25"/>
    <s v="Life expectancy at birth, total (years)"/>
    <n v="48.578000000000003"/>
    <x v="9"/>
  </r>
  <r>
    <x v="26"/>
    <s v="Life expectancy at birth, total (years)"/>
    <n v="48.575000000000003"/>
    <x v="9"/>
  </r>
  <r>
    <x v="27"/>
    <s v="Life expectancy at birth, total (years)"/>
    <n v="54.597000000000001"/>
    <x v="9"/>
  </r>
  <r>
    <x v="0"/>
    <s v="Life expectancy at birth, total (years)"/>
    <n v="43.829000000000001"/>
    <x v="10"/>
  </r>
  <r>
    <x v="1"/>
    <s v="Life expectancy at birth, total (years)"/>
    <n v="46.103999999999999"/>
    <x v="10"/>
  </r>
  <r>
    <x v="2"/>
    <s v="Life expectancy at birth, total (years)"/>
    <n v="41.332000000000001"/>
    <x v="10"/>
  </r>
  <r>
    <x v="3"/>
    <s v="Life expectancy at birth, total (years)"/>
    <n v="45.642000000000003"/>
    <x v="10"/>
  </r>
  <r>
    <x v="4"/>
    <s v="Life expectancy at birth, total (years)"/>
    <n v="49.16"/>
    <x v="10"/>
  </r>
  <r>
    <x v="5"/>
    <s v="Life expectancy at birth, total (years)"/>
    <n v="42.944000000000003"/>
    <x v="10"/>
  </r>
  <r>
    <x v="6"/>
    <s v="Life expectancy at birth, total (years)"/>
    <n v="36.655999999999999"/>
    <x v="10"/>
  </r>
  <r>
    <x v="7"/>
    <s v="Life expectancy at birth, total (years)"/>
    <n v="47.215000000000003"/>
    <x v="10"/>
  </r>
  <r>
    <x v="8"/>
    <s v="Life expectancy at birth, total (years)"/>
    <n v="52.222000000000001"/>
    <x v="10"/>
  </r>
  <r>
    <x v="9"/>
    <s v="Life expectancy at birth, total (years)"/>
    <m/>
    <x v="10"/>
  </r>
  <r>
    <x v="10"/>
    <s v="Life expectancy at birth, total (years)"/>
    <n v="39.253999999999998"/>
    <x v="10"/>
  </r>
  <r>
    <x v="11"/>
    <s v="Life expectancy at birth, total (years)"/>
    <n v="44.771000000000001"/>
    <x v="10"/>
  </r>
  <r>
    <x v="12"/>
    <s v="Life expectancy at birth, total (years)"/>
    <n v="40.558"/>
    <x v="10"/>
  </r>
  <r>
    <x v="13"/>
    <s v="Life expectancy at birth, total (years)"/>
    <n v="32.387999999999998"/>
    <x v="10"/>
  </r>
  <r>
    <x v="14"/>
    <s v="Life expectancy at birth, total (years)"/>
    <n v="65.045000000000002"/>
    <x v="10"/>
  </r>
  <r>
    <x v="15"/>
    <s v="Life expectancy at birth, total (years)"/>
    <n v="39.271000000000001"/>
    <x v="10"/>
  </r>
  <r>
    <x v="16"/>
    <s v="Life expectancy at birth, total (years)"/>
    <n v="50.988999999999997"/>
    <x v="10"/>
  </r>
  <r>
    <x v="17"/>
    <s v="Life expectancy at birth, total (years)"/>
    <n v="40.543999999999997"/>
    <x v="10"/>
  </r>
  <r>
    <x v="18"/>
    <s v="Life expectancy at birth, total (years)"/>
    <n v="53.685000000000002"/>
    <x v="10"/>
  </r>
  <r>
    <x v="19"/>
    <s v="Life expectancy at birth, total (years)"/>
    <n v="35.884"/>
    <x v="10"/>
  </r>
  <r>
    <x v="20"/>
    <s v="Life expectancy at birth, total (years)"/>
    <n v="44.338000000000001"/>
    <x v="10"/>
  </r>
  <r>
    <x v="21"/>
    <s v="Life expectancy at birth, total (years)"/>
    <n v="55.859000000000002"/>
    <x v="10"/>
  </r>
  <r>
    <x v="22"/>
    <s v="Life expectancy at birth, total (years)"/>
    <n v="64.096999999999994"/>
    <x v="10"/>
  </r>
  <r>
    <x v="23"/>
    <s v="Life expectancy at birth, total (years)"/>
    <n v="60.113999999999997"/>
    <x v="10"/>
  </r>
  <r>
    <x v="24"/>
    <s v="Life expectancy at birth, total (years)"/>
    <n v="46.718000000000004"/>
    <x v="10"/>
  </r>
  <r>
    <x v="25"/>
    <s v="Life expectancy at birth, total (years)"/>
    <n v="48.826999999999998"/>
    <x v="10"/>
  </r>
  <r>
    <x v="26"/>
    <s v="Life expectancy at birth, total (years)"/>
    <n v="49.039000000000001"/>
    <x v="10"/>
  </r>
  <r>
    <x v="27"/>
    <s v="Life expectancy at birth, total (years)"/>
    <n v="54.92"/>
    <x v="10"/>
  </r>
  <r>
    <x v="0"/>
    <s v="Life expectancy at birth, total (years)"/>
    <n v="44.006"/>
    <x v="11"/>
  </r>
  <r>
    <x v="1"/>
    <s v="Life expectancy at birth, total (years)"/>
    <n v="46.627000000000002"/>
    <x v="11"/>
  </r>
  <r>
    <x v="2"/>
    <s v="Life expectancy at birth, total (years)"/>
    <n v="41.792000000000002"/>
    <x v="11"/>
  </r>
  <r>
    <x v="3"/>
    <s v="Life expectancy at birth, total (years)"/>
    <n v="46.103000000000002"/>
    <x v="11"/>
  </r>
  <r>
    <x v="4"/>
    <s v="Life expectancy at birth, total (years)"/>
    <n v="49.826999999999998"/>
    <x v="11"/>
  </r>
  <r>
    <x v="5"/>
    <s v="Life expectancy at birth, total (years)"/>
    <n v="43.213000000000001"/>
    <x v="11"/>
  </r>
  <r>
    <x v="6"/>
    <s v="Life expectancy at birth, total (years)"/>
    <n v="36.933"/>
    <x v="11"/>
  </r>
  <r>
    <x v="7"/>
    <s v="Life expectancy at birth, total (years)"/>
    <n v="47.591999999999999"/>
    <x v="11"/>
  </r>
  <r>
    <x v="8"/>
    <s v="Life expectancy at birth, total (years)"/>
    <n v="52.802999999999997"/>
    <x v="11"/>
  </r>
  <r>
    <x v="9"/>
    <s v="Life expectancy at birth, total (years)"/>
    <m/>
    <x v="11"/>
  </r>
  <r>
    <x v="10"/>
    <s v="Life expectancy at birth, total (years)"/>
    <n v="39.866999999999997"/>
    <x v="11"/>
  </r>
  <r>
    <x v="11"/>
    <s v="Life expectancy at birth, total (years)"/>
    <n v="45.256999999999998"/>
    <x v="11"/>
  </r>
  <r>
    <x v="12"/>
    <s v="Life expectancy at birth, total (years)"/>
    <n v="41.011000000000003"/>
    <x v="11"/>
  </r>
  <r>
    <x v="13"/>
    <s v="Life expectancy at birth, total (years)"/>
    <n v="33.078000000000003"/>
    <x v="11"/>
  </r>
  <r>
    <x v="14"/>
    <s v="Life expectancy at birth, total (years)"/>
    <n v="65.134"/>
    <x v="11"/>
  </r>
  <r>
    <x v="15"/>
    <s v="Life expectancy at birth, total (years)"/>
    <n v="39.734999999999999"/>
    <x v="11"/>
  </r>
  <r>
    <x v="16"/>
    <s v="Life expectancy at birth, total (years)"/>
    <n v="51.433"/>
    <x v="11"/>
  </r>
  <r>
    <x v="17"/>
    <s v="Life expectancy at birth, total (years)"/>
    <n v="41.128999999999998"/>
    <x v="11"/>
  </r>
  <r>
    <x v="18"/>
    <s v="Life expectancy at birth, total (years)"/>
    <n v="54.328000000000003"/>
    <x v="11"/>
  </r>
  <r>
    <x v="19"/>
    <s v="Life expectancy at birth, total (years)"/>
    <n v="36.031999999999996"/>
    <x v="11"/>
  </r>
  <r>
    <x v="20"/>
    <s v="Life expectancy at birth, total (years)"/>
    <n v="44.411999999999999"/>
    <x v="11"/>
  </r>
  <r>
    <x v="21"/>
    <s v="Life expectancy at birth, total (years)"/>
    <n v="56.475999999999999"/>
    <x v="11"/>
  </r>
  <r>
    <x v="22"/>
    <s v="Life expectancy at birth, total (years)"/>
    <n v="64.528000000000006"/>
    <x v="11"/>
  </r>
  <r>
    <x v="23"/>
    <s v="Life expectancy at birth, total (years)"/>
    <n v="60.421999999999997"/>
    <x v="11"/>
  </r>
  <r>
    <x v="24"/>
    <s v="Life expectancy at birth, total (years)"/>
    <n v="47.119"/>
    <x v="11"/>
  </r>
  <r>
    <x v="25"/>
    <s v="Life expectancy at birth, total (years)"/>
    <n v="49.01"/>
    <x v="11"/>
  </r>
  <r>
    <x v="26"/>
    <s v="Life expectancy at birth, total (years)"/>
    <n v="49.51"/>
    <x v="11"/>
  </r>
  <r>
    <x v="27"/>
    <s v="Life expectancy at birth, total (years)"/>
    <n v="55.25"/>
    <x v="11"/>
  </r>
  <r>
    <x v="0"/>
    <s v="Life expectancy at birth, total (years)"/>
    <n v="44.231999999999999"/>
    <x v="12"/>
  </r>
  <r>
    <x v="1"/>
    <s v="Life expectancy at birth, total (years)"/>
    <n v="47.162999999999997"/>
    <x v="12"/>
  </r>
  <r>
    <x v="2"/>
    <s v="Life expectancy at birth, total (years)"/>
    <n v="42.232999999999997"/>
    <x v="12"/>
  </r>
  <r>
    <x v="3"/>
    <s v="Life expectancy at birth, total (years)"/>
    <n v="46.557000000000002"/>
    <x v="12"/>
  </r>
  <r>
    <x v="4"/>
    <s v="Life expectancy at birth, total (years)"/>
    <n v="50.442"/>
    <x v="12"/>
  </r>
  <r>
    <x v="5"/>
    <s v="Life expectancy at birth, total (years)"/>
    <n v="43.465000000000003"/>
    <x v="12"/>
  </r>
  <r>
    <x v="6"/>
    <s v="Life expectancy at birth, total (years)"/>
    <n v="37.255000000000003"/>
    <x v="12"/>
  </r>
  <r>
    <x v="7"/>
    <s v="Life expectancy at birth, total (years)"/>
    <n v="47.965000000000003"/>
    <x v="12"/>
  </r>
  <r>
    <x v="8"/>
    <s v="Life expectancy at birth, total (years)"/>
    <n v="53.378999999999998"/>
    <x v="12"/>
  </r>
  <r>
    <x v="9"/>
    <s v="Life expectancy at birth, total (years)"/>
    <m/>
    <x v="12"/>
  </r>
  <r>
    <x v="10"/>
    <s v="Life expectancy at birth, total (years)"/>
    <n v="40.521999999999998"/>
    <x v="12"/>
  </r>
  <r>
    <x v="11"/>
    <s v="Life expectancy at birth, total (years)"/>
    <n v="45.734999999999999"/>
    <x v="12"/>
  </r>
  <r>
    <x v="12"/>
    <s v="Life expectancy at birth, total (years)"/>
    <n v="41.475000000000001"/>
    <x v="12"/>
  </r>
  <r>
    <x v="13"/>
    <s v="Life expectancy at birth, total (years)"/>
    <n v="33.781999999999996"/>
    <x v="12"/>
  </r>
  <r>
    <x v="14"/>
    <s v="Life expectancy at birth, total (years)"/>
    <n v="65.186000000000007"/>
    <x v="12"/>
  </r>
  <r>
    <x v="15"/>
    <s v="Life expectancy at birth, total (years)"/>
    <n v="40.21"/>
    <x v="12"/>
  </r>
  <r>
    <x v="16"/>
    <s v="Life expectancy at birth, total (years)"/>
    <n v="51.817999999999998"/>
    <x v="12"/>
  </r>
  <r>
    <x v="17"/>
    <s v="Life expectancy at birth, total (years)"/>
    <n v="41.706000000000003"/>
    <x v="12"/>
  </r>
  <r>
    <x v="18"/>
    <s v="Life expectancy at birth, total (years)"/>
    <n v="54.941000000000003"/>
    <x v="12"/>
  </r>
  <r>
    <x v="19"/>
    <s v="Life expectancy at birth, total (years)"/>
    <n v="36.204000000000001"/>
    <x v="12"/>
  </r>
  <r>
    <x v="20"/>
    <s v="Life expectancy at birth, total (years)"/>
    <n v="44.484999999999999"/>
    <x v="12"/>
  </r>
  <r>
    <x v="21"/>
    <s v="Life expectancy at birth, total (years)"/>
    <n v="57.113999999999997"/>
    <x v="12"/>
  </r>
  <r>
    <x v="22"/>
    <s v="Life expectancy at birth, total (years)"/>
    <n v="64.933999999999997"/>
    <x v="12"/>
  </r>
  <r>
    <x v="23"/>
    <s v="Life expectancy at birth, total (years)"/>
    <n v="60.710999999999999"/>
    <x v="12"/>
  </r>
  <r>
    <x v="24"/>
    <s v="Life expectancy at birth, total (years)"/>
    <n v="47.545999999999999"/>
    <x v="12"/>
  </r>
  <r>
    <x v="25"/>
    <s v="Life expectancy at birth, total (years)"/>
    <n v="49.142000000000003"/>
    <x v="12"/>
  </r>
  <r>
    <x v="26"/>
    <s v="Life expectancy at birth, total (years)"/>
    <n v="49.970999999999997"/>
    <x v="12"/>
  </r>
  <r>
    <x v="27"/>
    <s v="Life expectancy at birth, total (years)"/>
    <n v="55.591999999999999"/>
    <x v="12"/>
  </r>
  <r>
    <x v="0"/>
    <s v="Life expectancy at birth, total (years)"/>
    <n v="44.517000000000003"/>
    <x v="13"/>
  </r>
  <r>
    <x v="1"/>
    <s v="Life expectancy at birth, total (years)"/>
    <n v="47.704999999999998"/>
    <x v="13"/>
  </r>
  <r>
    <x v="2"/>
    <s v="Life expectancy at birth, total (years)"/>
    <n v="42.637999999999998"/>
    <x v="13"/>
  </r>
  <r>
    <x v="3"/>
    <s v="Life expectancy at birth, total (years)"/>
    <n v="47.000999999999998"/>
    <x v="13"/>
  </r>
  <r>
    <x v="4"/>
    <s v="Life expectancy at birth, total (years)"/>
    <n v="50.981999999999999"/>
    <x v="13"/>
  </r>
  <r>
    <x v="5"/>
    <s v="Life expectancy at birth, total (years)"/>
    <n v="43.692999999999998"/>
    <x v="13"/>
  </r>
  <r>
    <x v="6"/>
    <s v="Life expectancy at birth, total (years)"/>
    <n v="37.622999999999998"/>
    <x v="13"/>
  </r>
  <r>
    <x v="7"/>
    <s v="Life expectancy at birth, total (years)"/>
    <n v="48.341000000000001"/>
    <x v="13"/>
  </r>
  <r>
    <x v="8"/>
    <s v="Life expectancy at birth, total (years)"/>
    <n v="53.945"/>
    <x v="13"/>
  </r>
  <r>
    <x v="9"/>
    <s v="Life expectancy at birth, total (years)"/>
    <m/>
    <x v="13"/>
  </r>
  <r>
    <x v="10"/>
    <s v="Life expectancy at birth, total (years)"/>
    <n v="41.216999999999999"/>
    <x v="13"/>
  </r>
  <r>
    <x v="11"/>
    <s v="Life expectancy at birth, total (years)"/>
    <n v="46.203000000000003"/>
    <x v="13"/>
  </r>
  <r>
    <x v="12"/>
    <s v="Life expectancy at birth, total (years)"/>
    <n v="41.932000000000002"/>
    <x v="13"/>
  </r>
  <r>
    <x v="13"/>
    <s v="Life expectancy at birth, total (years)"/>
    <n v="34.493000000000002"/>
    <x v="13"/>
  </r>
  <r>
    <x v="14"/>
    <s v="Life expectancy at birth, total (years)"/>
    <n v="65.212999999999994"/>
    <x v="13"/>
  </r>
  <r>
    <x v="15"/>
    <s v="Life expectancy at birth, total (years)"/>
    <n v="40.679000000000002"/>
    <x v="13"/>
  </r>
  <r>
    <x v="16"/>
    <s v="Life expectancy at birth, total (years)"/>
    <n v="52.189"/>
    <x v="13"/>
  </r>
  <r>
    <x v="17"/>
    <s v="Life expectancy at birth, total (years)"/>
    <n v="42.28"/>
    <x v="13"/>
  </r>
  <r>
    <x v="18"/>
    <s v="Life expectancy at birth, total (years)"/>
    <n v="55.517000000000003"/>
    <x v="13"/>
  </r>
  <r>
    <x v="19"/>
    <s v="Life expectancy at birth, total (years)"/>
    <n v="36.402999999999999"/>
    <x v="13"/>
  </r>
  <r>
    <x v="20"/>
    <s v="Life expectancy at birth, total (years)"/>
    <n v="44.576999999999998"/>
    <x v="13"/>
  </r>
  <r>
    <x v="21"/>
    <s v="Life expectancy at birth, total (years)"/>
    <n v="57.758000000000003"/>
    <x v="13"/>
  </r>
  <r>
    <x v="22"/>
    <s v="Life expectancy at birth, total (years)"/>
    <n v="65.320999999999998"/>
    <x v="13"/>
  </r>
  <r>
    <x v="23"/>
    <s v="Life expectancy at birth, total (years)"/>
    <n v="60.985999999999997"/>
    <x v="13"/>
  </r>
  <r>
    <x v="24"/>
    <s v="Life expectancy at birth, total (years)"/>
    <n v="47.991999999999997"/>
    <x v="13"/>
  </r>
  <r>
    <x v="25"/>
    <s v="Life expectancy at birth, total (years)"/>
    <n v="49.235999999999997"/>
    <x v="13"/>
  </r>
  <r>
    <x v="26"/>
    <s v="Life expectancy at birth, total (years)"/>
    <n v="50.401000000000003"/>
    <x v="13"/>
  </r>
  <r>
    <x v="27"/>
    <s v="Life expectancy at birth, total (years)"/>
    <n v="55.948"/>
    <x v="13"/>
  </r>
  <r>
    <x v="0"/>
    <s v="Life expectancy at birth, total (years)"/>
    <n v="44.865000000000002"/>
    <x v="14"/>
  </r>
  <r>
    <x v="1"/>
    <s v="Life expectancy at birth, total (years)"/>
    <n v="48.247"/>
    <x v="14"/>
  </r>
  <r>
    <x v="2"/>
    <s v="Life expectancy at birth, total (years)"/>
    <n v="43.003"/>
    <x v="14"/>
  </r>
  <r>
    <x v="3"/>
    <s v="Life expectancy at birth, total (years)"/>
    <n v="47.441000000000003"/>
    <x v="14"/>
  </r>
  <r>
    <x v="4"/>
    <s v="Life expectancy at birth, total (years)"/>
    <n v="51.442"/>
    <x v="14"/>
  </r>
  <r>
    <x v="5"/>
    <s v="Life expectancy at birth, total (years)"/>
    <n v="43.893999999999998"/>
    <x v="14"/>
  </r>
  <r>
    <x v="6"/>
    <s v="Life expectancy at birth, total (years)"/>
    <n v="38.039000000000001"/>
    <x v="14"/>
  </r>
  <r>
    <x v="7"/>
    <s v="Life expectancy at birth, total (years)"/>
    <n v="48.722999999999999"/>
    <x v="14"/>
  </r>
  <r>
    <x v="8"/>
    <s v="Life expectancy at birth, total (years)"/>
    <n v="54.497"/>
    <x v="14"/>
  </r>
  <r>
    <x v="9"/>
    <s v="Life expectancy at birth, total (years)"/>
    <m/>
    <x v="14"/>
  </r>
  <r>
    <x v="10"/>
    <s v="Life expectancy at birth, total (years)"/>
    <n v="41.942999999999998"/>
    <x v="14"/>
  </r>
  <r>
    <x v="11"/>
    <s v="Life expectancy at birth, total (years)"/>
    <n v="46.655999999999999"/>
    <x v="14"/>
  </r>
  <r>
    <x v="12"/>
    <s v="Life expectancy at birth, total (years)"/>
    <n v="42.375999999999998"/>
    <x v="14"/>
  </r>
  <r>
    <x v="13"/>
    <s v="Life expectancy at birth, total (years)"/>
    <n v="35.204999999999998"/>
    <x v="14"/>
  </r>
  <r>
    <x v="14"/>
    <s v="Life expectancy at birth, total (years)"/>
    <n v="65.221000000000004"/>
    <x v="14"/>
  </r>
  <r>
    <x v="15"/>
    <s v="Life expectancy at birth, total (years)"/>
    <n v="41.125"/>
    <x v="14"/>
  </r>
  <r>
    <x v="16"/>
    <s v="Life expectancy at birth, total (years)"/>
    <n v="52.564"/>
    <x v="14"/>
  </r>
  <r>
    <x v="17"/>
    <s v="Life expectancy at birth, total (years)"/>
    <n v="42.854999999999997"/>
    <x v="14"/>
  </r>
  <r>
    <x v="18"/>
    <s v="Life expectancy at birth, total (years)"/>
    <n v="56.052999999999997"/>
    <x v="14"/>
  </r>
  <r>
    <x v="19"/>
    <s v="Life expectancy at birth, total (years)"/>
    <n v="36.634"/>
    <x v="14"/>
  </r>
  <r>
    <x v="20"/>
    <s v="Life expectancy at birth, total (years)"/>
    <n v="44.709000000000003"/>
    <x v="14"/>
  </r>
  <r>
    <x v="21"/>
    <s v="Life expectancy at birth, total (years)"/>
    <n v="58.389000000000003"/>
    <x v="14"/>
  </r>
  <r>
    <x v="22"/>
    <s v="Life expectancy at birth, total (years)"/>
    <n v="65.694000000000003"/>
    <x v="14"/>
  </r>
  <r>
    <x v="23"/>
    <s v="Life expectancy at birth, total (years)"/>
    <n v="61.247"/>
    <x v="14"/>
  </r>
  <r>
    <x v="24"/>
    <s v="Life expectancy at birth, total (years)"/>
    <n v="48.447000000000003"/>
    <x v="14"/>
  </r>
  <r>
    <x v="25"/>
    <s v="Life expectancy at birth, total (years)"/>
    <n v="49.301000000000002"/>
    <x v="14"/>
  </r>
  <r>
    <x v="26"/>
    <s v="Life expectancy at birth, total (years)"/>
    <n v="50.78"/>
    <x v="14"/>
  </r>
  <r>
    <x v="27"/>
    <s v="Life expectancy at birth, total (years)"/>
    <n v="56.323999999999998"/>
    <x v="14"/>
  </r>
  <r>
    <x v="0"/>
    <s v="Life expectancy at birth, total (years)"/>
    <n v="45.265999999999998"/>
    <x v="15"/>
  </r>
  <r>
    <x v="1"/>
    <s v="Life expectancy at birth, total (years)"/>
    <n v="48.783999999999999"/>
    <x v="15"/>
  </r>
  <r>
    <x v="2"/>
    <s v="Life expectancy at birth, total (years)"/>
    <n v="43.326999999999998"/>
    <x v="15"/>
  </r>
  <r>
    <x v="3"/>
    <s v="Life expectancy at birth, total (years)"/>
    <n v="47.887"/>
    <x v="15"/>
  </r>
  <r>
    <x v="4"/>
    <s v="Life expectancy at birth, total (years)"/>
    <n v="51.832000000000001"/>
    <x v="15"/>
  </r>
  <r>
    <x v="5"/>
    <s v="Life expectancy at birth, total (years)"/>
    <n v="44.045000000000002"/>
    <x v="15"/>
  </r>
  <r>
    <x v="6"/>
    <s v="Life expectancy at birth, total (years)"/>
    <n v="38.497999999999998"/>
    <x v="15"/>
  </r>
  <r>
    <x v="7"/>
    <s v="Life expectancy at birth, total (years)"/>
    <n v="49.106999999999999"/>
    <x v="15"/>
  </r>
  <r>
    <x v="8"/>
    <s v="Life expectancy at birth, total (years)"/>
    <n v="55.042000000000002"/>
    <x v="15"/>
  </r>
  <r>
    <x v="9"/>
    <s v="Life expectancy at birth, total (years)"/>
    <m/>
    <x v="15"/>
  </r>
  <r>
    <x v="10"/>
    <s v="Life expectancy at birth, total (years)"/>
    <n v="42.686"/>
    <x v="15"/>
  </r>
  <r>
    <x v="11"/>
    <s v="Life expectancy at birth, total (years)"/>
    <n v="47.094000000000001"/>
    <x v="15"/>
  </r>
  <r>
    <x v="12"/>
    <s v="Life expectancy at birth, total (years)"/>
    <n v="42.802"/>
    <x v="15"/>
  </r>
  <r>
    <x v="13"/>
    <s v="Life expectancy at birth, total (years)"/>
    <n v="35.920999999999999"/>
    <x v="15"/>
  </r>
  <r>
    <x v="14"/>
    <s v="Life expectancy at birth, total (years)"/>
    <n v="65.209000000000003"/>
    <x v="15"/>
  </r>
  <r>
    <x v="15"/>
    <s v="Life expectancy at birth, total (years)"/>
    <n v="41.512"/>
    <x v="15"/>
  </r>
  <r>
    <x v="16"/>
    <s v="Life expectancy at birth, total (years)"/>
    <n v="52.954000000000001"/>
    <x v="15"/>
  </r>
  <r>
    <x v="17"/>
    <s v="Life expectancy at birth, total (years)"/>
    <n v="43.433999999999997"/>
    <x v="15"/>
  </r>
  <r>
    <x v="18"/>
    <s v="Life expectancy at birth, total (years)"/>
    <n v="56.545000000000002"/>
    <x v="15"/>
  </r>
  <r>
    <x v="19"/>
    <s v="Life expectancy at birth, total (years)"/>
    <n v="36.905000000000001"/>
    <x v="15"/>
  </r>
  <r>
    <x v="20"/>
    <s v="Life expectancy at birth, total (years)"/>
    <n v="44.932000000000002"/>
    <x v="15"/>
  </r>
  <r>
    <x v="21"/>
    <s v="Life expectancy at birth, total (years)"/>
    <n v="58.976999999999997"/>
    <x v="15"/>
  </r>
  <r>
    <x v="22"/>
    <s v="Life expectancy at birth, total (years)"/>
    <n v="66.066999999999993"/>
    <x v="15"/>
  </r>
  <r>
    <x v="23"/>
    <s v="Life expectancy at birth, total (years)"/>
    <n v="61.499000000000002"/>
    <x v="15"/>
  </r>
  <r>
    <x v="24"/>
    <s v="Life expectancy at birth, total (years)"/>
    <n v="48.890999999999998"/>
    <x v="15"/>
  </r>
  <r>
    <x v="25"/>
    <s v="Life expectancy at birth, total (years)"/>
    <n v="49.347000000000001"/>
    <x v="15"/>
  </r>
  <r>
    <x v="26"/>
    <s v="Life expectancy at birth, total (years)"/>
    <n v="51.088999999999999"/>
    <x v="15"/>
  </r>
  <r>
    <x v="27"/>
    <s v="Life expectancy at birth, total (years)"/>
    <n v="56.732999999999997"/>
    <x v="15"/>
  </r>
  <r>
    <x v="0"/>
    <s v="Life expectancy at birth, total (years)"/>
    <n v="45.701000000000001"/>
    <x v="16"/>
  </r>
  <r>
    <x v="1"/>
    <s v="Life expectancy at birth, total (years)"/>
    <n v="49.311"/>
    <x v="16"/>
  </r>
  <r>
    <x v="2"/>
    <s v="Life expectancy at birth, total (years)"/>
    <n v="43.619"/>
    <x v="16"/>
  </r>
  <r>
    <x v="3"/>
    <s v="Life expectancy at birth, total (years)"/>
    <n v="48.356000000000002"/>
    <x v="16"/>
  </r>
  <r>
    <x v="4"/>
    <s v="Life expectancy at birth, total (years)"/>
    <n v="52.177"/>
    <x v="16"/>
  </r>
  <r>
    <x v="5"/>
    <s v="Life expectancy at birth, total (years)"/>
    <n v="44.116"/>
    <x v="16"/>
  </r>
  <r>
    <x v="6"/>
    <s v="Life expectancy at birth, total (years)"/>
    <n v="38.993000000000002"/>
    <x v="16"/>
  </r>
  <r>
    <x v="7"/>
    <s v="Life expectancy at birth, total (years)"/>
    <n v="49.484999999999999"/>
    <x v="16"/>
  </r>
  <r>
    <x v="8"/>
    <s v="Life expectancy at birth, total (years)"/>
    <n v="55.591999999999999"/>
    <x v="16"/>
  </r>
  <r>
    <x v="9"/>
    <s v="Life expectancy at birth, total (years)"/>
    <m/>
    <x v="16"/>
  </r>
  <r>
    <x v="10"/>
    <s v="Life expectancy at birth, total (years)"/>
    <n v="43.430999999999997"/>
    <x v="16"/>
  </r>
  <r>
    <x v="11"/>
    <s v="Life expectancy at birth, total (years)"/>
    <n v="47.517000000000003"/>
    <x v="16"/>
  </r>
  <r>
    <x v="12"/>
    <s v="Life expectancy at birth, total (years)"/>
    <n v="43.215000000000003"/>
    <x v="16"/>
  </r>
  <r>
    <x v="13"/>
    <s v="Life expectancy at birth, total (years)"/>
    <n v="36.645000000000003"/>
    <x v="16"/>
  </r>
  <r>
    <x v="14"/>
    <s v="Life expectancy at birth, total (years)"/>
    <n v="65.171999999999997"/>
    <x v="16"/>
  </r>
  <r>
    <x v="15"/>
    <s v="Life expectancy at birth, total (years)"/>
    <n v="41.804000000000002"/>
    <x v="16"/>
  </r>
  <r>
    <x v="16"/>
    <s v="Life expectancy at birth, total (years)"/>
    <n v="53.360999999999997"/>
    <x v="16"/>
  </r>
  <r>
    <x v="17"/>
    <s v="Life expectancy at birth, total (years)"/>
    <n v="44.023000000000003"/>
    <x v="16"/>
  </r>
  <r>
    <x v="18"/>
    <s v="Life expectancy at birth, total (years)"/>
    <n v="56.991"/>
    <x v="16"/>
  </r>
  <r>
    <x v="19"/>
    <s v="Life expectancy at birth, total (years)"/>
    <n v="37.226999999999997"/>
    <x v="16"/>
  </r>
  <r>
    <x v="20"/>
    <s v="Life expectancy at birth, total (years)"/>
    <n v="45.3"/>
    <x v="16"/>
  </r>
  <r>
    <x v="21"/>
    <s v="Life expectancy at birth, total (years)"/>
    <n v="59.487000000000002"/>
    <x v="16"/>
  </r>
  <r>
    <x v="22"/>
    <s v="Life expectancy at birth, total (years)"/>
    <n v="66.459000000000003"/>
    <x v="16"/>
  </r>
  <r>
    <x v="23"/>
    <s v="Life expectancy at birth, total (years)"/>
    <n v="61.743000000000002"/>
    <x v="16"/>
  </r>
  <r>
    <x v="24"/>
    <s v="Life expectancy at birth, total (years)"/>
    <n v="49.305999999999997"/>
    <x v="16"/>
  </r>
  <r>
    <x v="25"/>
    <s v="Life expectancy at birth, total (years)"/>
    <n v="49.384"/>
    <x v="16"/>
  </r>
  <r>
    <x v="26"/>
    <s v="Life expectancy at birth, total (years)"/>
    <n v="51.317"/>
    <x v="16"/>
  </r>
  <r>
    <x v="27"/>
    <s v="Life expectancy at birth, total (years)"/>
    <n v="57.194000000000003"/>
    <x v="16"/>
  </r>
  <r>
    <x v="0"/>
    <s v="Life expectancy at birth, total (years)"/>
    <n v="46.140999999999998"/>
    <x v="17"/>
  </r>
  <r>
    <x v="1"/>
    <s v="Life expectancy at birth, total (years)"/>
    <n v="49.825000000000003"/>
    <x v="17"/>
  </r>
  <r>
    <x v="2"/>
    <s v="Life expectancy at birth, total (years)"/>
    <n v="43.892000000000003"/>
    <x v="17"/>
  </r>
  <r>
    <x v="3"/>
    <s v="Life expectancy at birth, total (years)"/>
    <n v="48.86"/>
    <x v="17"/>
  </r>
  <r>
    <x v="4"/>
    <s v="Life expectancy at birth, total (years)"/>
    <n v="52.512999999999998"/>
    <x v="17"/>
  </r>
  <r>
    <x v="5"/>
    <s v="Life expectancy at birth, total (years)"/>
    <n v="44.103000000000002"/>
    <x v="17"/>
  </r>
  <r>
    <x v="6"/>
    <s v="Life expectancy at birth, total (years)"/>
    <n v="39.517000000000003"/>
    <x v="17"/>
  </r>
  <r>
    <x v="7"/>
    <s v="Life expectancy at birth, total (years)"/>
    <n v="49.848999999999997"/>
    <x v="17"/>
  </r>
  <r>
    <x v="8"/>
    <s v="Life expectancy at birth, total (years)"/>
    <n v="56.148000000000003"/>
    <x v="17"/>
  </r>
  <r>
    <x v="9"/>
    <s v="Life expectancy at birth, total (years)"/>
    <m/>
    <x v="17"/>
  </r>
  <r>
    <x v="10"/>
    <s v="Life expectancy at birth, total (years)"/>
    <n v="44.155999999999999"/>
    <x v="17"/>
  </r>
  <r>
    <x v="11"/>
    <s v="Life expectancy at birth, total (years)"/>
    <n v="47.926000000000002"/>
    <x v="17"/>
  </r>
  <r>
    <x v="12"/>
    <s v="Life expectancy at birth, total (years)"/>
    <n v="43.621000000000002"/>
    <x v="17"/>
  </r>
  <r>
    <x v="13"/>
    <s v="Life expectancy at birth, total (years)"/>
    <n v="37.384999999999998"/>
    <x v="17"/>
  </r>
  <r>
    <x v="14"/>
    <s v="Life expectancy at birth, total (years)"/>
    <n v="65.111000000000004"/>
    <x v="17"/>
  </r>
  <r>
    <x v="15"/>
    <s v="Life expectancy at birth, total (years)"/>
    <n v="41.982999999999997"/>
    <x v="17"/>
  </r>
  <r>
    <x v="16"/>
    <s v="Life expectancy at birth, total (years)"/>
    <n v="53.771999999999998"/>
    <x v="17"/>
  </r>
  <r>
    <x v="17"/>
    <s v="Life expectancy at birth, total (years)"/>
    <n v="44.627000000000002"/>
    <x v="17"/>
  </r>
  <r>
    <x v="18"/>
    <s v="Life expectancy at birth, total (years)"/>
    <n v="57.398000000000003"/>
    <x v="17"/>
  </r>
  <r>
    <x v="19"/>
    <s v="Life expectancy at birth, total (years)"/>
    <n v="37.6"/>
    <x v="17"/>
  </r>
  <r>
    <x v="20"/>
    <s v="Life expectancy at birth, total (years)"/>
    <n v="45.823999999999998"/>
    <x v="17"/>
  </r>
  <r>
    <x v="21"/>
    <s v="Life expectancy at birth, total (years)"/>
    <n v="59.902000000000001"/>
    <x v="17"/>
  </r>
  <r>
    <x v="22"/>
    <s v="Life expectancy at birth, total (years)"/>
    <n v="66.873999999999995"/>
    <x v="17"/>
  </r>
  <r>
    <x v="23"/>
    <s v="Life expectancy at birth, total (years)"/>
    <n v="61.981999999999999"/>
    <x v="17"/>
  </r>
  <r>
    <x v="24"/>
    <s v="Life expectancy at birth, total (years)"/>
    <n v="49.674999999999997"/>
    <x v="17"/>
  </r>
  <r>
    <x v="25"/>
    <s v="Life expectancy at birth, total (years)"/>
    <n v="49.411999999999999"/>
    <x v="17"/>
  </r>
  <r>
    <x v="26"/>
    <s v="Life expectancy at birth, total (years)"/>
    <n v="51.456000000000003"/>
    <x v="17"/>
  </r>
  <r>
    <x v="27"/>
    <s v="Life expectancy at birth, total (years)"/>
    <n v="57.707999999999998"/>
    <x v="17"/>
  </r>
  <r>
    <x v="0"/>
    <s v="Life expectancy at birth, total (years)"/>
    <n v="46.561999999999998"/>
    <x v="18"/>
  </r>
  <r>
    <x v="1"/>
    <s v="Life expectancy at birth, total (years)"/>
    <n v="50.317999999999998"/>
    <x v="18"/>
  </r>
  <r>
    <x v="2"/>
    <s v="Life expectancy at birth, total (years)"/>
    <n v="44.161000000000001"/>
    <x v="18"/>
  </r>
  <r>
    <x v="3"/>
    <s v="Life expectancy at birth, total (years)"/>
    <n v="49.405999999999999"/>
    <x v="18"/>
  </r>
  <r>
    <x v="4"/>
    <s v="Life expectancy at birth, total (years)"/>
    <n v="52.865000000000002"/>
    <x v="18"/>
  </r>
  <r>
    <x v="5"/>
    <s v="Life expectancy at birth, total (years)"/>
    <n v="44.015999999999998"/>
    <x v="18"/>
  </r>
  <r>
    <x v="6"/>
    <s v="Life expectancy at birth, total (years)"/>
    <n v="40.067999999999998"/>
    <x v="18"/>
  </r>
  <r>
    <x v="7"/>
    <s v="Life expectancy at birth, total (years)"/>
    <n v="50.195999999999998"/>
    <x v="18"/>
  </r>
  <r>
    <x v="8"/>
    <s v="Life expectancy at birth, total (years)"/>
    <n v="56.704999999999998"/>
    <x v="18"/>
  </r>
  <r>
    <x v="9"/>
    <s v="Life expectancy at birth, total (years)"/>
    <m/>
    <x v="18"/>
  </r>
  <r>
    <x v="10"/>
    <s v="Life expectancy at birth, total (years)"/>
    <n v="44.838000000000001"/>
    <x v="18"/>
  </r>
  <r>
    <x v="11"/>
    <s v="Life expectancy at birth, total (years)"/>
    <n v="48.317"/>
    <x v="18"/>
  </r>
  <r>
    <x v="12"/>
    <s v="Life expectancy at birth, total (years)"/>
    <n v="44.02"/>
    <x v="18"/>
  </r>
  <r>
    <x v="13"/>
    <s v="Life expectancy at birth, total (years)"/>
    <n v="38.142000000000003"/>
    <x v="18"/>
  </r>
  <r>
    <x v="14"/>
    <s v="Life expectancy at birth, total (years)"/>
    <n v="65.037000000000006"/>
    <x v="18"/>
  </r>
  <r>
    <x v="15"/>
    <s v="Life expectancy at birth, total (years)"/>
    <n v="42.05"/>
    <x v="18"/>
  </r>
  <r>
    <x v="16"/>
    <s v="Life expectancy at birth, total (years)"/>
    <n v="54.179000000000002"/>
    <x v="18"/>
  </r>
  <r>
    <x v="17"/>
    <s v="Life expectancy at birth, total (years)"/>
    <n v="45.25"/>
    <x v="18"/>
  </r>
  <r>
    <x v="18"/>
    <s v="Life expectancy at birth, total (years)"/>
    <n v="57.779000000000003"/>
    <x v="18"/>
  </r>
  <r>
    <x v="19"/>
    <s v="Life expectancy at birth, total (years)"/>
    <n v="38.020000000000003"/>
    <x v="18"/>
  </r>
  <r>
    <x v="20"/>
    <s v="Life expectancy at birth, total (years)"/>
    <n v="46.484999999999999"/>
    <x v="18"/>
  </r>
  <r>
    <x v="21"/>
    <s v="Life expectancy at birth, total (years)"/>
    <n v="60.213000000000001"/>
    <x v="18"/>
  </r>
  <r>
    <x v="22"/>
    <s v="Life expectancy at birth, total (years)"/>
    <n v="67.308000000000007"/>
    <x v="18"/>
  </r>
  <r>
    <x v="23"/>
    <s v="Life expectancy at birth, total (years)"/>
    <n v="62.216000000000001"/>
    <x v="18"/>
  </r>
  <r>
    <x v="24"/>
    <s v="Life expectancy at birth, total (years)"/>
    <n v="49.987000000000002"/>
    <x v="18"/>
  </r>
  <r>
    <x v="25"/>
    <s v="Life expectancy at birth, total (years)"/>
    <n v="49.426000000000002"/>
    <x v="18"/>
  </r>
  <r>
    <x v="26"/>
    <s v="Life expectancy at birth, total (years)"/>
    <n v="51.500999999999998"/>
    <x v="18"/>
  </r>
  <r>
    <x v="27"/>
    <s v="Life expectancy at birth, total (years)"/>
    <n v="58.259"/>
    <x v="18"/>
  </r>
  <r>
    <x v="0"/>
    <s v="Life expectancy at birth, total (years)"/>
    <n v="46.953000000000003"/>
    <x v="19"/>
  </r>
  <r>
    <x v="1"/>
    <s v="Life expectancy at birth, total (years)"/>
    <n v="50.780999999999999"/>
    <x v="19"/>
  </r>
  <r>
    <x v="2"/>
    <s v="Life expectancy at birth, total (years)"/>
    <n v="44.43"/>
    <x v="19"/>
  </r>
  <r>
    <x v="3"/>
    <s v="Life expectancy at birth, total (years)"/>
    <n v="49.991999999999997"/>
    <x v="19"/>
  </r>
  <r>
    <x v="4"/>
    <s v="Life expectancy at birth, total (years)"/>
    <n v="53.241"/>
    <x v="19"/>
  </r>
  <r>
    <x v="5"/>
    <s v="Life expectancy at birth, total (years)"/>
    <n v="43.88"/>
    <x v="19"/>
  </r>
  <r>
    <x v="6"/>
    <s v="Life expectancy at birth, total (years)"/>
    <n v="40.65"/>
    <x v="19"/>
  </r>
  <r>
    <x v="7"/>
    <s v="Life expectancy at birth, total (years)"/>
    <n v="50.527000000000001"/>
    <x v="19"/>
  </r>
  <r>
    <x v="8"/>
    <s v="Life expectancy at birth, total (years)"/>
    <n v="57.247"/>
    <x v="19"/>
  </r>
  <r>
    <x v="9"/>
    <s v="Life expectancy at birth, total (years)"/>
    <m/>
    <x v="19"/>
  </r>
  <r>
    <x v="10"/>
    <s v="Life expectancy at birth, total (years)"/>
    <n v="45.457999999999998"/>
    <x v="19"/>
  </r>
  <r>
    <x v="11"/>
    <s v="Life expectancy at birth, total (years)"/>
    <n v="48.683"/>
    <x v="19"/>
  </r>
  <r>
    <x v="12"/>
    <s v="Life expectancy at birth, total (years)"/>
    <n v="44.408000000000001"/>
    <x v="19"/>
  </r>
  <r>
    <x v="13"/>
    <s v="Life expectancy at birth, total (years)"/>
    <n v="38.908999999999999"/>
    <x v="19"/>
  </r>
  <r>
    <x v="14"/>
    <s v="Life expectancy at birth, total (years)"/>
    <n v="64.971000000000004"/>
    <x v="19"/>
  </r>
  <r>
    <x v="15"/>
    <s v="Life expectancy at birth, total (years)"/>
    <n v="42.017000000000003"/>
    <x v="19"/>
  </r>
  <r>
    <x v="16"/>
    <s v="Life expectancy at birth, total (years)"/>
    <n v="54.581000000000003"/>
    <x v="19"/>
  </r>
  <r>
    <x v="17"/>
    <s v="Life expectancy at birth, total (years)"/>
    <n v="45.895000000000003"/>
    <x v="19"/>
  </r>
  <r>
    <x v="18"/>
    <s v="Life expectancy at birth, total (years)"/>
    <n v="58.146000000000001"/>
    <x v="19"/>
  </r>
  <r>
    <x v="19"/>
    <s v="Life expectancy at birth, total (years)"/>
    <n v="38.479999999999997"/>
    <x v="19"/>
  </r>
  <r>
    <x v="20"/>
    <s v="Life expectancy at birth, total (years)"/>
    <n v="47.241"/>
    <x v="19"/>
  </r>
  <r>
    <x v="21"/>
    <s v="Life expectancy at birth, total (years)"/>
    <n v="60.424999999999997"/>
    <x v="19"/>
  </r>
  <r>
    <x v="22"/>
    <s v="Life expectancy at birth, total (years)"/>
    <n v="67.751000000000005"/>
    <x v="19"/>
  </r>
  <r>
    <x v="23"/>
    <s v="Life expectancy at birth, total (years)"/>
    <n v="62.445"/>
    <x v="19"/>
  </r>
  <r>
    <x v="24"/>
    <s v="Life expectancy at birth, total (years)"/>
    <n v="50.237000000000002"/>
    <x v="19"/>
  </r>
  <r>
    <x v="25"/>
    <s v="Life expectancy at birth, total (years)"/>
    <n v="49.418999999999997"/>
    <x v="19"/>
  </r>
  <r>
    <x v="26"/>
    <s v="Life expectancy at birth, total (years)"/>
    <n v="51.442"/>
    <x v="19"/>
  </r>
  <r>
    <x v="27"/>
    <s v="Life expectancy at birth, total (years)"/>
    <n v="58.828000000000003"/>
    <x v="19"/>
  </r>
  <r>
    <x v="0"/>
    <s v="Life expectancy at birth, total (years)"/>
    <n v="47.314"/>
    <x v="20"/>
  </r>
  <r>
    <x v="1"/>
    <s v="Life expectancy at birth, total (years)"/>
    <n v="51.210999999999999"/>
    <x v="20"/>
  </r>
  <r>
    <x v="2"/>
    <s v="Life expectancy at birth, total (years)"/>
    <n v="44.704000000000001"/>
    <x v="20"/>
  </r>
  <r>
    <x v="3"/>
    <s v="Life expectancy at birth, total (years)"/>
    <n v="50.615000000000002"/>
    <x v="20"/>
  </r>
  <r>
    <x v="4"/>
    <s v="Life expectancy at birth, total (years)"/>
    <n v="53.639000000000003"/>
    <x v="20"/>
  </r>
  <r>
    <x v="5"/>
    <s v="Life expectancy at birth, total (years)"/>
    <n v="43.746000000000002"/>
    <x v="20"/>
  </r>
  <r>
    <x v="6"/>
    <s v="Life expectancy at birth, total (years)"/>
    <n v="41.279000000000003"/>
    <x v="20"/>
  </r>
  <r>
    <x v="7"/>
    <s v="Life expectancy at birth, total (years)"/>
    <n v="50.851999999999997"/>
    <x v="20"/>
  </r>
  <r>
    <x v="8"/>
    <s v="Life expectancy at birth, total (years)"/>
    <n v="57.756999999999998"/>
    <x v="20"/>
  </r>
  <r>
    <x v="9"/>
    <s v="Life expectancy at birth, total (years)"/>
    <m/>
    <x v="20"/>
  </r>
  <r>
    <x v="10"/>
    <s v="Life expectancy at birth, total (years)"/>
    <n v="45.996000000000002"/>
    <x v="20"/>
  </r>
  <r>
    <x v="11"/>
    <s v="Life expectancy at birth, total (years)"/>
    <n v="49.005000000000003"/>
    <x v="20"/>
  </r>
  <r>
    <x v="12"/>
    <s v="Life expectancy at birth, total (years)"/>
    <n v="44.776000000000003"/>
    <x v="20"/>
  </r>
  <r>
    <x v="13"/>
    <s v="Life expectancy at birth, total (years)"/>
    <n v="39.677"/>
    <x v="20"/>
  </r>
  <r>
    <x v="14"/>
    <s v="Life expectancy at birth, total (years)"/>
    <n v="64.950999999999993"/>
    <x v="20"/>
  </r>
  <r>
    <x v="15"/>
    <s v="Life expectancy at birth, total (years)"/>
    <n v="41.912999999999997"/>
    <x v="20"/>
  </r>
  <r>
    <x v="16"/>
    <s v="Life expectancy at birth, total (years)"/>
    <n v="54.978000000000002"/>
    <x v="20"/>
  </r>
  <r>
    <x v="17"/>
    <s v="Life expectancy at birth, total (years)"/>
    <n v="46.561999999999998"/>
    <x v="20"/>
  </r>
  <r>
    <x v="18"/>
    <s v="Life expectancy at birth, total (years)"/>
    <n v="58.509"/>
    <x v="20"/>
  </r>
  <r>
    <x v="19"/>
    <s v="Life expectancy at birth, total (years)"/>
    <n v="38.962000000000003"/>
    <x v="20"/>
  </r>
  <r>
    <x v="20"/>
    <s v="Life expectancy at birth, total (years)"/>
    <n v="48.085000000000001"/>
    <x v="20"/>
  </r>
  <r>
    <x v="21"/>
    <s v="Life expectancy at birth, total (years)"/>
    <n v="60.554000000000002"/>
    <x v="20"/>
  </r>
  <r>
    <x v="22"/>
    <s v="Life expectancy at birth, total (years)"/>
    <n v="68.171000000000006"/>
    <x v="20"/>
  </r>
  <r>
    <x v="23"/>
    <s v="Life expectancy at birth, total (years)"/>
    <n v="62.679000000000002"/>
    <x v="20"/>
  </r>
  <r>
    <x v="24"/>
    <s v="Life expectancy at birth, total (years)"/>
    <n v="50.429000000000002"/>
    <x v="20"/>
  </r>
  <r>
    <x v="25"/>
    <s v="Life expectancy at birth, total (years)"/>
    <n v="49.374000000000002"/>
    <x v="20"/>
  </r>
  <r>
    <x v="26"/>
    <s v="Life expectancy at birth, total (years)"/>
    <n v="51.265000000000001"/>
    <x v="20"/>
  </r>
  <r>
    <x v="27"/>
    <s v="Life expectancy at birth, total (years)"/>
    <n v="59.39"/>
    <x v="20"/>
  </r>
  <r>
    <x v="0"/>
    <s v="Life expectancy at birth, total (years)"/>
    <n v="47.656999999999996"/>
    <x v="21"/>
  </r>
  <r>
    <x v="1"/>
    <s v="Life expectancy at birth, total (years)"/>
    <n v="51.603999999999999"/>
    <x v="21"/>
  </r>
  <r>
    <x v="2"/>
    <s v="Life expectancy at birth, total (years)"/>
    <n v="44.985999999999997"/>
    <x v="21"/>
  </r>
  <r>
    <x v="3"/>
    <s v="Life expectancy at birth, total (years)"/>
    <n v="51.265000000000001"/>
    <x v="21"/>
  </r>
  <r>
    <x v="4"/>
    <s v="Life expectancy at birth, total (years)"/>
    <n v="54.048999999999999"/>
    <x v="21"/>
  </r>
  <r>
    <x v="5"/>
    <s v="Life expectancy at birth, total (years)"/>
    <n v="43.673999999999999"/>
    <x v="21"/>
  </r>
  <r>
    <x v="6"/>
    <s v="Life expectancy at birth, total (years)"/>
    <n v="41.976999999999997"/>
    <x v="21"/>
  </r>
  <r>
    <x v="7"/>
    <s v="Life expectancy at birth, total (years)"/>
    <n v="51.182000000000002"/>
    <x v="21"/>
  </r>
  <r>
    <x v="8"/>
    <s v="Life expectancy at birth, total (years)"/>
    <n v="58.210999999999999"/>
    <x v="21"/>
  </r>
  <r>
    <x v="9"/>
    <s v="Life expectancy at birth, total (years)"/>
    <n v="65.897560975609807"/>
    <x v="21"/>
  </r>
  <r>
    <x v="10"/>
    <s v="Life expectancy at birth, total (years)"/>
    <n v="46.435000000000002"/>
    <x v="21"/>
  </r>
  <r>
    <x v="11"/>
    <s v="Life expectancy at birth, total (years)"/>
    <n v="49.26"/>
    <x v="21"/>
  </r>
  <r>
    <x v="12"/>
    <s v="Life expectancy at birth, total (years)"/>
    <n v="45.112000000000002"/>
    <x v="21"/>
  </r>
  <r>
    <x v="13"/>
    <s v="Life expectancy at birth, total (years)"/>
    <n v="40.435000000000002"/>
    <x v="21"/>
  </r>
  <r>
    <x v="14"/>
    <s v="Life expectancy at birth, total (years)"/>
    <n v="65.022000000000006"/>
    <x v="21"/>
  </r>
  <r>
    <x v="15"/>
    <s v="Life expectancy at birth, total (years)"/>
    <n v="41.777999999999999"/>
    <x v="21"/>
  </r>
  <r>
    <x v="16"/>
    <s v="Life expectancy at birth, total (years)"/>
    <n v="55.371000000000002"/>
    <x v="21"/>
  </r>
  <r>
    <x v="17"/>
    <s v="Life expectancy at birth, total (years)"/>
    <n v="47.249000000000002"/>
    <x v="21"/>
  </r>
  <r>
    <x v="18"/>
    <s v="Life expectancy at birth, total (years)"/>
    <n v="58.88"/>
    <x v="21"/>
  </r>
  <r>
    <x v="19"/>
    <s v="Life expectancy at birth, total (years)"/>
    <n v="39.450000000000003"/>
    <x v="21"/>
  </r>
  <r>
    <x v="20"/>
    <s v="Life expectancy at birth, total (years)"/>
    <n v="49.012999999999998"/>
    <x v="21"/>
  </r>
  <r>
    <x v="21"/>
    <s v="Life expectancy at birth, total (years)"/>
    <n v="60.628"/>
    <x v="21"/>
  </r>
  <r>
    <x v="22"/>
    <s v="Life expectancy at birth, total (years)"/>
    <n v="68.528999999999996"/>
    <x v="21"/>
  </r>
  <r>
    <x v="23"/>
    <s v="Life expectancy at birth, total (years)"/>
    <n v="62.926000000000002"/>
    <x v="21"/>
  </r>
  <r>
    <x v="24"/>
    <s v="Life expectancy at birth, total (years)"/>
    <n v="50.576000000000001"/>
    <x v="21"/>
  </r>
  <r>
    <x v="25"/>
    <s v="Life expectancy at birth, total (years)"/>
    <n v="49.271999999999998"/>
    <x v="21"/>
  </r>
  <r>
    <x v="26"/>
    <s v="Life expectancy at birth, total (years)"/>
    <n v="50.957000000000001"/>
    <x v="21"/>
  </r>
  <r>
    <x v="27"/>
    <s v="Life expectancy at birth, total (years)"/>
    <n v="59.920999999999999"/>
    <x v="21"/>
  </r>
  <r>
    <x v="0"/>
    <s v="Life expectancy at birth, total (years)"/>
    <n v="47.991999999999997"/>
    <x v="22"/>
  </r>
  <r>
    <x v="1"/>
    <s v="Life expectancy at birth, total (years)"/>
    <n v="51.957999999999998"/>
    <x v="22"/>
  </r>
  <r>
    <x v="2"/>
    <s v="Life expectancy at birth, total (years)"/>
    <n v="45.268999999999998"/>
    <x v="22"/>
  </r>
  <r>
    <x v="3"/>
    <s v="Life expectancy at birth, total (years)"/>
    <n v="51.924999999999997"/>
    <x v="22"/>
  </r>
  <r>
    <x v="4"/>
    <s v="Life expectancy at birth, total (years)"/>
    <n v="54.451000000000001"/>
    <x v="22"/>
  </r>
  <r>
    <x v="5"/>
    <s v="Life expectancy at birth, total (years)"/>
    <n v="43.710999999999999"/>
    <x v="22"/>
  </r>
  <r>
    <x v="6"/>
    <s v="Life expectancy at birth, total (years)"/>
    <n v="42.753"/>
    <x v="22"/>
  </r>
  <r>
    <x v="7"/>
    <s v="Life expectancy at birth, total (years)"/>
    <n v="51.527000000000001"/>
    <x v="22"/>
  </r>
  <r>
    <x v="8"/>
    <s v="Life expectancy at birth, total (years)"/>
    <n v="58.588000000000001"/>
    <x v="22"/>
  </r>
  <r>
    <x v="9"/>
    <s v="Life expectancy at birth, total (years)"/>
    <n v="66.197560975609804"/>
    <x v="22"/>
  </r>
  <r>
    <x v="10"/>
    <s v="Life expectancy at birth, total (years)"/>
    <n v="46.777999999999999"/>
    <x v="22"/>
  </r>
  <r>
    <x v="11"/>
    <s v="Life expectancy at birth, total (years)"/>
    <n v="49.442"/>
    <x v="22"/>
  </r>
  <r>
    <x v="12"/>
    <s v="Life expectancy at birth, total (years)"/>
    <n v="45.411000000000001"/>
    <x v="22"/>
  </r>
  <r>
    <x v="13"/>
    <s v="Life expectancy at birth, total (years)"/>
    <n v="41.173000000000002"/>
    <x v="22"/>
  </r>
  <r>
    <x v="14"/>
    <s v="Life expectancy at birth, total (years)"/>
    <n v="65.204999999999998"/>
    <x v="22"/>
  </r>
  <r>
    <x v="15"/>
    <s v="Life expectancy at birth, total (years)"/>
    <n v="41.66"/>
    <x v="22"/>
  </r>
  <r>
    <x v="16"/>
    <s v="Life expectancy at birth, total (years)"/>
    <n v="55.761000000000003"/>
    <x v="22"/>
  </r>
  <r>
    <x v="17"/>
    <s v="Life expectancy at birth, total (years)"/>
    <n v="47.954000000000001"/>
    <x v="22"/>
  </r>
  <r>
    <x v="18"/>
    <s v="Life expectancy at birth, total (years)"/>
    <n v="59.271000000000001"/>
    <x v="22"/>
  </r>
  <r>
    <x v="19"/>
    <s v="Life expectancy at birth, total (years)"/>
    <n v="39.927"/>
    <x v="22"/>
  </r>
  <r>
    <x v="20"/>
    <s v="Life expectancy at birth, total (years)"/>
    <n v="49.933999999999997"/>
    <x v="22"/>
  </r>
  <r>
    <x v="21"/>
    <s v="Life expectancy at birth, total (years)"/>
    <n v="60.683"/>
    <x v="22"/>
  </r>
  <r>
    <x v="22"/>
    <s v="Life expectancy at birth, total (years)"/>
    <n v="68.801000000000002"/>
    <x v="22"/>
  </r>
  <r>
    <x v="23"/>
    <s v="Life expectancy at birth, total (years)"/>
    <n v="63.183999999999997"/>
    <x v="22"/>
  </r>
  <r>
    <x v="24"/>
    <s v="Life expectancy at birth, total (years)"/>
    <n v="50.692"/>
    <x v="22"/>
  </r>
  <r>
    <x v="25"/>
    <s v="Life expectancy at birth, total (years)"/>
    <n v="49.095999999999997"/>
    <x v="22"/>
  </r>
  <r>
    <x v="26"/>
    <s v="Life expectancy at birth, total (years)"/>
    <n v="50.524999999999999"/>
    <x v="22"/>
  </r>
  <r>
    <x v="27"/>
    <s v="Life expectancy at birth, total (years)"/>
    <n v="60.386000000000003"/>
    <x v="22"/>
  </r>
  <r>
    <x v="0"/>
    <s v="Life expectancy at birth, total (years)"/>
    <n v="48.317"/>
    <x v="23"/>
  </r>
  <r>
    <x v="1"/>
    <s v="Life expectancy at birth, total (years)"/>
    <n v="52.265999999999998"/>
    <x v="23"/>
  </r>
  <r>
    <x v="2"/>
    <s v="Life expectancy at birth, total (years)"/>
    <n v="45.55"/>
    <x v="23"/>
  </r>
  <r>
    <x v="3"/>
    <s v="Life expectancy at birth, total (years)"/>
    <n v="52.58"/>
    <x v="23"/>
  </r>
  <r>
    <x v="4"/>
    <s v="Life expectancy at birth, total (years)"/>
    <n v="54.828000000000003"/>
    <x v="23"/>
  </r>
  <r>
    <x v="5"/>
    <s v="Life expectancy at birth, total (years)"/>
    <n v="43.884"/>
    <x v="23"/>
  </r>
  <r>
    <x v="6"/>
    <s v="Life expectancy at birth, total (years)"/>
    <n v="43.606999999999999"/>
    <x v="23"/>
  </r>
  <r>
    <x v="7"/>
    <s v="Life expectancy at birth, total (years)"/>
    <n v="51.892000000000003"/>
    <x v="23"/>
  </r>
  <r>
    <x v="8"/>
    <s v="Life expectancy at birth, total (years)"/>
    <n v="58.869"/>
    <x v="23"/>
  </r>
  <r>
    <x v="9"/>
    <s v="Life expectancy at birth, total (years)"/>
    <n v="66.397560975609807"/>
    <x v="23"/>
  </r>
  <r>
    <x v="10"/>
    <s v="Life expectancy at birth, total (years)"/>
    <n v="47.031999999999996"/>
    <x v="23"/>
  </r>
  <r>
    <x v="11"/>
    <s v="Life expectancy at birth, total (years)"/>
    <n v="49.56"/>
    <x v="23"/>
  </r>
  <r>
    <x v="12"/>
    <s v="Life expectancy at birth, total (years)"/>
    <n v="45.667999999999999"/>
    <x v="23"/>
  </r>
  <r>
    <x v="13"/>
    <s v="Life expectancy at birth, total (years)"/>
    <n v="41.878999999999998"/>
    <x v="23"/>
  </r>
  <r>
    <x v="14"/>
    <s v="Life expectancy at birth, total (years)"/>
    <n v="65.498999999999995"/>
    <x v="23"/>
  </r>
  <r>
    <x v="15"/>
    <s v="Life expectancy at birth, total (years)"/>
    <n v="41.597000000000001"/>
    <x v="23"/>
  </r>
  <r>
    <x v="16"/>
    <s v="Life expectancy at birth, total (years)"/>
    <n v="56.145000000000003"/>
    <x v="23"/>
  </r>
  <r>
    <x v="17"/>
    <s v="Life expectancy at birth, total (years)"/>
    <n v="48.673000000000002"/>
    <x v="23"/>
  </r>
  <r>
    <x v="18"/>
    <s v="Life expectancy at birth, total (years)"/>
    <n v="59.691000000000003"/>
    <x v="23"/>
  </r>
  <r>
    <x v="19"/>
    <s v="Life expectancy at birth, total (years)"/>
    <n v="40.384999999999998"/>
    <x v="23"/>
  </r>
  <r>
    <x v="20"/>
    <s v="Life expectancy at birth, total (years)"/>
    <n v="50.707999999999998"/>
    <x v="23"/>
  </r>
  <r>
    <x v="21"/>
    <s v="Life expectancy at birth, total (years)"/>
    <n v="60.75"/>
    <x v="23"/>
  </r>
  <r>
    <x v="22"/>
    <s v="Life expectancy at birth, total (years)"/>
    <n v="68.974999999999994"/>
    <x v="23"/>
  </r>
  <r>
    <x v="23"/>
    <s v="Life expectancy at birth, total (years)"/>
    <n v="63.442"/>
    <x v="23"/>
  </r>
  <r>
    <x v="24"/>
    <s v="Life expectancy at birth, total (years)"/>
    <n v="50.787999999999997"/>
    <x v="23"/>
  </r>
  <r>
    <x v="25"/>
    <s v="Life expectancy at birth, total (years)"/>
    <n v="48.841999999999999"/>
    <x v="23"/>
  </r>
  <r>
    <x v="26"/>
    <s v="Life expectancy at birth, total (years)"/>
    <n v="49.985999999999997"/>
    <x v="23"/>
  </r>
  <r>
    <x v="27"/>
    <s v="Life expectancy at birth, total (years)"/>
    <n v="60.746000000000002"/>
    <x v="23"/>
  </r>
  <r>
    <x v="0"/>
    <s v="Life expectancy at birth, total (years)"/>
    <n v="48.618000000000002"/>
    <x v="24"/>
  </r>
  <r>
    <x v="1"/>
    <s v="Life expectancy at birth, total (years)"/>
    <n v="52.518000000000001"/>
    <x v="24"/>
  </r>
  <r>
    <x v="2"/>
    <s v="Life expectancy at birth, total (years)"/>
    <n v="45.823999999999998"/>
    <x v="24"/>
  </r>
  <r>
    <x v="3"/>
    <s v="Life expectancy at birth, total (years)"/>
    <n v="53.220999999999997"/>
    <x v="24"/>
  </r>
  <r>
    <x v="4"/>
    <s v="Life expectancy at birth, total (years)"/>
    <n v="55.173999999999999"/>
    <x v="24"/>
  </r>
  <r>
    <x v="5"/>
    <s v="Life expectancy at birth, total (years)"/>
    <n v="44.198"/>
    <x v="24"/>
  </r>
  <r>
    <x v="6"/>
    <s v="Life expectancy at birth, total (years)"/>
    <n v="44.521999999999998"/>
    <x v="24"/>
  </r>
  <r>
    <x v="7"/>
    <s v="Life expectancy at birth, total (years)"/>
    <n v="52.279000000000003"/>
    <x v="24"/>
  </r>
  <r>
    <x v="8"/>
    <s v="Life expectancy at birth, total (years)"/>
    <n v="59.039000000000001"/>
    <x v="24"/>
  </r>
  <r>
    <x v="9"/>
    <s v="Life expectancy at birth, total (years)"/>
    <n v="66.597560975609795"/>
    <x v="24"/>
  </r>
  <r>
    <x v="10"/>
    <s v="Life expectancy at birth, total (years)"/>
    <n v="47.206000000000003"/>
    <x v="24"/>
  </r>
  <r>
    <x v="11"/>
    <s v="Life expectancy at birth, total (years)"/>
    <n v="49.634"/>
    <x v="24"/>
  </r>
  <r>
    <x v="12"/>
    <s v="Life expectancy at birth, total (years)"/>
    <n v="45.881999999999998"/>
    <x v="24"/>
  </r>
  <r>
    <x v="13"/>
    <s v="Life expectancy at birth, total (years)"/>
    <n v="42.545000000000002"/>
    <x v="24"/>
  </r>
  <r>
    <x v="14"/>
    <s v="Life expectancy at birth, total (years)"/>
    <n v="65.887"/>
    <x v="24"/>
  </r>
  <r>
    <x v="15"/>
    <s v="Life expectancy at birth, total (years)"/>
    <n v="41.61"/>
    <x v="24"/>
  </r>
  <r>
    <x v="16"/>
    <s v="Life expectancy at birth, total (years)"/>
    <n v="56.526000000000003"/>
    <x v="24"/>
  </r>
  <r>
    <x v="17"/>
    <s v="Life expectancy at birth, total (years)"/>
    <n v="49.408000000000001"/>
    <x v="24"/>
  </r>
  <r>
    <x v="18"/>
    <s v="Life expectancy at birth, total (years)"/>
    <n v="60.151000000000003"/>
    <x v="24"/>
  </r>
  <r>
    <x v="19"/>
    <s v="Life expectancy at birth, total (years)"/>
    <n v="40.820999999999998"/>
    <x v="24"/>
  </r>
  <r>
    <x v="20"/>
    <s v="Life expectancy at birth, total (years)"/>
    <n v="51.177"/>
    <x v="24"/>
  </r>
  <r>
    <x v="21"/>
    <s v="Life expectancy at birth, total (years)"/>
    <n v="60.841999999999999"/>
    <x v="24"/>
  </r>
  <r>
    <x v="22"/>
    <s v="Life expectancy at birth, total (years)"/>
    <n v="69.058000000000007"/>
    <x v="24"/>
  </r>
  <r>
    <x v="23"/>
    <s v="Life expectancy at birth, total (years)"/>
    <n v="63.683999999999997"/>
    <x v="24"/>
  </r>
  <r>
    <x v="24"/>
    <s v="Life expectancy at birth, total (years)"/>
    <n v="50.863"/>
    <x v="24"/>
  </r>
  <r>
    <x v="25"/>
    <s v="Life expectancy at birth, total (years)"/>
    <n v="48.512"/>
    <x v="24"/>
  </r>
  <r>
    <x v="26"/>
    <s v="Life expectancy at birth, total (years)"/>
    <n v="49.359000000000002"/>
    <x v="24"/>
  </r>
  <r>
    <x v="27"/>
    <s v="Life expectancy at birth, total (years)"/>
    <n v="60.965000000000003"/>
    <x v="24"/>
  </r>
  <r>
    <x v="0"/>
    <s v="Life expectancy at birth, total (years)"/>
    <n v="48.844999999999999"/>
    <x v="25"/>
  </r>
  <r>
    <x v="1"/>
    <s v="Life expectancy at birth, total (years)"/>
    <n v="52.698"/>
    <x v="25"/>
  </r>
  <r>
    <x v="2"/>
    <s v="Life expectancy at birth, total (years)"/>
    <n v="46.082000000000001"/>
    <x v="25"/>
  </r>
  <r>
    <x v="3"/>
    <s v="Life expectancy at birth, total (years)"/>
    <n v="53.843000000000004"/>
    <x v="25"/>
  </r>
  <r>
    <x v="4"/>
    <s v="Life expectancy at birth, total (years)"/>
    <n v="55.488"/>
    <x v="25"/>
  </r>
  <r>
    <x v="5"/>
    <s v="Life expectancy at birth, total (years)"/>
    <n v="44.633000000000003"/>
    <x v="25"/>
  </r>
  <r>
    <x v="6"/>
    <s v="Life expectancy at birth, total (years)"/>
    <n v="45.481999999999999"/>
    <x v="25"/>
  </r>
  <r>
    <x v="7"/>
    <s v="Life expectancy at birth, total (years)"/>
    <n v="52.68"/>
    <x v="25"/>
  </r>
  <r>
    <x v="8"/>
    <s v="Life expectancy at birth, total (years)"/>
    <n v="59.082000000000001"/>
    <x v="25"/>
  </r>
  <r>
    <x v="9"/>
    <s v="Life expectancy at birth, total (years)"/>
    <n v="66.797560975609798"/>
    <x v="25"/>
  </r>
  <r>
    <x v="10"/>
    <s v="Life expectancy at birth, total (years)"/>
    <n v="47.298000000000002"/>
    <x v="25"/>
  </r>
  <r>
    <x v="11"/>
    <s v="Life expectancy at birth, total (years)"/>
    <n v="49.694000000000003"/>
    <x v="25"/>
  </r>
  <r>
    <x v="12"/>
    <s v="Life expectancy at birth, total (years)"/>
    <n v="46.055"/>
    <x v="25"/>
  </r>
  <r>
    <x v="13"/>
    <s v="Life expectancy at birth, total (years)"/>
    <n v="43.17"/>
    <x v="25"/>
  </r>
  <r>
    <x v="14"/>
    <s v="Life expectancy at birth, total (years)"/>
    <n v="66.33"/>
    <x v="25"/>
  </r>
  <r>
    <x v="15"/>
    <s v="Life expectancy at birth, total (years)"/>
    <n v="41.704999999999998"/>
    <x v="25"/>
  </r>
  <r>
    <x v="16"/>
    <s v="Life expectancy at birth, total (years)"/>
    <n v="56.904000000000003"/>
    <x v="25"/>
  </r>
  <r>
    <x v="17"/>
    <s v="Life expectancy at birth, total (years)"/>
    <n v="50.161999999999999"/>
    <x v="25"/>
  </r>
  <r>
    <x v="18"/>
    <s v="Life expectancy at birth, total (years)"/>
    <n v="60.67"/>
    <x v="25"/>
  </r>
  <r>
    <x v="19"/>
    <s v="Life expectancy at birth, total (years)"/>
    <n v="41.24"/>
    <x v="25"/>
  </r>
  <r>
    <x v="20"/>
    <s v="Life expectancy at birth, total (years)"/>
    <n v="50.948"/>
    <x v="25"/>
  </r>
  <r>
    <x v="21"/>
    <s v="Life expectancy at birth, total (years)"/>
    <n v="60.969000000000001"/>
    <x v="25"/>
  </r>
  <r>
    <x v="22"/>
    <s v="Life expectancy at birth, total (years)"/>
    <n v="69.078999999999994"/>
    <x v="25"/>
  </r>
  <r>
    <x v="23"/>
    <s v="Life expectancy at birth, total (years)"/>
    <n v="63.869"/>
    <x v="25"/>
  </r>
  <r>
    <x v="24"/>
    <s v="Life expectancy at birth, total (years)"/>
    <n v="50.904000000000003"/>
    <x v="25"/>
  </r>
  <r>
    <x v="25"/>
    <s v="Life expectancy at birth, total (years)"/>
    <n v="48.103999999999999"/>
    <x v="25"/>
  </r>
  <r>
    <x v="26"/>
    <s v="Life expectancy at birth, total (years)"/>
    <n v="48.661000000000001"/>
    <x v="25"/>
  </r>
  <r>
    <x v="27"/>
    <s v="Life expectancy at birth, total (years)"/>
    <n v="60.999000000000002"/>
    <x v="25"/>
  </r>
  <r>
    <x v="0"/>
    <s v="Life expectancy at birth, total (years)"/>
    <n v="48.941000000000003"/>
    <x v="26"/>
  </r>
  <r>
    <x v="1"/>
    <s v="Life expectancy at birth, total (years)"/>
    <n v="52.786999999999999"/>
    <x v="26"/>
  </r>
  <r>
    <x v="2"/>
    <s v="Life expectancy at birth, total (years)"/>
    <n v="46.314999999999998"/>
    <x v="26"/>
  </r>
  <r>
    <x v="3"/>
    <s v="Life expectancy at birth, total (years)"/>
    <n v="54.445999999999998"/>
    <x v="26"/>
  </r>
  <r>
    <x v="4"/>
    <s v="Life expectancy at birth, total (years)"/>
    <n v="55.771999999999998"/>
    <x v="26"/>
  </r>
  <r>
    <x v="5"/>
    <s v="Life expectancy at birth, total (years)"/>
    <n v="45.146000000000001"/>
    <x v="26"/>
  </r>
  <r>
    <x v="6"/>
    <s v="Life expectancy at birth, total (years)"/>
    <n v="46.463000000000001"/>
    <x v="26"/>
  </r>
  <r>
    <x v="7"/>
    <s v="Life expectancy at birth, total (years)"/>
    <n v="53.088000000000001"/>
    <x v="26"/>
  </r>
  <r>
    <x v="8"/>
    <s v="Life expectancy at birth, total (years)"/>
    <n v="58.994"/>
    <x v="26"/>
  </r>
  <r>
    <x v="9"/>
    <s v="Life expectancy at birth, total (years)"/>
    <n v="66.997560975609801"/>
    <x v="26"/>
  </r>
  <r>
    <x v="10"/>
    <s v="Life expectancy at birth, total (years)"/>
    <n v="47.308999999999997"/>
    <x v="26"/>
  </r>
  <r>
    <x v="11"/>
    <s v="Life expectancy at birth, total (years)"/>
    <n v="49.780999999999999"/>
    <x v="26"/>
  </r>
  <r>
    <x v="12"/>
    <s v="Life expectancy at birth, total (years)"/>
    <n v="46.195999999999998"/>
    <x v="26"/>
  </r>
  <r>
    <x v="13"/>
    <s v="Life expectancy at birth, total (years)"/>
    <n v="43.759"/>
    <x v="26"/>
  </r>
  <r>
    <x v="14"/>
    <s v="Life expectancy at birth, total (years)"/>
    <n v="66.772000000000006"/>
    <x v="26"/>
  </r>
  <r>
    <x v="15"/>
    <s v="Life expectancy at birth, total (years)"/>
    <n v="41.872"/>
    <x v="26"/>
  </r>
  <r>
    <x v="16"/>
    <s v="Life expectancy at birth, total (years)"/>
    <n v="57.277999999999999"/>
    <x v="26"/>
  </r>
  <r>
    <x v="17"/>
    <s v="Life expectancy at birth, total (years)"/>
    <n v="50.938000000000002"/>
    <x v="26"/>
  </r>
  <r>
    <x v="18"/>
    <s v="Life expectancy at birth, total (years)"/>
    <n v="61.261000000000003"/>
    <x v="26"/>
  </r>
  <r>
    <x v="19"/>
    <s v="Life expectancy at birth, total (years)"/>
    <n v="41.654000000000003"/>
    <x v="26"/>
  </r>
  <r>
    <x v="20"/>
    <s v="Life expectancy at birth, total (years)"/>
    <n v="49.579000000000001"/>
    <x v="26"/>
  </r>
  <r>
    <x v="21"/>
    <s v="Life expectancy at birth, total (years)"/>
    <n v="61.125999999999998"/>
    <x v="26"/>
  </r>
  <r>
    <x v="22"/>
    <s v="Life expectancy at birth, total (years)"/>
    <n v="69.085999999999999"/>
    <x v="26"/>
  </r>
  <r>
    <x v="23"/>
    <s v="Life expectancy at birth, total (years)"/>
    <n v="63.945999999999998"/>
    <x v="26"/>
  </r>
  <r>
    <x v="24"/>
    <s v="Life expectancy at birth, total (years)"/>
    <n v="50.887999999999998"/>
    <x v="26"/>
  </r>
  <r>
    <x v="25"/>
    <s v="Life expectancy at birth, total (years)"/>
    <n v="47.625"/>
    <x v="26"/>
  </r>
  <r>
    <x v="26"/>
    <s v="Life expectancy at birth, total (years)"/>
    <n v="47.912999999999997"/>
    <x v="26"/>
  </r>
  <r>
    <x v="27"/>
    <s v="Life expectancy at birth, total (years)"/>
    <n v="60.816000000000003"/>
    <x v="26"/>
  </r>
  <r>
    <x v="0"/>
    <s v="Life expectancy at birth, total (years)"/>
    <n v="48.884"/>
    <x v="27"/>
  </r>
  <r>
    <x v="1"/>
    <s v="Life expectancy at birth, total (years)"/>
    <n v="52.780999999999999"/>
    <x v="27"/>
  </r>
  <r>
    <x v="2"/>
    <s v="Life expectancy at birth, total (years)"/>
    <n v="46.52"/>
    <x v="27"/>
  </r>
  <r>
    <x v="3"/>
    <s v="Life expectancy at birth, total (years)"/>
    <n v="55.033000000000001"/>
    <x v="27"/>
  </r>
  <r>
    <x v="4"/>
    <s v="Life expectancy at birth, total (years)"/>
    <n v="56.031999999999996"/>
    <x v="27"/>
  </r>
  <r>
    <x v="5"/>
    <s v="Life expectancy at birth, total (years)"/>
    <n v="45.682000000000002"/>
    <x v="27"/>
  </r>
  <r>
    <x v="6"/>
    <s v="Life expectancy at birth, total (years)"/>
    <n v="47.433999999999997"/>
    <x v="27"/>
  </r>
  <r>
    <x v="7"/>
    <s v="Life expectancy at birth, total (years)"/>
    <n v="53.491999999999997"/>
    <x v="27"/>
  </r>
  <r>
    <x v="8"/>
    <s v="Life expectancy at birth, total (years)"/>
    <n v="58.783000000000001"/>
    <x v="27"/>
  </r>
  <r>
    <x v="9"/>
    <s v="Life expectancy at birth, total (years)"/>
    <n v="67.197560975609804"/>
    <x v="27"/>
  </r>
  <r>
    <x v="10"/>
    <s v="Life expectancy at birth, total (years)"/>
    <n v="47.26"/>
    <x v="27"/>
  </r>
  <r>
    <x v="11"/>
    <s v="Life expectancy at birth, total (years)"/>
    <n v="49.932000000000002"/>
    <x v="27"/>
  </r>
  <r>
    <x v="12"/>
    <s v="Life expectancy at birth, total (years)"/>
    <n v="46.313000000000002"/>
    <x v="27"/>
  </r>
  <r>
    <x v="13"/>
    <s v="Life expectancy at birth, total (years)"/>
    <n v="44.314999999999998"/>
    <x v="27"/>
  </r>
  <r>
    <x v="14"/>
    <s v="Life expectancy at birth, total (years)"/>
    <n v="67.156000000000006"/>
    <x v="27"/>
  </r>
  <r>
    <x v="15"/>
    <s v="Life expectancy at birth, total (years)"/>
    <n v="42.085000000000001"/>
    <x v="27"/>
  </r>
  <r>
    <x v="16"/>
    <s v="Life expectancy at birth, total (years)"/>
    <n v="57.65"/>
    <x v="27"/>
  </r>
  <r>
    <x v="17"/>
    <s v="Life expectancy at birth, total (years)"/>
    <n v="51.738"/>
    <x v="27"/>
  </r>
  <r>
    <x v="18"/>
    <s v="Life expectancy at birth, total (years)"/>
    <n v="61.92"/>
    <x v="27"/>
  </r>
  <r>
    <x v="19"/>
    <s v="Life expectancy at birth, total (years)"/>
    <n v="42.079000000000001"/>
    <x v="27"/>
  </r>
  <r>
    <x v="20"/>
    <s v="Life expectancy at birth, total (years)"/>
    <n v="46.969000000000001"/>
    <x v="27"/>
  </r>
  <r>
    <x v="21"/>
    <s v="Life expectancy at birth, total (years)"/>
    <n v="61.296999999999997"/>
    <x v="27"/>
  </r>
  <r>
    <x v="22"/>
    <s v="Life expectancy at birth, total (years)"/>
    <n v="69.120999999999995"/>
    <x v="27"/>
  </r>
  <r>
    <x v="23"/>
    <s v="Life expectancy at birth, total (years)"/>
    <n v="63.896000000000001"/>
    <x v="27"/>
  </r>
  <r>
    <x v="24"/>
    <s v="Life expectancy at birth, total (years)"/>
    <n v="50.802999999999997"/>
    <x v="27"/>
  </r>
  <r>
    <x v="25"/>
    <s v="Life expectancy at birth, total (years)"/>
    <n v="47.097000000000001"/>
    <x v="27"/>
  </r>
  <r>
    <x v="26"/>
    <s v="Life expectancy at birth, total (years)"/>
    <n v="47.142000000000003"/>
    <x v="27"/>
  </r>
  <r>
    <x v="27"/>
    <s v="Life expectancy at birth, total (years)"/>
    <n v="60.411000000000001"/>
    <x v="27"/>
  </r>
  <r>
    <x v="0"/>
    <s v="Life expectancy at birth, total (years)"/>
    <n v="48.683999999999997"/>
    <x v="28"/>
  </r>
  <r>
    <x v="1"/>
    <s v="Life expectancy at birth, total (years)"/>
    <n v="52.68"/>
    <x v="28"/>
  </r>
  <r>
    <x v="2"/>
    <s v="Life expectancy at birth, total (years)"/>
    <n v="46.692"/>
    <x v="28"/>
  </r>
  <r>
    <x v="3"/>
    <s v="Life expectancy at birth, total (years)"/>
    <n v="55.604999999999997"/>
    <x v="28"/>
  </r>
  <r>
    <x v="4"/>
    <s v="Life expectancy at birth, total (years)"/>
    <n v="56.271000000000001"/>
    <x v="28"/>
  </r>
  <r>
    <x v="5"/>
    <s v="Life expectancy at birth, total (years)"/>
    <n v="46.194000000000003"/>
    <x v="28"/>
  </r>
  <r>
    <x v="6"/>
    <s v="Life expectancy at birth, total (years)"/>
    <n v="48.359000000000002"/>
    <x v="28"/>
  </r>
  <r>
    <x v="7"/>
    <s v="Life expectancy at birth, total (years)"/>
    <n v="53.881"/>
    <x v="28"/>
  </r>
  <r>
    <x v="8"/>
    <s v="Life expectancy at birth, total (years)"/>
    <n v="58.465000000000003"/>
    <x v="28"/>
  </r>
  <r>
    <x v="9"/>
    <s v="Life expectancy at birth, total (years)"/>
    <n v="67.397560975609807"/>
    <x v="28"/>
  </r>
  <r>
    <x v="10"/>
    <s v="Life expectancy at birth, total (years)"/>
    <n v="47.189"/>
    <x v="28"/>
  </r>
  <r>
    <x v="11"/>
    <s v="Life expectancy at birth, total (years)"/>
    <n v="50.176000000000002"/>
    <x v="28"/>
  </r>
  <r>
    <x v="12"/>
    <s v="Life expectancy at birth, total (years)"/>
    <n v="46.414000000000001"/>
    <x v="28"/>
  </r>
  <r>
    <x v="13"/>
    <s v="Life expectancy at birth, total (years)"/>
    <n v="44.838000000000001"/>
    <x v="28"/>
  </r>
  <r>
    <x v="14"/>
    <s v="Life expectancy at birth, total (years)"/>
    <n v="67.44"/>
    <x v="28"/>
  </r>
  <r>
    <x v="15"/>
    <s v="Life expectancy at birth, total (years)"/>
    <n v="42.326999999999998"/>
    <x v="28"/>
  </r>
  <r>
    <x v="16"/>
    <s v="Life expectancy at birth, total (years)"/>
    <n v="58.018000000000001"/>
    <x v="28"/>
  </r>
  <r>
    <x v="17"/>
    <s v="Life expectancy at birth, total (years)"/>
    <n v="52.561"/>
    <x v="28"/>
  </r>
  <r>
    <x v="18"/>
    <s v="Life expectancy at birth, total (years)"/>
    <n v="62.637"/>
    <x v="28"/>
  </r>
  <r>
    <x v="19"/>
    <s v="Life expectancy at birth, total (years)"/>
    <n v="42.530999999999999"/>
    <x v="28"/>
  </r>
  <r>
    <x v="20"/>
    <s v="Life expectancy at birth, total (years)"/>
    <n v="43.264000000000003"/>
    <x v="28"/>
  </r>
  <r>
    <x v="21"/>
    <s v="Life expectancy at birth, total (years)"/>
    <n v="61.47"/>
    <x v="28"/>
  </r>
  <r>
    <x v="22"/>
    <s v="Life expectancy at birth, total (years)"/>
    <n v="69.209000000000003"/>
    <x v="28"/>
  </r>
  <r>
    <x v="23"/>
    <s v="Life expectancy at birth, total (years)"/>
    <n v="63.723999999999997"/>
    <x v="28"/>
  </r>
  <r>
    <x v="24"/>
    <s v="Life expectancy at birth, total (years)"/>
    <n v="50.651000000000003"/>
    <x v="28"/>
  </r>
  <r>
    <x v="25"/>
    <s v="Life expectancy at birth, total (years)"/>
    <n v="46.548999999999999"/>
    <x v="28"/>
  </r>
  <r>
    <x v="26"/>
    <s v="Life expectancy at birth, total (years)"/>
    <n v="46.378999999999998"/>
    <x v="28"/>
  </r>
  <r>
    <x v="27"/>
    <s v="Life expectancy at birth, total (years)"/>
    <n v="59.793999999999997"/>
    <x v="28"/>
  </r>
  <r>
    <x v="0"/>
    <s v="Life expectancy at birth, total (years)"/>
    <n v="48.378999999999998"/>
    <x v="29"/>
  </r>
  <r>
    <x v="1"/>
    <s v="Life expectancy at birth, total (years)"/>
    <n v="52.49"/>
    <x v="29"/>
  </r>
  <r>
    <x v="2"/>
    <s v="Life expectancy at birth, total (years)"/>
    <n v="46.835000000000001"/>
    <x v="29"/>
  </r>
  <r>
    <x v="3"/>
    <s v="Life expectancy at birth, total (years)"/>
    <n v="56.154000000000003"/>
    <x v="29"/>
  </r>
  <r>
    <x v="4"/>
    <s v="Life expectancy at birth, total (years)"/>
    <n v="56.488"/>
    <x v="29"/>
  </r>
  <r>
    <x v="5"/>
    <s v="Life expectancy at birth, total (years)"/>
    <n v="46.667999999999999"/>
    <x v="29"/>
  </r>
  <r>
    <x v="6"/>
    <s v="Life expectancy at birth, total (years)"/>
    <n v="49.207999999999998"/>
    <x v="29"/>
  </r>
  <r>
    <x v="7"/>
    <s v="Life expectancy at birth, total (years)"/>
    <n v="54.253"/>
    <x v="29"/>
  </r>
  <r>
    <x v="8"/>
    <s v="Life expectancy at birth, total (years)"/>
    <n v="58.05"/>
    <x v="29"/>
  </r>
  <r>
    <x v="9"/>
    <s v="Life expectancy at birth, total (years)"/>
    <n v="67.548780487804905"/>
    <x v="29"/>
  </r>
  <r>
    <x v="10"/>
    <s v="Life expectancy at birth, total (years)"/>
    <n v="47.137999999999998"/>
    <x v="29"/>
  </r>
  <r>
    <x v="11"/>
    <s v="Life expectancy at birth, total (years)"/>
    <n v="50.53"/>
    <x v="29"/>
  </r>
  <r>
    <x v="12"/>
    <s v="Life expectancy at birth, total (years)"/>
    <n v="46.503"/>
    <x v="29"/>
  </r>
  <r>
    <x v="13"/>
    <s v="Life expectancy at birth, total (years)"/>
    <n v="45.323"/>
    <x v="29"/>
  </r>
  <r>
    <x v="14"/>
    <s v="Life expectancy at birth, total (years)"/>
    <n v="67.605000000000004"/>
    <x v="29"/>
  </r>
  <r>
    <x v="15"/>
    <s v="Life expectancy at birth, total (years)"/>
    <n v="42.6"/>
    <x v="29"/>
  </r>
  <r>
    <x v="16"/>
    <s v="Life expectancy at birth, total (years)"/>
    <n v="58.383000000000003"/>
    <x v="29"/>
  </r>
  <r>
    <x v="17"/>
    <s v="Life expectancy at birth, total (years)"/>
    <n v="53.402999999999999"/>
    <x v="29"/>
  </r>
  <r>
    <x v="18"/>
    <s v="Life expectancy at birth, total (years)"/>
    <n v="63.396000000000001"/>
    <x v="29"/>
  </r>
  <r>
    <x v="19"/>
    <s v="Life expectancy at birth, total (years)"/>
    <n v="43.015000000000001"/>
    <x v="29"/>
  </r>
  <r>
    <x v="20"/>
    <s v="Life expectancy at birth, total (years)"/>
    <n v="38.781999999999996"/>
    <x v="29"/>
  </r>
  <r>
    <x v="21"/>
    <s v="Life expectancy at birth, total (years)"/>
    <n v="61.640999999999998"/>
    <x v="29"/>
  </r>
  <r>
    <x v="22"/>
    <s v="Life expectancy at birth, total (years)"/>
    <n v="69.350999999999999"/>
    <x v="29"/>
  </r>
  <r>
    <x v="23"/>
    <s v="Life expectancy at birth, total (years)"/>
    <n v="63.454999999999998"/>
    <x v="29"/>
  </r>
  <r>
    <x v="24"/>
    <s v="Life expectancy at birth, total (years)"/>
    <n v="50.447000000000003"/>
    <x v="29"/>
  </r>
  <r>
    <x v="25"/>
    <s v="Life expectancy at birth, total (years)"/>
    <n v="46.012"/>
    <x v="29"/>
  </r>
  <r>
    <x v="26"/>
    <s v="Life expectancy at birth, total (years)"/>
    <n v="45.658000000000001"/>
    <x v="29"/>
  </r>
  <r>
    <x v="27"/>
    <s v="Life expectancy at birth, total (years)"/>
    <n v="58.970999999999997"/>
    <x v="29"/>
  </r>
  <r>
    <x v="0"/>
    <s v="Life expectancy at birth, total (years)"/>
    <n v="48.052999999999997"/>
    <x v="30"/>
  </r>
  <r>
    <x v="1"/>
    <s v="Life expectancy at birth, total (years)"/>
    <n v="52.209000000000003"/>
    <x v="30"/>
  </r>
  <r>
    <x v="2"/>
    <s v="Life expectancy at birth, total (years)"/>
    <n v="46.951999999999998"/>
    <x v="30"/>
  </r>
  <r>
    <x v="3"/>
    <s v="Life expectancy at birth, total (years)"/>
    <n v="56.677"/>
    <x v="30"/>
  </r>
  <r>
    <x v="4"/>
    <s v="Life expectancy at birth, total (years)"/>
    <n v="56.677999999999997"/>
    <x v="30"/>
  </r>
  <r>
    <x v="5"/>
    <s v="Life expectancy at birth, total (years)"/>
    <n v="47.1"/>
    <x v="30"/>
  </r>
  <r>
    <x v="6"/>
    <s v="Life expectancy at birth, total (years)"/>
    <n v="49.948999999999998"/>
    <x v="30"/>
  </r>
  <r>
    <x v="7"/>
    <s v="Life expectancy at birth, total (years)"/>
    <n v="54.609000000000002"/>
    <x v="30"/>
  </r>
  <r>
    <x v="8"/>
    <s v="Life expectancy at birth, total (years)"/>
    <n v="57.536000000000001"/>
    <x v="30"/>
  </r>
  <r>
    <x v="9"/>
    <s v="Life expectancy at birth, total (years)"/>
    <n v="67.748780487804893"/>
    <x v="30"/>
  </r>
  <r>
    <x v="10"/>
    <s v="Life expectancy at birth, total (years)"/>
    <n v="47.183"/>
    <x v="30"/>
  </r>
  <r>
    <x v="11"/>
    <s v="Life expectancy at birth, total (years)"/>
    <n v="51.003"/>
    <x v="30"/>
  </r>
  <r>
    <x v="12"/>
    <s v="Life expectancy at birth, total (years)"/>
    <n v="46.576000000000001"/>
    <x v="30"/>
  </r>
  <r>
    <x v="13"/>
    <s v="Life expectancy at birth, total (years)"/>
    <n v="45.746000000000002"/>
    <x v="30"/>
  </r>
  <r>
    <x v="14"/>
    <s v="Life expectancy at birth, total (years)"/>
    <n v="67.643000000000001"/>
    <x v="30"/>
  </r>
  <r>
    <x v="15"/>
    <s v="Life expectancy at birth, total (years)"/>
    <n v="42.914999999999999"/>
    <x v="30"/>
  </r>
  <r>
    <x v="16"/>
    <s v="Life expectancy at birth, total (years)"/>
    <n v="58.743000000000002"/>
    <x v="30"/>
  </r>
  <r>
    <x v="17"/>
    <s v="Life expectancy at birth, total (years)"/>
    <n v="54.26"/>
    <x v="30"/>
  </r>
  <r>
    <x v="18"/>
    <s v="Life expectancy at birth, total (years)"/>
    <n v="64.168999999999997"/>
    <x v="30"/>
  </r>
  <r>
    <x v="19"/>
    <s v="Life expectancy at birth, total (years)"/>
    <n v="43.54"/>
    <x v="30"/>
  </r>
  <r>
    <x v="20"/>
    <s v="Life expectancy at birth, total (years)"/>
    <n v="34.216999999999999"/>
    <x v="30"/>
  </r>
  <r>
    <x v="21"/>
    <s v="Life expectancy at birth, total (years)"/>
    <n v="61.808"/>
    <x v="30"/>
  </r>
  <r>
    <x v="22"/>
    <s v="Life expectancy at birth, total (years)"/>
    <n v="69.510999999999996"/>
    <x v="30"/>
  </r>
  <r>
    <x v="23"/>
    <s v="Life expectancy at birth, total (years)"/>
    <n v="63.149000000000001"/>
    <x v="30"/>
  </r>
  <r>
    <x v="24"/>
    <s v="Life expectancy at birth, total (years)"/>
    <n v="50.206000000000003"/>
    <x v="30"/>
  </r>
  <r>
    <x v="25"/>
    <s v="Life expectancy at birth, total (years)"/>
    <n v="45.509"/>
    <x v="30"/>
  </r>
  <r>
    <x v="26"/>
    <s v="Life expectancy at birth, total (years)"/>
    <n v="45.003"/>
    <x v="30"/>
  </r>
  <r>
    <x v="27"/>
    <s v="Life expectancy at birth, total (years)"/>
    <n v="57.944000000000003"/>
    <x v="30"/>
  </r>
  <r>
    <x v="0"/>
    <s v="Life expectancy at birth, total (years)"/>
    <n v="47.816000000000003"/>
    <x v="31"/>
  </r>
  <r>
    <x v="1"/>
    <s v="Life expectancy at birth, total (years)"/>
    <n v="51.835000000000001"/>
    <x v="31"/>
  </r>
  <r>
    <x v="2"/>
    <s v="Life expectancy at birth, total (years)"/>
    <n v="47.052999999999997"/>
    <x v="31"/>
  </r>
  <r>
    <x v="3"/>
    <s v="Life expectancy at birth, total (years)"/>
    <n v="57.167999999999999"/>
    <x v="31"/>
  </r>
  <r>
    <x v="4"/>
    <s v="Life expectancy at birth, total (years)"/>
    <n v="56.831000000000003"/>
    <x v="31"/>
  </r>
  <r>
    <x v="5"/>
    <s v="Life expectancy at birth, total (years)"/>
    <n v="47.505000000000003"/>
    <x v="31"/>
  </r>
  <r>
    <x v="6"/>
    <s v="Life expectancy at birth, total (years)"/>
    <n v="50.557000000000002"/>
    <x v="31"/>
  </r>
  <r>
    <x v="7"/>
    <s v="Life expectancy at birth, total (years)"/>
    <n v="54.954000000000001"/>
    <x v="31"/>
  </r>
  <r>
    <x v="8"/>
    <s v="Life expectancy at birth, total (years)"/>
    <n v="56.917999999999999"/>
    <x v="31"/>
  </r>
  <r>
    <x v="9"/>
    <s v="Life expectancy at birth, total (years)"/>
    <n v="67.948780487804896"/>
    <x v="31"/>
  </r>
  <r>
    <x v="10"/>
    <s v="Life expectancy at birth, total (years)"/>
    <n v="47.405999999999999"/>
    <x v="31"/>
  </r>
  <r>
    <x v="11"/>
    <s v="Life expectancy at birth, total (years)"/>
    <n v="51.594999999999999"/>
    <x v="31"/>
  </r>
  <r>
    <x v="12"/>
    <s v="Life expectancy at birth, total (years)"/>
    <n v="46.627000000000002"/>
    <x v="31"/>
  </r>
  <r>
    <x v="13"/>
    <s v="Life expectancy at birth, total (years)"/>
    <n v="46.076000000000001"/>
    <x v="31"/>
  </r>
  <r>
    <x v="14"/>
    <s v="Life expectancy at birth, total (years)"/>
    <n v="67.563000000000002"/>
    <x v="31"/>
  </r>
  <r>
    <x v="15"/>
    <s v="Life expectancy at birth, total (years)"/>
    <n v="43.292999999999999"/>
    <x v="31"/>
  </r>
  <r>
    <x v="16"/>
    <s v="Life expectancy at birth, total (years)"/>
    <n v="59.098999999999997"/>
    <x v="31"/>
  </r>
  <r>
    <x v="17"/>
    <s v="Life expectancy at birth, total (years)"/>
    <n v="55.125"/>
    <x v="31"/>
  </r>
  <r>
    <x v="18"/>
    <s v="Life expectancy at birth, total (years)"/>
    <n v="64.927000000000007"/>
    <x v="31"/>
  </r>
  <r>
    <x v="19"/>
    <s v="Life expectancy at birth, total (years)"/>
    <n v="44.107999999999997"/>
    <x v="31"/>
  </r>
  <r>
    <x v="20"/>
    <s v="Life expectancy at birth, total (years)"/>
    <n v="30.434000000000001"/>
    <x v="31"/>
  </r>
  <r>
    <x v="21"/>
    <s v="Life expectancy at birth, total (years)"/>
    <n v="61.972000000000001"/>
    <x v="31"/>
  </r>
  <r>
    <x v="22"/>
    <s v="Life expectancy at birth, total (years)"/>
    <n v="69.628"/>
    <x v="31"/>
  </r>
  <r>
    <x v="23"/>
    <s v="Life expectancy at birth, total (years)"/>
    <n v="62.88"/>
    <x v="31"/>
  </r>
  <r>
    <x v="24"/>
    <s v="Life expectancy at birth, total (years)"/>
    <n v="49.953000000000003"/>
    <x v="31"/>
  </r>
  <r>
    <x v="25"/>
    <s v="Life expectancy at birth, total (years)"/>
    <n v="45.058"/>
    <x v="31"/>
  </r>
  <r>
    <x v="26"/>
    <s v="Life expectancy at birth, total (years)"/>
    <n v="44.430999999999997"/>
    <x v="31"/>
  </r>
  <r>
    <x v="27"/>
    <s v="Life expectancy at birth, total (years)"/>
    <n v="56.72"/>
    <x v="31"/>
  </r>
  <r>
    <x v="0"/>
    <s v="Life expectancy at birth, total (years)"/>
    <n v="47.752000000000002"/>
    <x v="32"/>
  </r>
  <r>
    <x v="1"/>
    <s v="Life expectancy at birth, total (years)"/>
    <n v="51.39"/>
    <x v="32"/>
  </r>
  <r>
    <x v="2"/>
    <s v="Life expectancy at birth, total (years)"/>
    <n v="47.148000000000003"/>
    <x v="32"/>
  </r>
  <r>
    <x v="3"/>
    <s v="Life expectancy at birth, total (years)"/>
    <n v="57.622999999999998"/>
    <x v="32"/>
  </r>
  <r>
    <x v="4"/>
    <s v="Life expectancy at birth, total (years)"/>
    <n v="56.942999999999998"/>
    <x v="32"/>
  </r>
  <r>
    <x v="5"/>
    <s v="Life expectancy at birth, total (years)"/>
    <n v="47.911999999999999"/>
    <x v="32"/>
  </r>
  <r>
    <x v="6"/>
    <s v="Life expectancy at birth, total (years)"/>
    <n v="51.031999999999996"/>
    <x v="32"/>
  </r>
  <r>
    <x v="7"/>
    <s v="Life expectancy at birth, total (years)"/>
    <n v="55.295999999999999"/>
    <x v="32"/>
  </r>
  <r>
    <x v="8"/>
    <s v="Life expectancy at birth, total (years)"/>
    <n v="56.212000000000003"/>
    <x v="32"/>
  </r>
  <r>
    <x v="9"/>
    <s v="Life expectancy at birth, total (years)"/>
    <n v="68.099999999999994"/>
    <x v="32"/>
  </r>
  <r>
    <x v="10"/>
    <s v="Life expectancy at birth, total (years)"/>
    <n v="47.838999999999999"/>
    <x v="32"/>
  </r>
  <r>
    <x v="11"/>
    <s v="Life expectancy at birth, total (years)"/>
    <n v="52.277999999999999"/>
    <x v="32"/>
  </r>
  <r>
    <x v="12"/>
    <s v="Life expectancy at birth, total (years)"/>
    <n v="46.65"/>
    <x v="32"/>
  </r>
  <r>
    <x v="13"/>
    <s v="Life expectancy at birth, total (years)"/>
    <n v="46.305"/>
    <x v="32"/>
  </r>
  <r>
    <x v="14"/>
    <s v="Life expectancy at birth, total (years)"/>
    <n v="67.408000000000001"/>
    <x v="32"/>
  </r>
  <r>
    <x v="15"/>
    <s v="Life expectancy at birth, total (years)"/>
    <n v="43.744999999999997"/>
    <x v="32"/>
  </r>
  <r>
    <x v="16"/>
    <s v="Life expectancy at birth, total (years)"/>
    <n v="59.448"/>
    <x v="32"/>
  </r>
  <r>
    <x v="17"/>
    <s v="Life expectancy at birth, total (years)"/>
    <n v="55.991999999999997"/>
    <x v="32"/>
  </r>
  <r>
    <x v="18"/>
    <s v="Life expectancy at birth, total (years)"/>
    <n v="65.641999999999996"/>
    <x v="32"/>
  </r>
  <r>
    <x v="19"/>
    <s v="Life expectancy at birth, total (years)"/>
    <n v="44.710999999999999"/>
    <x v="32"/>
  </r>
  <r>
    <x v="20"/>
    <s v="Life expectancy at birth, total (years)"/>
    <n v="28.102"/>
    <x v="32"/>
  </r>
  <r>
    <x v="21"/>
    <s v="Life expectancy at birth, total (years)"/>
    <n v="62.133000000000003"/>
    <x v="32"/>
  </r>
  <r>
    <x v="22"/>
    <s v="Life expectancy at birth, total (years)"/>
    <n v="69.66"/>
    <x v="32"/>
  </r>
  <r>
    <x v="23"/>
    <s v="Life expectancy at birth, total (years)"/>
    <n v="62.719000000000001"/>
    <x v="32"/>
  </r>
  <r>
    <x v="24"/>
    <s v="Life expectancy at birth, total (years)"/>
    <n v="49.719000000000001"/>
    <x v="32"/>
  </r>
  <r>
    <x v="25"/>
    <s v="Life expectancy at birth, total (years)"/>
    <n v="44.676000000000002"/>
    <x v="32"/>
  </r>
  <r>
    <x v="26"/>
    <s v="Life expectancy at birth, total (years)"/>
    <n v="43.948"/>
    <x v="32"/>
  </r>
  <r>
    <x v="27"/>
    <s v="Life expectancy at birth, total (years)"/>
    <n v="55.337000000000003"/>
    <x v="32"/>
  </r>
  <r>
    <x v="0"/>
    <s v="Life expectancy at birth, total (years)"/>
    <n v="47.911000000000001"/>
    <x v="33"/>
  </r>
  <r>
    <x v="1"/>
    <s v="Life expectancy at birth, total (years)"/>
    <n v="50.91"/>
    <x v="33"/>
  </r>
  <r>
    <x v="2"/>
    <s v="Life expectancy at birth, total (years)"/>
    <n v="47.243000000000002"/>
    <x v="33"/>
  </r>
  <r>
    <x v="3"/>
    <s v="Life expectancy at birth, total (years)"/>
    <n v="58.037999999999997"/>
    <x v="33"/>
  </r>
  <r>
    <x v="4"/>
    <s v="Life expectancy at birth, total (years)"/>
    <n v="57.017000000000003"/>
    <x v="33"/>
  </r>
  <r>
    <x v="5"/>
    <s v="Life expectancy at birth, total (years)"/>
    <n v="48.345999999999997"/>
    <x v="33"/>
  </r>
  <r>
    <x v="6"/>
    <s v="Life expectancy at birth, total (years)"/>
    <n v="51.381"/>
    <x v="33"/>
  </r>
  <r>
    <x v="7"/>
    <s v="Life expectancy at birth, total (years)"/>
    <n v="55.639000000000003"/>
    <x v="33"/>
  </r>
  <r>
    <x v="8"/>
    <s v="Life expectancy at birth, total (years)"/>
    <n v="55.448999999999998"/>
    <x v="33"/>
  </r>
  <r>
    <x v="9"/>
    <s v="Life expectancy at birth, total (years)"/>
    <n v="68.248780487804893"/>
    <x v="33"/>
  </r>
  <r>
    <x v="10"/>
    <s v="Life expectancy at birth, total (years)"/>
    <n v="48.475000000000001"/>
    <x v="33"/>
  </r>
  <r>
    <x v="11"/>
    <s v="Life expectancy at birth, total (years)"/>
    <n v="53.021999999999998"/>
    <x v="33"/>
  </r>
  <r>
    <x v="12"/>
    <s v="Life expectancy at birth, total (years)"/>
    <n v="46.646999999999998"/>
    <x v="33"/>
  </r>
  <r>
    <x v="13"/>
    <s v="Life expectancy at birth, total (years)"/>
    <n v="46.445"/>
    <x v="33"/>
  </r>
  <r>
    <x v="14"/>
    <s v="Life expectancy at birth, total (years)"/>
    <n v="67.221000000000004"/>
    <x v="33"/>
  </r>
  <r>
    <x v="15"/>
    <s v="Life expectancy at birth, total (years)"/>
    <n v="44.271999999999998"/>
    <x v="33"/>
  </r>
  <r>
    <x v="16"/>
    <s v="Life expectancy at birth, total (years)"/>
    <n v="59.790999999999997"/>
    <x v="33"/>
  </r>
  <r>
    <x v="17"/>
    <s v="Life expectancy at birth, total (years)"/>
    <n v="56.851999999999997"/>
    <x v="33"/>
  </r>
  <r>
    <x v="18"/>
    <s v="Life expectancy at birth, total (years)"/>
    <n v="66.296999999999997"/>
    <x v="33"/>
  </r>
  <r>
    <x v="19"/>
    <s v="Life expectancy at birth, total (years)"/>
    <n v="45.343000000000004"/>
    <x v="33"/>
  </r>
  <r>
    <x v="20"/>
    <s v="Life expectancy at birth, total (years)"/>
    <n v="27.61"/>
    <x v="33"/>
  </r>
  <r>
    <x v="21"/>
    <s v="Life expectancy at birth, total (years)"/>
    <n v="62.293999999999997"/>
    <x v="33"/>
  </r>
  <r>
    <x v="22"/>
    <s v="Life expectancy at birth, total (years)"/>
    <n v="69.593000000000004"/>
    <x v="33"/>
  </r>
  <r>
    <x v="23"/>
    <s v="Life expectancy at birth, total (years)"/>
    <n v="62.71"/>
    <x v="33"/>
  </r>
  <r>
    <x v="24"/>
    <s v="Life expectancy at birth, total (years)"/>
    <n v="49.54"/>
    <x v="33"/>
  </r>
  <r>
    <x v="25"/>
    <s v="Life expectancy at birth, total (years)"/>
    <n v="44.387999999999998"/>
    <x v="33"/>
  </r>
  <r>
    <x v="26"/>
    <s v="Life expectancy at birth, total (years)"/>
    <n v="43.564"/>
    <x v="33"/>
  </r>
  <r>
    <x v="27"/>
    <s v="Life expectancy at birth, total (years)"/>
    <n v="53.853999999999999"/>
    <x v="33"/>
  </r>
  <r>
    <x v="0"/>
    <s v="Life expectancy at birth, total (years)"/>
    <n v="48.295000000000002"/>
    <x v="34"/>
  </r>
  <r>
    <x v="1"/>
    <s v="Life expectancy at birth, total (years)"/>
    <n v="50.433"/>
    <x v="34"/>
  </r>
  <r>
    <x v="2"/>
    <s v="Life expectancy at birth, total (years)"/>
    <n v="47.338999999999999"/>
    <x v="34"/>
  </r>
  <r>
    <x v="3"/>
    <s v="Life expectancy at birth, total (years)"/>
    <n v="58.406999999999996"/>
    <x v="34"/>
  </r>
  <r>
    <x v="4"/>
    <s v="Life expectancy at birth, total (years)"/>
    <n v="57.055999999999997"/>
    <x v="34"/>
  </r>
  <r>
    <x v="5"/>
    <s v="Life expectancy at birth, total (years)"/>
    <n v="48.811999999999998"/>
    <x v="34"/>
  </r>
  <r>
    <x v="6"/>
    <s v="Life expectancy at birth, total (years)"/>
    <n v="51.61"/>
    <x v="34"/>
  </r>
  <r>
    <x v="7"/>
    <s v="Life expectancy at birth, total (years)"/>
    <n v="55.981000000000002"/>
    <x v="34"/>
  </r>
  <r>
    <x v="8"/>
    <s v="Life expectancy at birth, total (years)"/>
    <n v="54.668999999999997"/>
    <x v="34"/>
  </r>
  <r>
    <x v="9"/>
    <s v="Life expectancy at birth, total (years)"/>
    <n v="68.400000000000006"/>
    <x v="34"/>
  </r>
  <r>
    <x v="10"/>
    <s v="Life expectancy at birth, total (years)"/>
    <n v="49.283000000000001"/>
    <x v="34"/>
  </r>
  <r>
    <x v="11"/>
    <s v="Life expectancy at birth, total (years)"/>
    <n v="53.808"/>
    <x v="34"/>
  </r>
  <r>
    <x v="12"/>
    <s v="Life expectancy at birth, total (years)"/>
    <n v="46.627000000000002"/>
    <x v="34"/>
  </r>
  <r>
    <x v="13"/>
    <s v="Life expectancy at birth, total (years)"/>
    <n v="46.52"/>
    <x v="34"/>
  </r>
  <r>
    <x v="14"/>
    <s v="Life expectancy at birth, total (years)"/>
    <n v="67.03"/>
    <x v="34"/>
  </r>
  <r>
    <x v="15"/>
    <s v="Life expectancy at birth, total (years)"/>
    <n v="44.862000000000002"/>
    <x v="34"/>
  </r>
  <r>
    <x v="16"/>
    <s v="Life expectancy at birth, total (years)"/>
    <n v="60.128"/>
    <x v="34"/>
  </r>
  <r>
    <x v="17"/>
    <s v="Life expectancy at birth, total (years)"/>
    <n v="57.698999999999998"/>
    <x v="34"/>
  </r>
  <r>
    <x v="18"/>
    <s v="Life expectancy at birth, total (years)"/>
    <n v="66.885999999999996"/>
    <x v="34"/>
  </r>
  <r>
    <x v="19"/>
    <s v="Life expectancy at birth, total (years)"/>
    <n v="45.996000000000002"/>
    <x v="34"/>
  </r>
  <r>
    <x v="20"/>
    <s v="Life expectancy at birth, total (years)"/>
    <n v="29.003"/>
    <x v="34"/>
  </r>
  <r>
    <x v="21"/>
    <s v="Life expectancy at birth, total (years)"/>
    <n v="62.454000000000001"/>
    <x v="34"/>
  </r>
  <r>
    <x v="22"/>
    <s v="Life expectancy at birth, total (years)"/>
    <n v="69.451999999999998"/>
    <x v="34"/>
  </r>
  <r>
    <x v="23"/>
    <s v="Life expectancy at birth, total (years)"/>
    <n v="62.869"/>
    <x v="34"/>
  </r>
  <r>
    <x v="24"/>
    <s v="Life expectancy at birth, total (years)"/>
    <n v="49.444000000000003"/>
    <x v="34"/>
  </r>
  <r>
    <x v="25"/>
    <s v="Life expectancy at birth, total (years)"/>
    <n v="44.222999999999999"/>
    <x v="34"/>
  </r>
  <r>
    <x v="26"/>
    <s v="Life expectancy at birth, total (years)"/>
    <n v="43.296999999999997"/>
    <x v="34"/>
  </r>
  <r>
    <x v="27"/>
    <s v="Life expectancy at birth, total (years)"/>
    <n v="52.329000000000001"/>
    <x v="34"/>
  </r>
  <r>
    <x v="0"/>
    <s v="Life expectancy at birth, total (years)"/>
    <n v="48.86"/>
    <x v="35"/>
  </r>
  <r>
    <x v="1"/>
    <s v="Life expectancy at birth, total (years)"/>
    <n v="50.015000000000001"/>
    <x v="35"/>
  </r>
  <r>
    <x v="2"/>
    <s v="Life expectancy at birth, total (years)"/>
    <n v="47.430999999999997"/>
    <x v="35"/>
  </r>
  <r>
    <x v="3"/>
    <s v="Life expectancy at birth, total (years)"/>
    <n v="58.722000000000001"/>
    <x v="35"/>
  </r>
  <r>
    <x v="4"/>
    <s v="Life expectancy at birth, total (years)"/>
    <n v="57.064999999999998"/>
    <x v="35"/>
  </r>
  <r>
    <x v="5"/>
    <s v="Life expectancy at birth, total (years)"/>
    <n v="49.305"/>
    <x v="35"/>
  </r>
  <r>
    <x v="6"/>
    <s v="Life expectancy at birth, total (years)"/>
    <n v="51.716999999999999"/>
    <x v="35"/>
  </r>
  <r>
    <x v="7"/>
    <s v="Life expectancy at birth, total (years)"/>
    <n v="56.316000000000003"/>
    <x v="35"/>
  </r>
  <r>
    <x v="8"/>
    <s v="Life expectancy at birth, total (years)"/>
    <n v="53.911000000000001"/>
    <x v="35"/>
  </r>
  <r>
    <x v="9"/>
    <s v="Life expectancy at birth, total (years)"/>
    <n v="68.551219512195104"/>
    <x v="35"/>
  </r>
  <r>
    <x v="10"/>
    <s v="Life expectancy at birth, total (years)"/>
    <n v="50.162999999999997"/>
    <x v="35"/>
  </r>
  <r>
    <x v="11"/>
    <s v="Life expectancy at birth, total (years)"/>
    <n v="54.616"/>
    <x v="35"/>
  </r>
  <r>
    <x v="12"/>
    <s v="Life expectancy at birth, total (years)"/>
    <n v="46.585000000000001"/>
    <x v="35"/>
  </r>
  <r>
    <x v="13"/>
    <s v="Life expectancy at birth, total (years)"/>
    <n v="46.573"/>
    <x v="35"/>
  </r>
  <r>
    <x v="14"/>
    <s v="Life expectancy at birth, total (years)"/>
    <n v="66.867000000000004"/>
    <x v="35"/>
  </r>
  <r>
    <x v="15"/>
    <s v="Life expectancy at birth, total (years)"/>
    <n v="45.491"/>
    <x v="35"/>
  </r>
  <r>
    <x v="16"/>
    <s v="Life expectancy at birth, total (years)"/>
    <n v="60.463000000000001"/>
    <x v="35"/>
  </r>
  <r>
    <x v="17"/>
    <s v="Life expectancy at birth, total (years)"/>
    <n v="58.529000000000003"/>
    <x v="35"/>
  </r>
  <r>
    <x v="18"/>
    <s v="Life expectancy at birth, total (years)"/>
    <n v="67.411000000000001"/>
    <x v="35"/>
  </r>
  <r>
    <x v="19"/>
    <s v="Life expectancy at birth, total (years)"/>
    <n v="46.658999999999999"/>
    <x v="35"/>
  </r>
  <r>
    <x v="20"/>
    <s v="Life expectancy at birth, total (years)"/>
    <n v="31.977"/>
    <x v="35"/>
  </r>
  <r>
    <x v="21"/>
    <s v="Life expectancy at birth, total (years)"/>
    <n v="62.610999999999997"/>
    <x v="35"/>
  </r>
  <r>
    <x v="22"/>
    <s v="Life expectancy at birth, total (years)"/>
    <n v="69.31"/>
    <x v="35"/>
  </r>
  <r>
    <x v="23"/>
    <s v="Life expectancy at birth, total (years)"/>
    <n v="63.185000000000002"/>
    <x v="35"/>
  </r>
  <r>
    <x v="24"/>
    <s v="Life expectancy at birth, total (years)"/>
    <n v="49.46"/>
    <x v="35"/>
  </r>
  <r>
    <x v="25"/>
    <s v="Life expectancy at birth, total (years)"/>
    <n v="44.22"/>
    <x v="35"/>
  </r>
  <r>
    <x v="26"/>
    <s v="Life expectancy at birth, total (years)"/>
    <n v="43.165999999999997"/>
    <x v="35"/>
  </r>
  <r>
    <x v="27"/>
    <s v="Life expectancy at birth, total (years)"/>
    <n v="50.811"/>
    <x v="35"/>
  </r>
  <r>
    <x v="0"/>
    <s v="Life expectancy at birth, total (years)"/>
    <n v="49.526000000000003"/>
    <x v="36"/>
  </r>
  <r>
    <x v="1"/>
    <s v="Life expectancy at birth, total (years)"/>
    <n v="49.707999999999998"/>
    <x v="36"/>
  </r>
  <r>
    <x v="2"/>
    <s v="Life expectancy at birth, total (years)"/>
    <n v="47.505000000000003"/>
    <x v="36"/>
  </r>
  <r>
    <x v="3"/>
    <s v="Life expectancy at birth, total (years)"/>
    <n v="58.972000000000001"/>
    <x v="36"/>
  </r>
  <r>
    <x v="4"/>
    <s v="Life expectancy at birth, total (years)"/>
    <n v="57.05"/>
    <x v="36"/>
  </r>
  <r>
    <x v="5"/>
    <s v="Life expectancy at birth, total (years)"/>
    <n v="49.811"/>
    <x v="36"/>
  </r>
  <r>
    <x v="6"/>
    <s v="Life expectancy at birth, total (years)"/>
    <n v="51.701000000000001"/>
    <x v="36"/>
  </r>
  <r>
    <x v="7"/>
    <s v="Life expectancy at birth, total (years)"/>
    <n v="56.634999999999998"/>
    <x v="36"/>
  </r>
  <r>
    <x v="8"/>
    <s v="Life expectancy at birth, total (years)"/>
    <n v="53.204999999999998"/>
    <x v="36"/>
  </r>
  <r>
    <x v="9"/>
    <s v="Life expectancy at birth, total (years)"/>
    <n v="68.7"/>
    <x v="36"/>
  </r>
  <r>
    <x v="10"/>
    <s v="Life expectancy at birth, total (years)"/>
    <n v="50.984000000000002"/>
    <x v="36"/>
  </r>
  <r>
    <x v="11"/>
    <s v="Life expectancy at birth, total (years)"/>
    <n v="55.43"/>
    <x v="36"/>
  </r>
  <r>
    <x v="12"/>
    <s v="Life expectancy at birth, total (years)"/>
    <n v="46.515999999999998"/>
    <x v="36"/>
  </r>
  <r>
    <x v="13"/>
    <s v="Life expectancy at birth, total (years)"/>
    <n v="46.658000000000001"/>
    <x v="36"/>
  </r>
  <r>
    <x v="14"/>
    <s v="Life expectancy at birth, total (years)"/>
    <n v="66.760999999999996"/>
    <x v="36"/>
  </r>
  <r>
    <x v="15"/>
    <s v="Life expectancy at birth, total (years)"/>
    <n v="46.124000000000002"/>
    <x v="36"/>
  </r>
  <r>
    <x v="16"/>
    <s v="Life expectancy at birth, total (years)"/>
    <n v="60.795999999999999"/>
    <x v="36"/>
  </r>
  <r>
    <x v="17"/>
    <s v="Life expectancy at birth, total (years)"/>
    <n v="59.341000000000001"/>
    <x v="36"/>
  </r>
  <r>
    <x v="18"/>
    <s v="Life expectancy at birth, total (years)"/>
    <n v="67.891000000000005"/>
    <x v="36"/>
  </r>
  <r>
    <x v="19"/>
    <s v="Life expectancy at birth, total (years)"/>
    <n v="47.323"/>
    <x v="36"/>
  </r>
  <r>
    <x v="20"/>
    <s v="Life expectancy at birth, total (years)"/>
    <n v="35.923000000000002"/>
    <x v="36"/>
  </r>
  <r>
    <x v="21"/>
    <s v="Life expectancy at birth, total (years)"/>
    <n v="62.76"/>
    <x v="36"/>
  </r>
  <r>
    <x v="22"/>
    <s v="Life expectancy at birth, total (years)"/>
    <n v="69.266999999999996"/>
    <x v="36"/>
  </r>
  <r>
    <x v="23"/>
    <s v="Life expectancy at birth, total (years)"/>
    <n v="63.618000000000002"/>
    <x v="36"/>
  </r>
  <r>
    <x v="24"/>
    <s v="Life expectancy at birth, total (years)"/>
    <n v="49.609000000000002"/>
    <x v="36"/>
  </r>
  <r>
    <x v="25"/>
    <s v="Life expectancy at birth, total (years)"/>
    <n v="44.414999999999999"/>
    <x v="36"/>
  </r>
  <r>
    <x v="26"/>
    <s v="Life expectancy at birth, total (years)"/>
    <n v="43.183"/>
    <x v="36"/>
  </r>
  <r>
    <x v="27"/>
    <s v="Life expectancy at birth, total (years)"/>
    <n v="49.34"/>
    <x v="36"/>
  </r>
  <r>
    <x v="0"/>
    <s v="Life expectancy at birth, total (years)"/>
    <n v="50.186"/>
    <x v="37"/>
  </r>
  <r>
    <x v="1"/>
    <s v="Life expectancy at birth, total (years)"/>
    <n v="49.542999999999999"/>
    <x v="37"/>
  </r>
  <r>
    <x v="2"/>
    <s v="Life expectancy at birth, total (years)"/>
    <n v="47.555999999999997"/>
    <x v="37"/>
  </r>
  <r>
    <x v="3"/>
    <s v="Life expectancy at birth, total (years)"/>
    <n v="59.16"/>
    <x v="37"/>
  </r>
  <r>
    <x v="4"/>
    <s v="Life expectancy at birth, total (years)"/>
    <n v="57.021999999999998"/>
    <x v="37"/>
  </r>
  <r>
    <x v="5"/>
    <s v="Life expectancy at birth, total (years)"/>
    <n v="50.322000000000003"/>
    <x v="37"/>
  </r>
  <r>
    <x v="6"/>
    <s v="Life expectancy at birth, total (years)"/>
    <n v="51.591999999999999"/>
    <x v="37"/>
  </r>
  <r>
    <x v="7"/>
    <s v="Life expectancy at birth, total (years)"/>
    <n v="56.933"/>
    <x v="37"/>
  </r>
  <r>
    <x v="8"/>
    <s v="Life expectancy at birth, total (years)"/>
    <n v="52.588999999999999"/>
    <x v="37"/>
  </r>
  <r>
    <x v="9"/>
    <s v="Life expectancy at birth, total (years)"/>
    <n v="68.851219512195101"/>
    <x v="37"/>
  </r>
  <r>
    <x v="10"/>
    <s v="Life expectancy at birth, total (years)"/>
    <n v="51.640999999999998"/>
    <x v="37"/>
  </r>
  <r>
    <x v="11"/>
    <s v="Life expectancy at birth, total (years)"/>
    <n v="56.238999999999997"/>
    <x v="37"/>
  </r>
  <r>
    <x v="12"/>
    <s v="Life expectancy at birth, total (years)"/>
    <n v="46.433999999999997"/>
    <x v="37"/>
  </r>
  <r>
    <x v="13"/>
    <s v="Life expectancy at birth, total (years)"/>
    <n v="46.823"/>
    <x v="37"/>
  </r>
  <r>
    <x v="14"/>
    <s v="Life expectancy at birth, total (years)"/>
    <n v="66.721999999999994"/>
    <x v="37"/>
  </r>
  <r>
    <x v="15"/>
    <s v="Life expectancy at birth, total (years)"/>
    <n v="46.735999999999997"/>
    <x v="37"/>
  </r>
  <r>
    <x v="16"/>
    <s v="Life expectancy at birth, total (years)"/>
    <n v="61.131"/>
    <x v="37"/>
  </r>
  <r>
    <x v="17"/>
    <s v="Life expectancy at birth, total (years)"/>
    <n v="60.134"/>
    <x v="37"/>
  </r>
  <r>
    <x v="18"/>
    <s v="Life expectancy at birth, total (years)"/>
    <n v="68.349000000000004"/>
    <x v="37"/>
  </r>
  <r>
    <x v="19"/>
    <s v="Life expectancy at birth, total (years)"/>
    <n v="47.978999999999999"/>
    <x v="37"/>
  </r>
  <r>
    <x v="20"/>
    <s v="Life expectancy at birth, total (years)"/>
    <n v="40.012999999999998"/>
    <x v="37"/>
  </r>
  <r>
    <x v="21"/>
    <s v="Life expectancy at birth, total (years)"/>
    <n v="62.902000000000001"/>
    <x v="37"/>
  </r>
  <r>
    <x v="22"/>
    <s v="Life expectancy at birth, total (years)"/>
    <n v="69.399000000000001"/>
    <x v="37"/>
  </r>
  <r>
    <x v="23"/>
    <s v="Life expectancy at birth, total (years)"/>
    <n v="64.105000000000004"/>
    <x v="37"/>
  </r>
  <r>
    <x v="24"/>
    <s v="Life expectancy at birth, total (years)"/>
    <n v="49.889000000000003"/>
    <x v="37"/>
  </r>
  <r>
    <x v="25"/>
    <s v="Life expectancy at birth, total (years)"/>
    <n v="44.811"/>
    <x v="37"/>
  </r>
  <r>
    <x v="26"/>
    <s v="Life expectancy at birth, total (years)"/>
    <n v="43.345999999999997"/>
    <x v="37"/>
  </r>
  <r>
    <x v="27"/>
    <s v="Life expectancy at birth, total (years)"/>
    <n v="47.954999999999998"/>
    <x v="37"/>
  </r>
  <r>
    <x v="0"/>
    <s v="Life expectancy at birth, total (years)"/>
    <n v="50.758000000000003"/>
    <x v="38"/>
  </r>
  <r>
    <x v="1"/>
    <s v="Life expectancy at birth, total (years)"/>
    <n v="49.537999999999997"/>
    <x v="38"/>
  </r>
  <r>
    <x v="2"/>
    <s v="Life expectancy at birth, total (years)"/>
    <n v="47.582000000000001"/>
    <x v="38"/>
  </r>
  <r>
    <x v="3"/>
    <s v="Life expectancy at birth, total (years)"/>
    <n v="59.293999999999997"/>
    <x v="38"/>
  </r>
  <r>
    <x v="4"/>
    <s v="Life expectancy at birth, total (years)"/>
    <n v="56.997999999999998"/>
    <x v="38"/>
  </r>
  <r>
    <x v="5"/>
    <s v="Life expectancy at birth, total (years)"/>
    <n v="50.835999999999999"/>
    <x v="38"/>
  </r>
  <r>
    <x v="6"/>
    <s v="Life expectancy at birth, total (years)"/>
    <n v="51.433999999999997"/>
    <x v="38"/>
  </r>
  <r>
    <x v="7"/>
    <s v="Life expectancy at birth, total (years)"/>
    <n v="57.209000000000003"/>
    <x v="38"/>
  </r>
  <r>
    <x v="8"/>
    <s v="Life expectancy at birth, total (years)"/>
    <n v="52.106000000000002"/>
    <x v="38"/>
  </r>
  <r>
    <x v="9"/>
    <s v="Life expectancy at birth, total (years)"/>
    <n v="68.951219512195095"/>
    <x v="38"/>
  </r>
  <r>
    <x v="10"/>
    <s v="Life expectancy at birth, total (years)"/>
    <n v="52.082000000000001"/>
    <x v="38"/>
  </r>
  <r>
    <x v="11"/>
    <s v="Life expectancy at birth, total (years)"/>
    <n v="57.027999999999999"/>
    <x v="38"/>
  </r>
  <r>
    <x v="12"/>
    <s v="Life expectancy at birth, total (years)"/>
    <n v="46.369"/>
    <x v="38"/>
  </r>
  <r>
    <x v="13"/>
    <s v="Life expectancy at birth, total (years)"/>
    <n v="47.103000000000002"/>
    <x v="38"/>
  </r>
  <r>
    <x v="14"/>
    <s v="Life expectancy at birth, total (years)"/>
    <n v="66.751999999999995"/>
    <x v="38"/>
  </r>
  <r>
    <x v="15"/>
    <s v="Life expectancy at birth, total (years)"/>
    <n v="47.308999999999997"/>
    <x v="38"/>
  </r>
  <r>
    <x v="16"/>
    <s v="Life expectancy at birth, total (years)"/>
    <n v="61.466999999999999"/>
    <x v="38"/>
  </r>
  <r>
    <x v="17"/>
    <s v="Life expectancy at birth, total (years)"/>
    <n v="60.908999999999999"/>
    <x v="38"/>
  </r>
  <r>
    <x v="18"/>
    <s v="Life expectancy at birth, total (years)"/>
    <n v="68.808000000000007"/>
    <x v="38"/>
  </r>
  <r>
    <x v="19"/>
    <s v="Life expectancy at birth, total (years)"/>
    <n v="48.622"/>
    <x v="38"/>
  </r>
  <r>
    <x v="20"/>
    <s v="Life expectancy at birth, total (years)"/>
    <n v="43.595999999999997"/>
    <x v="38"/>
  </r>
  <r>
    <x v="21"/>
    <s v="Life expectancy at birth, total (years)"/>
    <n v="63.040999999999997"/>
    <x v="38"/>
  </r>
  <r>
    <x v="22"/>
    <s v="Life expectancy at birth, total (years)"/>
    <n v="69.744"/>
    <x v="38"/>
  </r>
  <r>
    <x v="23"/>
    <s v="Life expectancy at birth, total (years)"/>
    <n v="64.590999999999994"/>
    <x v="38"/>
  </r>
  <r>
    <x v="24"/>
    <s v="Life expectancy at birth, total (years)"/>
    <n v="50.296999999999997"/>
    <x v="38"/>
  </r>
  <r>
    <x v="25"/>
    <s v="Life expectancy at birth, total (years)"/>
    <n v="45.396999999999998"/>
    <x v="38"/>
  </r>
  <r>
    <x v="26"/>
    <s v="Life expectancy at birth, total (years)"/>
    <n v="43.652999999999999"/>
    <x v="38"/>
  </r>
  <r>
    <x v="27"/>
    <s v="Life expectancy at birth, total (years)"/>
    <n v="46.704999999999998"/>
    <x v="38"/>
  </r>
  <r>
    <x v="0"/>
    <s v="Life expectancy at birth, total (years)"/>
    <n v="51.213000000000001"/>
    <x v="39"/>
  </r>
  <r>
    <x v="1"/>
    <s v="Life expectancy at birth, total (years)"/>
    <n v="49.7"/>
    <x v="39"/>
  </r>
  <r>
    <x v="2"/>
    <s v="Life expectancy at birth, total (years)"/>
    <n v="47.59"/>
    <x v="39"/>
  </r>
  <r>
    <x v="3"/>
    <s v="Life expectancy at birth, total (years)"/>
    <n v="59.387999999999998"/>
    <x v="39"/>
  </r>
  <r>
    <x v="4"/>
    <s v="Life expectancy at birth, total (years)"/>
    <n v="56.991999999999997"/>
    <x v="39"/>
  </r>
  <r>
    <x v="5"/>
    <s v="Life expectancy at birth, total (years)"/>
    <n v="51.366"/>
    <x v="39"/>
  </r>
  <r>
    <x v="6"/>
    <s v="Life expectancy at birth, total (years)"/>
    <n v="51.273000000000003"/>
    <x v="39"/>
  </r>
  <r>
    <x v="7"/>
    <s v="Life expectancy at birth, total (years)"/>
    <n v="57.466999999999999"/>
    <x v="39"/>
  </r>
  <r>
    <x v="8"/>
    <s v="Life expectancy at birth, total (years)"/>
    <n v="51.805"/>
    <x v="39"/>
  </r>
  <r>
    <x v="9"/>
    <s v="Life expectancy at birth, total (years)"/>
    <n v="66.951219512195095"/>
    <x v="39"/>
  </r>
  <r>
    <x v="10"/>
    <s v="Life expectancy at birth, total (years)"/>
    <n v="52.314"/>
    <x v="39"/>
  </r>
  <r>
    <x v="11"/>
    <s v="Life expectancy at birth, total (years)"/>
    <n v="57.781999999999996"/>
    <x v="39"/>
  </r>
  <r>
    <x v="12"/>
    <s v="Life expectancy at birth, total (years)"/>
    <n v="46.354999999999997"/>
    <x v="39"/>
  </r>
  <r>
    <x v="13"/>
    <s v="Life expectancy at birth, total (years)"/>
    <n v="47.515000000000001"/>
    <x v="39"/>
  </r>
  <r>
    <x v="14"/>
    <s v="Life expectancy at birth, total (years)"/>
    <n v="66.852000000000004"/>
    <x v="39"/>
  </r>
  <r>
    <x v="15"/>
    <s v="Life expectancy at birth, total (years)"/>
    <n v="47.841000000000001"/>
    <x v="39"/>
  </r>
  <r>
    <x v="16"/>
    <s v="Life expectancy at birth, total (years)"/>
    <n v="61.802"/>
    <x v="39"/>
  </r>
  <r>
    <x v="17"/>
    <s v="Life expectancy at birth, total (years)"/>
    <n v="61.661000000000001"/>
    <x v="39"/>
  </r>
  <r>
    <x v="18"/>
    <s v="Life expectancy at birth, total (years)"/>
    <n v="69.272000000000006"/>
    <x v="39"/>
  </r>
  <r>
    <x v="19"/>
    <s v="Life expectancy at birth, total (years)"/>
    <n v="49.253"/>
    <x v="39"/>
  </r>
  <r>
    <x v="20"/>
    <s v="Life expectancy at birth, total (years)"/>
    <n v="46.411999999999999"/>
    <x v="39"/>
  </r>
  <r>
    <x v="21"/>
    <s v="Life expectancy at birth, total (years)"/>
    <n v="63.180999999999997"/>
    <x v="39"/>
  </r>
  <r>
    <x v="22"/>
    <s v="Life expectancy at birth, total (years)"/>
    <n v="70.296000000000006"/>
    <x v="39"/>
  </r>
  <r>
    <x v="23"/>
    <s v="Life expectancy at birth, total (years)"/>
    <n v="65.052999999999997"/>
    <x v="39"/>
  </r>
  <r>
    <x v="24"/>
    <s v="Life expectancy at birth, total (years)"/>
    <n v="50.831000000000003"/>
    <x v="39"/>
  </r>
  <r>
    <x v="25"/>
    <s v="Life expectancy at birth, total (years)"/>
    <n v="46.16"/>
    <x v="39"/>
  </r>
  <r>
    <x v="26"/>
    <s v="Life expectancy at birth, total (years)"/>
    <n v="44.103999999999999"/>
    <x v="39"/>
  </r>
  <r>
    <x v="27"/>
    <s v="Life expectancy at birth, total (years)"/>
    <n v="45.646999999999998"/>
    <x v="39"/>
  </r>
  <r>
    <x v="0"/>
    <s v="Life expectancy at birth, total (years)"/>
    <n v="51.545000000000002"/>
    <x v="40"/>
  </r>
  <r>
    <x v="1"/>
    <s v="Life expectancy at birth, total (years)"/>
    <n v="50.026000000000003"/>
    <x v="40"/>
  </r>
  <r>
    <x v="2"/>
    <s v="Life expectancy at birth, total (years)"/>
    <n v="47.593000000000004"/>
    <x v="40"/>
  </r>
  <r>
    <x v="3"/>
    <s v="Life expectancy at birth, total (years)"/>
    <n v="59.46"/>
    <x v="40"/>
  </r>
  <r>
    <x v="4"/>
    <s v="Life expectancy at birth, total (years)"/>
    <n v="57.021000000000001"/>
    <x v="40"/>
  </r>
  <r>
    <x v="5"/>
    <s v="Life expectancy at birth, total (years)"/>
    <n v="51.94"/>
    <x v="40"/>
  </r>
  <r>
    <x v="6"/>
    <s v="Life expectancy at birth, total (years)"/>
    <n v="51.180999999999997"/>
    <x v="40"/>
  </r>
  <r>
    <x v="7"/>
    <s v="Life expectancy at birth, total (years)"/>
    <n v="57.716000000000001"/>
    <x v="40"/>
  </r>
  <r>
    <x v="8"/>
    <s v="Life expectancy at birth, total (years)"/>
    <n v="51.750999999999998"/>
    <x v="40"/>
  </r>
  <r>
    <x v="9"/>
    <s v="Life expectancy at birth, total (years)"/>
    <n v="67.951219512195095"/>
    <x v="40"/>
  </r>
  <r>
    <x v="10"/>
    <s v="Life expectancy at birth, total (years)"/>
    <n v="52.423000000000002"/>
    <x v="40"/>
  </r>
  <r>
    <x v="11"/>
    <s v="Life expectancy at birth, total (years)"/>
    <n v="58.484999999999999"/>
    <x v="40"/>
  </r>
  <r>
    <x v="12"/>
    <s v="Life expectancy at birth, total (years)"/>
    <n v="46.45"/>
    <x v="40"/>
  </r>
  <r>
    <x v="13"/>
    <s v="Life expectancy at birth, total (years)"/>
    <n v="48.069000000000003"/>
    <x v="40"/>
  </r>
  <r>
    <x v="14"/>
    <s v="Life expectancy at birth, total (years)"/>
    <n v="67.006"/>
    <x v="40"/>
  </r>
  <r>
    <x v="15"/>
    <s v="Life expectancy at birth, total (years)"/>
    <n v="48.347999999999999"/>
    <x v="40"/>
  </r>
  <r>
    <x v="16"/>
    <s v="Life expectancy at birth, total (years)"/>
    <n v="62.133000000000003"/>
    <x v="40"/>
  </r>
  <r>
    <x v="17"/>
    <s v="Life expectancy at birth, total (years)"/>
    <n v="62.386000000000003"/>
    <x v="40"/>
  </r>
  <r>
    <x v="18"/>
    <s v="Life expectancy at birth, total (years)"/>
    <n v="69.742000000000004"/>
    <x v="40"/>
  </r>
  <r>
    <x v="19"/>
    <s v="Life expectancy at birth, total (years)"/>
    <n v="49.874000000000002"/>
    <x v="40"/>
  </r>
  <r>
    <x v="20"/>
    <s v="Life expectancy at birth, total (years)"/>
    <n v="48.414999999999999"/>
    <x v="40"/>
  </r>
  <r>
    <x v="21"/>
    <s v="Life expectancy at birth, total (years)"/>
    <n v="63.338000000000001"/>
    <x v="40"/>
  </r>
  <r>
    <x v="22"/>
    <s v="Life expectancy at birth, total (years)"/>
    <n v="71.001999999999995"/>
    <x v="40"/>
  </r>
  <r>
    <x v="23"/>
    <s v="Life expectancy at birth, total (years)"/>
    <n v="65.484999999999999"/>
    <x v="40"/>
  </r>
  <r>
    <x v="24"/>
    <s v="Life expectancy at birth, total (years)"/>
    <n v="51.493000000000002"/>
    <x v="40"/>
  </r>
  <r>
    <x v="25"/>
    <s v="Life expectancy at birth, total (years)"/>
    <n v="47.076999999999998"/>
    <x v="40"/>
  </r>
  <r>
    <x v="26"/>
    <s v="Life expectancy at birth, total (years)"/>
    <n v="44.701999999999998"/>
    <x v="40"/>
  </r>
  <r>
    <x v="27"/>
    <s v="Life expectancy at birth, total (years)"/>
    <n v="44.841000000000001"/>
    <x v="40"/>
  </r>
  <r>
    <x v="0"/>
    <s v="Life expectancy at birth, total (years)"/>
    <n v="51.779000000000003"/>
    <x v="41"/>
  </r>
  <r>
    <x v="1"/>
    <s v="Life expectancy at birth, total (years)"/>
    <n v="50.494999999999997"/>
    <x v="41"/>
  </r>
  <r>
    <x v="2"/>
    <s v="Life expectancy at birth, total (years)"/>
    <n v="47.603000000000002"/>
    <x v="41"/>
  </r>
  <r>
    <x v="3"/>
    <s v="Life expectancy at birth, total (years)"/>
    <n v="59.529000000000003"/>
    <x v="41"/>
  </r>
  <r>
    <x v="4"/>
    <s v="Life expectancy at birth, total (years)"/>
    <n v="57.1"/>
    <x v="41"/>
  </r>
  <r>
    <x v="5"/>
    <s v="Life expectancy at birth, total (years)"/>
    <n v="52.593000000000004"/>
    <x v="41"/>
  </r>
  <r>
    <x v="6"/>
    <s v="Life expectancy at birth, total (years)"/>
    <n v="51.228999999999999"/>
    <x v="41"/>
  </r>
  <r>
    <x v="7"/>
    <s v="Life expectancy at birth, total (years)"/>
    <n v="57.969000000000001"/>
    <x v="41"/>
  </r>
  <r>
    <x v="8"/>
    <s v="Life expectancy at birth, total (years)"/>
    <n v="52.003999999999998"/>
    <x v="41"/>
  </r>
  <r>
    <x v="9"/>
    <s v="Life expectancy at birth, total (years)"/>
    <n v="67.997560975609801"/>
    <x v="41"/>
  </r>
  <r>
    <x v="10"/>
    <s v="Life expectancy at birth, total (years)"/>
    <n v="52.542999999999999"/>
    <x v="41"/>
  </r>
  <r>
    <x v="11"/>
    <s v="Life expectancy at birth, total (years)"/>
    <n v="59.128999999999998"/>
    <x v="41"/>
  </r>
  <r>
    <x v="12"/>
    <s v="Life expectancy at birth, total (years)"/>
    <n v="46.71"/>
    <x v="41"/>
  </r>
  <r>
    <x v="13"/>
    <s v="Life expectancy at birth, total (years)"/>
    <n v="48.758000000000003"/>
    <x v="41"/>
  </r>
  <r>
    <x v="14"/>
    <s v="Life expectancy at birth, total (years)"/>
    <n v="67.185000000000002"/>
    <x v="41"/>
  </r>
  <r>
    <x v="15"/>
    <s v="Life expectancy at birth, total (years)"/>
    <n v="48.859000000000002"/>
    <x v="41"/>
  </r>
  <r>
    <x v="16"/>
    <s v="Life expectancy at birth, total (years)"/>
    <n v="62.451999999999998"/>
    <x v="41"/>
  </r>
  <r>
    <x v="17"/>
    <s v="Life expectancy at birth, total (years)"/>
    <n v="63.082000000000001"/>
    <x v="41"/>
  </r>
  <r>
    <x v="18"/>
    <s v="Life expectancy at birth, total (years)"/>
    <n v="70.213999999999999"/>
    <x v="41"/>
  </r>
  <r>
    <x v="19"/>
    <s v="Life expectancy at birth, total (years)"/>
    <n v="50.494"/>
    <x v="41"/>
  </r>
  <r>
    <x v="20"/>
    <s v="Life expectancy at birth, total (years)"/>
    <n v="49.792999999999999"/>
    <x v="41"/>
  </r>
  <r>
    <x v="21"/>
    <s v="Life expectancy at birth, total (years)"/>
    <n v="63.526000000000003"/>
    <x v="41"/>
  </r>
  <r>
    <x v="22"/>
    <s v="Life expectancy at birth, total (years)"/>
    <n v="71.775000000000006"/>
    <x v="41"/>
  </r>
  <r>
    <x v="23"/>
    <s v="Life expectancy at birth, total (years)"/>
    <n v="65.894000000000005"/>
    <x v="41"/>
  </r>
  <r>
    <x v="24"/>
    <s v="Life expectancy at birth, total (years)"/>
    <n v="52.280999999999999"/>
    <x v="41"/>
  </r>
  <r>
    <x v="25"/>
    <s v="Life expectancy at birth, total (years)"/>
    <n v="48.12"/>
    <x v="41"/>
  </r>
  <r>
    <x v="26"/>
    <s v="Life expectancy at birth, total (years)"/>
    <n v="45.448"/>
    <x v="41"/>
  </r>
  <r>
    <x v="27"/>
    <s v="Life expectancy at birth, total (years)"/>
    <n v="44.326000000000001"/>
    <x v="41"/>
  </r>
  <r>
    <x v="0"/>
    <s v="Life expectancy at birth, total (years)"/>
    <n v="51.976999999999997"/>
    <x v="42"/>
  </r>
  <r>
    <x v="1"/>
    <s v="Life expectancy at birth, total (years)"/>
    <n v="51.058999999999997"/>
    <x v="42"/>
  </r>
  <r>
    <x v="2"/>
    <s v="Life expectancy at birth, total (years)"/>
    <n v="47.637999999999998"/>
    <x v="42"/>
  </r>
  <r>
    <x v="3"/>
    <s v="Life expectancy at birth, total (years)"/>
    <n v="59.616999999999997"/>
    <x v="42"/>
  </r>
  <r>
    <x v="4"/>
    <s v="Life expectancy at birth, total (years)"/>
    <n v="57.232999999999997"/>
    <x v="42"/>
  </r>
  <r>
    <x v="5"/>
    <s v="Life expectancy at birth, total (years)"/>
    <n v="53.347000000000001"/>
    <x v="42"/>
  </r>
  <r>
    <x v="6"/>
    <s v="Life expectancy at birth, total (years)"/>
    <n v="51.451000000000001"/>
    <x v="42"/>
  </r>
  <r>
    <x v="7"/>
    <s v="Life expectancy at birth, total (years)"/>
    <n v="58.238999999999997"/>
    <x v="42"/>
  </r>
  <r>
    <x v="8"/>
    <s v="Life expectancy at birth, total (years)"/>
    <n v="52.564999999999998"/>
    <x v="42"/>
  </r>
  <r>
    <x v="9"/>
    <s v="Life expectancy at birth, total (years)"/>
    <n v="67.943902439024399"/>
    <x v="42"/>
  </r>
  <r>
    <x v="10"/>
    <s v="Life expectancy at birth, total (years)"/>
    <n v="52.814"/>
    <x v="42"/>
  </r>
  <r>
    <x v="11"/>
    <s v="Life expectancy at birth, total (years)"/>
    <n v="59.716999999999999"/>
    <x v="42"/>
  </r>
  <r>
    <x v="12"/>
    <s v="Life expectancy at birth, total (years)"/>
    <n v="47.168999999999997"/>
    <x v="42"/>
  </r>
  <r>
    <x v="13"/>
    <s v="Life expectancy at birth, total (years)"/>
    <n v="49.54"/>
    <x v="42"/>
  </r>
  <r>
    <x v="14"/>
    <s v="Life expectancy at birth, total (years)"/>
    <n v="67.361999999999995"/>
    <x v="42"/>
  </r>
  <r>
    <x v="15"/>
    <s v="Life expectancy at birth, total (years)"/>
    <n v="49.405999999999999"/>
    <x v="42"/>
  </r>
  <r>
    <x v="16"/>
    <s v="Life expectancy at birth, total (years)"/>
    <n v="62.756999999999998"/>
    <x v="42"/>
  </r>
  <r>
    <x v="17"/>
    <s v="Life expectancy at birth, total (years)"/>
    <n v="63.744999999999997"/>
    <x v="42"/>
  </r>
  <r>
    <x v="18"/>
    <s v="Life expectancy at birth, total (years)"/>
    <n v="70.674999999999997"/>
    <x v="42"/>
  </r>
  <r>
    <x v="19"/>
    <s v="Life expectancy at birth, total (years)"/>
    <n v="51.122999999999998"/>
    <x v="42"/>
  </r>
  <r>
    <x v="20"/>
    <s v="Life expectancy at birth, total (years)"/>
    <n v="50.97"/>
    <x v="42"/>
  </r>
  <r>
    <x v="21"/>
    <s v="Life expectancy at birth, total (years)"/>
    <n v="63.753999999999998"/>
    <x v="42"/>
  </r>
  <r>
    <x v="22"/>
    <s v="Life expectancy at birth, total (years)"/>
    <n v="72.510999999999996"/>
    <x v="42"/>
  </r>
  <r>
    <x v="23"/>
    <s v="Life expectancy at birth, total (years)"/>
    <n v="66.302999999999997"/>
    <x v="42"/>
  </r>
  <r>
    <x v="24"/>
    <s v="Life expectancy at birth, total (years)"/>
    <n v="53.173000000000002"/>
    <x v="42"/>
  </r>
  <r>
    <x v="25"/>
    <s v="Life expectancy at birth, total (years)"/>
    <n v="49.241999999999997"/>
    <x v="42"/>
  </r>
  <r>
    <x v="26"/>
    <s v="Life expectancy at birth, total (years)"/>
    <n v="46.33"/>
    <x v="42"/>
  </r>
  <r>
    <x v="27"/>
    <s v="Life expectancy at birth, total (years)"/>
    <n v="44.109000000000002"/>
    <x v="42"/>
  </r>
  <r>
    <x v="0"/>
    <s v="Life expectancy at birth, total (years)"/>
    <n v="52.19"/>
    <x v="43"/>
  </r>
  <r>
    <x v="1"/>
    <s v="Life expectancy at birth, total (years)"/>
    <n v="51.670999999999999"/>
    <x v="43"/>
  </r>
  <r>
    <x v="2"/>
    <s v="Life expectancy at birth, total (years)"/>
    <n v="47.716000000000001"/>
    <x v="43"/>
  </r>
  <r>
    <x v="3"/>
    <s v="Life expectancy at birth, total (years)"/>
    <n v="59.738"/>
    <x v="43"/>
  </r>
  <r>
    <x v="4"/>
    <s v="Life expectancy at birth, total (years)"/>
    <n v="57.423999999999999"/>
    <x v="43"/>
  </r>
  <r>
    <x v="5"/>
    <s v="Life expectancy at birth, total (years)"/>
    <n v="54.209000000000003"/>
    <x v="43"/>
  </r>
  <r>
    <x v="6"/>
    <s v="Life expectancy at birth, total (years)"/>
    <n v="51.859000000000002"/>
    <x v="43"/>
  </r>
  <r>
    <x v="7"/>
    <s v="Life expectancy at birth, total (years)"/>
    <n v="58.534999999999997"/>
    <x v="43"/>
  </r>
  <r>
    <x v="8"/>
    <s v="Life expectancy at birth, total (years)"/>
    <n v="53.412999999999997"/>
    <x v="43"/>
  </r>
  <r>
    <x v="9"/>
    <s v="Life expectancy at birth, total (years)"/>
    <n v="68.195121951219505"/>
    <x v="43"/>
  </r>
  <r>
    <x v="10"/>
    <s v="Life expectancy at birth, total (years)"/>
    <n v="53.323"/>
    <x v="43"/>
  </r>
  <r>
    <x v="11"/>
    <s v="Life expectancy at birth, total (years)"/>
    <n v="60.256"/>
    <x v="43"/>
  </r>
  <r>
    <x v="12"/>
    <s v="Life expectancy at birth, total (years)"/>
    <n v="47.843000000000004"/>
    <x v="43"/>
  </r>
  <r>
    <x v="13"/>
    <s v="Life expectancy at birth, total (years)"/>
    <n v="50.372999999999998"/>
    <x v="43"/>
  </r>
  <r>
    <x v="14"/>
    <s v="Life expectancy at birth, total (years)"/>
    <n v="67.521000000000001"/>
    <x v="43"/>
  </r>
  <r>
    <x v="15"/>
    <s v="Life expectancy at birth, total (years)"/>
    <n v="50.006999999999998"/>
    <x v="43"/>
  </r>
  <r>
    <x v="16"/>
    <s v="Life expectancy at birth, total (years)"/>
    <n v="63.045999999999999"/>
    <x v="43"/>
  </r>
  <r>
    <x v="17"/>
    <s v="Life expectancy at birth, total (years)"/>
    <n v="64.376000000000005"/>
    <x v="43"/>
  </r>
  <r>
    <x v="18"/>
    <s v="Life expectancy at birth, total (years)"/>
    <n v="71.117000000000004"/>
    <x v="43"/>
  </r>
  <r>
    <x v="19"/>
    <s v="Life expectancy at birth, total (years)"/>
    <n v="51.77"/>
    <x v="43"/>
  </r>
  <r>
    <x v="20"/>
    <s v="Life expectancy at birth, total (years)"/>
    <n v="52.268000000000001"/>
    <x v="43"/>
  </r>
  <r>
    <x v="21"/>
    <s v="Life expectancy at birth, total (years)"/>
    <n v="64.021000000000001"/>
    <x v="43"/>
  </r>
  <r>
    <x v="22"/>
    <s v="Life expectancy at birth, total (years)"/>
    <n v="73.128"/>
    <x v="43"/>
  </r>
  <r>
    <x v="23"/>
    <s v="Life expectancy at birth, total (years)"/>
    <n v="66.727000000000004"/>
    <x v="43"/>
  </r>
  <r>
    <x v="24"/>
    <s v="Life expectancy at birth, total (years)"/>
    <n v="54.142000000000003"/>
    <x v="43"/>
  </r>
  <r>
    <x v="25"/>
    <s v="Life expectancy at birth, total (years)"/>
    <n v="50.393999999999998"/>
    <x v="43"/>
  </r>
  <r>
    <x v="26"/>
    <s v="Life expectancy at birth, total (years)"/>
    <n v="47.33"/>
    <x v="43"/>
  </r>
  <r>
    <x v="27"/>
    <s v="Life expectancy at birth, total (years)"/>
    <n v="44.188000000000002"/>
    <x v="43"/>
  </r>
  <r>
    <x v="0"/>
    <s v="Life expectancy at birth, total (years)"/>
    <n v="52.436999999999998"/>
    <x v="44"/>
  </r>
  <r>
    <x v="1"/>
    <s v="Life expectancy at birth, total (years)"/>
    <n v="52.301000000000002"/>
    <x v="44"/>
  </r>
  <r>
    <x v="2"/>
    <s v="Life expectancy at birth, total (years)"/>
    <n v="47.847999999999999"/>
    <x v="44"/>
  </r>
  <r>
    <x v="3"/>
    <s v="Life expectancy at birth, total (years)"/>
    <n v="59.904000000000003"/>
    <x v="44"/>
  </r>
  <r>
    <x v="4"/>
    <s v="Life expectancy at birth, total (years)"/>
    <n v="57.677"/>
    <x v="44"/>
  </r>
  <r>
    <x v="5"/>
    <s v="Life expectancy at birth, total (years)"/>
    <n v="55.171999999999997"/>
    <x v="44"/>
  </r>
  <r>
    <x v="6"/>
    <s v="Life expectancy at birth, total (years)"/>
    <n v="52.444000000000003"/>
    <x v="44"/>
  </r>
  <r>
    <x v="7"/>
    <s v="Life expectancy at birth, total (years)"/>
    <n v="58.86"/>
    <x v="44"/>
  </r>
  <r>
    <x v="8"/>
    <s v="Life expectancy at birth, total (years)"/>
    <n v="54.512999999999998"/>
    <x v="44"/>
  </r>
  <r>
    <x v="9"/>
    <s v="Life expectancy at birth, total (years)"/>
    <n v="68.446341463414598"/>
    <x v="44"/>
  </r>
  <r>
    <x v="10"/>
    <s v="Life expectancy at birth, total (years)"/>
    <n v="54.084000000000003"/>
    <x v="44"/>
  </r>
  <r>
    <x v="11"/>
    <s v="Life expectancy at birth, total (years)"/>
    <n v="60.752000000000002"/>
    <x v="44"/>
  </r>
  <r>
    <x v="12"/>
    <s v="Life expectancy at birth, total (years)"/>
    <n v="48.734999999999999"/>
    <x v="44"/>
  </r>
  <r>
    <x v="13"/>
    <s v="Life expectancy at birth, total (years)"/>
    <n v="51.223999999999997"/>
    <x v="44"/>
  </r>
  <r>
    <x v="14"/>
    <s v="Life expectancy at birth, total (years)"/>
    <n v="67.665000000000006"/>
    <x v="44"/>
  </r>
  <r>
    <x v="15"/>
    <s v="Life expectancy at birth, total (years)"/>
    <n v="50.662999999999997"/>
    <x v="44"/>
  </r>
  <r>
    <x v="16"/>
    <s v="Life expectancy at birth, total (years)"/>
    <n v="63.323"/>
    <x v="44"/>
  </r>
  <r>
    <x v="17"/>
    <s v="Life expectancy at birth, total (years)"/>
    <n v="64.972999999999999"/>
    <x v="44"/>
  </r>
  <r>
    <x v="18"/>
    <s v="Life expectancy at birth, total (years)"/>
    <n v="71.537000000000006"/>
    <x v="44"/>
  </r>
  <r>
    <x v="19"/>
    <s v="Life expectancy at birth, total (years)"/>
    <n v="52.436"/>
    <x v="44"/>
  </r>
  <r>
    <x v="20"/>
    <s v="Life expectancy at birth, total (years)"/>
    <n v="53.755000000000003"/>
    <x v="44"/>
  </r>
  <r>
    <x v="21"/>
    <s v="Life expectancy at birth, total (years)"/>
    <n v="64.322000000000003"/>
    <x v="44"/>
  </r>
  <r>
    <x v="22"/>
    <s v="Life expectancy at birth, total (years)"/>
    <n v="73.593000000000004"/>
    <x v="44"/>
  </r>
  <r>
    <x v="23"/>
    <s v="Life expectancy at birth, total (years)"/>
    <n v="67.162999999999997"/>
    <x v="44"/>
  </r>
  <r>
    <x v="24"/>
    <s v="Life expectancy at birth, total (years)"/>
    <n v="55.161000000000001"/>
    <x v="44"/>
  </r>
  <r>
    <x v="25"/>
    <s v="Life expectancy at birth, total (years)"/>
    <n v="51.537999999999997"/>
    <x v="44"/>
  </r>
  <r>
    <x v="26"/>
    <s v="Life expectancy at birth, total (years)"/>
    <n v="48.432000000000002"/>
    <x v="44"/>
  </r>
  <r>
    <x v="27"/>
    <s v="Life expectancy at birth, total (years)"/>
    <n v="44.570999999999998"/>
    <x v="44"/>
  </r>
  <r>
    <x v="0"/>
    <s v="Life expectancy at birth, total (years)"/>
    <n v="52.734999999999999"/>
    <x v="45"/>
  </r>
  <r>
    <x v="1"/>
    <s v="Life expectancy at birth, total (years)"/>
    <n v="52.915999999999997"/>
    <x v="45"/>
  </r>
  <r>
    <x v="2"/>
    <s v="Life expectancy at birth, total (years)"/>
    <n v="48.054000000000002"/>
    <x v="45"/>
  </r>
  <r>
    <x v="3"/>
    <s v="Life expectancy at birth, total (years)"/>
    <n v="60.125999999999998"/>
    <x v="45"/>
  </r>
  <r>
    <x v="4"/>
    <s v="Life expectancy at birth, total (years)"/>
    <n v="57.999000000000002"/>
    <x v="45"/>
  </r>
  <r>
    <x v="5"/>
    <s v="Life expectancy at birth, total (years)"/>
    <n v="56.220999999999997"/>
    <x v="45"/>
  </r>
  <r>
    <x v="6"/>
    <s v="Life expectancy at birth, total (years)"/>
    <n v="53.17"/>
    <x v="45"/>
  </r>
  <r>
    <x v="7"/>
    <s v="Life expectancy at birth, total (years)"/>
    <n v="59.219000000000001"/>
    <x v="45"/>
  </r>
  <r>
    <x v="8"/>
    <s v="Life expectancy at birth, total (years)"/>
    <n v="55.819000000000003"/>
    <x v="45"/>
  </r>
  <r>
    <x v="9"/>
    <s v="Life expectancy at birth, total (years)"/>
    <n v="68.695121951219505"/>
    <x v="45"/>
  </r>
  <r>
    <x v="10"/>
    <s v="Life expectancy at birth, total (years)"/>
    <n v="55.052"/>
    <x v="45"/>
  </r>
  <r>
    <x v="11"/>
    <s v="Life expectancy at birth, total (years)"/>
    <n v="61.212000000000003"/>
    <x v="45"/>
  </r>
  <r>
    <x v="12"/>
    <s v="Life expectancy at birth, total (years)"/>
    <n v="49.845999999999997"/>
    <x v="45"/>
  </r>
  <r>
    <x v="13"/>
    <s v="Life expectancy at birth, total (years)"/>
    <n v="52.057000000000002"/>
    <x v="45"/>
  </r>
  <r>
    <x v="14"/>
    <s v="Life expectancy at birth, total (years)"/>
    <n v="67.819999999999993"/>
    <x v="45"/>
  </r>
  <r>
    <x v="15"/>
    <s v="Life expectancy at birth, total (years)"/>
    <n v="51.362000000000002"/>
    <x v="45"/>
  </r>
  <r>
    <x v="16"/>
    <s v="Life expectancy at birth, total (years)"/>
    <n v="63.597000000000001"/>
    <x v="45"/>
  </r>
  <r>
    <x v="17"/>
    <s v="Life expectancy at birth, total (years)"/>
    <n v="65.537000000000006"/>
    <x v="45"/>
  </r>
  <r>
    <x v="18"/>
    <s v="Life expectancy at birth, total (years)"/>
    <n v="71.935000000000002"/>
    <x v="45"/>
  </r>
  <r>
    <x v="19"/>
    <s v="Life expectancy at birth, total (years)"/>
    <n v="53.127000000000002"/>
    <x v="45"/>
  </r>
  <r>
    <x v="20"/>
    <s v="Life expectancy at birth, total (years)"/>
    <n v="55.43"/>
    <x v="45"/>
  </r>
  <r>
    <x v="21"/>
    <s v="Life expectancy at birth, total (years)"/>
    <n v="64.641000000000005"/>
    <x v="45"/>
  </r>
  <r>
    <x v="22"/>
    <s v="Life expectancy at birth, total (years)"/>
    <n v="73.896000000000001"/>
    <x v="45"/>
  </r>
  <r>
    <x v="23"/>
    <s v="Life expectancy at birth, total (years)"/>
    <n v="67.606999999999999"/>
    <x v="45"/>
  </r>
  <r>
    <x v="24"/>
    <s v="Life expectancy at birth, total (years)"/>
    <n v="56.195999999999998"/>
    <x v="45"/>
  </r>
  <r>
    <x v="25"/>
    <s v="Life expectancy at birth, total (years)"/>
    <n v="52.64"/>
    <x v="45"/>
  </r>
  <r>
    <x v="26"/>
    <s v="Life expectancy at birth, total (years)"/>
    <n v="49.63"/>
    <x v="45"/>
  </r>
  <r>
    <x v="27"/>
    <s v="Life expectancy at birth, total (years)"/>
    <n v="45.281999999999996"/>
    <x v="45"/>
  </r>
  <r>
    <x v="0"/>
    <s v="Life expectancy at birth, total (years)"/>
    <n v="53.09"/>
    <x v="46"/>
  </r>
  <r>
    <x v="1"/>
    <s v="Life expectancy at birth, total (years)"/>
    <n v="53.494"/>
    <x v="46"/>
  </r>
  <r>
    <x v="2"/>
    <s v="Life expectancy at birth, total (years)"/>
    <n v="48.348999999999997"/>
    <x v="46"/>
  </r>
  <r>
    <x v="3"/>
    <s v="Life expectancy at birth, total (years)"/>
    <n v="60.406999999999996"/>
    <x v="46"/>
  </r>
  <r>
    <x v="4"/>
    <s v="Life expectancy at birth, total (years)"/>
    <n v="58.393000000000001"/>
    <x v="46"/>
  </r>
  <r>
    <x v="5"/>
    <s v="Life expectancy at birth, total (years)"/>
    <n v="57.332999999999998"/>
    <x v="46"/>
  </r>
  <r>
    <x v="6"/>
    <s v="Life expectancy at birth, total (years)"/>
    <n v="53.972000000000001"/>
    <x v="46"/>
  </r>
  <r>
    <x v="7"/>
    <s v="Life expectancy at birth, total (years)"/>
    <n v="59.61"/>
    <x v="46"/>
  </r>
  <r>
    <x v="8"/>
    <s v="Life expectancy at birth, total (years)"/>
    <n v="57.271000000000001"/>
    <x v="46"/>
  </r>
  <r>
    <x v="9"/>
    <s v="Life expectancy at birth, total (years)"/>
    <n v="68.946341463414598"/>
    <x v="46"/>
  </r>
  <r>
    <x v="10"/>
    <s v="Life expectancy at birth, total (years)"/>
    <n v="56.136000000000003"/>
    <x v="46"/>
  </r>
  <r>
    <x v="11"/>
    <s v="Life expectancy at birth, total (years)"/>
    <n v="61.65"/>
    <x v="46"/>
  </r>
  <r>
    <x v="12"/>
    <s v="Life expectancy at birth, total (years)"/>
    <n v="51.162999999999997"/>
    <x v="46"/>
  </r>
  <r>
    <x v="13"/>
    <s v="Life expectancy at birth, total (years)"/>
    <n v="52.838999999999999"/>
    <x v="46"/>
  </r>
  <r>
    <x v="14"/>
    <s v="Life expectancy at birth, total (years)"/>
    <n v="68.022000000000006"/>
    <x v="46"/>
  </r>
  <r>
    <x v="15"/>
    <s v="Life expectancy at birth, total (years)"/>
    <n v="52.079000000000001"/>
    <x v="46"/>
  </r>
  <r>
    <x v="16"/>
    <s v="Life expectancy at birth, total (years)"/>
    <n v="63.88"/>
    <x v="46"/>
  </r>
  <r>
    <x v="17"/>
    <s v="Life expectancy at birth, total (years)"/>
    <n v="66.066000000000003"/>
    <x v="46"/>
  </r>
  <r>
    <x v="18"/>
    <s v="Life expectancy at birth, total (years)"/>
    <n v="72.313000000000002"/>
    <x v="46"/>
  </r>
  <r>
    <x v="19"/>
    <s v="Life expectancy at birth, total (years)"/>
    <n v="53.848999999999997"/>
    <x v="46"/>
  </r>
  <r>
    <x v="20"/>
    <s v="Life expectancy at birth, total (years)"/>
    <n v="57.219000000000001"/>
    <x v="46"/>
  </r>
  <r>
    <x v="21"/>
    <s v="Life expectancy at birth, total (years)"/>
    <n v="64.956000000000003"/>
    <x v="46"/>
  </r>
  <r>
    <x v="22"/>
    <s v="Life expectancy at birth, total (years)"/>
    <n v="74.058999999999997"/>
    <x v="46"/>
  </r>
  <r>
    <x v="23"/>
    <s v="Life expectancy at birth, total (years)"/>
    <n v="68.052000000000007"/>
    <x v="46"/>
  </r>
  <r>
    <x v="24"/>
    <s v="Life expectancy at birth, total (years)"/>
    <n v="57.218000000000004"/>
    <x v="46"/>
  </r>
  <r>
    <x v="25"/>
    <s v="Life expectancy at birth, total (years)"/>
    <n v="53.680999999999997"/>
    <x v="46"/>
  </r>
  <r>
    <x v="26"/>
    <s v="Life expectancy at birth, total (years)"/>
    <n v="50.929000000000002"/>
    <x v="46"/>
  </r>
  <r>
    <x v="27"/>
    <s v="Life expectancy at birth, total (years)"/>
    <n v="46.344000000000001"/>
    <x v="46"/>
  </r>
  <r>
    <x v="0"/>
    <s v="Life expectancy at birth, total (years)"/>
    <n v="53.491999999999997"/>
    <x v="47"/>
  </r>
  <r>
    <x v="1"/>
    <s v="Life expectancy at birth, total (years)"/>
    <n v="54.033000000000001"/>
    <x v="47"/>
  </r>
  <r>
    <x v="2"/>
    <s v="Life expectancy at birth, total (years)"/>
    <n v="48.728999999999999"/>
    <x v="47"/>
  </r>
  <r>
    <x v="3"/>
    <s v="Life expectancy at birth, total (years)"/>
    <n v="60.734000000000002"/>
    <x v="47"/>
  </r>
  <r>
    <x v="4"/>
    <s v="Life expectancy at birth, total (years)"/>
    <n v="58.847999999999999"/>
    <x v="47"/>
  </r>
  <r>
    <x v="5"/>
    <s v="Life expectancy at birth, total (years)"/>
    <n v="58.466000000000001"/>
    <x v="47"/>
  </r>
  <r>
    <x v="6"/>
    <s v="Life expectancy at birth, total (years)"/>
    <n v="54.774999999999999"/>
    <x v="47"/>
  </r>
  <r>
    <x v="7"/>
    <s v="Life expectancy at birth, total (years)"/>
    <n v="60.023000000000003"/>
    <x v="47"/>
  </r>
  <r>
    <x v="8"/>
    <s v="Life expectancy at birth, total (years)"/>
    <n v="58.783999999999999"/>
    <x v="47"/>
  </r>
  <r>
    <x v="9"/>
    <s v="Life expectancy at birth, total (years)"/>
    <n v="69.197560975609804"/>
    <x v="47"/>
  </r>
  <r>
    <x v="10"/>
    <s v="Life expectancy at birth, total (years)"/>
    <n v="57.207000000000001"/>
    <x v="47"/>
  </r>
  <r>
    <x v="11"/>
    <s v="Life expectancy at birth, total (years)"/>
    <n v="62.079000000000001"/>
    <x v="47"/>
  </r>
  <r>
    <x v="12"/>
    <s v="Life expectancy at birth, total (years)"/>
    <n v="52.63"/>
    <x v="47"/>
  </r>
  <r>
    <x v="13"/>
    <s v="Life expectancy at birth, total (years)"/>
    <n v="53.552999999999997"/>
    <x v="47"/>
  </r>
  <r>
    <x v="14"/>
    <s v="Life expectancy at birth, total (years)"/>
    <n v="68.302000000000007"/>
    <x v="47"/>
  </r>
  <r>
    <x v="15"/>
    <s v="Life expectancy at birth, total (years)"/>
    <n v="52.784999999999997"/>
    <x v="47"/>
  </r>
  <r>
    <x v="16"/>
    <s v="Life expectancy at birth, total (years)"/>
    <n v="64.180999999999997"/>
    <x v="47"/>
  </r>
  <r>
    <x v="17"/>
    <s v="Life expectancy at birth, total (years)"/>
    <n v="66.564999999999998"/>
    <x v="47"/>
  </r>
  <r>
    <x v="18"/>
    <s v="Life expectancy at birth, total (years)"/>
    <n v="72.677000000000007"/>
    <x v="47"/>
  </r>
  <r>
    <x v="19"/>
    <s v="Life expectancy at birth, total (years)"/>
    <n v="54.593000000000004"/>
    <x v="47"/>
  </r>
  <r>
    <x v="20"/>
    <s v="Life expectancy at birth, total (years)"/>
    <n v="58.970999999999997"/>
    <x v="47"/>
  </r>
  <r>
    <x v="21"/>
    <s v="Life expectancy at birth, total (years)"/>
    <n v="65.248000000000005"/>
    <x v="47"/>
  </r>
  <r>
    <x v="22"/>
    <s v="Life expectancy at birth, total (years)"/>
    <n v="74.144000000000005"/>
    <x v="47"/>
  </r>
  <r>
    <x v="23"/>
    <s v="Life expectancy at birth, total (years)"/>
    <n v="68.486999999999995"/>
    <x v="47"/>
  </r>
  <r>
    <x v="24"/>
    <s v="Life expectancy at birth, total (years)"/>
    <n v="58.209000000000003"/>
    <x v="47"/>
  </r>
  <r>
    <x v="25"/>
    <s v="Life expectancy at birth, total (years)"/>
    <n v="54.66"/>
    <x v="47"/>
  </r>
  <r>
    <x v="26"/>
    <s v="Life expectancy at birth, total (years)"/>
    <n v="52.313000000000002"/>
    <x v="47"/>
  </r>
  <r>
    <x v="27"/>
    <s v="Life expectancy at birth, total (years)"/>
    <n v="47.719000000000001"/>
    <x v="47"/>
  </r>
  <r>
    <x v="0"/>
    <s v="Life expectancy at birth, total (years)"/>
    <n v="53.926000000000002"/>
    <x v="48"/>
  </r>
  <r>
    <x v="1"/>
    <s v="Life expectancy at birth, total (years)"/>
    <n v="54.534999999999997"/>
    <x v="48"/>
  </r>
  <r>
    <x v="2"/>
    <s v="Life expectancy at birth, total (years)"/>
    <n v="49.182000000000002"/>
    <x v="48"/>
  </r>
  <r>
    <x v="3"/>
    <s v="Life expectancy at birth, total (years)"/>
    <n v="61.094000000000001"/>
    <x v="48"/>
  </r>
  <r>
    <x v="4"/>
    <s v="Life expectancy at birth, total (years)"/>
    <n v="59.344999999999999"/>
    <x v="48"/>
  </r>
  <r>
    <x v="5"/>
    <s v="Life expectancy at birth, total (years)"/>
    <n v="59.58"/>
    <x v="48"/>
  </r>
  <r>
    <x v="6"/>
    <s v="Life expectancy at birth, total (years)"/>
    <n v="55.521000000000001"/>
    <x v="48"/>
  </r>
  <r>
    <x v="7"/>
    <s v="Life expectancy at birth, total (years)"/>
    <n v="60.448"/>
    <x v="48"/>
  </r>
  <r>
    <x v="8"/>
    <s v="Life expectancy at birth, total (years)"/>
    <n v="60.274999999999999"/>
    <x v="48"/>
  </r>
  <r>
    <x v="9"/>
    <s v="Life expectancy at birth, total (years)"/>
    <n v="69.397560975609807"/>
    <x v="48"/>
  </r>
  <r>
    <x v="10"/>
    <s v="Life expectancy at birth, total (years)"/>
    <n v="58.167000000000002"/>
    <x v="48"/>
  </r>
  <r>
    <x v="11"/>
    <s v="Life expectancy at birth, total (years)"/>
    <n v="62.509"/>
    <x v="48"/>
  </r>
  <r>
    <x v="12"/>
    <s v="Life expectancy at birth, total (years)"/>
    <n v="54.177"/>
    <x v="48"/>
  </r>
  <r>
    <x v="13"/>
    <s v="Life expectancy at birth, total (years)"/>
    <n v="54.192999999999998"/>
    <x v="48"/>
  </r>
  <r>
    <x v="14"/>
    <s v="Life expectancy at birth, total (years)"/>
    <n v="68.671000000000006"/>
    <x v="48"/>
  </r>
  <r>
    <x v="15"/>
    <s v="Life expectancy at birth, total (years)"/>
    <n v="53.459000000000003"/>
    <x v="48"/>
  </r>
  <r>
    <x v="16"/>
    <s v="Life expectancy at birth, total (years)"/>
    <n v="64.501000000000005"/>
    <x v="48"/>
  </r>
  <r>
    <x v="17"/>
    <s v="Life expectancy at birth, total (years)"/>
    <n v="67.036000000000001"/>
    <x v="48"/>
  </r>
  <r>
    <x v="18"/>
    <s v="Life expectancy at birth, total (years)"/>
    <n v="73.028000000000006"/>
    <x v="48"/>
  </r>
  <r>
    <x v="19"/>
    <s v="Life expectancy at birth, total (years)"/>
    <n v="55.35"/>
    <x v="48"/>
  </r>
  <r>
    <x v="20"/>
    <s v="Life expectancy at birth, total (years)"/>
    <n v="60.564999999999998"/>
    <x v="48"/>
  </r>
  <r>
    <x v="21"/>
    <s v="Life expectancy at birth, total (years)"/>
    <n v="65.5"/>
    <x v="48"/>
  </r>
  <r>
    <x v="22"/>
    <s v="Life expectancy at birth, total (years)"/>
    <n v="74.206999999999994"/>
    <x v="48"/>
  </r>
  <r>
    <x v="23"/>
    <s v="Life expectancy at birth, total (years)"/>
    <n v="68.902000000000001"/>
    <x v="48"/>
  </r>
  <r>
    <x v="24"/>
    <s v="Life expectancy at birth, total (years)"/>
    <n v="59.155999999999999"/>
    <x v="48"/>
  </r>
  <r>
    <x v="25"/>
    <s v="Life expectancy at birth, total (years)"/>
    <n v="55.573999999999998"/>
    <x v="48"/>
  </r>
  <r>
    <x v="26"/>
    <s v="Life expectancy at birth, total (years)"/>
    <n v="53.749000000000002"/>
    <x v="48"/>
  </r>
  <r>
    <x v="27"/>
    <s v="Life expectancy at birth, total (years)"/>
    <n v="49.337000000000003"/>
    <x v="48"/>
  </r>
  <r>
    <x v="0"/>
    <s v="Life expectancy at birth, total (years)"/>
    <n v="54.386000000000003"/>
    <x v="49"/>
  </r>
  <r>
    <x v="1"/>
    <s v="Life expectancy at birth, total (years)"/>
    <n v="54.996000000000002"/>
    <x v="49"/>
  </r>
  <r>
    <x v="2"/>
    <s v="Life expectancy at birth, total (years)"/>
    <n v="49.691000000000003"/>
    <x v="49"/>
  </r>
  <r>
    <x v="3"/>
    <s v="Life expectancy at birth, total (years)"/>
    <n v="61.475000000000001"/>
    <x v="49"/>
  </r>
  <r>
    <x v="4"/>
    <s v="Life expectancy at birth, total (years)"/>
    <n v="59.865000000000002"/>
    <x v="49"/>
  </r>
  <r>
    <x v="5"/>
    <s v="Life expectancy at birth, total (years)"/>
    <n v="60.643000000000001"/>
    <x v="49"/>
  </r>
  <r>
    <x v="6"/>
    <s v="Life expectancy at birth, total (years)"/>
    <n v="56.185000000000002"/>
    <x v="49"/>
  </r>
  <r>
    <x v="7"/>
    <s v="Life expectancy at birth, total (years)"/>
    <n v="60.875999999999998"/>
    <x v="49"/>
  </r>
  <r>
    <x v="8"/>
    <s v="Life expectancy at birth, total (years)"/>
    <n v="61.68"/>
    <x v="49"/>
  </r>
  <r>
    <x v="9"/>
    <s v="Life expectancy at birth, total (years)"/>
    <n v="69.648780487804899"/>
    <x v="49"/>
  </r>
  <r>
    <x v="10"/>
    <s v="Life expectancy at birth, total (years)"/>
    <n v="58.976999999999997"/>
    <x v="49"/>
  </r>
  <r>
    <x v="11"/>
    <s v="Life expectancy at birth, total (years)"/>
    <n v="62.944000000000003"/>
    <x v="49"/>
  </r>
  <r>
    <x v="12"/>
    <s v="Life expectancy at birth, total (years)"/>
    <n v="55.744999999999997"/>
    <x v="49"/>
  </r>
  <r>
    <x v="13"/>
    <s v="Life expectancy at birth, total (years)"/>
    <n v="54.756"/>
    <x v="49"/>
  </r>
  <r>
    <x v="14"/>
    <s v="Life expectancy at birth, total (years)"/>
    <n v="69.119"/>
    <x v="49"/>
  </r>
  <r>
    <x v="15"/>
    <s v="Life expectancy at birth, total (years)"/>
    <n v="54.095999999999997"/>
    <x v="49"/>
  </r>
  <r>
    <x v="16"/>
    <s v="Life expectancy at birth, total (years)"/>
    <n v="64.837999999999994"/>
    <x v="49"/>
  </r>
  <r>
    <x v="17"/>
    <s v="Life expectancy at birth, total (years)"/>
    <n v="67.483999999999995"/>
    <x v="49"/>
  </r>
  <r>
    <x v="18"/>
    <s v="Life expectancy at birth, total (years)"/>
    <n v="73.369"/>
    <x v="49"/>
  </r>
  <r>
    <x v="19"/>
    <s v="Life expectancy at birth, total (years)"/>
    <n v="56.104999999999997"/>
    <x v="49"/>
  </r>
  <r>
    <x v="20"/>
    <s v="Life expectancy at birth, total (years)"/>
    <n v="61.962000000000003"/>
    <x v="49"/>
  </r>
  <r>
    <x v="21"/>
    <s v="Life expectancy at birth, total (years)"/>
    <n v="65.709000000000003"/>
    <x v="49"/>
  </r>
  <r>
    <x v="22"/>
    <s v="Life expectancy at birth, total (years)"/>
    <n v="74.27"/>
    <x v="49"/>
  </r>
  <r>
    <x v="23"/>
    <s v="Life expectancy at birth, total (years)"/>
    <n v="69.290000000000006"/>
    <x v="49"/>
  </r>
  <r>
    <x v="24"/>
    <s v="Life expectancy at birth, total (years)"/>
    <n v="60.048000000000002"/>
    <x v="49"/>
  </r>
  <r>
    <x v="25"/>
    <s v="Life expectancy at birth, total (years)"/>
    <n v="56.408999999999999"/>
    <x v="49"/>
  </r>
  <r>
    <x v="26"/>
    <s v="Life expectancy at birth, total (years)"/>
    <n v="55.194000000000003"/>
    <x v="49"/>
  </r>
  <r>
    <x v="27"/>
    <s v="Life expectancy at birth, total (years)"/>
    <n v="51.122"/>
    <x v="49"/>
  </r>
  <r>
    <x v="0"/>
    <s v="Life expectancy at birth, total (years)"/>
    <n v="54.860999999999997"/>
    <x v="50"/>
  </r>
  <r>
    <x v="1"/>
    <s v="Life expectancy at birth, total (years)"/>
    <n v="55.423999999999999"/>
    <x v="50"/>
  </r>
  <r>
    <x v="2"/>
    <s v="Life expectancy at birth, total (years)"/>
    <n v="50.232999999999997"/>
    <x v="50"/>
  </r>
  <r>
    <x v="3"/>
    <s v="Life expectancy at birth, total (years)"/>
    <n v="61.862000000000002"/>
    <x v="50"/>
  </r>
  <r>
    <x v="4"/>
    <s v="Life expectancy at birth, total (years)"/>
    <n v="60.383000000000003"/>
    <x v="50"/>
  </r>
  <r>
    <x v="5"/>
    <s v="Life expectancy at birth, total (years)"/>
    <n v="61.625"/>
    <x v="50"/>
  </r>
  <r>
    <x v="6"/>
    <s v="Life expectancy at birth, total (years)"/>
    <n v="56.765000000000001"/>
    <x v="50"/>
  </r>
  <r>
    <x v="7"/>
    <s v="Life expectancy at birth, total (years)"/>
    <n v="61.295999999999999"/>
    <x v="50"/>
  </r>
  <r>
    <x v="8"/>
    <s v="Life expectancy at birth, total (years)"/>
    <n v="62.936"/>
    <x v="50"/>
  </r>
  <r>
    <x v="9"/>
    <s v="Life expectancy at birth, total (years)"/>
    <n v="69.900000000000006"/>
    <x v="50"/>
  </r>
  <r>
    <x v="10"/>
    <s v="Life expectancy at birth, total (years)"/>
    <n v="59.631"/>
    <x v="50"/>
  </r>
  <r>
    <x v="11"/>
    <s v="Life expectancy at birth, total (years)"/>
    <n v="63.387999999999998"/>
    <x v="50"/>
  </r>
  <r>
    <x v="12"/>
    <s v="Life expectancy at birth, total (years)"/>
    <n v="57.262999999999998"/>
    <x v="50"/>
  </r>
  <r>
    <x v="13"/>
    <s v="Life expectancy at birth, total (years)"/>
    <n v="55.249000000000002"/>
    <x v="50"/>
  </r>
  <r>
    <x v="14"/>
    <s v="Life expectancy at birth, total (years)"/>
    <n v="69.616"/>
    <x v="50"/>
  </r>
  <r>
    <x v="15"/>
    <s v="Life expectancy at birth, total (years)"/>
    <n v="54.7"/>
    <x v="50"/>
  </r>
  <r>
    <x v="16"/>
    <s v="Life expectancy at birth, total (years)"/>
    <n v="65.177999999999997"/>
    <x v="50"/>
  </r>
  <r>
    <x v="17"/>
    <s v="Life expectancy at birth, total (years)"/>
    <n v="67.914000000000001"/>
    <x v="50"/>
  </r>
  <r>
    <x v="18"/>
    <s v="Life expectancy at birth, total (years)"/>
    <n v="73.698999999999998"/>
    <x v="50"/>
  </r>
  <r>
    <x v="19"/>
    <s v="Life expectancy at birth, total (years)"/>
    <n v="56.838000000000001"/>
    <x v="50"/>
  </r>
  <r>
    <x v="20"/>
    <s v="Life expectancy at birth, total (years)"/>
    <n v="63.14"/>
    <x v="50"/>
  </r>
  <r>
    <x v="21"/>
    <s v="Life expectancy at birth, total (years)"/>
    <n v="65.875"/>
    <x v="50"/>
  </r>
  <r>
    <x v="22"/>
    <s v="Life expectancy at birth, total (years)"/>
    <n v="74.352000000000004"/>
    <x v="50"/>
  </r>
  <r>
    <x v="23"/>
    <s v="Life expectancy at birth, total (years)"/>
    <n v="69.644000000000005"/>
    <x v="50"/>
  </r>
  <r>
    <x v="24"/>
    <s v="Life expectancy at birth, total (years)"/>
    <n v="60.893000000000001"/>
    <x v="50"/>
  </r>
  <r>
    <x v="25"/>
    <s v="Life expectancy at birth, total (years)"/>
    <n v="57.152999999999999"/>
    <x v="50"/>
  </r>
  <r>
    <x v="26"/>
    <s v="Life expectancy at birth, total (years)"/>
    <n v="56.588000000000001"/>
    <x v="50"/>
  </r>
  <r>
    <x v="27"/>
    <s v="Life expectancy at birth, total (years)"/>
    <n v="52.975000000000001"/>
    <x v="50"/>
  </r>
  <r>
    <x v="0"/>
    <s v="Life expectancy at birth, total (years)"/>
    <n v="55.338000000000001"/>
    <x v="51"/>
  </r>
  <r>
    <x v="1"/>
    <s v="Life expectancy at birth, total (years)"/>
    <n v="55.832000000000001"/>
    <x v="51"/>
  </r>
  <r>
    <x v="2"/>
    <s v="Life expectancy at birth, total (years)"/>
    <n v="50.777999999999999"/>
    <x v="51"/>
  </r>
  <r>
    <x v="3"/>
    <s v="Life expectancy at birth, total (years)"/>
    <n v="62.24"/>
    <x v="51"/>
  </r>
  <r>
    <x v="4"/>
    <s v="Life expectancy at birth, total (years)"/>
    <n v="60.87"/>
    <x v="51"/>
  </r>
  <r>
    <x v="5"/>
    <s v="Life expectancy at birth, total (years)"/>
    <n v="62.500999999999998"/>
    <x v="51"/>
  </r>
  <r>
    <x v="6"/>
    <s v="Life expectancy at birth, total (years)"/>
    <n v="57.281999999999996"/>
    <x v="51"/>
  </r>
  <r>
    <x v="7"/>
    <s v="Life expectancy at birth, total (years)"/>
    <n v="61.698999999999998"/>
    <x v="51"/>
  </r>
  <r>
    <x v="8"/>
    <s v="Life expectancy at birth, total (years)"/>
    <n v="64.007999999999996"/>
    <x v="51"/>
  </r>
  <r>
    <x v="9"/>
    <s v="Life expectancy at birth, total (years)"/>
    <n v="70.148780487804899"/>
    <x v="51"/>
  </r>
  <r>
    <x v="10"/>
    <s v="Life expectancy at birth, total (years)"/>
    <n v="60.155000000000001"/>
    <x v="51"/>
  </r>
  <r>
    <x v="11"/>
    <s v="Life expectancy at birth, total (years)"/>
    <n v="63.835999999999999"/>
    <x v="51"/>
  </r>
  <r>
    <x v="12"/>
    <s v="Life expectancy at birth, total (years)"/>
    <n v="58.667000000000002"/>
    <x v="51"/>
  </r>
  <r>
    <x v="13"/>
    <s v="Life expectancy at birth, total (years)"/>
    <n v="55.694000000000003"/>
    <x v="51"/>
  </r>
  <r>
    <x v="14"/>
    <s v="Life expectancy at birth, total (years)"/>
    <n v="70.117000000000004"/>
    <x v="51"/>
  </r>
  <r>
    <x v="15"/>
    <s v="Life expectancy at birth, total (years)"/>
    <n v="55.287999999999997"/>
    <x v="51"/>
  </r>
  <r>
    <x v="16"/>
    <s v="Life expectancy at birth, total (years)"/>
    <n v="65.506"/>
    <x v="51"/>
  </r>
  <r>
    <x v="17"/>
    <s v="Life expectancy at birth, total (years)"/>
    <n v="68.328999999999994"/>
    <x v="51"/>
  </r>
  <r>
    <x v="18"/>
    <s v="Life expectancy at birth, total (years)"/>
    <n v="74.016000000000005"/>
    <x v="51"/>
  </r>
  <r>
    <x v="19"/>
    <s v="Life expectancy at birth, total (years)"/>
    <n v="57.527999999999999"/>
    <x v="51"/>
  </r>
  <r>
    <x v="20"/>
    <s v="Life expectancy at birth, total (years)"/>
    <n v="64.105999999999995"/>
    <x v="51"/>
  </r>
  <r>
    <x v="21"/>
    <s v="Life expectancy at birth, total (years)"/>
    <n v="66.007999999999996"/>
    <x v="51"/>
  </r>
  <r>
    <x v="22"/>
    <s v="Life expectancy at birth, total (years)"/>
    <n v="74.462000000000003"/>
    <x v="51"/>
  </r>
  <r>
    <x v="23"/>
    <s v="Life expectancy at birth, total (years)"/>
    <n v="69.957999999999998"/>
    <x v="51"/>
  </r>
  <r>
    <x v="24"/>
    <s v="Life expectancy at birth, total (years)"/>
    <n v="61.713000000000001"/>
    <x v="51"/>
  </r>
  <r>
    <x v="25"/>
    <s v="Life expectancy at birth, total (years)"/>
    <n v="57.795999999999999"/>
    <x v="51"/>
  </r>
  <r>
    <x v="26"/>
    <s v="Life expectancy at birth, total (years)"/>
    <n v="57.872"/>
    <x v="51"/>
  </r>
  <r>
    <x v="27"/>
    <s v="Life expectancy at birth, total (years)"/>
    <n v="54.8"/>
    <x v="51"/>
  </r>
  <r>
    <x v="0"/>
    <s v="Life expectancy at birth, total (years)"/>
    <n v="55.807000000000002"/>
    <x v="52"/>
  </r>
  <r>
    <x v="1"/>
    <s v="Life expectancy at birth, total (years)"/>
    <n v="56.241"/>
    <x v="52"/>
  </r>
  <r>
    <x v="2"/>
    <s v="Life expectancy at birth, total (years)"/>
    <n v="51.3"/>
    <x v="52"/>
  </r>
  <r>
    <x v="3"/>
    <s v="Life expectancy at birth, total (years)"/>
    <n v="62.595999999999997"/>
    <x v="52"/>
  </r>
  <r>
    <x v="4"/>
    <s v="Life expectancy at birth, total (years)"/>
    <n v="61.31"/>
    <x v="52"/>
  </r>
  <r>
    <x v="5"/>
    <s v="Life expectancy at birth, total (years)"/>
    <n v="63.274999999999999"/>
    <x v="52"/>
  </r>
  <r>
    <x v="6"/>
    <s v="Life expectancy at birth, total (years)"/>
    <n v="57.781999999999996"/>
    <x v="52"/>
  </r>
  <r>
    <x v="7"/>
    <s v="Life expectancy at birth, total (years)"/>
    <n v="62.078000000000003"/>
    <x v="52"/>
  </r>
  <r>
    <x v="8"/>
    <s v="Life expectancy at birth, total (years)"/>
    <n v="64.906999999999996"/>
    <x v="52"/>
  </r>
  <r>
    <x v="9"/>
    <s v="Life expectancy at birth, total (years)"/>
    <n v="70.497560975609801"/>
    <x v="52"/>
  </r>
  <r>
    <x v="10"/>
    <s v="Life expectancy at birth, total (years)"/>
    <n v="60.615000000000002"/>
    <x v="52"/>
  </r>
  <r>
    <x v="11"/>
    <s v="Life expectancy at birth, total (years)"/>
    <n v="64.28"/>
    <x v="52"/>
  </r>
  <r>
    <x v="12"/>
    <s v="Life expectancy at birth, total (years)"/>
    <n v="59.927"/>
    <x v="52"/>
  </r>
  <r>
    <x v="13"/>
    <s v="Life expectancy at birth, total (years)"/>
    <n v="56.122"/>
    <x v="52"/>
  </r>
  <r>
    <x v="14"/>
    <s v="Life expectancy at birth, total (years)"/>
    <n v="70.576999999999998"/>
    <x v="52"/>
  </r>
  <r>
    <x v="15"/>
    <s v="Life expectancy at birth, total (years)"/>
    <n v="55.878"/>
    <x v="52"/>
  </r>
  <r>
    <x v="16"/>
    <s v="Life expectancy at birth, total (years)"/>
    <n v="65.805000000000007"/>
    <x v="52"/>
  </r>
  <r>
    <x v="17"/>
    <s v="Life expectancy at birth, total (years)"/>
    <n v="68.731999999999999"/>
    <x v="52"/>
  </r>
  <r>
    <x v="18"/>
    <s v="Life expectancy at birth, total (years)"/>
    <n v="74.319000000000003"/>
    <x v="52"/>
  </r>
  <r>
    <x v="19"/>
    <s v="Life expectancy at birth, total (years)"/>
    <n v="58.16"/>
    <x v="52"/>
  </r>
  <r>
    <x v="20"/>
    <s v="Life expectancy at birth, total (years)"/>
    <n v="64.911000000000001"/>
    <x v="52"/>
  </r>
  <r>
    <x v="21"/>
    <s v="Life expectancy at birth, total (years)"/>
    <n v="66.125"/>
    <x v="52"/>
  </r>
  <r>
    <x v="22"/>
    <s v="Life expectancy at birth, total (years)"/>
    <n v="74.593000000000004"/>
    <x v="52"/>
  </r>
  <r>
    <x v="23"/>
    <s v="Life expectancy at birth, total (years)"/>
    <n v="70.233999999999995"/>
    <x v="52"/>
  </r>
  <r>
    <x v="24"/>
    <s v="Life expectancy at birth, total (years)"/>
    <n v="62.527999999999999"/>
    <x v="52"/>
  </r>
  <r>
    <x v="25"/>
    <s v="Life expectancy at birth, total (years)"/>
    <n v="58.347000000000001"/>
    <x v="52"/>
  </r>
  <r>
    <x v="26"/>
    <s v="Life expectancy at birth, total (years)"/>
    <n v="59.011000000000003"/>
    <x v="52"/>
  </r>
  <r>
    <x v="27"/>
    <s v="Life expectancy at birth, total (years)"/>
    <n v="56.515999999999998"/>
    <x v="52"/>
  </r>
  <r>
    <x v="0"/>
    <s v="Life expectancy at birth, total (years)"/>
    <n v="56.259"/>
    <x v="53"/>
  </r>
  <r>
    <x v="1"/>
    <s v="Life expectancy at birth, total (years)"/>
    <n v="56.664999999999999"/>
    <x v="53"/>
  </r>
  <r>
    <x v="2"/>
    <s v="Life expectancy at birth, total (years)"/>
    <n v="51.777999999999999"/>
    <x v="53"/>
  </r>
  <r>
    <x v="3"/>
    <s v="Life expectancy at birth, total (years)"/>
    <n v="62.923000000000002"/>
    <x v="53"/>
  </r>
  <r>
    <x v="4"/>
    <s v="Life expectancy at birth, total (years)"/>
    <n v="61.691000000000003"/>
    <x v="53"/>
  </r>
  <r>
    <x v="5"/>
    <s v="Life expectancy at birth, total (years)"/>
    <n v="63.951999999999998"/>
    <x v="53"/>
  </r>
  <r>
    <x v="6"/>
    <s v="Life expectancy at birth, total (years)"/>
    <n v="58.301000000000002"/>
    <x v="53"/>
  </r>
  <r>
    <x v="7"/>
    <s v="Life expectancy at birth, total (years)"/>
    <n v="62.432000000000002"/>
    <x v="53"/>
  </r>
  <r>
    <x v="8"/>
    <s v="Life expectancy at birth, total (years)"/>
    <n v="65.650999999999996"/>
    <x v="53"/>
  </r>
  <r>
    <x v="9"/>
    <s v="Life expectancy at birth, total (years)"/>
    <n v="70.797560975609798"/>
    <x v="53"/>
  </r>
  <r>
    <x v="10"/>
    <s v="Life expectancy at birth, total (years)"/>
    <n v="61.066000000000003"/>
    <x v="53"/>
  </r>
  <r>
    <x v="11"/>
    <s v="Life expectancy at birth, total (years)"/>
    <n v="64.712999999999994"/>
    <x v="53"/>
  </r>
  <r>
    <x v="12"/>
    <s v="Life expectancy at birth, total (years)"/>
    <n v="61.02"/>
    <x v="53"/>
  </r>
  <r>
    <x v="13"/>
    <s v="Life expectancy at birth, total (years)"/>
    <n v="56.555999999999997"/>
    <x v="53"/>
  </r>
  <r>
    <x v="14"/>
    <s v="Life expectancy at birth, total (years)"/>
    <n v="70.960999999999999"/>
    <x v="53"/>
  </r>
  <r>
    <x v="15"/>
    <s v="Life expectancy at birth, total (years)"/>
    <n v="56.482999999999997"/>
    <x v="53"/>
  </r>
  <r>
    <x v="16"/>
    <s v="Life expectancy at birth, total (years)"/>
    <n v="66.066000000000003"/>
    <x v="53"/>
  </r>
  <r>
    <x v="17"/>
    <s v="Life expectancy at birth, total (years)"/>
    <n v="69.126000000000005"/>
    <x v="53"/>
  </r>
  <r>
    <x v="18"/>
    <s v="Life expectancy at birth, total (years)"/>
    <n v="74.608000000000004"/>
    <x v="53"/>
  </r>
  <r>
    <x v="19"/>
    <s v="Life expectancy at birth, total (years)"/>
    <n v="58.726999999999997"/>
    <x v="53"/>
  </r>
  <r>
    <x v="20"/>
    <s v="Life expectancy at birth, total (years)"/>
    <n v="65.597999999999999"/>
    <x v="53"/>
  </r>
  <r>
    <x v="21"/>
    <s v="Life expectancy at birth, total (years)"/>
    <n v="66.241"/>
    <x v="53"/>
  </r>
  <r>
    <x v="22"/>
    <s v="Life expectancy at birth, total (years)"/>
    <n v="74.741"/>
    <x v="53"/>
  </r>
  <r>
    <x v="23"/>
    <s v="Life expectancy at birth, total (years)"/>
    <n v="70.477000000000004"/>
    <x v="53"/>
  </r>
  <r>
    <x v="24"/>
    <s v="Life expectancy at birth, total (years)"/>
    <n v="63.347999999999999"/>
    <x v="53"/>
  </r>
  <r>
    <x v="25"/>
    <s v="Life expectancy at birth, total (years)"/>
    <n v="58.819000000000003"/>
    <x v="53"/>
  </r>
  <r>
    <x v="26"/>
    <s v="Life expectancy at birth, total (years)"/>
    <n v="59.981999999999999"/>
    <x v="53"/>
  </r>
  <r>
    <x v="27"/>
    <s v="Life expectancy at birth, total (years)"/>
    <n v="58.052999999999997"/>
    <x v="53"/>
  </r>
  <r>
    <x v="0"/>
    <s v="Life expectancy at birth, total (years)"/>
    <n v="56.688000000000002"/>
    <x v="54"/>
  </r>
  <r>
    <x v="1"/>
    <s v="Life expectancy at birth, total (years)"/>
    <n v="57.110999999999997"/>
    <x v="54"/>
  </r>
  <r>
    <x v="2"/>
    <s v="Life expectancy at birth, total (years)"/>
    <n v="52.204000000000001"/>
    <x v="54"/>
  </r>
  <r>
    <x v="3"/>
    <s v="Life expectancy at birth, total (years)"/>
    <n v="63.216000000000001"/>
    <x v="54"/>
  </r>
  <r>
    <x v="4"/>
    <s v="Life expectancy at birth, total (years)"/>
    <n v="62.006"/>
    <x v="54"/>
  </r>
  <r>
    <x v="5"/>
    <s v="Life expectancy at birth, total (years)"/>
    <n v="64.534999999999997"/>
    <x v="54"/>
  </r>
  <r>
    <x v="6"/>
    <s v="Life expectancy at birth, total (years)"/>
    <n v="58.845999999999997"/>
    <x v="54"/>
  </r>
  <r>
    <x v="7"/>
    <s v="Life expectancy at birth, total (years)"/>
    <n v="62.756999999999998"/>
    <x v="54"/>
  </r>
  <r>
    <x v="8"/>
    <s v="Life expectancy at birth, total (years)"/>
    <n v="66.242000000000004"/>
    <x v="54"/>
  </r>
  <r>
    <x v="9"/>
    <s v="Life expectancy at birth, total (years)"/>
    <n v="71.097560975609795"/>
    <x v="54"/>
  </r>
  <r>
    <x v="10"/>
    <s v="Life expectancy at birth, total (years)"/>
    <n v="61.527000000000001"/>
    <x v="54"/>
  </r>
  <r>
    <x v="11"/>
    <s v="Life expectancy at birth, total (years)"/>
    <n v="65.132999999999996"/>
    <x v="54"/>
  </r>
  <r>
    <x v="12"/>
    <s v="Life expectancy at birth, total (years)"/>
    <n v="61.932000000000002"/>
    <x v="54"/>
  </r>
  <r>
    <x v="13"/>
    <s v="Life expectancy at birth, total (years)"/>
    <n v="57.006999999999998"/>
    <x v="54"/>
  </r>
  <r>
    <x v="14"/>
    <s v="Life expectancy at birth, total (years)"/>
    <n v="71.257999999999996"/>
    <x v="54"/>
  </r>
  <r>
    <x v="15"/>
    <s v="Life expectancy at birth, total (years)"/>
    <n v="57.098999999999997"/>
    <x v="54"/>
  </r>
  <r>
    <x v="16"/>
    <s v="Life expectancy at birth, total (years)"/>
    <n v="66.284999999999997"/>
    <x v="54"/>
  </r>
  <r>
    <x v="17"/>
    <s v="Life expectancy at birth, total (years)"/>
    <n v="69.510999999999996"/>
    <x v="54"/>
  </r>
  <r>
    <x v="18"/>
    <s v="Life expectancy at birth, total (years)"/>
    <n v="74.884"/>
    <x v="54"/>
  </r>
  <r>
    <x v="19"/>
    <s v="Life expectancy at birth, total (years)"/>
    <n v="59.228000000000002"/>
    <x v="54"/>
  </r>
  <r>
    <x v="20"/>
    <s v="Life expectancy at birth, total (years)"/>
    <n v="66.188000000000002"/>
    <x v="54"/>
  </r>
  <r>
    <x v="21"/>
    <s v="Life expectancy at birth, total (years)"/>
    <n v="66.361000000000004"/>
    <x v="54"/>
  </r>
  <r>
    <x v="22"/>
    <s v="Life expectancy at birth, total (years)"/>
    <n v="74.906000000000006"/>
    <x v="54"/>
  </r>
  <r>
    <x v="23"/>
    <s v="Life expectancy at birth, total (years)"/>
    <n v="70.69"/>
    <x v="54"/>
  </r>
  <r>
    <x v="24"/>
    <s v="Life expectancy at birth, total (years)"/>
    <n v="64.162999999999997"/>
    <x v="54"/>
  </r>
  <r>
    <x v="25"/>
    <s v="Life expectancy at birth, total (years)"/>
    <n v="59.223999999999997"/>
    <x v="54"/>
  </r>
  <r>
    <x v="26"/>
    <s v="Life expectancy at birth, total (years)"/>
    <n v="60.774999999999999"/>
    <x v="54"/>
  </r>
  <r>
    <x v="27"/>
    <s v="Life expectancy at birth, total (years)"/>
    <n v="59.36"/>
    <x v="54"/>
  </r>
  <r>
    <x v="0"/>
    <s v="Life expectancy at birth, total (years)"/>
    <n v="57.094000000000001"/>
    <x v="55"/>
  </r>
  <r>
    <x v="1"/>
    <s v="Life expectancy at birth, total (years)"/>
    <n v="57.582000000000001"/>
    <x v="55"/>
  </r>
  <r>
    <x v="2"/>
    <s v="Life expectancy at birth, total (years)"/>
    <n v="52.575000000000003"/>
    <x v="55"/>
  </r>
  <r>
    <x v="3"/>
    <s v="Life expectancy at birth, total (years)"/>
    <n v="63.472999999999999"/>
    <x v="55"/>
  </r>
  <r>
    <x v="4"/>
    <s v="Life expectancy at birth, total (years)"/>
    <n v="62.26"/>
    <x v="55"/>
  </r>
  <r>
    <x v="5"/>
    <s v="Life expectancy at birth, total (years)"/>
    <n v="65.037000000000006"/>
    <x v="55"/>
  </r>
  <r>
    <x v="6"/>
    <s v="Life expectancy at birth, total (years)"/>
    <n v="59.418999999999997"/>
    <x v="55"/>
  </r>
  <r>
    <x v="7"/>
    <s v="Life expectancy at birth, total (years)"/>
    <n v="63.055"/>
    <x v="55"/>
  </r>
  <r>
    <x v="8"/>
    <s v="Life expectancy at birth, total (years)"/>
    <n v="66.694999999999993"/>
    <x v="55"/>
  </r>
  <r>
    <x v="9"/>
    <s v="Life expectancy at birth, total (years)"/>
    <n v="71.346341463414603"/>
    <x v="55"/>
  </r>
  <r>
    <x v="10"/>
    <s v="Life expectancy at birth, total (years)"/>
    <n v="62.006999999999998"/>
    <x v="55"/>
  </r>
  <r>
    <x v="11"/>
    <s v="Life expectancy at birth, total (years)"/>
    <n v="65.539000000000001"/>
    <x v="55"/>
  </r>
  <r>
    <x v="12"/>
    <s v="Life expectancy at birth, total (years)"/>
    <n v="62.661000000000001"/>
    <x v="55"/>
  </r>
  <r>
    <x v="13"/>
    <s v="Life expectancy at birth, total (years)"/>
    <n v="57.478000000000002"/>
    <x v="55"/>
  </r>
  <r>
    <x v="14"/>
    <s v="Life expectancy at birth, total (years)"/>
    <n v="71.468000000000004"/>
    <x v="55"/>
  </r>
  <r>
    <x v="15"/>
    <s v="Life expectancy at birth, total (years)"/>
    <n v="57.713999999999999"/>
    <x v="55"/>
  </r>
  <r>
    <x v="16"/>
    <s v="Life expectancy at birth, total (years)"/>
    <n v="66.463999999999999"/>
    <x v="55"/>
  </r>
  <r>
    <x v="17"/>
    <s v="Life expectancy at birth, total (years)"/>
    <n v="69.887"/>
    <x v="55"/>
  </r>
  <r>
    <x v="18"/>
    <s v="Life expectancy at birth, total (years)"/>
    <n v="75.149000000000001"/>
    <x v="55"/>
  </r>
  <r>
    <x v="19"/>
    <s v="Life expectancy at birth, total (years)"/>
    <n v="59.667000000000002"/>
    <x v="55"/>
  </r>
  <r>
    <x v="20"/>
    <s v="Life expectancy at birth, total (years)"/>
    <n v="66.695999999999998"/>
    <x v="55"/>
  </r>
  <r>
    <x v="21"/>
    <s v="Life expectancy at birth, total (years)"/>
    <n v="66.488"/>
    <x v="55"/>
  </r>
  <r>
    <x v="22"/>
    <s v="Life expectancy at birth, total (years)"/>
    <n v="75.087999999999994"/>
    <x v="55"/>
  </r>
  <r>
    <x v="23"/>
    <s v="Life expectancy at birth, total (years)"/>
    <n v="70.879000000000005"/>
    <x v="55"/>
  </r>
  <r>
    <x v="24"/>
    <s v="Life expectancy at birth, total (years)"/>
    <n v="64.95"/>
    <x v="55"/>
  </r>
  <r>
    <x v="25"/>
    <s v="Life expectancy at birth, total (years)"/>
    <n v="59.575000000000003"/>
    <x v="55"/>
  </r>
  <r>
    <x v="26"/>
    <s v="Life expectancy at birth, total (years)"/>
    <n v="61.396999999999998"/>
    <x v="55"/>
  </r>
  <r>
    <x v="27"/>
    <s v="Life expectancy at birth, total (years)"/>
    <n v="60.398000000000003"/>
    <x v="55"/>
  </r>
  <r>
    <x v="0"/>
    <s v="Life expectancy at birth, total (years)"/>
    <n v="57.481000000000002"/>
    <x v="56"/>
  </r>
  <r>
    <x v="1"/>
    <s v="Life expectancy at birth, total (years)"/>
    <n v="58.073"/>
    <x v="56"/>
  </r>
  <r>
    <x v="2"/>
    <s v="Life expectancy at birth, total (years)"/>
    <n v="52.902999999999999"/>
    <x v="56"/>
  </r>
  <r>
    <x v="3"/>
    <s v="Life expectancy at birth, total (years)"/>
    <n v="63.701000000000001"/>
    <x v="56"/>
  </r>
  <r>
    <x v="4"/>
    <s v="Life expectancy at birth, total (years)"/>
    <n v="62.465000000000003"/>
    <x v="56"/>
  </r>
  <r>
    <x v="5"/>
    <s v="Life expectancy at birth, total (years)"/>
    <n v="65.474999999999994"/>
    <x v="56"/>
  </r>
  <r>
    <x v="6"/>
    <s v="Life expectancy at birth, total (years)"/>
    <n v="60.015000000000001"/>
    <x v="56"/>
  </r>
  <r>
    <x v="7"/>
    <s v="Life expectancy at birth, total (years)"/>
    <n v="63.33"/>
    <x v="56"/>
  </r>
  <r>
    <x v="8"/>
    <s v="Life expectancy at birth, total (years)"/>
    <n v="67.031999999999996"/>
    <x v="56"/>
  </r>
  <r>
    <x v="9"/>
    <s v="Life expectancy at birth, total (years)"/>
    <n v="71.646341463414601"/>
    <x v="56"/>
  </r>
  <r>
    <x v="10"/>
    <s v="Life expectancy at birth, total (years)"/>
    <n v="62.505000000000003"/>
    <x v="56"/>
  </r>
  <r>
    <x v="11"/>
    <s v="Life expectancy at birth, total (years)"/>
    <n v="65.932000000000002"/>
    <x v="56"/>
  </r>
  <r>
    <x v="12"/>
    <s v="Life expectancy at birth, total (years)"/>
    <n v="63.222999999999999"/>
    <x v="56"/>
  </r>
  <r>
    <x v="13"/>
    <s v="Life expectancy at birth, total (years)"/>
    <n v="57.966000000000001"/>
    <x v="56"/>
  </r>
  <r>
    <x v="14"/>
    <s v="Life expectancy at birth, total (years)"/>
    <n v="71.61"/>
    <x v="56"/>
  </r>
  <r>
    <x v="15"/>
    <s v="Life expectancy at birth, total (years)"/>
    <n v="58.311"/>
    <x v="56"/>
  </r>
  <r>
    <x v="16"/>
    <s v="Life expectancy at birth, total (years)"/>
    <n v="66.611999999999995"/>
    <x v="56"/>
  </r>
  <r>
    <x v="17"/>
    <s v="Life expectancy at birth, total (years)"/>
    <n v="70.253"/>
    <x v="56"/>
  </r>
  <r>
    <x v="18"/>
    <s v="Life expectancy at birth, total (years)"/>
    <n v="75.403999999999996"/>
    <x v="56"/>
  </r>
  <r>
    <x v="19"/>
    <s v="Life expectancy at birth, total (years)"/>
    <n v="60.058"/>
    <x v="56"/>
  </r>
  <r>
    <x v="20"/>
    <s v="Life expectancy at birth, total (years)"/>
    <n v="67.129000000000005"/>
    <x v="56"/>
  </r>
  <r>
    <x v="21"/>
    <s v="Life expectancy at birth, total (years)"/>
    <n v="66.623999999999995"/>
    <x v="56"/>
  </r>
  <r>
    <x v="22"/>
    <s v="Life expectancy at birth, total (years)"/>
    <n v="75.284000000000006"/>
    <x v="56"/>
  </r>
  <r>
    <x v="23"/>
    <s v="Life expectancy at birth, total (years)"/>
    <n v="71.051000000000002"/>
    <x v="56"/>
  </r>
  <r>
    <x v="24"/>
    <s v="Life expectancy at birth, total (years)"/>
    <n v="65.674999999999997"/>
    <x v="56"/>
  </r>
  <r>
    <x v="25"/>
    <s v="Life expectancy at birth, total (years)"/>
    <n v="59.889000000000003"/>
    <x v="56"/>
  </r>
  <r>
    <x v="26"/>
    <s v="Life expectancy at birth, total (years)"/>
    <n v="61.874000000000002"/>
    <x v="56"/>
  </r>
  <r>
    <x v="27"/>
    <s v="Life expectancy at birth, total (years)"/>
    <n v="61.162999999999997"/>
    <x v="56"/>
  </r>
  <r>
    <x v="0"/>
    <s v="Life expectancy at birth, total (years)"/>
    <m/>
    <x v="57"/>
  </r>
  <r>
    <x v="1"/>
    <s v="Life expectancy at birth, total (years)"/>
    <m/>
    <x v="57"/>
  </r>
  <r>
    <x v="2"/>
    <s v="Life expectancy at birth, total (years)"/>
    <m/>
    <x v="57"/>
  </r>
  <r>
    <x v="3"/>
    <s v="Life expectancy at birth, total (years)"/>
    <m/>
    <x v="57"/>
  </r>
  <r>
    <x v="4"/>
    <s v="Life expectancy at birth, total (years)"/>
    <m/>
    <x v="57"/>
  </r>
  <r>
    <x v="5"/>
    <s v="Life expectancy at birth, total (years)"/>
    <m/>
    <x v="57"/>
  </r>
  <r>
    <x v="6"/>
    <s v="Life expectancy at birth, total (years)"/>
    <m/>
    <x v="57"/>
  </r>
  <r>
    <x v="7"/>
    <s v="Life expectancy at birth, total (years)"/>
    <m/>
    <x v="57"/>
  </r>
  <r>
    <x v="8"/>
    <s v="Life expectancy at birth, total (years)"/>
    <m/>
    <x v="57"/>
  </r>
  <r>
    <x v="9"/>
    <s v="Life expectancy at birth, total (years)"/>
    <m/>
    <x v="57"/>
  </r>
  <r>
    <x v="10"/>
    <s v="Life expectancy at birth, total (years)"/>
    <m/>
    <x v="57"/>
  </r>
  <r>
    <x v="11"/>
    <s v="Life expectancy at birth, total (years)"/>
    <m/>
    <x v="57"/>
  </r>
  <r>
    <x v="12"/>
    <s v="Life expectancy at birth, total (years)"/>
    <m/>
    <x v="57"/>
  </r>
  <r>
    <x v="13"/>
    <s v="Life expectancy at birth, total (years)"/>
    <m/>
    <x v="57"/>
  </r>
  <r>
    <x v="14"/>
    <s v="Life expectancy at birth, total (years)"/>
    <m/>
    <x v="57"/>
  </r>
  <r>
    <x v="15"/>
    <s v="Life expectancy at birth, total (years)"/>
    <m/>
    <x v="57"/>
  </r>
  <r>
    <x v="16"/>
    <s v="Life expectancy at birth, total (years)"/>
    <m/>
    <x v="57"/>
  </r>
  <r>
    <x v="17"/>
    <s v="Life expectancy at birth, total (years)"/>
    <m/>
    <x v="57"/>
  </r>
  <r>
    <x v="18"/>
    <s v="Life expectancy at birth, total (years)"/>
    <m/>
    <x v="57"/>
  </r>
  <r>
    <x v="19"/>
    <s v="Life expectancy at birth, total (years)"/>
    <m/>
    <x v="57"/>
  </r>
  <r>
    <x v="20"/>
    <s v="Life expectancy at birth, total (years)"/>
    <m/>
    <x v="57"/>
  </r>
  <r>
    <x v="21"/>
    <s v="Life expectancy at birth, total (years)"/>
    <m/>
    <x v="57"/>
  </r>
  <r>
    <x v="22"/>
    <s v="Life expectancy at birth, total (years)"/>
    <m/>
    <x v="57"/>
  </r>
  <r>
    <x v="23"/>
    <s v="Life expectancy at birth, total (years)"/>
    <m/>
    <x v="57"/>
  </r>
  <r>
    <x v="24"/>
    <s v="Life expectancy at birth, total (years)"/>
    <m/>
    <x v="57"/>
  </r>
  <r>
    <x v="25"/>
    <s v="Life expectancy at birth, total (years)"/>
    <m/>
    <x v="57"/>
  </r>
  <r>
    <x v="26"/>
    <s v="Life expectancy at birth, total (years)"/>
    <m/>
    <x v="57"/>
  </r>
  <r>
    <x v="27"/>
    <s v="Life expectancy at birth, total (years)"/>
    <m/>
    <x v="57"/>
  </r>
</pivotCacheRecords>
</file>

<file path=xl/pivotCache/pivotCacheRecords2.xml><?xml version="1.0" encoding="utf-8"?>
<pivotCacheRecords xmlns="http://schemas.openxmlformats.org/spreadsheetml/2006/main" xmlns:r="http://schemas.openxmlformats.org/officeDocument/2006/relationships" count="1624">
  <r>
    <x v="0"/>
    <s v="Mortality rate, infant (per 1,000 live births)"/>
    <m/>
    <x v="0"/>
  </r>
  <r>
    <x v="1"/>
    <s v="Mortality rate, infant (per 1,000 live births)"/>
    <n v="164.6"/>
    <x v="0"/>
  </r>
  <r>
    <x v="2"/>
    <s v="Mortality rate, infant (per 1,000 live births)"/>
    <m/>
    <x v="0"/>
  </r>
  <r>
    <x v="3"/>
    <s v="Mortality rate, infant (per 1,000 live births)"/>
    <m/>
    <x v="0"/>
  </r>
  <r>
    <x v="4"/>
    <s v="Mortality rate, infant (per 1,000 live births)"/>
    <m/>
    <x v="0"/>
  </r>
  <r>
    <x v="5"/>
    <s v="Mortality rate, infant (per 1,000 live births)"/>
    <m/>
    <x v="0"/>
  </r>
  <r>
    <x v="6"/>
    <s v="Mortality rate, infant (per 1,000 live births)"/>
    <m/>
    <x v="0"/>
  </r>
  <r>
    <x v="7"/>
    <s v="Mortality rate, infant (per 1,000 live births)"/>
    <n v="189.8"/>
    <x v="0"/>
  </r>
  <r>
    <x v="8"/>
    <s v="Mortality rate, infant (per 1,000 live births)"/>
    <n v="117.4"/>
    <x v="0"/>
  </r>
  <r>
    <x v="9"/>
    <s v="Mortality rate, infant (per 1,000 live births)"/>
    <m/>
    <x v="0"/>
  </r>
  <r>
    <x v="10"/>
    <s v="Mortality rate, infant (per 1,000 live births)"/>
    <n v="208.8"/>
    <x v="0"/>
  </r>
  <r>
    <x v="11"/>
    <s v="Mortality rate, infant (per 1,000 live births)"/>
    <m/>
    <x v="0"/>
  </r>
  <r>
    <x v="12"/>
    <s v="Mortality rate, infant (per 1,000 live births)"/>
    <m/>
    <x v="0"/>
  </r>
  <r>
    <x v="13"/>
    <s v="Mortality rate, infant (per 1,000 live births)"/>
    <m/>
    <x v="0"/>
  </r>
  <r>
    <x v="14"/>
    <s v="Mortality rate, infant (per 1,000 live births)"/>
    <m/>
    <x v="0"/>
  </r>
  <r>
    <x v="15"/>
    <s v="Mortality rate, infant (per 1,000 live births)"/>
    <m/>
    <x v="0"/>
  </r>
  <r>
    <x v="16"/>
    <s v="Mortality rate, infant (per 1,000 live births)"/>
    <m/>
    <x v="0"/>
  </r>
  <r>
    <x v="17"/>
    <s v="Mortality rate, infant (per 1,000 live births)"/>
    <n v="216.5"/>
    <x v="0"/>
  </r>
  <r>
    <x v="18"/>
    <s v="Mortality rate, infant (per 1,000 live births)"/>
    <n v="133"/>
    <x v="0"/>
  </r>
  <r>
    <x v="19"/>
    <s v="Mortality rate, infant (per 1,000 live births)"/>
    <m/>
    <x v="0"/>
  </r>
  <r>
    <x v="20"/>
    <s v="Mortality rate, infant (per 1,000 live births)"/>
    <n v="131.1"/>
    <x v="0"/>
  </r>
  <r>
    <x v="21"/>
    <s v="Mortality rate, infant (per 1,000 live births)"/>
    <m/>
    <x v="0"/>
  </r>
  <r>
    <x v="22"/>
    <s v="Mortality rate, infant (per 1,000 live births)"/>
    <n v="70.099999999999994"/>
    <x v="0"/>
  </r>
  <r>
    <x v="23"/>
    <s v="Mortality rate, infant (per 1,000 live births)"/>
    <m/>
    <x v="0"/>
  </r>
  <r>
    <x v="24"/>
    <s v="Mortality rate, infant (per 1,000 live births)"/>
    <n v="143.19999999999999"/>
    <x v="0"/>
  </r>
  <r>
    <x v="25"/>
    <s v="Mortality rate, infant (per 1,000 live births)"/>
    <n v="131.5"/>
    <x v="0"/>
  </r>
  <r>
    <x v="26"/>
    <s v="Mortality rate, infant (per 1,000 live births)"/>
    <n v="122.2"/>
    <x v="0"/>
  </r>
  <r>
    <x v="27"/>
    <s v="Mortality rate, infant (per 1,000 live births)"/>
    <n v="92.5"/>
    <x v="0"/>
  </r>
  <r>
    <x v="0"/>
    <s v="Mortality rate, infant (per 1,000 live births)"/>
    <m/>
    <x v="1"/>
  </r>
  <r>
    <x v="1"/>
    <s v="Mortality rate, infant (per 1,000 live births)"/>
    <n v="160.9"/>
    <x v="1"/>
  </r>
  <r>
    <x v="2"/>
    <s v="Mortality rate, infant (per 1,000 live births)"/>
    <m/>
    <x v="1"/>
  </r>
  <r>
    <x v="3"/>
    <s v="Mortality rate, infant (per 1,000 live births)"/>
    <m/>
    <x v="1"/>
  </r>
  <r>
    <x v="4"/>
    <s v="Mortality rate, infant (per 1,000 live births)"/>
    <m/>
    <x v="1"/>
  </r>
  <r>
    <x v="5"/>
    <s v="Mortality rate, infant (per 1,000 live births)"/>
    <m/>
    <x v="1"/>
  </r>
  <r>
    <x v="6"/>
    <s v="Mortality rate, infant (per 1,000 live births)"/>
    <m/>
    <x v="1"/>
  </r>
  <r>
    <x v="7"/>
    <s v="Mortality rate, infant (per 1,000 live births)"/>
    <n v="186.8"/>
    <x v="1"/>
  </r>
  <r>
    <x v="8"/>
    <s v="Mortality rate, infant (per 1,000 live births)"/>
    <n v="112.9"/>
    <x v="1"/>
  </r>
  <r>
    <x v="9"/>
    <s v="Mortality rate, infant (per 1,000 live births)"/>
    <m/>
    <x v="1"/>
  </r>
  <r>
    <x v="10"/>
    <s v="Mortality rate, infant (per 1,000 live births)"/>
    <n v="209"/>
    <x v="1"/>
  </r>
  <r>
    <x v="11"/>
    <s v="Mortality rate, infant (per 1,000 live births)"/>
    <m/>
    <x v="1"/>
  </r>
  <r>
    <x v="12"/>
    <s v="Mortality rate, infant (per 1,000 live births)"/>
    <m/>
    <x v="1"/>
  </r>
  <r>
    <x v="13"/>
    <s v="Mortality rate, infant (per 1,000 live births)"/>
    <m/>
    <x v="1"/>
  </r>
  <r>
    <x v="14"/>
    <s v="Mortality rate, infant (per 1,000 live births)"/>
    <m/>
    <x v="1"/>
  </r>
  <r>
    <x v="15"/>
    <s v="Mortality rate, infant (per 1,000 live births)"/>
    <m/>
    <x v="1"/>
  </r>
  <r>
    <x v="16"/>
    <s v="Mortality rate, infant (per 1,000 live births)"/>
    <m/>
    <x v="1"/>
  </r>
  <r>
    <x v="17"/>
    <s v="Mortality rate, infant (per 1,000 live births)"/>
    <n v="213.8"/>
    <x v="1"/>
  </r>
  <r>
    <x v="18"/>
    <s v="Mortality rate, infant (per 1,000 live births)"/>
    <n v="131.69999999999999"/>
    <x v="1"/>
  </r>
  <r>
    <x v="19"/>
    <s v="Mortality rate, infant (per 1,000 live births)"/>
    <m/>
    <x v="1"/>
  </r>
  <r>
    <x v="20"/>
    <s v="Mortality rate, infant (per 1,000 live births)"/>
    <n v="128.69999999999999"/>
    <x v="1"/>
  </r>
  <r>
    <x v="21"/>
    <s v="Mortality rate, infant (per 1,000 live births)"/>
    <m/>
    <x v="1"/>
  </r>
  <r>
    <x v="22"/>
    <s v="Mortality rate, infant (per 1,000 live births)"/>
    <n v="67.7"/>
    <x v="1"/>
  </r>
  <r>
    <x v="23"/>
    <s v="Mortality rate, infant (per 1,000 live births)"/>
    <m/>
    <x v="1"/>
  </r>
  <r>
    <x v="24"/>
    <s v="Mortality rate, infant (per 1,000 live births)"/>
    <n v="141.9"/>
    <x v="1"/>
  </r>
  <r>
    <x v="25"/>
    <s v="Mortality rate, infant (per 1,000 live births)"/>
    <n v="128.9"/>
    <x v="1"/>
  </r>
  <r>
    <x v="26"/>
    <s v="Mortality rate, infant (per 1,000 live births)"/>
    <n v="120"/>
    <x v="1"/>
  </r>
  <r>
    <x v="27"/>
    <s v="Mortality rate, infant (per 1,000 live births)"/>
    <n v="90"/>
    <x v="1"/>
  </r>
  <r>
    <x v="0"/>
    <s v="Mortality rate, infant (per 1,000 live births)"/>
    <m/>
    <x v="2"/>
  </r>
  <r>
    <x v="1"/>
    <s v="Mortality rate, infant (per 1,000 live births)"/>
    <n v="157.9"/>
    <x v="2"/>
  </r>
  <r>
    <x v="2"/>
    <s v="Mortality rate, infant (per 1,000 live births)"/>
    <m/>
    <x v="2"/>
  </r>
  <r>
    <x v="3"/>
    <s v="Mortality rate, infant (per 1,000 live births)"/>
    <m/>
    <x v="2"/>
  </r>
  <r>
    <x v="4"/>
    <s v="Mortality rate, infant (per 1,000 live births)"/>
    <m/>
    <x v="2"/>
  </r>
  <r>
    <x v="5"/>
    <s v="Mortality rate, infant (per 1,000 live births)"/>
    <m/>
    <x v="2"/>
  </r>
  <r>
    <x v="6"/>
    <s v="Mortality rate, infant (per 1,000 live births)"/>
    <m/>
    <x v="2"/>
  </r>
  <r>
    <x v="7"/>
    <s v="Mortality rate, infant (per 1,000 live births)"/>
    <n v="184"/>
    <x v="2"/>
  </r>
  <r>
    <x v="8"/>
    <s v="Mortality rate, infant (per 1,000 live births)"/>
    <n v="109"/>
    <x v="2"/>
  </r>
  <r>
    <x v="9"/>
    <s v="Mortality rate, infant (per 1,000 live births)"/>
    <m/>
    <x v="2"/>
  </r>
  <r>
    <x v="10"/>
    <s v="Mortality rate, infant (per 1,000 live births)"/>
    <n v="208.7"/>
    <x v="2"/>
  </r>
  <r>
    <x v="11"/>
    <s v="Mortality rate, infant (per 1,000 live births)"/>
    <m/>
    <x v="2"/>
  </r>
  <r>
    <x v="12"/>
    <s v="Mortality rate, infant (per 1,000 live births)"/>
    <m/>
    <x v="2"/>
  </r>
  <r>
    <x v="13"/>
    <s v="Mortality rate, infant (per 1,000 live births)"/>
    <m/>
    <x v="2"/>
  </r>
  <r>
    <x v="14"/>
    <s v="Mortality rate, infant (per 1,000 live births)"/>
    <m/>
    <x v="2"/>
  </r>
  <r>
    <x v="15"/>
    <s v="Mortality rate, infant (per 1,000 live births)"/>
    <m/>
    <x v="2"/>
  </r>
  <r>
    <x v="16"/>
    <s v="Mortality rate, infant (per 1,000 live births)"/>
    <m/>
    <x v="2"/>
  </r>
  <r>
    <x v="17"/>
    <s v="Mortality rate, infant (per 1,000 live births)"/>
    <n v="210.4"/>
    <x v="2"/>
  </r>
  <r>
    <x v="18"/>
    <s v="Mortality rate, infant (per 1,000 live births)"/>
    <n v="130.4"/>
    <x v="2"/>
  </r>
  <r>
    <x v="19"/>
    <s v="Mortality rate, infant (per 1,000 live births)"/>
    <m/>
    <x v="2"/>
  </r>
  <r>
    <x v="20"/>
    <s v="Mortality rate, infant (per 1,000 live births)"/>
    <n v="126.9"/>
    <x v="2"/>
  </r>
  <r>
    <x v="21"/>
    <s v="Mortality rate, infant (per 1,000 live births)"/>
    <m/>
    <x v="2"/>
  </r>
  <r>
    <x v="22"/>
    <s v="Mortality rate, infant (per 1,000 live births)"/>
    <n v="65.400000000000006"/>
    <x v="2"/>
  </r>
  <r>
    <x v="23"/>
    <s v="Mortality rate, infant (per 1,000 live births)"/>
    <m/>
    <x v="2"/>
  </r>
  <r>
    <x v="24"/>
    <s v="Mortality rate, infant (per 1,000 live births)"/>
    <n v="140.4"/>
    <x v="2"/>
  </r>
  <r>
    <x v="25"/>
    <s v="Mortality rate, infant (per 1,000 live births)"/>
    <n v="126.5"/>
    <x v="2"/>
  </r>
  <r>
    <x v="26"/>
    <s v="Mortality rate, infant (per 1,000 live births)"/>
    <n v="118"/>
    <x v="2"/>
  </r>
  <r>
    <x v="27"/>
    <s v="Mortality rate, infant (per 1,000 live births)"/>
    <n v="87.5"/>
    <x v="2"/>
  </r>
  <r>
    <x v="0"/>
    <s v="Mortality rate, infant (per 1,000 live births)"/>
    <m/>
    <x v="3"/>
  </r>
  <r>
    <x v="1"/>
    <s v="Mortality rate, infant (per 1,000 live births)"/>
    <n v="155.5"/>
    <x v="3"/>
  </r>
  <r>
    <x v="2"/>
    <s v="Mortality rate, infant (per 1,000 live births)"/>
    <m/>
    <x v="3"/>
  </r>
  <r>
    <x v="3"/>
    <s v="Mortality rate, infant (per 1,000 live births)"/>
    <m/>
    <x v="3"/>
  </r>
  <r>
    <x v="4"/>
    <s v="Mortality rate, infant (per 1,000 live births)"/>
    <m/>
    <x v="3"/>
  </r>
  <r>
    <x v="5"/>
    <s v="Mortality rate, infant (per 1,000 live births)"/>
    <m/>
    <x v="3"/>
  </r>
  <r>
    <x v="6"/>
    <s v="Mortality rate, infant (per 1,000 live births)"/>
    <m/>
    <x v="3"/>
  </r>
  <r>
    <x v="7"/>
    <s v="Mortality rate, infant (per 1,000 live births)"/>
    <n v="181.1"/>
    <x v="3"/>
  </r>
  <r>
    <x v="8"/>
    <s v="Mortality rate, infant (per 1,000 live births)"/>
    <n v="105.6"/>
    <x v="3"/>
  </r>
  <r>
    <x v="9"/>
    <s v="Mortality rate, infant (per 1,000 live births)"/>
    <m/>
    <x v="3"/>
  </r>
  <r>
    <x v="10"/>
    <s v="Mortality rate, infant (per 1,000 live births)"/>
    <n v="208"/>
    <x v="3"/>
  </r>
  <r>
    <x v="11"/>
    <s v="Mortality rate, infant (per 1,000 live births)"/>
    <m/>
    <x v="3"/>
  </r>
  <r>
    <x v="12"/>
    <s v="Mortality rate, infant (per 1,000 live births)"/>
    <m/>
    <x v="3"/>
  </r>
  <r>
    <x v="13"/>
    <s v="Mortality rate, infant (per 1,000 live births)"/>
    <n v="213.6"/>
    <x v="3"/>
  </r>
  <r>
    <x v="14"/>
    <s v="Mortality rate, infant (per 1,000 live births)"/>
    <m/>
    <x v="3"/>
  </r>
  <r>
    <x v="15"/>
    <s v="Mortality rate, infant (per 1,000 live births)"/>
    <m/>
    <x v="3"/>
  </r>
  <r>
    <x v="16"/>
    <s v="Mortality rate, infant (per 1,000 live births)"/>
    <m/>
    <x v="3"/>
  </r>
  <r>
    <x v="17"/>
    <s v="Mortality rate, infant (per 1,000 live births)"/>
    <n v="206.6"/>
    <x v="3"/>
  </r>
  <r>
    <x v="18"/>
    <s v="Mortality rate, infant (per 1,000 live births)"/>
    <n v="129.1"/>
    <x v="3"/>
  </r>
  <r>
    <x v="19"/>
    <s v="Mortality rate, infant (per 1,000 live births)"/>
    <m/>
    <x v="3"/>
  </r>
  <r>
    <x v="20"/>
    <s v="Mortality rate, infant (per 1,000 live births)"/>
    <n v="125.6"/>
    <x v="3"/>
  </r>
  <r>
    <x v="21"/>
    <s v="Mortality rate, infant (per 1,000 live births)"/>
    <m/>
    <x v="3"/>
  </r>
  <r>
    <x v="22"/>
    <s v="Mortality rate, infant (per 1,000 live births)"/>
    <n v="63.2"/>
    <x v="3"/>
  </r>
  <r>
    <x v="23"/>
    <s v="Mortality rate, infant (per 1,000 live births)"/>
    <m/>
    <x v="3"/>
  </r>
  <r>
    <x v="24"/>
    <s v="Mortality rate, infant (per 1,000 live births)"/>
    <n v="138.9"/>
    <x v="3"/>
  </r>
  <r>
    <x v="25"/>
    <s v="Mortality rate, infant (per 1,000 live births)"/>
    <n v="124.2"/>
    <x v="3"/>
  </r>
  <r>
    <x v="26"/>
    <s v="Mortality rate, infant (per 1,000 live births)"/>
    <n v="116.3"/>
    <x v="3"/>
  </r>
  <r>
    <x v="27"/>
    <s v="Mortality rate, infant (per 1,000 live births)"/>
    <n v="85"/>
    <x v="3"/>
  </r>
  <r>
    <x v="0"/>
    <s v="Mortality rate, infant (per 1,000 live births)"/>
    <n v="141.6"/>
    <x v="4"/>
  </r>
  <r>
    <x v="1"/>
    <s v="Mortality rate, infant (per 1,000 live births)"/>
    <n v="152.80000000000001"/>
    <x v="4"/>
  </r>
  <r>
    <x v="2"/>
    <s v="Mortality rate, infant (per 1,000 live births)"/>
    <m/>
    <x v="4"/>
  </r>
  <r>
    <x v="3"/>
    <s v="Mortality rate, infant (per 1,000 live births)"/>
    <m/>
    <x v="4"/>
  </r>
  <r>
    <x v="4"/>
    <s v="Mortality rate, infant (per 1,000 live births)"/>
    <m/>
    <x v="4"/>
  </r>
  <r>
    <x v="5"/>
    <s v="Mortality rate, infant (per 1,000 live births)"/>
    <m/>
    <x v="4"/>
  </r>
  <r>
    <x v="6"/>
    <s v="Mortality rate, infant (per 1,000 live births)"/>
    <m/>
    <x v="4"/>
  </r>
  <r>
    <x v="7"/>
    <s v="Mortality rate, infant (per 1,000 live births)"/>
    <n v="178.3"/>
    <x v="4"/>
  </r>
  <r>
    <x v="8"/>
    <s v="Mortality rate, infant (per 1,000 live births)"/>
    <n v="102.8"/>
    <x v="4"/>
  </r>
  <r>
    <x v="9"/>
    <s v="Mortality rate, infant (per 1,000 live births)"/>
    <m/>
    <x v="4"/>
  </r>
  <r>
    <x v="10"/>
    <s v="Mortality rate, infant (per 1,000 live births)"/>
    <n v="206.9"/>
    <x v="4"/>
  </r>
  <r>
    <x v="11"/>
    <s v="Mortality rate, infant (per 1,000 live births)"/>
    <m/>
    <x v="4"/>
  </r>
  <r>
    <x v="12"/>
    <s v="Mortality rate, infant (per 1,000 live births)"/>
    <m/>
    <x v="4"/>
  </r>
  <r>
    <x v="13"/>
    <s v="Mortality rate, infant (per 1,000 live births)"/>
    <n v="210.1"/>
    <x v="4"/>
  </r>
  <r>
    <x v="14"/>
    <s v="Mortality rate, infant (per 1,000 live births)"/>
    <m/>
    <x v="4"/>
  </r>
  <r>
    <x v="15"/>
    <s v="Mortality rate, infant (per 1,000 live births)"/>
    <m/>
    <x v="4"/>
  </r>
  <r>
    <x v="16"/>
    <s v="Mortality rate, infant (per 1,000 live births)"/>
    <m/>
    <x v="4"/>
  </r>
  <r>
    <x v="17"/>
    <s v="Mortality rate, infant (per 1,000 live births)"/>
    <n v="202.4"/>
    <x v="4"/>
  </r>
  <r>
    <x v="18"/>
    <s v="Mortality rate, infant (per 1,000 live births)"/>
    <n v="127.6"/>
    <x v="4"/>
  </r>
  <r>
    <x v="19"/>
    <s v="Mortality rate, infant (per 1,000 live births)"/>
    <m/>
    <x v="4"/>
  </r>
  <r>
    <x v="20"/>
    <s v="Mortality rate, infant (per 1,000 live births)"/>
    <n v="124.9"/>
    <x v="4"/>
  </r>
  <r>
    <x v="21"/>
    <s v="Mortality rate, infant (per 1,000 live births)"/>
    <m/>
    <x v="4"/>
  </r>
  <r>
    <x v="22"/>
    <s v="Mortality rate, infant (per 1,000 live births)"/>
    <n v="61.3"/>
    <x v="4"/>
  </r>
  <r>
    <x v="23"/>
    <s v="Mortality rate, infant (per 1,000 live births)"/>
    <m/>
    <x v="4"/>
  </r>
  <r>
    <x v="24"/>
    <s v="Mortality rate, infant (per 1,000 live births)"/>
    <n v="137.30000000000001"/>
    <x v="4"/>
  </r>
  <r>
    <x v="25"/>
    <s v="Mortality rate, infant (per 1,000 live births)"/>
    <n v="122"/>
    <x v="4"/>
  </r>
  <r>
    <x v="26"/>
    <s v="Mortality rate, infant (per 1,000 live births)"/>
    <n v="115"/>
    <x v="4"/>
  </r>
  <r>
    <x v="27"/>
    <s v="Mortality rate, infant (per 1,000 live births)"/>
    <n v="82.5"/>
    <x v="4"/>
  </r>
  <r>
    <x v="0"/>
    <s v="Mortality rate, infant (per 1,000 live births)"/>
    <n v="142.80000000000001"/>
    <x v="5"/>
  </r>
  <r>
    <x v="1"/>
    <s v="Mortality rate, infant (per 1,000 live births)"/>
    <n v="149.4"/>
    <x v="5"/>
  </r>
  <r>
    <x v="2"/>
    <s v="Mortality rate, infant (per 1,000 live births)"/>
    <m/>
    <x v="5"/>
  </r>
  <r>
    <x v="3"/>
    <s v="Mortality rate, infant (per 1,000 live births)"/>
    <m/>
    <x v="5"/>
  </r>
  <r>
    <x v="4"/>
    <s v="Mortality rate, infant (per 1,000 live births)"/>
    <m/>
    <x v="5"/>
  </r>
  <r>
    <x v="5"/>
    <s v="Mortality rate, infant (per 1,000 live births)"/>
    <m/>
    <x v="5"/>
  </r>
  <r>
    <x v="6"/>
    <s v="Mortality rate, infant (per 1,000 live births)"/>
    <m/>
    <x v="5"/>
  </r>
  <r>
    <x v="7"/>
    <s v="Mortality rate, infant (per 1,000 live births)"/>
    <n v="175.5"/>
    <x v="5"/>
  </r>
  <r>
    <x v="8"/>
    <s v="Mortality rate, infant (per 1,000 live births)"/>
    <n v="100.6"/>
    <x v="5"/>
  </r>
  <r>
    <x v="9"/>
    <s v="Mortality rate, infant (per 1,000 live births)"/>
    <m/>
    <x v="5"/>
  </r>
  <r>
    <x v="10"/>
    <s v="Mortality rate, infant (per 1,000 live births)"/>
    <n v="205.3"/>
    <x v="5"/>
  </r>
  <r>
    <x v="11"/>
    <s v="Mortality rate, infant (per 1,000 live births)"/>
    <m/>
    <x v="5"/>
  </r>
  <r>
    <x v="12"/>
    <s v="Mortality rate, infant (per 1,000 live births)"/>
    <n v="211.8"/>
    <x v="5"/>
  </r>
  <r>
    <x v="13"/>
    <s v="Mortality rate, infant (per 1,000 live births)"/>
    <n v="206.6"/>
    <x v="5"/>
  </r>
  <r>
    <x v="14"/>
    <s v="Mortality rate, infant (per 1,000 live births)"/>
    <m/>
    <x v="5"/>
  </r>
  <r>
    <x v="15"/>
    <s v="Mortality rate, infant (per 1,000 live births)"/>
    <n v="181.1"/>
    <x v="5"/>
  </r>
  <r>
    <x v="16"/>
    <s v="Mortality rate, infant (per 1,000 live births)"/>
    <m/>
    <x v="5"/>
  </r>
  <r>
    <x v="17"/>
    <s v="Mortality rate, infant (per 1,000 live births)"/>
    <n v="198"/>
    <x v="5"/>
  </r>
  <r>
    <x v="18"/>
    <s v="Mortality rate, infant (per 1,000 live births)"/>
    <n v="126.1"/>
    <x v="5"/>
  </r>
  <r>
    <x v="19"/>
    <s v="Mortality rate, infant (per 1,000 live births)"/>
    <m/>
    <x v="5"/>
  </r>
  <r>
    <x v="20"/>
    <s v="Mortality rate, infant (per 1,000 live births)"/>
    <n v="124.7"/>
    <x v="5"/>
  </r>
  <r>
    <x v="21"/>
    <s v="Mortality rate, infant (per 1,000 live births)"/>
    <n v="63.2"/>
    <x v="5"/>
  </r>
  <r>
    <x v="22"/>
    <s v="Mortality rate, infant (per 1,000 live births)"/>
    <n v="59.6"/>
    <x v="5"/>
  </r>
  <r>
    <x v="23"/>
    <s v="Mortality rate, infant (per 1,000 live births)"/>
    <m/>
    <x v="5"/>
  </r>
  <r>
    <x v="24"/>
    <s v="Mortality rate, infant (per 1,000 live births)"/>
    <n v="135.4"/>
    <x v="5"/>
  </r>
  <r>
    <x v="25"/>
    <s v="Mortality rate, infant (per 1,000 live births)"/>
    <n v="120"/>
    <x v="5"/>
  </r>
  <r>
    <x v="26"/>
    <s v="Mortality rate, infant (per 1,000 live births)"/>
    <n v="114"/>
    <x v="5"/>
  </r>
  <r>
    <x v="27"/>
    <s v="Mortality rate, infant (per 1,000 live births)"/>
    <n v="80"/>
    <x v="5"/>
  </r>
  <r>
    <x v="0"/>
    <s v="Mortality rate, infant (per 1,000 live births)"/>
    <n v="143.80000000000001"/>
    <x v="6"/>
  </r>
  <r>
    <x v="1"/>
    <s v="Mortality rate, infant (per 1,000 live births)"/>
    <n v="145.4"/>
    <x v="6"/>
  </r>
  <r>
    <x v="2"/>
    <s v="Mortality rate, infant (per 1,000 live births)"/>
    <m/>
    <x v="6"/>
  </r>
  <r>
    <x v="3"/>
    <s v="Mortality rate, infant (per 1,000 live births)"/>
    <m/>
    <x v="6"/>
  </r>
  <r>
    <x v="4"/>
    <s v="Mortality rate, infant (per 1,000 live births)"/>
    <m/>
    <x v="6"/>
  </r>
  <r>
    <x v="5"/>
    <s v="Mortality rate, infant (per 1,000 live births)"/>
    <n v="143.6"/>
    <x v="6"/>
  </r>
  <r>
    <x v="6"/>
    <s v="Mortality rate, infant (per 1,000 live births)"/>
    <n v="199.9"/>
    <x v="6"/>
  </r>
  <r>
    <x v="7"/>
    <s v="Mortality rate, infant (per 1,000 live births)"/>
    <n v="172.6"/>
    <x v="6"/>
  </r>
  <r>
    <x v="8"/>
    <s v="Mortality rate, infant (per 1,000 live births)"/>
    <n v="98.9"/>
    <x v="6"/>
  </r>
  <r>
    <x v="9"/>
    <s v="Mortality rate, infant (per 1,000 live births)"/>
    <m/>
    <x v="6"/>
  </r>
  <r>
    <x v="10"/>
    <s v="Mortality rate, infant (per 1,000 live births)"/>
    <n v="203.2"/>
    <x v="6"/>
  </r>
  <r>
    <x v="11"/>
    <s v="Mortality rate, infant (per 1,000 live births)"/>
    <m/>
    <x v="6"/>
  </r>
  <r>
    <x v="12"/>
    <s v="Mortality rate, infant (per 1,000 live births)"/>
    <n v="210.4"/>
    <x v="6"/>
  </r>
  <r>
    <x v="13"/>
    <s v="Mortality rate, infant (per 1,000 live births)"/>
    <n v="203.3"/>
    <x v="6"/>
  </r>
  <r>
    <x v="14"/>
    <s v="Mortality rate, infant (per 1,000 live births)"/>
    <m/>
    <x v="6"/>
  </r>
  <r>
    <x v="15"/>
    <s v="Mortality rate, infant (per 1,000 live births)"/>
    <n v="181.8"/>
    <x v="6"/>
  </r>
  <r>
    <x v="16"/>
    <s v="Mortality rate, infant (per 1,000 live births)"/>
    <m/>
    <x v="6"/>
  </r>
  <r>
    <x v="17"/>
    <s v="Mortality rate, infant (per 1,000 live births)"/>
    <n v="193.5"/>
    <x v="6"/>
  </r>
  <r>
    <x v="18"/>
    <s v="Mortality rate, infant (per 1,000 live births)"/>
    <n v="124.4"/>
    <x v="6"/>
  </r>
  <r>
    <x v="19"/>
    <s v="Mortality rate, infant (per 1,000 live births)"/>
    <m/>
    <x v="6"/>
  </r>
  <r>
    <x v="20"/>
    <s v="Mortality rate, infant (per 1,000 live births)"/>
    <n v="125"/>
    <x v="6"/>
  </r>
  <r>
    <x v="21"/>
    <s v="Mortality rate, infant (per 1,000 live births)"/>
    <n v="61.2"/>
    <x v="6"/>
  </r>
  <r>
    <x v="22"/>
    <s v="Mortality rate, infant (per 1,000 live births)"/>
    <n v="58"/>
    <x v="6"/>
  </r>
  <r>
    <x v="23"/>
    <s v="Mortality rate, infant (per 1,000 live births)"/>
    <m/>
    <x v="6"/>
  </r>
  <r>
    <x v="24"/>
    <s v="Mortality rate, infant (per 1,000 live births)"/>
    <n v="133.5"/>
    <x v="6"/>
  </r>
  <r>
    <x v="25"/>
    <s v="Mortality rate, infant (per 1,000 live births)"/>
    <n v="118"/>
    <x v="6"/>
  </r>
  <r>
    <x v="26"/>
    <s v="Mortality rate, infant (per 1,000 live births)"/>
    <n v="113.3"/>
    <x v="6"/>
  </r>
  <r>
    <x v="27"/>
    <s v="Mortality rate, infant (per 1,000 live births)"/>
    <n v="77.8"/>
    <x v="6"/>
  </r>
  <r>
    <x v="0"/>
    <s v="Mortality rate, infant (per 1,000 live births)"/>
    <n v="144.9"/>
    <x v="7"/>
  </r>
  <r>
    <x v="1"/>
    <s v="Mortality rate, infant (per 1,000 live births)"/>
    <n v="140.80000000000001"/>
    <x v="7"/>
  </r>
  <r>
    <x v="2"/>
    <s v="Mortality rate, infant (per 1,000 live births)"/>
    <m/>
    <x v="7"/>
  </r>
  <r>
    <x v="3"/>
    <s v="Mortality rate, infant (per 1,000 live births)"/>
    <m/>
    <x v="7"/>
  </r>
  <r>
    <x v="4"/>
    <s v="Mortality rate, infant (per 1,000 live births)"/>
    <m/>
    <x v="7"/>
  </r>
  <r>
    <x v="5"/>
    <s v="Mortality rate, infant (per 1,000 live births)"/>
    <n v="143.4"/>
    <x v="7"/>
  </r>
  <r>
    <x v="6"/>
    <s v="Mortality rate, infant (per 1,000 live births)"/>
    <n v="198.1"/>
    <x v="7"/>
  </r>
  <r>
    <x v="7"/>
    <s v="Mortality rate, infant (per 1,000 live births)"/>
    <n v="169.5"/>
    <x v="7"/>
  </r>
  <r>
    <x v="8"/>
    <s v="Mortality rate, infant (per 1,000 live births)"/>
    <n v="97.3"/>
    <x v="7"/>
  </r>
  <r>
    <x v="9"/>
    <s v="Mortality rate, infant (per 1,000 live births)"/>
    <m/>
    <x v="7"/>
  </r>
  <r>
    <x v="10"/>
    <s v="Mortality rate, infant (per 1,000 live births)"/>
    <n v="200.6"/>
    <x v="7"/>
  </r>
  <r>
    <x v="11"/>
    <s v="Mortality rate, infant (per 1,000 live births)"/>
    <m/>
    <x v="7"/>
  </r>
  <r>
    <x v="12"/>
    <s v="Mortality rate, infant (per 1,000 live births)"/>
    <n v="209.1"/>
    <x v="7"/>
  </r>
  <r>
    <x v="13"/>
    <s v="Mortality rate, infant (per 1,000 live births)"/>
    <n v="200.6"/>
    <x v="7"/>
  </r>
  <r>
    <x v="14"/>
    <s v="Mortality rate, infant (per 1,000 live births)"/>
    <m/>
    <x v="7"/>
  </r>
  <r>
    <x v="15"/>
    <s v="Mortality rate, infant (per 1,000 live births)"/>
    <n v="182.4"/>
    <x v="7"/>
  </r>
  <r>
    <x v="16"/>
    <s v="Mortality rate, infant (per 1,000 live births)"/>
    <m/>
    <x v="7"/>
  </r>
  <r>
    <x v="17"/>
    <s v="Mortality rate, infant (per 1,000 live births)"/>
    <n v="189"/>
    <x v="7"/>
  </r>
  <r>
    <x v="18"/>
    <s v="Mortality rate, infant (per 1,000 live births)"/>
    <n v="122.6"/>
    <x v="7"/>
  </r>
  <r>
    <x v="19"/>
    <s v="Mortality rate, infant (per 1,000 live births)"/>
    <n v="126.8"/>
    <x v="7"/>
  </r>
  <r>
    <x v="20"/>
    <s v="Mortality rate, infant (per 1,000 live births)"/>
    <n v="126"/>
    <x v="7"/>
  </r>
  <r>
    <x v="21"/>
    <s v="Mortality rate, infant (per 1,000 live births)"/>
    <n v="59.5"/>
    <x v="7"/>
  </r>
  <r>
    <x v="22"/>
    <s v="Mortality rate, infant (per 1,000 live births)"/>
    <n v="56.7"/>
    <x v="7"/>
  </r>
  <r>
    <x v="23"/>
    <s v="Mortality rate, infant (per 1,000 live births)"/>
    <m/>
    <x v="7"/>
  </r>
  <r>
    <x v="24"/>
    <s v="Mortality rate, infant (per 1,000 live births)"/>
    <n v="131.5"/>
    <x v="7"/>
  </r>
  <r>
    <x v="25"/>
    <s v="Mortality rate, infant (per 1,000 live births)"/>
    <n v="116.3"/>
    <x v="7"/>
  </r>
  <r>
    <x v="26"/>
    <s v="Mortality rate, infant (per 1,000 live births)"/>
    <n v="112.8"/>
    <x v="7"/>
  </r>
  <r>
    <x v="27"/>
    <s v="Mortality rate, infant (per 1,000 live births)"/>
    <n v="75.8"/>
    <x v="7"/>
  </r>
  <r>
    <x v="0"/>
    <s v="Mortality rate, infant (per 1,000 live births)"/>
    <n v="145.69999999999999"/>
    <x v="8"/>
  </r>
  <r>
    <x v="1"/>
    <s v="Mortality rate, infant (per 1,000 live births)"/>
    <n v="135.4"/>
    <x v="8"/>
  </r>
  <r>
    <x v="2"/>
    <s v="Mortality rate, infant (per 1,000 live births)"/>
    <m/>
    <x v="8"/>
  </r>
  <r>
    <x v="3"/>
    <s v="Mortality rate, infant (per 1,000 live births)"/>
    <m/>
    <x v="8"/>
  </r>
  <r>
    <x v="4"/>
    <s v="Mortality rate, infant (per 1,000 live births)"/>
    <m/>
    <x v="8"/>
  </r>
  <r>
    <x v="5"/>
    <s v="Mortality rate, infant (per 1,000 live births)"/>
    <n v="143.30000000000001"/>
    <x v="8"/>
  </r>
  <r>
    <x v="6"/>
    <s v="Mortality rate, infant (per 1,000 live births)"/>
    <n v="196.2"/>
    <x v="8"/>
  </r>
  <r>
    <x v="7"/>
    <s v="Mortality rate, infant (per 1,000 live births)"/>
    <n v="166.5"/>
    <x v="8"/>
  </r>
  <r>
    <x v="8"/>
    <s v="Mortality rate, infant (per 1,000 live births)"/>
    <n v="95.7"/>
    <x v="8"/>
  </r>
  <r>
    <x v="9"/>
    <s v="Mortality rate, infant (per 1,000 live births)"/>
    <m/>
    <x v="8"/>
  </r>
  <r>
    <x v="10"/>
    <s v="Mortality rate, infant (per 1,000 live births)"/>
    <n v="197.4"/>
    <x v="8"/>
  </r>
  <r>
    <x v="11"/>
    <s v="Mortality rate, infant (per 1,000 live births)"/>
    <n v="90.9"/>
    <x v="8"/>
  </r>
  <r>
    <x v="12"/>
    <s v="Mortality rate, infant (per 1,000 live births)"/>
    <n v="207.6"/>
    <x v="8"/>
  </r>
  <r>
    <x v="13"/>
    <s v="Mortality rate, infant (per 1,000 live births)"/>
    <n v="198.2"/>
    <x v="8"/>
  </r>
  <r>
    <x v="14"/>
    <s v="Mortality rate, infant (per 1,000 live births)"/>
    <m/>
    <x v="8"/>
  </r>
  <r>
    <x v="15"/>
    <s v="Mortality rate, infant (per 1,000 live births)"/>
    <n v="182.8"/>
    <x v="8"/>
  </r>
  <r>
    <x v="16"/>
    <s v="Mortality rate, infant (per 1,000 live births)"/>
    <n v="122.5"/>
    <x v="8"/>
  </r>
  <r>
    <x v="17"/>
    <s v="Mortality rate, infant (per 1,000 live births)"/>
    <n v="184.5"/>
    <x v="8"/>
  </r>
  <r>
    <x v="18"/>
    <s v="Mortality rate, infant (per 1,000 live births)"/>
    <n v="120.6"/>
    <x v="8"/>
  </r>
  <r>
    <x v="19"/>
    <s v="Mortality rate, infant (per 1,000 live births)"/>
    <n v="128.19999999999999"/>
    <x v="8"/>
  </r>
  <r>
    <x v="20"/>
    <s v="Mortality rate, infant (per 1,000 live births)"/>
    <n v="127.3"/>
    <x v="8"/>
  </r>
  <r>
    <x v="21"/>
    <s v="Mortality rate, infant (per 1,000 live births)"/>
    <n v="58.1"/>
    <x v="8"/>
  </r>
  <r>
    <x v="22"/>
    <s v="Mortality rate, infant (per 1,000 live births)"/>
    <n v="55.6"/>
    <x v="8"/>
  </r>
  <r>
    <x v="23"/>
    <s v="Mortality rate, infant (per 1,000 live births)"/>
    <m/>
    <x v="8"/>
  </r>
  <r>
    <x v="24"/>
    <s v="Mortality rate, infant (per 1,000 live births)"/>
    <n v="129.6"/>
    <x v="8"/>
  </r>
  <r>
    <x v="25"/>
    <s v="Mortality rate, infant (per 1,000 live births)"/>
    <n v="114.8"/>
    <x v="8"/>
  </r>
  <r>
    <x v="26"/>
    <s v="Mortality rate, infant (per 1,000 live births)"/>
    <n v="112.1"/>
    <x v="8"/>
  </r>
  <r>
    <x v="27"/>
    <s v="Mortality rate, infant (per 1,000 live births)"/>
    <n v="74.2"/>
    <x v="8"/>
  </r>
  <r>
    <x v="0"/>
    <s v="Mortality rate, infant (per 1,000 live births)"/>
    <n v="146.30000000000001"/>
    <x v="9"/>
  </r>
  <r>
    <x v="1"/>
    <s v="Mortality rate, infant (per 1,000 live births)"/>
    <n v="130.19999999999999"/>
    <x v="9"/>
  </r>
  <r>
    <x v="2"/>
    <s v="Mortality rate, infant (per 1,000 live births)"/>
    <m/>
    <x v="9"/>
  </r>
  <r>
    <x v="3"/>
    <s v="Mortality rate, infant (per 1,000 live births)"/>
    <m/>
    <x v="9"/>
  </r>
  <r>
    <x v="4"/>
    <s v="Mortality rate, infant (per 1,000 live births)"/>
    <m/>
    <x v="9"/>
  </r>
  <r>
    <x v="5"/>
    <s v="Mortality rate, infant (per 1,000 live births)"/>
    <n v="143.30000000000001"/>
    <x v="9"/>
  </r>
  <r>
    <x v="6"/>
    <s v="Mortality rate, infant (per 1,000 live births)"/>
    <n v="194.2"/>
    <x v="9"/>
  </r>
  <r>
    <x v="7"/>
    <s v="Mortality rate, infant (per 1,000 live births)"/>
    <n v="163.4"/>
    <x v="9"/>
  </r>
  <r>
    <x v="8"/>
    <s v="Mortality rate, infant (per 1,000 live births)"/>
    <n v="94"/>
    <x v="9"/>
  </r>
  <r>
    <x v="9"/>
    <s v="Mortality rate, infant (per 1,000 live births)"/>
    <m/>
    <x v="9"/>
  </r>
  <r>
    <x v="10"/>
    <s v="Mortality rate, infant (per 1,000 live births)"/>
    <n v="193.9"/>
    <x v="9"/>
  </r>
  <r>
    <x v="11"/>
    <s v="Mortality rate, infant (per 1,000 live births)"/>
    <n v="91.7"/>
    <x v="9"/>
  </r>
  <r>
    <x v="12"/>
    <s v="Mortality rate, infant (per 1,000 live births)"/>
    <n v="205.7"/>
    <x v="9"/>
  </r>
  <r>
    <x v="13"/>
    <s v="Mortality rate, infant (per 1,000 live births)"/>
    <n v="196.1"/>
    <x v="9"/>
  </r>
  <r>
    <x v="14"/>
    <s v="Mortality rate, infant (per 1,000 live births)"/>
    <m/>
    <x v="9"/>
  </r>
  <r>
    <x v="15"/>
    <s v="Mortality rate, infant (per 1,000 live births)"/>
    <n v="182.7"/>
    <x v="9"/>
  </r>
  <r>
    <x v="16"/>
    <s v="Mortality rate, infant (per 1,000 live births)"/>
    <n v="120.5"/>
    <x v="9"/>
  </r>
  <r>
    <x v="17"/>
    <s v="Mortality rate, infant (per 1,000 live births)"/>
    <n v="180.2"/>
    <x v="9"/>
  </r>
  <r>
    <x v="18"/>
    <s v="Mortality rate, infant (per 1,000 live births)"/>
    <n v="118.6"/>
    <x v="9"/>
  </r>
  <r>
    <x v="19"/>
    <s v="Mortality rate, infant (per 1,000 live births)"/>
    <n v="129.6"/>
    <x v="9"/>
  </r>
  <r>
    <x v="20"/>
    <s v="Mortality rate, infant (per 1,000 live births)"/>
    <n v="128.9"/>
    <x v="9"/>
  </r>
  <r>
    <x v="21"/>
    <s v="Mortality rate, infant (per 1,000 live births)"/>
    <n v="57.2"/>
    <x v="9"/>
  </r>
  <r>
    <x v="22"/>
    <s v="Mortality rate, infant (per 1,000 live births)"/>
    <n v="54.7"/>
    <x v="9"/>
  </r>
  <r>
    <x v="23"/>
    <s v="Mortality rate, infant (per 1,000 live births)"/>
    <m/>
    <x v="9"/>
  </r>
  <r>
    <x v="24"/>
    <s v="Mortality rate, infant (per 1,000 live births)"/>
    <n v="127.8"/>
    <x v="9"/>
  </r>
  <r>
    <x v="25"/>
    <s v="Mortality rate, infant (per 1,000 live births)"/>
    <n v="113.6"/>
    <x v="9"/>
  </r>
  <r>
    <x v="26"/>
    <s v="Mortality rate, infant (per 1,000 live births)"/>
    <n v="110.8"/>
    <x v="9"/>
  </r>
  <r>
    <x v="27"/>
    <s v="Mortality rate, infant (per 1,000 live births)"/>
    <n v="72.900000000000006"/>
    <x v="9"/>
  </r>
  <r>
    <x v="0"/>
    <s v="Mortality rate, infant (per 1,000 live births)"/>
    <n v="146.6"/>
    <x v="10"/>
  </r>
  <r>
    <x v="1"/>
    <s v="Mortality rate, infant (per 1,000 live births)"/>
    <n v="125.3"/>
    <x v="10"/>
  </r>
  <r>
    <x v="2"/>
    <s v="Mortality rate, infant (per 1,000 live births)"/>
    <m/>
    <x v="10"/>
  </r>
  <r>
    <x v="3"/>
    <s v="Mortality rate, infant (per 1,000 live births)"/>
    <n v="150"/>
    <x v="10"/>
  </r>
  <r>
    <x v="4"/>
    <s v="Mortality rate, infant (per 1,000 live births)"/>
    <m/>
    <x v="10"/>
  </r>
  <r>
    <x v="5"/>
    <s v="Mortality rate, infant (per 1,000 live births)"/>
    <n v="143.4"/>
    <x v="10"/>
  </r>
  <r>
    <x v="6"/>
    <s v="Mortality rate, infant (per 1,000 live births)"/>
    <n v="192.2"/>
    <x v="10"/>
  </r>
  <r>
    <x v="7"/>
    <s v="Mortality rate, infant (per 1,000 live births)"/>
    <n v="160.19999999999999"/>
    <x v="10"/>
  </r>
  <r>
    <x v="8"/>
    <s v="Mortality rate, infant (per 1,000 live births)"/>
    <n v="92.2"/>
    <x v="10"/>
  </r>
  <r>
    <x v="9"/>
    <s v="Mortality rate, infant (per 1,000 live births)"/>
    <m/>
    <x v="10"/>
  </r>
  <r>
    <x v="10"/>
    <s v="Mortality rate, infant (per 1,000 live births)"/>
    <n v="190.3"/>
    <x v="10"/>
  </r>
  <r>
    <x v="11"/>
    <s v="Mortality rate, infant (per 1,000 live births)"/>
    <n v="92.6"/>
    <x v="10"/>
  </r>
  <r>
    <x v="12"/>
    <s v="Mortality rate, infant (per 1,000 live births)"/>
    <n v="203.1"/>
    <x v="10"/>
  </r>
  <r>
    <x v="13"/>
    <s v="Mortality rate, infant (per 1,000 live births)"/>
    <n v="194.2"/>
    <x v="10"/>
  </r>
  <r>
    <x v="14"/>
    <s v="Mortality rate, infant (per 1,000 live births)"/>
    <m/>
    <x v="10"/>
  </r>
  <r>
    <x v="15"/>
    <s v="Mortality rate, infant (per 1,000 live births)"/>
    <n v="182.4"/>
    <x v="10"/>
  </r>
  <r>
    <x v="16"/>
    <s v="Mortality rate, infant (per 1,000 live births)"/>
    <n v="118.5"/>
    <x v="10"/>
  </r>
  <r>
    <x v="17"/>
    <s v="Mortality rate, infant (per 1,000 live births)"/>
    <n v="176.3"/>
    <x v="10"/>
  </r>
  <r>
    <x v="18"/>
    <s v="Mortality rate, infant (per 1,000 live births)"/>
    <n v="116.3"/>
    <x v="10"/>
  </r>
  <r>
    <x v="19"/>
    <s v="Mortality rate, infant (per 1,000 live births)"/>
    <n v="131.1"/>
    <x v="10"/>
  </r>
  <r>
    <x v="20"/>
    <s v="Mortality rate, infant (per 1,000 live births)"/>
    <n v="130.69999999999999"/>
    <x v="10"/>
  </r>
  <r>
    <x v="21"/>
    <s v="Mortality rate, infant (per 1,000 live births)"/>
    <n v="56.8"/>
    <x v="10"/>
  </r>
  <r>
    <x v="22"/>
    <s v="Mortality rate, infant (per 1,000 live births)"/>
    <n v="54"/>
    <x v="10"/>
  </r>
  <r>
    <x v="23"/>
    <s v="Mortality rate, infant (per 1,000 live births)"/>
    <m/>
    <x v="10"/>
  </r>
  <r>
    <x v="24"/>
    <s v="Mortality rate, infant (per 1,000 live births)"/>
    <n v="126"/>
    <x v="10"/>
  </r>
  <r>
    <x v="25"/>
    <s v="Mortality rate, infant (per 1,000 live births)"/>
    <n v="112.8"/>
    <x v="10"/>
  </r>
  <r>
    <x v="26"/>
    <s v="Mortality rate, infant (per 1,000 live births)"/>
    <n v="108.9"/>
    <x v="10"/>
  </r>
  <r>
    <x v="27"/>
    <s v="Mortality rate, infant (per 1,000 live births)"/>
    <n v="72"/>
    <x v="10"/>
  </r>
  <r>
    <x v="0"/>
    <s v="Mortality rate, infant (per 1,000 live births)"/>
    <n v="146.80000000000001"/>
    <x v="11"/>
  </r>
  <r>
    <x v="1"/>
    <s v="Mortality rate, infant (per 1,000 live births)"/>
    <n v="121.1"/>
    <x v="11"/>
  </r>
  <r>
    <x v="2"/>
    <s v="Mortality rate, infant (per 1,000 live births)"/>
    <m/>
    <x v="11"/>
  </r>
  <r>
    <x v="3"/>
    <s v="Mortality rate, infant (per 1,000 live births)"/>
    <n v="147.1"/>
    <x v="11"/>
  </r>
  <r>
    <x v="4"/>
    <s v="Mortality rate, infant (per 1,000 live births)"/>
    <m/>
    <x v="11"/>
  </r>
  <r>
    <x v="5"/>
    <s v="Mortality rate, infant (per 1,000 live births)"/>
    <n v="143.4"/>
    <x v="11"/>
  </r>
  <r>
    <x v="6"/>
    <s v="Mortality rate, infant (per 1,000 live births)"/>
    <n v="190.2"/>
    <x v="11"/>
  </r>
  <r>
    <x v="7"/>
    <s v="Mortality rate, infant (per 1,000 live births)"/>
    <n v="156.9"/>
    <x v="11"/>
  </r>
  <r>
    <x v="8"/>
    <s v="Mortality rate, infant (per 1,000 live births)"/>
    <n v="90.4"/>
    <x v="11"/>
  </r>
  <r>
    <x v="9"/>
    <s v="Mortality rate, infant (per 1,000 live births)"/>
    <m/>
    <x v="11"/>
  </r>
  <r>
    <x v="10"/>
    <s v="Mortality rate, infant (per 1,000 live births)"/>
    <n v="187"/>
    <x v="11"/>
  </r>
  <r>
    <x v="11"/>
    <s v="Mortality rate, infant (per 1,000 live births)"/>
    <n v="93.6"/>
    <x v="11"/>
  </r>
  <r>
    <x v="12"/>
    <s v="Mortality rate, infant (per 1,000 live births)"/>
    <n v="199.7"/>
    <x v="11"/>
  </r>
  <r>
    <x v="13"/>
    <s v="Mortality rate, infant (per 1,000 live births)"/>
    <n v="192.3"/>
    <x v="11"/>
  </r>
  <r>
    <x v="14"/>
    <s v="Mortality rate, infant (per 1,000 live births)"/>
    <n v="49.3"/>
    <x v="11"/>
  </r>
  <r>
    <x v="15"/>
    <s v="Mortality rate, infant (per 1,000 live births)"/>
    <n v="181.8"/>
    <x v="11"/>
  </r>
  <r>
    <x v="16"/>
    <s v="Mortality rate, infant (per 1,000 live births)"/>
    <n v="116.5"/>
    <x v="11"/>
  </r>
  <r>
    <x v="17"/>
    <s v="Mortality rate, infant (per 1,000 live births)"/>
    <n v="172.5"/>
    <x v="11"/>
  </r>
  <r>
    <x v="18"/>
    <s v="Mortality rate, infant (per 1,000 live births)"/>
    <n v="113.7"/>
    <x v="11"/>
  </r>
  <r>
    <x v="19"/>
    <s v="Mortality rate, infant (per 1,000 live births)"/>
    <n v="132.4"/>
    <x v="11"/>
  </r>
  <r>
    <x v="20"/>
    <s v="Mortality rate, infant (per 1,000 live births)"/>
    <n v="132.6"/>
    <x v="11"/>
  </r>
  <r>
    <x v="21"/>
    <s v="Mortality rate, infant (per 1,000 live births)"/>
    <n v="56.8"/>
    <x v="11"/>
  </r>
  <r>
    <x v="22"/>
    <s v="Mortality rate, infant (per 1,000 live births)"/>
    <n v="53.3"/>
    <x v="11"/>
  </r>
  <r>
    <x v="23"/>
    <s v="Mortality rate, infant (per 1,000 live births)"/>
    <m/>
    <x v="11"/>
  </r>
  <r>
    <x v="24"/>
    <s v="Mortality rate, infant (per 1,000 live births)"/>
    <n v="124.1"/>
    <x v="11"/>
  </r>
  <r>
    <x v="25"/>
    <s v="Mortality rate, infant (per 1,000 live births)"/>
    <n v="112.7"/>
    <x v="11"/>
  </r>
  <r>
    <x v="26"/>
    <s v="Mortality rate, infant (per 1,000 live births)"/>
    <n v="106.2"/>
    <x v="11"/>
  </r>
  <r>
    <x v="27"/>
    <s v="Mortality rate, infant (per 1,000 live births)"/>
    <n v="71.3"/>
    <x v="11"/>
  </r>
  <r>
    <x v="0"/>
    <s v="Mortality rate, infant (per 1,000 live births)"/>
    <n v="147.1"/>
    <x v="12"/>
  </r>
  <r>
    <x v="1"/>
    <s v="Mortality rate, infant (per 1,000 live births)"/>
    <n v="117.9"/>
    <x v="12"/>
  </r>
  <r>
    <x v="2"/>
    <s v="Mortality rate, infant (per 1,000 live births)"/>
    <n v="128"/>
    <x v="12"/>
  </r>
  <r>
    <x v="3"/>
    <s v="Mortality rate, infant (per 1,000 live births)"/>
    <n v="144.1"/>
    <x v="12"/>
  </r>
  <r>
    <x v="4"/>
    <s v="Mortality rate, infant (per 1,000 live births)"/>
    <m/>
    <x v="12"/>
  </r>
  <r>
    <x v="5"/>
    <s v="Mortality rate, infant (per 1,000 live births)"/>
    <n v="143.4"/>
    <x v="12"/>
  </r>
  <r>
    <x v="6"/>
    <s v="Mortality rate, infant (per 1,000 live births)"/>
    <n v="188.1"/>
    <x v="12"/>
  </r>
  <r>
    <x v="7"/>
    <s v="Mortality rate, infant (per 1,000 live births)"/>
    <n v="153.5"/>
    <x v="12"/>
  </r>
  <r>
    <x v="8"/>
    <s v="Mortality rate, infant (per 1,000 live births)"/>
    <n v="88.4"/>
    <x v="12"/>
  </r>
  <r>
    <x v="9"/>
    <s v="Mortality rate, infant (per 1,000 live births)"/>
    <m/>
    <x v="12"/>
  </r>
  <r>
    <x v="10"/>
    <s v="Mortality rate, infant (per 1,000 live births)"/>
    <n v="183.9"/>
    <x v="12"/>
  </r>
  <r>
    <x v="11"/>
    <s v="Mortality rate, infant (per 1,000 live births)"/>
    <n v="94.8"/>
    <x v="12"/>
  </r>
  <r>
    <x v="12"/>
    <s v="Mortality rate, infant (per 1,000 live births)"/>
    <n v="195.4"/>
    <x v="12"/>
  </r>
  <r>
    <x v="13"/>
    <s v="Mortality rate, infant (per 1,000 live births)"/>
    <n v="189.9"/>
    <x v="12"/>
  </r>
  <r>
    <x v="14"/>
    <s v="Mortality rate, infant (per 1,000 live births)"/>
    <n v="48.2"/>
    <x v="12"/>
  </r>
  <r>
    <x v="15"/>
    <s v="Mortality rate, infant (per 1,000 live births)"/>
    <n v="180.9"/>
    <x v="12"/>
  </r>
  <r>
    <x v="16"/>
    <s v="Mortality rate, infant (per 1,000 live births)"/>
    <n v="114.4"/>
    <x v="12"/>
  </r>
  <r>
    <x v="17"/>
    <s v="Mortality rate, infant (per 1,000 live births)"/>
    <n v="168.8"/>
    <x v="12"/>
  </r>
  <r>
    <x v="18"/>
    <s v="Mortality rate, infant (per 1,000 live births)"/>
    <n v="110.8"/>
    <x v="12"/>
  </r>
  <r>
    <x v="19"/>
    <s v="Mortality rate, infant (per 1,000 live births)"/>
    <n v="133.69999999999999"/>
    <x v="12"/>
  </r>
  <r>
    <x v="20"/>
    <s v="Mortality rate, infant (per 1,000 live births)"/>
    <n v="135.1"/>
    <x v="12"/>
  </r>
  <r>
    <x v="21"/>
    <s v="Mortality rate, infant (per 1,000 live births)"/>
    <n v="57"/>
    <x v="12"/>
  </r>
  <r>
    <x v="22"/>
    <s v="Mortality rate, infant (per 1,000 live births)"/>
    <n v="52.5"/>
    <x v="12"/>
  </r>
  <r>
    <x v="23"/>
    <s v="Mortality rate, infant (per 1,000 live births)"/>
    <n v="119"/>
    <x v="12"/>
  </r>
  <r>
    <x v="24"/>
    <s v="Mortality rate, infant (per 1,000 live births)"/>
    <n v="122.2"/>
    <x v="12"/>
  </r>
  <r>
    <x v="25"/>
    <s v="Mortality rate, infant (per 1,000 live births)"/>
    <n v="113.1"/>
    <x v="12"/>
  </r>
  <r>
    <x v="26"/>
    <s v="Mortality rate, infant (per 1,000 live births)"/>
    <n v="103.3"/>
    <x v="12"/>
  </r>
  <r>
    <x v="27"/>
    <s v="Mortality rate, infant (per 1,000 live births)"/>
    <n v="70.8"/>
    <x v="12"/>
  </r>
  <r>
    <x v="0"/>
    <s v="Mortality rate, infant (per 1,000 live births)"/>
    <n v="147.4"/>
    <x v="13"/>
  </r>
  <r>
    <x v="1"/>
    <s v="Mortality rate, infant (per 1,000 live births)"/>
    <n v="115.8"/>
    <x v="13"/>
  </r>
  <r>
    <x v="2"/>
    <s v="Mortality rate, infant (per 1,000 live births)"/>
    <n v="127.5"/>
    <x v="13"/>
  </r>
  <r>
    <x v="3"/>
    <s v="Mortality rate, infant (per 1,000 live births)"/>
    <n v="141.30000000000001"/>
    <x v="13"/>
  </r>
  <r>
    <x v="4"/>
    <s v="Mortality rate, infant (per 1,000 live births)"/>
    <m/>
    <x v="13"/>
  </r>
  <r>
    <x v="5"/>
    <s v="Mortality rate, infant (per 1,000 live births)"/>
    <n v="143.30000000000001"/>
    <x v="13"/>
  </r>
  <r>
    <x v="6"/>
    <s v="Mortality rate, infant (per 1,000 live births)"/>
    <n v="186"/>
    <x v="13"/>
  </r>
  <r>
    <x v="7"/>
    <s v="Mortality rate, infant (per 1,000 live births)"/>
    <n v="150.1"/>
    <x v="13"/>
  </r>
  <r>
    <x v="8"/>
    <s v="Mortality rate, infant (per 1,000 live births)"/>
    <n v="86.3"/>
    <x v="13"/>
  </r>
  <r>
    <x v="9"/>
    <s v="Mortality rate, infant (per 1,000 live births)"/>
    <m/>
    <x v="13"/>
  </r>
  <r>
    <x v="10"/>
    <s v="Mortality rate, infant (per 1,000 live births)"/>
    <n v="180.9"/>
    <x v="13"/>
  </r>
  <r>
    <x v="11"/>
    <s v="Mortality rate, infant (per 1,000 live births)"/>
    <n v="96.1"/>
    <x v="13"/>
  </r>
  <r>
    <x v="12"/>
    <s v="Mortality rate, infant (per 1,000 live births)"/>
    <n v="190.5"/>
    <x v="13"/>
  </r>
  <r>
    <x v="13"/>
    <s v="Mortality rate, infant (per 1,000 live births)"/>
    <n v="187.3"/>
    <x v="13"/>
  </r>
  <r>
    <x v="14"/>
    <s v="Mortality rate, infant (per 1,000 live births)"/>
    <n v="47"/>
    <x v="13"/>
  </r>
  <r>
    <x v="15"/>
    <s v="Mortality rate, infant (per 1,000 live births)"/>
    <n v="179.9"/>
    <x v="13"/>
  </r>
  <r>
    <x v="16"/>
    <s v="Mortality rate, infant (per 1,000 live births)"/>
    <n v="112.4"/>
    <x v="13"/>
  </r>
  <r>
    <x v="17"/>
    <s v="Mortality rate, infant (per 1,000 live births)"/>
    <n v="165.2"/>
    <x v="13"/>
  </r>
  <r>
    <x v="18"/>
    <s v="Mortality rate, infant (per 1,000 live births)"/>
    <n v="107.5"/>
    <x v="13"/>
  </r>
  <r>
    <x v="19"/>
    <s v="Mortality rate, infant (per 1,000 live births)"/>
    <n v="134.6"/>
    <x v="13"/>
  </r>
  <r>
    <x v="20"/>
    <s v="Mortality rate, infant (per 1,000 live births)"/>
    <n v="138.19999999999999"/>
    <x v="13"/>
  </r>
  <r>
    <x v="21"/>
    <s v="Mortality rate, infant (per 1,000 live births)"/>
    <n v="57.4"/>
    <x v="13"/>
  </r>
  <r>
    <x v="22"/>
    <s v="Mortality rate, infant (per 1,000 live births)"/>
    <n v="51.7"/>
    <x v="13"/>
  </r>
  <r>
    <x v="23"/>
    <s v="Mortality rate, infant (per 1,000 live births)"/>
    <n v="115.2"/>
    <x v="13"/>
  </r>
  <r>
    <x v="24"/>
    <s v="Mortality rate, infant (per 1,000 live births)"/>
    <n v="120.2"/>
    <x v="13"/>
  </r>
  <r>
    <x v="25"/>
    <s v="Mortality rate, infant (per 1,000 live births)"/>
    <n v="114.1"/>
    <x v="13"/>
  </r>
  <r>
    <x v="26"/>
    <s v="Mortality rate, infant (per 1,000 live births)"/>
    <n v="100.3"/>
    <x v="13"/>
  </r>
  <r>
    <x v="27"/>
    <s v="Mortality rate, infant (per 1,000 live births)"/>
    <n v="70.599999999999994"/>
    <x v="13"/>
  </r>
  <r>
    <x v="0"/>
    <s v="Mortality rate, infant (per 1,000 live births)"/>
    <n v="147.9"/>
    <x v="14"/>
  </r>
  <r>
    <x v="1"/>
    <s v="Mortality rate, infant (per 1,000 live births)"/>
    <n v="114.5"/>
    <x v="14"/>
  </r>
  <r>
    <x v="2"/>
    <s v="Mortality rate, infant (per 1,000 live births)"/>
    <n v="127"/>
    <x v="14"/>
  </r>
  <r>
    <x v="3"/>
    <s v="Mortality rate, infant (per 1,000 live births)"/>
    <n v="138.4"/>
    <x v="14"/>
  </r>
  <r>
    <x v="4"/>
    <s v="Mortality rate, infant (per 1,000 live births)"/>
    <m/>
    <x v="14"/>
  </r>
  <r>
    <x v="5"/>
    <s v="Mortality rate, infant (per 1,000 live births)"/>
    <n v="143.19999999999999"/>
    <x v="14"/>
  </r>
  <r>
    <x v="6"/>
    <s v="Mortality rate, infant (per 1,000 live births)"/>
    <n v="183.9"/>
    <x v="14"/>
  </r>
  <r>
    <x v="7"/>
    <s v="Mortality rate, infant (per 1,000 live births)"/>
    <n v="146.80000000000001"/>
    <x v="14"/>
  </r>
  <r>
    <x v="8"/>
    <s v="Mortality rate, infant (per 1,000 live births)"/>
    <n v="84"/>
    <x v="14"/>
  </r>
  <r>
    <x v="9"/>
    <s v="Mortality rate, infant (per 1,000 live births)"/>
    <m/>
    <x v="14"/>
  </r>
  <r>
    <x v="10"/>
    <s v="Mortality rate, infant (per 1,000 live births)"/>
    <n v="177.7"/>
    <x v="14"/>
  </r>
  <r>
    <x v="11"/>
    <s v="Mortality rate, infant (per 1,000 live births)"/>
    <n v="97.6"/>
    <x v="14"/>
  </r>
  <r>
    <x v="12"/>
    <s v="Mortality rate, infant (per 1,000 live births)"/>
    <n v="185.1"/>
    <x v="14"/>
  </r>
  <r>
    <x v="13"/>
    <s v="Mortality rate, infant (per 1,000 live births)"/>
    <n v="184"/>
    <x v="14"/>
  </r>
  <r>
    <x v="14"/>
    <s v="Mortality rate, infant (per 1,000 live births)"/>
    <n v="45.8"/>
    <x v="14"/>
  </r>
  <r>
    <x v="15"/>
    <s v="Mortality rate, infant (per 1,000 live births)"/>
    <n v="178.9"/>
    <x v="14"/>
  </r>
  <r>
    <x v="16"/>
    <s v="Mortality rate, infant (per 1,000 live births)"/>
    <n v="110.4"/>
    <x v="14"/>
  </r>
  <r>
    <x v="17"/>
    <s v="Mortality rate, infant (per 1,000 live births)"/>
    <n v="161.6"/>
    <x v="14"/>
  </r>
  <r>
    <x v="18"/>
    <s v="Mortality rate, infant (per 1,000 live births)"/>
    <n v="103.9"/>
    <x v="14"/>
  </r>
  <r>
    <x v="19"/>
    <s v="Mortality rate, infant (per 1,000 live births)"/>
    <n v="135"/>
    <x v="14"/>
  </r>
  <r>
    <x v="20"/>
    <s v="Mortality rate, infant (per 1,000 live births)"/>
    <n v="141.69999999999999"/>
    <x v="14"/>
  </r>
  <r>
    <x v="21"/>
    <s v="Mortality rate, infant (per 1,000 live births)"/>
    <n v="57.8"/>
    <x v="14"/>
  </r>
  <r>
    <x v="22"/>
    <s v="Mortality rate, infant (per 1,000 live births)"/>
    <n v="50.7"/>
    <x v="14"/>
  </r>
  <r>
    <x v="23"/>
    <s v="Mortality rate, infant (per 1,000 live births)"/>
    <n v="111.6"/>
    <x v="14"/>
  </r>
  <r>
    <x v="24"/>
    <s v="Mortality rate, infant (per 1,000 live births)"/>
    <n v="118"/>
    <x v="14"/>
  </r>
  <r>
    <x v="25"/>
    <s v="Mortality rate, infant (per 1,000 live births)"/>
    <n v="115.6"/>
    <x v="14"/>
  </r>
  <r>
    <x v="26"/>
    <s v="Mortality rate, infant (per 1,000 live births)"/>
    <n v="97.9"/>
    <x v="14"/>
  </r>
  <r>
    <x v="27"/>
    <s v="Mortality rate, infant (per 1,000 live births)"/>
    <n v="70.599999999999994"/>
    <x v="14"/>
  </r>
  <r>
    <x v="0"/>
    <s v="Mortality rate, infant (per 1,000 live births)"/>
    <n v="148.19999999999999"/>
    <x v="15"/>
  </r>
  <r>
    <x v="1"/>
    <s v="Mortality rate, infant (per 1,000 live births)"/>
    <n v="113.9"/>
    <x v="15"/>
  </r>
  <r>
    <x v="2"/>
    <s v="Mortality rate, infant (per 1,000 live births)"/>
    <n v="126.4"/>
    <x v="15"/>
  </r>
  <r>
    <x v="3"/>
    <s v="Mortality rate, infant (per 1,000 live births)"/>
    <n v="135.30000000000001"/>
    <x v="15"/>
  </r>
  <r>
    <x v="4"/>
    <s v="Mortality rate, infant (per 1,000 live births)"/>
    <m/>
    <x v="15"/>
  </r>
  <r>
    <x v="5"/>
    <s v="Mortality rate, infant (per 1,000 live births)"/>
    <n v="143.19999999999999"/>
    <x v="15"/>
  </r>
  <r>
    <x v="6"/>
    <s v="Mortality rate, infant (per 1,000 live births)"/>
    <n v="181.4"/>
    <x v="15"/>
  </r>
  <r>
    <x v="7"/>
    <s v="Mortality rate, infant (per 1,000 live births)"/>
    <n v="143.5"/>
    <x v="15"/>
  </r>
  <r>
    <x v="8"/>
    <s v="Mortality rate, infant (per 1,000 live births)"/>
    <n v="81.599999999999994"/>
    <x v="15"/>
  </r>
  <r>
    <x v="9"/>
    <s v="Mortality rate, infant (per 1,000 live births)"/>
    <m/>
    <x v="15"/>
  </r>
  <r>
    <x v="10"/>
    <s v="Mortality rate, infant (per 1,000 live births)"/>
    <n v="174.5"/>
    <x v="15"/>
  </r>
  <r>
    <x v="11"/>
    <s v="Mortality rate, infant (per 1,000 live births)"/>
    <n v="99.1"/>
    <x v="15"/>
  </r>
  <r>
    <x v="12"/>
    <s v="Mortality rate, infant (per 1,000 live births)"/>
    <n v="179.4"/>
    <x v="15"/>
  </r>
  <r>
    <x v="13"/>
    <s v="Mortality rate, infant (per 1,000 live births)"/>
    <n v="180.3"/>
    <x v="15"/>
  </r>
  <r>
    <x v="14"/>
    <s v="Mortality rate, infant (per 1,000 live births)"/>
    <n v="44.7"/>
    <x v="15"/>
  </r>
  <r>
    <x v="15"/>
    <s v="Mortality rate, infant (per 1,000 live births)"/>
    <n v="177.8"/>
    <x v="15"/>
  </r>
  <r>
    <x v="16"/>
    <s v="Mortality rate, infant (per 1,000 live births)"/>
    <n v="108.1"/>
    <x v="15"/>
  </r>
  <r>
    <x v="17"/>
    <s v="Mortality rate, infant (per 1,000 live births)"/>
    <n v="158.19999999999999"/>
    <x v="15"/>
  </r>
  <r>
    <x v="18"/>
    <s v="Mortality rate, infant (per 1,000 live births)"/>
    <n v="99.8"/>
    <x v="15"/>
  </r>
  <r>
    <x v="19"/>
    <s v="Mortality rate, infant (per 1,000 live births)"/>
    <n v="134.80000000000001"/>
    <x v="15"/>
  </r>
  <r>
    <x v="20"/>
    <s v="Mortality rate, infant (per 1,000 live births)"/>
    <n v="145"/>
    <x v="15"/>
  </r>
  <r>
    <x v="21"/>
    <s v="Mortality rate, infant (per 1,000 live births)"/>
    <n v="58.1"/>
    <x v="15"/>
  </r>
  <r>
    <x v="22"/>
    <s v="Mortality rate, infant (per 1,000 live births)"/>
    <n v="49.5"/>
    <x v="15"/>
  </r>
  <r>
    <x v="23"/>
    <s v="Mortality rate, infant (per 1,000 live births)"/>
    <n v="108.3"/>
    <x v="15"/>
  </r>
  <r>
    <x v="24"/>
    <s v="Mortality rate, infant (per 1,000 live births)"/>
    <n v="115.7"/>
    <x v="15"/>
  </r>
  <r>
    <x v="25"/>
    <s v="Mortality rate, infant (per 1,000 live births)"/>
    <n v="117.5"/>
    <x v="15"/>
  </r>
  <r>
    <x v="26"/>
    <s v="Mortality rate, infant (per 1,000 live births)"/>
    <n v="96.1"/>
    <x v="15"/>
  </r>
  <r>
    <x v="27"/>
    <s v="Mortality rate, infant (per 1,000 live births)"/>
    <n v="70.599999999999994"/>
    <x v="15"/>
  </r>
  <r>
    <x v="0"/>
    <s v="Mortality rate, infant (per 1,000 live births)"/>
    <n v="147.69999999999999"/>
    <x v="16"/>
  </r>
  <r>
    <x v="1"/>
    <s v="Mortality rate, infant (per 1,000 live births)"/>
    <n v="113.7"/>
    <x v="16"/>
  </r>
  <r>
    <x v="2"/>
    <s v="Mortality rate, infant (per 1,000 live births)"/>
    <n v="125.9"/>
    <x v="16"/>
  </r>
  <r>
    <x v="3"/>
    <s v="Mortality rate, infant (per 1,000 live births)"/>
    <n v="132.1"/>
    <x v="16"/>
  </r>
  <r>
    <x v="4"/>
    <s v="Mortality rate, infant (per 1,000 live births)"/>
    <n v="130"/>
    <x v="16"/>
  </r>
  <r>
    <x v="5"/>
    <s v="Mortality rate, infant (per 1,000 live births)"/>
    <n v="143.19999999999999"/>
    <x v="16"/>
  </r>
  <r>
    <x v="6"/>
    <s v="Mortality rate, infant (per 1,000 live births)"/>
    <n v="178.8"/>
    <x v="16"/>
  </r>
  <r>
    <x v="7"/>
    <s v="Mortality rate, infant (per 1,000 live births)"/>
    <n v="140.19999999999999"/>
    <x v="16"/>
  </r>
  <r>
    <x v="8"/>
    <s v="Mortality rate, infant (per 1,000 live births)"/>
    <n v="79.2"/>
    <x v="16"/>
  </r>
  <r>
    <x v="9"/>
    <s v="Mortality rate, infant (per 1,000 live births)"/>
    <m/>
    <x v="16"/>
  </r>
  <r>
    <x v="10"/>
    <s v="Mortality rate, infant (per 1,000 live births)"/>
    <n v="171.5"/>
    <x v="16"/>
  </r>
  <r>
    <x v="11"/>
    <s v="Mortality rate, infant (per 1,000 live births)"/>
    <n v="100.4"/>
    <x v="16"/>
  </r>
  <r>
    <x v="12"/>
    <s v="Mortality rate, infant (per 1,000 live births)"/>
    <n v="173.5"/>
    <x v="16"/>
  </r>
  <r>
    <x v="13"/>
    <s v="Mortality rate, infant (per 1,000 live births)"/>
    <n v="176.3"/>
    <x v="16"/>
  </r>
  <r>
    <x v="14"/>
    <s v="Mortality rate, infant (per 1,000 live births)"/>
    <n v="43.5"/>
    <x v="16"/>
  </r>
  <r>
    <x v="15"/>
    <s v="Mortality rate, infant (per 1,000 live births)"/>
    <n v="176.8"/>
    <x v="16"/>
  </r>
  <r>
    <x v="16"/>
    <s v="Mortality rate, infant (per 1,000 live births)"/>
    <n v="106"/>
    <x v="16"/>
  </r>
  <r>
    <x v="17"/>
    <s v="Mortality rate, infant (per 1,000 live births)"/>
    <n v="154.69999999999999"/>
    <x v="16"/>
  </r>
  <r>
    <x v="18"/>
    <s v="Mortality rate, infant (per 1,000 live births)"/>
    <n v="95.4"/>
    <x v="16"/>
  </r>
  <r>
    <x v="19"/>
    <s v="Mortality rate, infant (per 1,000 live births)"/>
    <n v="134"/>
    <x v="16"/>
  </r>
  <r>
    <x v="20"/>
    <s v="Mortality rate, infant (per 1,000 live births)"/>
    <n v="147.30000000000001"/>
    <x v="16"/>
  </r>
  <r>
    <x v="21"/>
    <s v="Mortality rate, infant (per 1,000 live births)"/>
    <n v="58.3"/>
    <x v="16"/>
  </r>
  <r>
    <x v="22"/>
    <s v="Mortality rate, infant (per 1,000 live births)"/>
    <n v="48"/>
    <x v="16"/>
  </r>
  <r>
    <x v="23"/>
    <s v="Mortality rate, infant (per 1,000 live births)"/>
    <n v="105.5"/>
    <x v="16"/>
  </r>
  <r>
    <x v="24"/>
    <s v="Mortality rate, infant (per 1,000 live births)"/>
    <n v="113.5"/>
    <x v="16"/>
  </r>
  <r>
    <x v="25"/>
    <s v="Mortality rate, infant (per 1,000 live births)"/>
    <n v="119.7"/>
    <x v="16"/>
  </r>
  <r>
    <x v="26"/>
    <s v="Mortality rate, infant (per 1,000 live births)"/>
    <n v="95.1"/>
    <x v="16"/>
  </r>
  <r>
    <x v="27"/>
    <s v="Mortality rate, infant (per 1,000 live births)"/>
    <n v="70.5"/>
    <x v="16"/>
  </r>
  <r>
    <x v="0"/>
    <s v="Mortality rate, infant (per 1,000 live births)"/>
    <n v="146.1"/>
    <x v="17"/>
  </r>
  <r>
    <x v="1"/>
    <s v="Mortality rate, infant (per 1,000 live births)"/>
    <n v="113.2"/>
    <x v="17"/>
  </r>
  <r>
    <x v="2"/>
    <s v="Mortality rate, infant (per 1,000 live births)"/>
    <n v="125.2"/>
    <x v="17"/>
  </r>
  <r>
    <x v="3"/>
    <s v="Mortality rate, infant (per 1,000 live births)"/>
    <n v="128.80000000000001"/>
    <x v="17"/>
  </r>
  <r>
    <x v="4"/>
    <s v="Mortality rate, infant (per 1,000 live births)"/>
    <n v="126.6"/>
    <x v="17"/>
  </r>
  <r>
    <x v="5"/>
    <s v="Mortality rate, infant (per 1,000 live births)"/>
    <n v="143.1"/>
    <x v="17"/>
  </r>
  <r>
    <x v="6"/>
    <s v="Mortality rate, infant (per 1,000 live births)"/>
    <n v="176"/>
    <x v="17"/>
  </r>
  <r>
    <x v="7"/>
    <s v="Mortality rate, infant (per 1,000 live births)"/>
    <n v="136.9"/>
    <x v="17"/>
  </r>
  <r>
    <x v="8"/>
    <s v="Mortality rate, infant (per 1,000 live births)"/>
    <n v="76.599999999999994"/>
    <x v="17"/>
  </r>
  <r>
    <x v="9"/>
    <s v="Mortality rate, infant (per 1,000 live births)"/>
    <m/>
    <x v="17"/>
  </r>
  <r>
    <x v="10"/>
    <s v="Mortality rate, infant (per 1,000 live births)"/>
    <n v="168.9"/>
    <x v="17"/>
  </r>
  <r>
    <x v="11"/>
    <s v="Mortality rate, infant (per 1,000 live births)"/>
    <n v="101.7"/>
    <x v="17"/>
  </r>
  <r>
    <x v="12"/>
    <s v="Mortality rate, infant (per 1,000 live births)"/>
    <n v="167.6"/>
    <x v="17"/>
  </r>
  <r>
    <x v="13"/>
    <s v="Mortality rate, infant (per 1,000 live births)"/>
    <n v="172.2"/>
    <x v="17"/>
  </r>
  <r>
    <x v="14"/>
    <s v="Mortality rate, infant (per 1,000 live births)"/>
    <n v="42.4"/>
    <x v="17"/>
  </r>
  <r>
    <x v="15"/>
    <s v="Mortality rate, infant (per 1,000 live births)"/>
    <n v="175.9"/>
    <x v="17"/>
  </r>
  <r>
    <x v="16"/>
    <s v="Mortality rate, infant (per 1,000 live births)"/>
    <n v="103.9"/>
    <x v="17"/>
  </r>
  <r>
    <x v="17"/>
    <s v="Mortality rate, infant (per 1,000 live births)"/>
    <n v="151"/>
    <x v="17"/>
  </r>
  <r>
    <x v="18"/>
    <s v="Mortality rate, infant (per 1,000 live births)"/>
    <n v="90.8"/>
    <x v="17"/>
  </r>
  <r>
    <x v="19"/>
    <s v="Mortality rate, infant (per 1,000 live births)"/>
    <n v="132.6"/>
    <x v="17"/>
  </r>
  <r>
    <x v="20"/>
    <s v="Mortality rate, infant (per 1,000 live births)"/>
    <n v="147.19999999999999"/>
    <x v="17"/>
  </r>
  <r>
    <x v="21"/>
    <s v="Mortality rate, infant (per 1,000 live births)"/>
    <n v="58.5"/>
    <x v="17"/>
  </r>
  <r>
    <x v="22"/>
    <s v="Mortality rate, infant (per 1,000 live births)"/>
    <n v="46.1"/>
    <x v="17"/>
  </r>
  <r>
    <x v="23"/>
    <s v="Mortality rate, infant (per 1,000 live births)"/>
    <n v="103.4"/>
    <x v="17"/>
  </r>
  <r>
    <x v="24"/>
    <s v="Mortality rate, infant (per 1,000 live births)"/>
    <n v="111.2"/>
    <x v="17"/>
  </r>
  <r>
    <x v="25"/>
    <s v="Mortality rate, infant (per 1,000 live births)"/>
    <n v="122"/>
    <x v="17"/>
  </r>
  <r>
    <x v="26"/>
    <s v="Mortality rate, infant (per 1,000 live births)"/>
    <n v="94.8"/>
    <x v="17"/>
  </r>
  <r>
    <x v="27"/>
    <s v="Mortality rate, infant (per 1,000 live births)"/>
    <n v="70.3"/>
    <x v="17"/>
  </r>
  <r>
    <x v="0"/>
    <s v="Mortality rate, infant (per 1,000 live births)"/>
    <n v="143"/>
    <x v="18"/>
  </r>
  <r>
    <x v="1"/>
    <s v="Mortality rate, infant (per 1,000 live births)"/>
    <n v="112.4"/>
    <x v="18"/>
  </r>
  <r>
    <x v="2"/>
    <s v="Mortality rate, infant (per 1,000 live births)"/>
    <n v="124.7"/>
    <x v="18"/>
  </r>
  <r>
    <x v="3"/>
    <s v="Mortality rate, infant (per 1,000 live births)"/>
    <n v="125.4"/>
    <x v="18"/>
  </r>
  <r>
    <x v="4"/>
    <s v="Mortality rate, infant (per 1,000 live births)"/>
    <n v="123.4"/>
    <x v="18"/>
  </r>
  <r>
    <x v="5"/>
    <s v="Mortality rate, infant (per 1,000 live births)"/>
    <n v="142.80000000000001"/>
    <x v="18"/>
  </r>
  <r>
    <x v="6"/>
    <s v="Mortality rate, infant (per 1,000 live births)"/>
    <n v="173.1"/>
    <x v="18"/>
  </r>
  <r>
    <x v="7"/>
    <s v="Mortality rate, infant (per 1,000 live births)"/>
    <n v="133.69999999999999"/>
    <x v="18"/>
  </r>
  <r>
    <x v="8"/>
    <s v="Mortality rate, infant (per 1,000 live births)"/>
    <n v="74.099999999999994"/>
    <x v="18"/>
  </r>
  <r>
    <x v="9"/>
    <s v="Mortality rate, infant (per 1,000 live births)"/>
    <m/>
    <x v="18"/>
  </r>
  <r>
    <x v="10"/>
    <s v="Mortality rate, infant (per 1,000 live births)"/>
    <n v="166.3"/>
    <x v="18"/>
  </r>
  <r>
    <x v="11"/>
    <s v="Mortality rate, infant (per 1,000 live births)"/>
    <n v="102.8"/>
    <x v="18"/>
  </r>
  <r>
    <x v="12"/>
    <s v="Mortality rate, infant (per 1,000 live births)"/>
    <n v="161.19999999999999"/>
    <x v="18"/>
  </r>
  <r>
    <x v="13"/>
    <s v="Mortality rate, infant (per 1,000 live births)"/>
    <n v="168.2"/>
    <x v="18"/>
  </r>
  <r>
    <x v="14"/>
    <s v="Mortality rate, infant (per 1,000 live births)"/>
    <n v="41.3"/>
    <x v="18"/>
  </r>
  <r>
    <x v="15"/>
    <s v="Mortality rate, infant (per 1,000 live births)"/>
    <n v="175.3"/>
    <x v="18"/>
  </r>
  <r>
    <x v="16"/>
    <s v="Mortality rate, infant (per 1,000 live births)"/>
    <n v="101.7"/>
    <x v="18"/>
  </r>
  <r>
    <x v="17"/>
    <s v="Mortality rate, infant (per 1,000 live births)"/>
    <n v="147.19999999999999"/>
    <x v="18"/>
  </r>
  <r>
    <x v="18"/>
    <s v="Mortality rate, infant (per 1,000 live births)"/>
    <n v="86.1"/>
    <x v="18"/>
  </r>
  <r>
    <x v="19"/>
    <s v="Mortality rate, infant (per 1,000 live births)"/>
    <n v="131.1"/>
    <x v="18"/>
  </r>
  <r>
    <x v="20"/>
    <s v="Mortality rate, infant (per 1,000 live births)"/>
    <n v="143.6"/>
    <x v="18"/>
  </r>
  <r>
    <x v="21"/>
    <s v="Mortality rate, infant (per 1,000 live births)"/>
    <n v="58.6"/>
    <x v="18"/>
  </r>
  <r>
    <x v="22"/>
    <s v="Mortality rate, infant (per 1,000 live births)"/>
    <n v="44.2"/>
    <x v="18"/>
  </r>
  <r>
    <x v="23"/>
    <s v="Mortality rate, infant (per 1,000 live births)"/>
    <n v="101.9"/>
    <x v="18"/>
  </r>
  <r>
    <x v="24"/>
    <s v="Mortality rate, infant (per 1,000 live births)"/>
    <n v="109.3"/>
    <x v="18"/>
  </r>
  <r>
    <x v="25"/>
    <s v="Mortality rate, infant (per 1,000 live births)"/>
    <n v="123.8"/>
    <x v="18"/>
  </r>
  <r>
    <x v="26"/>
    <s v="Mortality rate, infant (per 1,000 live births)"/>
    <n v="95"/>
    <x v="18"/>
  </r>
  <r>
    <x v="27"/>
    <s v="Mortality rate, infant (per 1,000 live births)"/>
    <n v="69.900000000000006"/>
    <x v="18"/>
  </r>
  <r>
    <x v="0"/>
    <s v="Mortality rate, infant (per 1,000 live births)"/>
    <n v="138.69999999999999"/>
    <x v="19"/>
  </r>
  <r>
    <x v="1"/>
    <s v="Mortality rate, infant (per 1,000 live births)"/>
    <n v="110.9"/>
    <x v="19"/>
  </r>
  <r>
    <x v="2"/>
    <s v="Mortality rate, infant (per 1,000 live births)"/>
    <n v="124"/>
    <x v="19"/>
  </r>
  <r>
    <x v="3"/>
    <s v="Mortality rate, infant (per 1,000 live births)"/>
    <n v="121.8"/>
    <x v="19"/>
  </r>
  <r>
    <x v="4"/>
    <s v="Mortality rate, infant (per 1,000 live births)"/>
    <n v="120.1"/>
    <x v="19"/>
  </r>
  <r>
    <x v="5"/>
    <s v="Mortality rate, infant (per 1,000 live births)"/>
    <n v="142.19999999999999"/>
    <x v="19"/>
  </r>
  <r>
    <x v="6"/>
    <s v="Mortality rate, infant (per 1,000 live births)"/>
    <n v="170.2"/>
    <x v="19"/>
  </r>
  <r>
    <x v="7"/>
    <s v="Mortality rate, infant (per 1,000 live births)"/>
    <n v="130.5"/>
    <x v="19"/>
  </r>
  <r>
    <x v="8"/>
    <s v="Mortality rate, infant (per 1,000 live births)"/>
    <n v="71.599999999999994"/>
    <x v="19"/>
  </r>
  <r>
    <x v="9"/>
    <s v="Mortality rate, infant (per 1,000 live births)"/>
    <m/>
    <x v="19"/>
  </r>
  <r>
    <x v="10"/>
    <s v="Mortality rate, infant (per 1,000 live births)"/>
    <n v="164"/>
    <x v="19"/>
  </r>
  <r>
    <x v="11"/>
    <s v="Mortality rate, infant (per 1,000 live births)"/>
    <n v="103.8"/>
    <x v="19"/>
  </r>
  <r>
    <x v="12"/>
    <s v="Mortality rate, infant (per 1,000 live births)"/>
    <n v="155.30000000000001"/>
    <x v="19"/>
  </r>
  <r>
    <x v="13"/>
    <s v="Mortality rate, infant (per 1,000 live births)"/>
    <n v="164.5"/>
    <x v="19"/>
  </r>
  <r>
    <x v="14"/>
    <s v="Mortality rate, infant (per 1,000 live births)"/>
    <n v="40.4"/>
    <x v="19"/>
  </r>
  <r>
    <x v="15"/>
    <s v="Mortality rate, infant (per 1,000 live births)"/>
    <n v="174.7"/>
    <x v="19"/>
  </r>
  <r>
    <x v="16"/>
    <s v="Mortality rate, infant (per 1,000 live births)"/>
    <n v="99.7"/>
    <x v="19"/>
  </r>
  <r>
    <x v="17"/>
    <s v="Mortality rate, infant (per 1,000 live births)"/>
    <n v="143.4"/>
    <x v="19"/>
  </r>
  <r>
    <x v="18"/>
    <s v="Mortality rate, infant (per 1,000 live births)"/>
    <n v="81.599999999999994"/>
    <x v="19"/>
  </r>
  <r>
    <x v="19"/>
    <s v="Mortality rate, infant (per 1,000 live births)"/>
    <n v="129.80000000000001"/>
    <x v="19"/>
  </r>
  <r>
    <x v="20"/>
    <s v="Mortality rate, infant (per 1,000 live births)"/>
    <n v="136.69999999999999"/>
    <x v="19"/>
  </r>
  <r>
    <x v="21"/>
    <s v="Mortality rate, infant (per 1,000 live births)"/>
    <n v="58.9"/>
    <x v="19"/>
  </r>
  <r>
    <x v="22"/>
    <s v="Mortality rate, infant (per 1,000 live births)"/>
    <n v="42"/>
    <x v="19"/>
  </r>
  <r>
    <x v="23"/>
    <s v="Mortality rate, infant (per 1,000 live births)"/>
    <n v="101.1"/>
    <x v="19"/>
  </r>
  <r>
    <x v="24"/>
    <s v="Mortality rate, infant (per 1,000 live births)"/>
    <n v="107.7"/>
    <x v="19"/>
  </r>
  <r>
    <x v="25"/>
    <s v="Mortality rate, infant (per 1,000 live births)"/>
    <n v="125.1"/>
    <x v="19"/>
  </r>
  <r>
    <x v="26"/>
    <s v="Mortality rate, infant (per 1,000 live births)"/>
    <n v="95.3"/>
    <x v="19"/>
  </r>
  <r>
    <x v="27"/>
    <s v="Mortality rate, infant (per 1,000 live births)"/>
    <n v="69"/>
    <x v="19"/>
  </r>
  <r>
    <x v="0"/>
    <s v="Mortality rate, infant (per 1,000 live births)"/>
    <n v="133.1"/>
    <x v="20"/>
  </r>
  <r>
    <x v="1"/>
    <s v="Mortality rate, infant (per 1,000 live births)"/>
    <n v="108.8"/>
    <x v="20"/>
  </r>
  <r>
    <x v="2"/>
    <s v="Mortality rate, infant (per 1,000 live births)"/>
    <n v="123.3"/>
    <x v="20"/>
  </r>
  <r>
    <x v="3"/>
    <s v="Mortality rate, infant (per 1,000 live births)"/>
    <n v="118.3"/>
    <x v="20"/>
  </r>
  <r>
    <x v="4"/>
    <s v="Mortality rate, infant (per 1,000 live births)"/>
    <n v="117.1"/>
    <x v="20"/>
  </r>
  <r>
    <x v="5"/>
    <s v="Mortality rate, infant (per 1,000 live births)"/>
    <n v="141.19999999999999"/>
    <x v="20"/>
  </r>
  <r>
    <x v="6"/>
    <s v="Mortality rate, infant (per 1,000 live births)"/>
    <n v="167.1"/>
    <x v="20"/>
  </r>
  <r>
    <x v="7"/>
    <s v="Mortality rate, infant (per 1,000 live births)"/>
    <n v="127.4"/>
    <x v="20"/>
  </r>
  <r>
    <x v="8"/>
    <s v="Mortality rate, infant (per 1,000 live births)"/>
    <n v="69.8"/>
    <x v="20"/>
  </r>
  <r>
    <x v="9"/>
    <s v="Mortality rate, infant (per 1,000 live births)"/>
    <m/>
    <x v="20"/>
  </r>
  <r>
    <x v="10"/>
    <s v="Mortality rate, infant (per 1,000 live births)"/>
    <n v="161.69999999999999"/>
    <x v="20"/>
  </r>
  <r>
    <x v="11"/>
    <s v="Mortality rate, infant (per 1,000 live births)"/>
    <n v="105.1"/>
    <x v="20"/>
  </r>
  <r>
    <x v="12"/>
    <s v="Mortality rate, infant (per 1,000 live births)"/>
    <n v="149.9"/>
    <x v="20"/>
  </r>
  <r>
    <x v="13"/>
    <s v="Mortality rate, infant (per 1,000 live births)"/>
    <n v="160.9"/>
    <x v="20"/>
  </r>
  <r>
    <x v="14"/>
    <s v="Mortality rate, infant (per 1,000 live births)"/>
    <n v="39.5"/>
    <x v="20"/>
  </r>
  <r>
    <x v="15"/>
    <s v="Mortality rate, infant (per 1,000 live births)"/>
    <n v="174.5"/>
    <x v="20"/>
  </r>
  <r>
    <x v="16"/>
    <s v="Mortality rate, infant (per 1,000 live births)"/>
    <n v="97.8"/>
    <x v="20"/>
  </r>
  <r>
    <x v="17"/>
    <s v="Mortality rate, infant (per 1,000 live births)"/>
    <n v="139.4"/>
    <x v="20"/>
  </r>
  <r>
    <x v="18"/>
    <s v="Mortality rate, infant (per 1,000 live births)"/>
    <n v="77.2"/>
    <x v="20"/>
  </r>
  <r>
    <x v="19"/>
    <s v="Mortality rate, infant (per 1,000 live births)"/>
    <n v="128.9"/>
    <x v="20"/>
  </r>
  <r>
    <x v="20"/>
    <s v="Mortality rate, infant (per 1,000 live births)"/>
    <n v="128.19999999999999"/>
    <x v="20"/>
  </r>
  <r>
    <x v="21"/>
    <s v="Mortality rate, infant (per 1,000 live births)"/>
    <n v="59.4"/>
    <x v="20"/>
  </r>
  <r>
    <x v="22"/>
    <s v="Mortality rate, infant (per 1,000 live births)"/>
    <n v="39.6"/>
    <x v="20"/>
  </r>
  <r>
    <x v="23"/>
    <s v="Mortality rate, infant (per 1,000 live births)"/>
    <n v="100.4"/>
    <x v="20"/>
  </r>
  <r>
    <x v="24"/>
    <s v="Mortality rate, infant (per 1,000 live births)"/>
    <n v="106.6"/>
    <x v="20"/>
  </r>
  <r>
    <x v="25"/>
    <s v="Mortality rate, infant (per 1,000 live births)"/>
    <n v="126"/>
    <x v="20"/>
  </r>
  <r>
    <x v="26"/>
    <s v="Mortality rate, infant (per 1,000 live births)"/>
    <n v="95.8"/>
    <x v="20"/>
  </r>
  <r>
    <x v="27"/>
    <s v="Mortality rate, infant (per 1,000 live births)"/>
    <n v="67.400000000000006"/>
    <x v="20"/>
  </r>
  <r>
    <x v="0"/>
    <s v="Mortality rate, infant (per 1,000 live births)"/>
    <n v="127.3"/>
    <x v="21"/>
  </r>
  <r>
    <x v="1"/>
    <s v="Mortality rate, infant (per 1,000 live births)"/>
    <n v="106.2"/>
    <x v="21"/>
  </r>
  <r>
    <x v="2"/>
    <s v="Mortality rate, infant (per 1,000 live births)"/>
    <n v="122.4"/>
    <x v="21"/>
  </r>
  <r>
    <x v="3"/>
    <s v="Mortality rate, infant (per 1,000 live births)"/>
    <n v="114.8"/>
    <x v="21"/>
  </r>
  <r>
    <x v="4"/>
    <s v="Mortality rate, infant (per 1,000 live births)"/>
    <n v="114.2"/>
    <x v="21"/>
  </r>
  <r>
    <x v="5"/>
    <s v="Mortality rate, infant (per 1,000 live births)"/>
    <n v="139.80000000000001"/>
    <x v="21"/>
  </r>
  <r>
    <x v="6"/>
    <s v="Mortality rate, infant (per 1,000 live births)"/>
    <n v="164.2"/>
    <x v="21"/>
  </r>
  <r>
    <x v="7"/>
    <s v="Mortality rate, infant (per 1,000 live births)"/>
    <n v="124.4"/>
    <x v="21"/>
  </r>
  <r>
    <x v="8"/>
    <s v="Mortality rate, infant (per 1,000 live births)"/>
    <n v="67.8"/>
    <x v="21"/>
  </r>
  <r>
    <x v="9"/>
    <s v="Mortality rate, infant (per 1,000 live births)"/>
    <m/>
    <x v="21"/>
  </r>
  <r>
    <x v="10"/>
    <s v="Mortality rate, infant (per 1,000 live births)"/>
    <n v="159.80000000000001"/>
    <x v="21"/>
  </r>
  <r>
    <x v="11"/>
    <s v="Mortality rate, infant (per 1,000 live births)"/>
    <n v="106.7"/>
    <x v="21"/>
  </r>
  <r>
    <x v="12"/>
    <s v="Mortality rate, infant (per 1,000 live births)"/>
    <n v="145.80000000000001"/>
    <x v="21"/>
  </r>
  <r>
    <x v="13"/>
    <s v="Mortality rate, infant (per 1,000 live births)"/>
    <n v="157.5"/>
    <x v="21"/>
  </r>
  <r>
    <x v="14"/>
    <s v="Mortality rate, infant (per 1,000 live births)"/>
    <n v="38.5"/>
    <x v="21"/>
  </r>
  <r>
    <x v="15"/>
    <s v="Mortality rate, infant (per 1,000 live births)"/>
    <n v="174.2"/>
    <x v="21"/>
  </r>
  <r>
    <x v="16"/>
    <s v="Mortality rate, infant (per 1,000 live births)"/>
    <n v="96"/>
    <x v="21"/>
  </r>
  <r>
    <x v="17"/>
    <s v="Mortality rate, infant (per 1,000 live births)"/>
    <n v="135.5"/>
    <x v="21"/>
  </r>
  <r>
    <x v="18"/>
    <s v="Mortality rate, infant (per 1,000 live births)"/>
    <n v="73.2"/>
    <x v="21"/>
  </r>
  <r>
    <x v="19"/>
    <s v="Mortality rate, infant (per 1,000 live births)"/>
    <n v="128.80000000000001"/>
    <x v="21"/>
  </r>
  <r>
    <x v="20"/>
    <s v="Mortality rate, infant (per 1,000 live births)"/>
    <n v="119.3"/>
    <x v="21"/>
  </r>
  <r>
    <x v="21"/>
    <s v="Mortality rate, infant (per 1,000 live births)"/>
    <n v="60.1"/>
    <x v="21"/>
  </r>
  <r>
    <x v="22"/>
    <s v="Mortality rate, infant (per 1,000 live births)"/>
    <n v="37"/>
    <x v="21"/>
  </r>
  <r>
    <x v="23"/>
    <s v="Mortality rate, infant (per 1,000 live births)"/>
    <n v="99.9"/>
    <x v="21"/>
  </r>
  <r>
    <x v="24"/>
    <s v="Mortality rate, infant (per 1,000 live births)"/>
    <n v="106.2"/>
    <x v="21"/>
  </r>
  <r>
    <x v="25"/>
    <s v="Mortality rate, infant (per 1,000 live births)"/>
    <n v="125.3"/>
    <x v="21"/>
  </r>
  <r>
    <x v="26"/>
    <s v="Mortality rate, infant (per 1,000 live births)"/>
    <n v="96.4"/>
    <x v="21"/>
  </r>
  <r>
    <x v="27"/>
    <s v="Mortality rate, infant (per 1,000 live births)"/>
    <n v="65.099999999999994"/>
    <x v="21"/>
  </r>
  <r>
    <x v="0"/>
    <s v="Mortality rate, infant (per 1,000 live births)"/>
    <n v="121.2"/>
    <x v="22"/>
  </r>
  <r>
    <x v="1"/>
    <s v="Mortality rate, infant (per 1,000 live births)"/>
    <n v="103.1"/>
    <x v="22"/>
  </r>
  <r>
    <x v="2"/>
    <s v="Mortality rate, infant (per 1,000 live births)"/>
    <n v="121.4"/>
    <x v="22"/>
  </r>
  <r>
    <x v="3"/>
    <s v="Mortality rate, infant (per 1,000 live births)"/>
    <n v="111.4"/>
    <x v="22"/>
  </r>
  <r>
    <x v="4"/>
    <s v="Mortality rate, infant (per 1,000 live births)"/>
    <n v="111.4"/>
    <x v="22"/>
  </r>
  <r>
    <x v="5"/>
    <s v="Mortality rate, infant (per 1,000 live births)"/>
    <n v="138"/>
    <x v="22"/>
  </r>
  <r>
    <x v="6"/>
    <s v="Mortality rate, infant (per 1,000 live births)"/>
    <n v="161.4"/>
    <x v="22"/>
  </r>
  <r>
    <x v="7"/>
    <s v="Mortality rate, infant (per 1,000 live births)"/>
    <n v="121.5"/>
    <x v="22"/>
  </r>
  <r>
    <x v="8"/>
    <s v="Mortality rate, infant (per 1,000 live births)"/>
    <n v="66"/>
    <x v="22"/>
  </r>
  <r>
    <x v="9"/>
    <s v="Mortality rate, infant (per 1,000 live births)"/>
    <m/>
    <x v="22"/>
  </r>
  <r>
    <x v="10"/>
    <s v="Mortality rate, infant (per 1,000 live births)"/>
    <n v="158.30000000000001"/>
    <x v="22"/>
  </r>
  <r>
    <x v="11"/>
    <s v="Mortality rate, infant (per 1,000 live births)"/>
    <n v="108.2"/>
    <x v="22"/>
  </r>
  <r>
    <x v="12"/>
    <s v="Mortality rate, infant (per 1,000 live births)"/>
    <n v="143.30000000000001"/>
    <x v="22"/>
  </r>
  <r>
    <x v="13"/>
    <s v="Mortality rate, infant (per 1,000 live births)"/>
    <n v="153.9"/>
    <x v="22"/>
  </r>
  <r>
    <x v="14"/>
    <s v="Mortality rate, infant (per 1,000 live births)"/>
    <n v="37.200000000000003"/>
    <x v="22"/>
  </r>
  <r>
    <x v="15"/>
    <s v="Mortality rate, infant (per 1,000 live births)"/>
    <n v="173.5"/>
    <x v="22"/>
  </r>
  <r>
    <x v="16"/>
    <s v="Mortality rate, infant (per 1,000 live births)"/>
    <n v="94.2"/>
    <x v="22"/>
  </r>
  <r>
    <x v="17"/>
    <s v="Mortality rate, infant (per 1,000 live births)"/>
    <n v="131.5"/>
    <x v="22"/>
  </r>
  <r>
    <x v="18"/>
    <s v="Mortality rate, infant (per 1,000 live births)"/>
    <n v="69.5"/>
    <x v="22"/>
  </r>
  <r>
    <x v="19"/>
    <s v="Mortality rate, infant (per 1,000 live births)"/>
    <n v="129.4"/>
    <x v="22"/>
  </r>
  <r>
    <x v="20"/>
    <s v="Mortality rate, infant (per 1,000 live births)"/>
    <n v="111.3"/>
    <x v="22"/>
  </r>
  <r>
    <x v="21"/>
    <s v="Mortality rate, infant (per 1,000 live births)"/>
    <n v="60.9"/>
    <x v="22"/>
  </r>
  <r>
    <x v="22"/>
    <s v="Mortality rate, infant (per 1,000 live births)"/>
    <n v="34.200000000000003"/>
    <x v="22"/>
  </r>
  <r>
    <x v="23"/>
    <s v="Mortality rate, infant (per 1,000 live births)"/>
    <n v="99.2"/>
    <x v="22"/>
  </r>
  <r>
    <x v="24"/>
    <s v="Mortality rate, infant (per 1,000 live births)"/>
    <n v="106.1"/>
    <x v="22"/>
  </r>
  <r>
    <x v="25"/>
    <s v="Mortality rate, infant (per 1,000 live births)"/>
    <n v="123.2"/>
    <x v="22"/>
  </r>
  <r>
    <x v="26"/>
    <s v="Mortality rate, infant (per 1,000 live births)"/>
    <n v="97.3"/>
    <x v="22"/>
  </r>
  <r>
    <x v="27"/>
    <s v="Mortality rate, infant (per 1,000 live births)"/>
    <n v="62.3"/>
    <x v="22"/>
  </r>
  <r>
    <x v="0"/>
    <s v="Mortality rate, infant (per 1,000 live births)"/>
    <n v="115.3"/>
    <x v="23"/>
  </r>
  <r>
    <x v="1"/>
    <s v="Mortality rate, infant (per 1,000 live births)"/>
    <n v="99.7"/>
    <x v="23"/>
  </r>
  <r>
    <x v="2"/>
    <s v="Mortality rate, infant (per 1,000 live births)"/>
    <n v="120.3"/>
    <x v="23"/>
  </r>
  <r>
    <x v="3"/>
    <s v="Mortality rate, infant (per 1,000 live births)"/>
    <n v="108"/>
    <x v="23"/>
  </r>
  <r>
    <x v="4"/>
    <s v="Mortality rate, infant (per 1,000 live births)"/>
    <n v="108.5"/>
    <x v="23"/>
  </r>
  <r>
    <x v="5"/>
    <s v="Mortality rate, infant (per 1,000 live births)"/>
    <n v="135.80000000000001"/>
    <x v="23"/>
  </r>
  <r>
    <x v="6"/>
    <s v="Mortality rate, infant (per 1,000 live births)"/>
    <n v="158.6"/>
    <x v="23"/>
  </r>
  <r>
    <x v="7"/>
    <s v="Mortality rate, infant (per 1,000 live births)"/>
    <n v="118.6"/>
    <x v="23"/>
  </r>
  <r>
    <x v="8"/>
    <s v="Mortality rate, infant (per 1,000 live births)"/>
    <n v="64.599999999999994"/>
    <x v="23"/>
  </r>
  <r>
    <x v="9"/>
    <s v="Mortality rate, infant (per 1,000 live births)"/>
    <m/>
    <x v="23"/>
  </r>
  <r>
    <x v="10"/>
    <s v="Mortality rate, infant (per 1,000 live births)"/>
    <n v="157.5"/>
    <x v="23"/>
  </r>
  <r>
    <x v="11"/>
    <s v="Mortality rate, infant (per 1,000 live births)"/>
    <n v="109.2"/>
    <x v="23"/>
  </r>
  <r>
    <x v="12"/>
    <s v="Mortality rate, infant (per 1,000 live births)"/>
    <n v="142.80000000000001"/>
    <x v="23"/>
  </r>
  <r>
    <x v="13"/>
    <s v="Mortality rate, infant (per 1,000 live births)"/>
    <n v="150.30000000000001"/>
    <x v="23"/>
  </r>
  <r>
    <x v="14"/>
    <s v="Mortality rate, infant (per 1,000 live births)"/>
    <n v="35.799999999999997"/>
    <x v="23"/>
  </r>
  <r>
    <x v="15"/>
    <s v="Mortality rate, infant (per 1,000 live births)"/>
    <n v="172.6"/>
    <x v="23"/>
  </r>
  <r>
    <x v="16"/>
    <s v="Mortality rate, infant (per 1,000 live births)"/>
    <n v="92.6"/>
    <x v="23"/>
  </r>
  <r>
    <x v="17"/>
    <s v="Mortality rate, infant (per 1,000 live births)"/>
    <n v="127.5"/>
    <x v="23"/>
  </r>
  <r>
    <x v="18"/>
    <s v="Mortality rate, infant (per 1,000 live births)"/>
    <n v="66.2"/>
    <x v="23"/>
  </r>
  <r>
    <x v="19"/>
    <s v="Mortality rate, infant (per 1,000 live births)"/>
    <n v="130.69999999999999"/>
    <x v="23"/>
  </r>
  <r>
    <x v="20"/>
    <s v="Mortality rate, infant (per 1,000 live births)"/>
    <n v="105.1"/>
    <x v="23"/>
  </r>
  <r>
    <x v="21"/>
    <s v="Mortality rate, infant (per 1,000 live births)"/>
    <n v="62"/>
    <x v="23"/>
  </r>
  <r>
    <x v="22"/>
    <s v="Mortality rate, infant (per 1,000 live births)"/>
    <n v="31.2"/>
    <x v="23"/>
  </r>
  <r>
    <x v="23"/>
    <s v="Mortality rate, infant (per 1,000 live births)"/>
    <n v="97.9"/>
    <x v="23"/>
  </r>
  <r>
    <x v="24"/>
    <s v="Mortality rate, infant (per 1,000 live births)"/>
    <n v="106.2"/>
    <x v="23"/>
  </r>
  <r>
    <x v="25"/>
    <s v="Mortality rate, infant (per 1,000 live births)"/>
    <n v="120.2"/>
    <x v="23"/>
  </r>
  <r>
    <x v="26"/>
    <s v="Mortality rate, infant (per 1,000 live births)"/>
    <n v="98.6"/>
    <x v="23"/>
  </r>
  <r>
    <x v="27"/>
    <s v="Mortality rate, infant (per 1,000 live births)"/>
    <n v="59.3"/>
    <x v="23"/>
  </r>
  <r>
    <x v="0"/>
    <s v="Mortality rate, infant (per 1,000 live births)"/>
    <n v="110.1"/>
    <x v="24"/>
  </r>
  <r>
    <x v="1"/>
    <s v="Mortality rate, infant (per 1,000 live births)"/>
    <n v="96.2"/>
    <x v="24"/>
  </r>
  <r>
    <x v="2"/>
    <s v="Mortality rate, infant (per 1,000 live births)"/>
    <n v="119.2"/>
    <x v="24"/>
  </r>
  <r>
    <x v="3"/>
    <s v="Mortality rate, infant (per 1,000 live births)"/>
    <n v="104.7"/>
    <x v="24"/>
  </r>
  <r>
    <x v="4"/>
    <s v="Mortality rate, infant (per 1,000 live births)"/>
    <n v="105.7"/>
    <x v="24"/>
  </r>
  <r>
    <x v="5"/>
    <s v="Mortality rate, infant (per 1,000 live births)"/>
    <n v="133.4"/>
    <x v="24"/>
  </r>
  <r>
    <x v="6"/>
    <s v="Mortality rate, infant (per 1,000 live births)"/>
    <n v="155.80000000000001"/>
    <x v="24"/>
  </r>
  <r>
    <x v="7"/>
    <s v="Mortality rate, infant (per 1,000 live births)"/>
    <n v="115.8"/>
    <x v="24"/>
  </r>
  <r>
    <x v="8"/>
    <s v="Mortality rate, infant (per 1,000 live births)"/>
    <n v="63.5"/>
    <x v="24"/>
  </r>
  <r>
    <x v="9"/>
    <s v="Mortality rate, infant (per 1,000 live births)"/>
    <m/>
    <x v="24"/>
  </r>
  <r>
    <x v="10"/>
    <s v="Mortality rate, infant (per 1,000 live births)"/>
    <n v="157.5"/>
    <x v="24"/>
  </r>
  <r>
    <x v="11"/>
    <s v="Mortality rate, infant (per 1,000 live births)"/>
    <n v="109.5"/>
    <x v="24"/>
  </r>
  <r>
    <x v="12"/>
    <s v="Mortality rate, infant (per 1,000 live births)"/>
    <n v="143.69999999999999"/>
    <x v="24"/>
  </r>
  <r>
    <x v="13"/>
    <s v="Mortality rate, infant (per 1,000 live births)"/>
    <n v="146.80000000000001"/>
    <x v="24"/>
  </r>
  <r>
    <x v="14"/>
    <s v="Mortality rate, infant (per 1,000 live births)"/>
    <n v="34.299999999999997"/>
    <x v="24"/>
  </r>
  <r>
    <x v="15"/>
    <s v="Mortality rate, infant (per 1,000 live births)"/>
    <n v="171.1"/>
    <x v="24"/>
  </r>
  <r>
    <x v="16"/>
    <s v="Mortality rate, infant (per 1,000 live births)"/>
    <n v="91"/>
    <x v="24"/>
  </r>
  <r>
    <x v="17"/>
    <s v="Mortality rate, infant (per 1,000 live births)"/>
    <n v="123.4"/>
    <x v="24"/>
  </r>
  <r>
    <x v="18"/>
    <s v="Mortality rate, infant (per 1,000 live births)"/>
    <n v="63.3"/>
    <x v="24"/>
  </r>
  <r>
    <x v="19"/>
    <s v="Mortality rate, infant (per 1,000 live births)"/>
    <n v="132.19999999999999"/>
    <x v="24"/>
  </r>
  <r>
    <x v="20"/>
    <s v="Mortality rate, infant (per 1,000 live births)"/>
    <n v="100.7"/>
    <x v="24"/>
  </r>
  <r>
    <x v="21"/>
    <s v="Mortality rate, infant (per 1,000 live births)"/>
    <n v="63.3"/>
    <x v="24"/>
  </r>
  <r>
    <x v="22"/>
    <s v="Mortality rate, infant (per 1,000 live births)"/>
    <n v="28.2"/>
    <x v="24"/>
  </r>
  <r>
    <x v="23"/>
    <s v="Mortality rate, infant (per 1,000 live births)"/>
    <n v="95.9"/>
    <x v="24"/>
  </r>
  <r>
    <x v="24"/>
    <s v="Mortality rate, infant (per 1,000 live births)"/>
    <n v="106.3"/>
    <x v="24"/>
  </r>
  <r>
    <x v="25"/>
    <s v="Mortality rate, infant (per 1,000 live births)"/>
    <n v="117.1"/>
    <x v="24"/>
  </r>
  <r>
    <x v="26"/>
    <s v="Mortality rate, infant (per 1,000 live births)"/>
    <n v="100.4"/>
    <x v="24"/>
  </r>
  <r>
    <x v="27"/>
    <s v="Mortality rate, infant (per 1,000 live births)"/>
    <n v="56.4"/>
    <x v="24"/>
  </r>
  <r>
    <x v="0"/>
    <s v="Mortality rate, infant (per 1,000 live births)"/>
    <n v="106.3"/>
    <x v="25"/>
  </r>
  <r>
    <x v="1"/>
    <s v="Mortality rate, infant (per 1,000 live births)"/>
    <n v="92.9"/>
    <x v="25"/>
  </r>
  <r>
    <x v="2"/>
    <s v="Mortality rate, infant (per 1,000 live births)"/>
    <n v="118.1"/>
    <x v="25"/>
  </r>
  <r>
    <x v="3"/>
    <s v="Mortality rate, infant (per 1,000 live births)"/>
    <n v="101.5"/>
    <x v="25"/>
  </r>
  <r>
    <x v="4"/>
    <s v="Mortality rate, infant (per 1,000 live births)"/>
    <n v="103"/>
    <x v="25"/>
  </r>
  <r>
    <x v="5"/>
    <s v="Mortality rate, infant (per 1,000 live births)"/>
    <n v="131.1"/>
    <x v="25"/>
  </r>
  <r>
    <x v="6"/>
    <s v="Mortality rate, infant (per 1,000 live births)"/>
    <n v="153.1"/>
    <x v="25"/>
  </r>
  <r>
    <x v="7"/>
    <s v="Mortality rate, infant (per 1,000 live births)"/>
    <n v="113.1"/>
    <x v="25"/>
  </r>
  <r>
    <x v="8"/>
    <s v="Mortality rate, infant (per 1,000 live births)"/>
    <n v="62.8"/>
    <x v="25"/>
  </r>
  <r>
    <x v="9"/>
    <s v="Mortality rate, infant (per 1,000 live births)"/>
    <m/>
    <x v="25"/>
  </r>
  <r>
    <x v="10"/>
    <s v="Mortality rate, infant (per 1,000 live births)"/>
    <n v="158.5"/>
    <x v="25"/>
  </r>
  <r>
    <x v="11"/>
    <s v="Mortality rate, infant (per 1,000 live births)"/>
    <n v="109.1"/>
    <x v="25"/>
  </r>
  <r>
    <x v="12"/>
    <s v="Mortality rate, infant (per 1,000 live births)"/>
    <n v="145.19999999999999"/>
    <x v="25"/>
  </r>
  <r>
    <x v="13"/>
    <s v="Mortality rate, infant (per 1,000 live births)"/>
    <n v="143.5"/>
    <x v="25"/>
  </r>
  <r>
    <x v="14"/>
    <s v="Mortality rate, infant (per 1,000 live births)"/>
    <n v="32.799999999999997"/>
    <x v="25"/>
  </r>
  <r>
    <x v="15"/>
    <s v="Mortality rate, infant (per 1,000 live births)"/>
    <n v="169.4"/>
    <x v="25"/>
  </r>
  <r>
    <x v="16"/>
    <s v="Mortality rate, infant (per 1,000 live births)"/>
    <n v="89.5"/>
    <x v="25"/>
  </r>
  <r>
    <x v="17"/>
    <s v="Mortality rate, infant (per 1,000 live births)"/>
    <n v="119.2"/>
    <x v="25"/>
  </r>
  <r>
    <x v="18"/>
    <s v="Mortality rate, infant (per 1,000 live births)"/>
    <n v="60.8"/>
    <x v="25"/>
  </r>
  <r>
    <x v="19"/>
    <s v="Mortality rate, infant (per 1,000 live births)"/>
    <n v="133.6"/>
    <x v="25"/>
  </r>
  <r>
    <x v="20"/>
    <s v="Mortality rate, infant (per 1,000 live births)"/>
    <n v="97.3"/>
    <x v="25"/>
  </r>
  <r>
    <x v="21"/>
    <s v="Mortality rate, infant (per 1,000 live births)"/>
    <n v="64.599999999999994"/>
    <x v="25"/>
  </r>
  <r>
    <x v="22"/>
    <s v="Mortality rate, infant (per 1,000 live births)"/>
    <n v="25.2"/>
    <x v="25"/>
  </r>
  <r>
    <x v="23"/>
    <s v="Mortality rate, infant (per 1,000 live births)"/>
    <n v="93.1"/>
    <x v="25"/>
  </r>
  <r>
    <x v="24"/>
    <s v="Mortality rate, infant (per 1,000 live births)"/>
    <n v="106"/>
    <x v="25"/>
  </r>
  <r>
    <x v="25"/>
    <s v="Mortality rate, infant (per 1,000 live births)"/>
    <n v="114.6"/>
    <x v="25"/>
  </r>
  <r>
    <x v="26"/>
    <s v="Mortality rate, infant (per 1,000 live births)"/>
    <n v="102.6"/>
    <x v="25"/>
  </r>
  <r>
    <x v="27"/>
    <s v="Mortality rate, infant (per 1,000 live births)"/>
    <n v="53.9"/>
    <x v="25"/>
  </r>
  <r>
    <x v="0"/>
    <s v="Mortality rate, infant (per 1,000 live births)"/>
    <n v="104"/>
    <x v="26"/>
  </r>
  <r>
    <x v="1"/>
    <s v="Mortality rate, infant (per 1,000 live births)"/>
    <n v="90"/>
    <x v="26"/>
  </r>
  <r>
    <x v="2"/>
    <s v="Mortality rate, infant (per 1,000 live births)"/>
    <n v="116.9"/>
    <x v="26"/>
  </r>
  <r>
    <x v="3"/>
    <s v="Mortality rate, infant (per 1,000 live births)"/>
    <n v="98.4"/>
    <x v="26"/>
  </r>
  <r>
    <x v="4"/>
    <s v="Mortality rate, infant (per 1,000 live births)"/>
    <n v="100.5"/>
    <x v="26"/>
  </r>
  <r>
    <x v="5"/>
    <s v="Mortality rate, infant (per 1,000 live births)"/>
    <n v="128.9"/>
    <x v="26"/>
  </r>
  <r>
    <x v="6"/>
    <s v="Mortality rate, infant (per 1,000 live births)"/>
    <n v="150.4"/>
    <x v="26"/>
  </r>
  <r>
    <x v="7"/>
    <s v="Mortality rate, infant (per 1,000 live births)"/>
    <n v="110.4"/>
    <x v="26"/>
  </r>
  <r>
    <x v="8"/>
    <s v="Mortality rate, infant (per 1,000 live births)"/>
    <n v="62.6"/>
    <x v="26"/>
  </r>
  <r>
    <x v="9"/>
    <s v="Mortality rate, infant (per 1,000 live births)"/>
    <m/>
    <x v="26"/>
  </r>
  <r>
    <x v="10"/>
    <s v="Mortality rate, infant (per 1,000 live births)"/>
    <n v="160.69999999999999"/>
    <x v="26"/>
  </r>
  <r>
    <x v="11"/>
    <s v="Mortality rate, infant (per 1,000 live births)"/>
    <n v="108"/>
    <x v="26"/>
  </r>
  <r>
    <x v="12"/>
    <s v="Mortality rate, infant (per 1,000 live births)"/>
    <n v="146.30000000000001"/>
    <x v="26"/>
  </r>
  <r>
    <x v="13"/>
    <s v="Mortality rate, infant (per 1,000 live births)"/>
    <n v="140.4"/>
    <x v="26"/>
  </r>
  <r>
    <x v="14"/>
    <s v="Mortality rate, infant (per 1,000 live births)"/>
    <n v="31.3"/>
    <x v="26"/>
  </r>
  <r>
    <x v="15"/>
    <s v="Mortality rate, infant (per 1,000 live births)"/>
    <n v="167.5"/>
    <x v="26"/>
  </r>
  <r>
    <x v="16"/>
    <s v="Mortality rate, infant (per 1,000 live births)"/>
    <n v="88"/>
    <x v="26"/>
  </r>
  <r>
    <x v="17"/>
    <s v="Mortality rate, infant (per 1,000 live births)"/>
    <n v="115.1"/>
    <x v="26"/>
  </r>
  <r>
    <x v="18"/>
    <s v="Mortality rate, infant (per 1,000 live births)"/>
    <n v="58.6"/>
    <x v="26"/>
  </r>
  <r>
    <x v="19"/>
    <s v="Mortality rate, infant (per 1,000 live births)"/>
    <n v="134.69999999999999"/>
    <x v="26"/>
  </r>
  <r>
    <x v="20"/>
    <s v="Mortality rate, infant (per 1,000 live births)"/>
    <n v="94.7"/>
    <x v="26"/>
  </r>
  <r>
    <x v="21"/>
    <s v="Mortality rate, infant (per 1,000 live births)"/>
    <n v="65.8"/>
    <x v="26"/>
  </r>
  <r>
    <x v="22"/>
    <s v="Mortality rate, infant (per 1,000 live births)"/>
    <n v="22.6"/>
    <x v="26"/>
  </r>
  <r>
    <x v="23"/>
    <s v="Mortality rate, infant (per 1,000 live births)"/>
    <n v="89.9"/>
    <x v="26"/>
  </r>
  <r>
    <x v="24"/>
    <s v="Mortality rate, infant (per 1,000 live births)"/>
    <n v="105.2"/>
    <x v="26"/>
  </r>
  <r>
    <x v="25"/>
    <s v="Mortality rate, infant (per 1,000 live births)"/>
    <n v="112.6"/>
    <x v="26"/>
  </r>
  <r>
    <x v="26"/>
    <s v="Mortality rate, infant (per 1,000 live births)"/>
    <n v="105"/>
    <x v="26"/>
  </r>
  <r>
    <x v="27"/>
    <s v="Mortality rate, infant (per 1,000 live births)"/>
    <n v="52"/>
    <x v="26"/>
  </r>
  <r>
    <x v="0"/>
    <s v="Mortality rate, infant (per 1,000 live births)"/>
    <n v="103"/>
    <x v="27"/>
  </r>
  <r>
    <x v="1"/>
    <s v="Mortality rate, infant (per 1,000 live births)"/>
    <n v="87.8"/>
    <x v="27"/>
  </r>
  <r>
    <x v="2"/>
    <s v="Mortality rate, infant (per 1,000 live births)"/>
    <n v="115.7"/>
    <x v="27"/>
  </r>
  <r>
    <x v="3"/>
    <s v="Mortality rate, infant (per 1,000 live births)"/>
    <n v="95.6"/>
    <x v="27"/>
  </r>
  <r>
    <x v="4"/>
    <s v="Mortality rate, infant (per 1,000 live births)"/>
    <n v="98.2"/>
    <x v="27"/>
  </r>
  <r>
    <x v="5"/>
    <s v="Mortality rate, infant (per 1,000 live births)"/>
    <n v="126.8"/>
    <x v="27"/>
  </r>
  <r>
    <x v="6"/>
    <s v="Mortality rate, infant (per 1,000 live births)"/>
    <n v="147.6"/>
    <x v="27"/>
  </r>
  <r>
    <x v="7"/>
    <s v="Mortality rate, infant (per 1,000 live births)"/>
    <n v="107.8"/>
    <x v="27"/>
  </r>
  <r>
    <x v="8"/>
    <s v="Mortality rate, infant (per 1,000 live births)"/>
    <n v="62.8"/>
    <x v="27"/>
  </r>
  <r>
    <x v="9"/>
    <s v="Mortality rate, infant (per 1,000 live births)"/>
    <m/>
    <x v="27"/>
  </r>
  <r>
    <x v="10"/>
    <s v="Mortality rate, infant (per 1,000 live births)"/>
    <n v="163.80000000000001"/>
    <x v="27"/>
  </r>
  <r>
    <x v="11"/>
    <s v="Mortality rate, infant (per 1,000 live births)"/>
    <n v="106"/>
    <x v="27"/>
  </r>
  <r>
    <x v="12"/>
    <s v="Mortality rate, infant (per 1,000 live births)"/>
    <n v="146.5"/>
    <x v="27"/>
  </r>
  <r>
    <x v="13"/>
    <s v="Mortality rate, infant (per 1,000 live births)"/>
    <n v="137.5"/>
    <x v="27"/>
  </r>
  <r>
    <x v="14"/>
    <s v="Mortality rate, infant (per 1,000 live births)"/>
    <n v="29.8"/>
    <x v="27"/>
  </r>
  <r>
    <x v="15"/>
    <s v="Mortality rate, infant (per 1,000 live births)"/>
    <n v="165.5"/>
    <x v="27"/>
  </r>
  <r>
    <x v="16"/>
    <s v="Mortality rate, infant (per 1,000 live births)"/>
    <n v="86.6"/>
    <x v="27"/>
  </r>
  <r>
    <x v="17"/>
    <s v="Mortality rate, infant (per 1,000 live births)"/>
    <n v="110.8"/>
    <x v="27"/>
  </r>
  <r>
    <x v="18"/>
    <s v="Mortality rate, infant (per 1,000 live births)"/>
    <n v="56.6"/>
    <x v="27"/>
  </r>
  <r>
    <x v="19"/>
    <s v="Mortality rate, infant (per 1,000 live births)"/>
    <n v="135.1"/>
    <x v="27"/>
  </r>
  <r>
    <x v="20"/>
    <s v="Mortality rate, infant (per 1,000 live births)"/>
    <n v="92.7"/>
    <x v="27"/>
  </r>
  <r>
    <x v="21"/>
    <s v="Mortality rate, infant (per 1,000 live births)"/>
    <n v="66.900000000000006"/>
    <x v="27"/>
  </r>
  <r>
    <x v="22"/>
    <s v="Mortality rate, infant (per 1,000 live births)"/>
    <n v="20.5"/>
    <x v="27"/>
  </r>
  <r>
    <x v="23"/>
    <s v="Mortality rate, infant (per 1,000 live births)"/>
    <n v="86.4"/>
    <x v="27"/>
  </r>
  <r>
    <x v="24"/>
    <s v="Mortality rate, infant (per 1,000 live births)"/>
    <n v="104.2"/>
    <x v="27"/>
  </r>
  <r>
    <x v="25"/>
    <s v="Mortality rate, infant (per 1,000 live births)"/>
    <n v="111.3"/>
    <x v="27"/>
  </r>
  <r>
    <x v="26"/>
    <s v="Mortality rate, infant (per 1,000 live births)"/>
    <n v="107"/>
    <x v="27"/>
  </r>
  <r>
    <x v="27"/>
    <s v="Mortality rate, infant (per 1,000 live births)"/>
    <n v="50.7"/>
    <x v="27"/>
  </r>
  <r>
    <x v="0"/>
    <s v="Mortality rate, infant (per 1,000 live births)"/>
    <n v="103.2"/>
    <x v="28"/>
  </r>
  <r>
    <x v="1"/>
    <s v="Mortality rate, infant (per 1,000 live births)"/>
    <n v="86.3"/>
    <x v="28"/>
  </r>
  <r>
    <x v="2"/>
    <s v="Mortality rate, infant (per 1,000 live births)"/>
    <n v="114.5"/>
    <x v="28"/>
  </r>
  <r>
    <x v="3"/>
    <s v="Mortality rate, infant (per 1,000 live births)"/>
    <n v="92.9"/>
    <x v="28"/>
  </r>
  <r>
    <x v="4"/>
    <s v="Mortality rate, infant (per 1,000 live births)"/>
    <n v="96"/>
    <x v="28"/>
  </r>
  <r>
    <x v="5"/>
    <s v="Mortality rate, infant (per 1,000 live births)"/>
    <n v="124.7"/>
    <x v="28"/>
  </r>
  <r>
    <x v="6"/>
    <s v="Mortality rate, infant (per 1,000 live births)"/>
    <n v="144.80000000000001"/>
    <x v="28"/>
  </r>
  <r>
    <x v="7"/>
    <s v="Mortality rate, infant (per 1,000 live births)"/>
    <n v="105.3"/>
    <x v="28"/>
  </r>
  <r>
    <x v="8"/>
    <s v="Mortality rate, infant (per 1,000 live births)"/>
    <n v="63.5"/>
    <x v="28"/>
  </r>
  <r>
    <x v="9"/>
    <s v="Mortality rate, infant (per 1,000 live births)"/>
    <m/>
    <x v="28"/>
  </r>
  <r>
    <x v="10"/>
    <s v="Mortality rate, infant (per 1,000 live births)"/>
    <n v="167.4"/>
    <x v="28"/>
  </r>
  <r>
    <x v="11"/>
    <s v="Mortality rate, infant (per 1,000 live births)"/>
    <n v="103.4"/>
    <x v="28"/>
  </r>
  <r>
    <x v="12"/>
    <s v="Mortality rate, infant (per 1,000 live births)"/>
    <n v="145"/>
    <x v="28"/>
  </r>
  <r>
    <x v="13"/>
    <s v="Mortality rate, infant (per 1,000 live births)"/>
    <n v="134.9"/>
    <x v="28"/>
  </r>
  <r>
    <x v="14"/>
    <s v="Mortality rate, infant (per 1,000 live births)"/>
    <n v="28.7"/>
    <x v="28"/>
  </r>
  <r>
    <x v="15"/>
    <s v="Mortality rate, infant (per 1,000 live births)"/>
    <n v="163.6"/>
    <x v="28"/>
  </r>
  <r>
    <x v="16"/>
    <s v="Mortality rate, infant (per 1,000 live births)"/>
    <n v="85.1"/>
    <x v="28"/>
  </r>
  <r>
    <x v="17"/>
    <s v="Mortality rate, infant (per 1,000 live births)"/>
    <n v="106.5"/>
    <x v="28"/>
  </r>
  <r>
    <x v="18"/>
    <s v="Mortality rate, infant (per 1,000 live births)"/>
    <n v="54.7"/>
    <x v="28"/>
  </r>
  <r>
    <x v="19"/>
    <s v="Mortality rate, infant (per 1,000 live births)"/>
    <n v="134.69999999999999"/>
    <x v="28"/>
  </r>
  <r>
    <x v="20"/>
    <s v="Mortality rate, infant (per 1,000 live births)"/>
    <n v="91.5"/>
    <x v="28"/>
  </r>
  <r>
    <x v="21"/>
    <s v="Mortality rate, infant (per 1,000 live births)"/>
    <n v="67.900000000000006"/>
    <x v="28"/>
  </r>
  <r>
    <x v="22"/>
    <s v="Mortality rate, infant (per 1,000 live births)"/>
    <n v="19.2"/>
    <x v="28"/>
  </r>
  <r>
    <x v="23"/>
    <s v="Mortality rate, infant (per 1,000 live births)"/>
    <n v="83.5"/>
    <x v="28"/>
  </r>
  <r>
    <x v="24"/>
    <s v="Mortality rate, infant (per 1,000 live births)"/>
    <n v="102.9"/>
    <x v="28"/>
  </r>
  <r>
    <x v="25"/>
    <s v="Mortality rate, infant (per 1,000 live births)"/>
    <n v="110.2"/>
    <x v="28"/>
  </r>
  <r>
    <x v="26"/>
    <s v="Mortality rate, infant (per 1,000 live births)"/>
    <n v="108.7"/>
    <x v="28"/>
  </r>
  <r>
    <x v="27"/>
    <s v="Mortality rate, infant (per 1,000 live births)"/>
    <n v="50.1"/>
    <x v="28"/>
  </r>
  <r>
    <x v="0"/>
    <s v="Mortality rate, infant (per 1,000 live births)"/>
    <n v="104.1"/>
    <x v="29"/>
  </r>
  <r>
    <x v="1"/>
    <s v="Mortality rate, infant (per 1,000 live births)"/>
    <n v="85.8"/>
    <x v="29"/>
  </r>
  <r>
    <x v="2"/>
    <s v="Mortality rate, infant (per 1,000 live births)"/>
    <n v="113.3"/>
    <x v="29"/>
  </r>
  <r>
    <x v="3"/>
    <s v="Mortality rate, infant (per 1,000 live births)"/>
    <n v="90.3"/>
    <x v="29"/>
  </r>
  <r>
    <x v="4"/>
    <s v="Mortality rate, infant (per 1,000 live births)"/>
    <n v="94"/>
    <x v="29"/>
  </r>
  <r>
    <x v="5"/>
    <s v="Mortality rate, infant (per 1,000 live births)"/>
    <n v="122.5"/>
    <x v="29"/>
  </r>
  <r>
    <x v="6"/>
    <s v="Mortality rate, infant (per 1,000 live births)"/>
    <n v="141.80000000000001"/>
    <x v="29"/>
  </r>
  <r>
    <x v="7"/>
    <s v="Mortality rate, infant (per 1,000 live births)"/>
    <n v="102.8"/>
    <x v="29"/>
  </r>
  <r>
    <x v="8"/>
    <s v="Mortality rate, infant (per 1,000 live births)"/>
    <n v="64.599999999999994"/>
    <x v="29"/>
  </r>
  <r>
    <x v="9"/>
    <s v="Mortality rate, infant (per 1,000 live births)"/>
    <m/>
    <x v="29"/>
  </r>
  <r>
    <x v="10"/>
    <s v="Mortality rate, infant (per 1,000 live births)"/>
    <n v="171"/>
    <x v="29"/>
  </r>
  <r>
    <x v="11"/>
    <s v="Mortality rate, infant (per 1,000 live births)"/>
    <n v="100.6"/>
    <x v="29"/>
  </r>
  <r>
    <x v="12"/>
    <s v="Mortality rate, infant (per 1,000 live births)"/>
    <n v="142.1"/>
    <x v="29"/>
  </r>
  <r>
    <x v="13"/>
    <s v="Mortality rate, infant (per 1,000 live births)"/>
    <n v="132.4"/>
    <x v="29"/>
  </r>
  <r>
    <x v="14"/>
    <s v="Mortality rate, infant (per 1,000 live births)"/>
    <n v="27.8"/>
    <x v="29"/>
  </r>
  <r>
    <x v="15"/>
    <s v="Mortality rate, infant (per 1,000 live births)"/>
    <n v="161.5"/>
    <x v="29"/>
  </r>
  <r>
    <x v="16"/>
    <s v="Mortality rate, infant (per 1,000 live births)"/>
    <n v="83.6"/>
    <x v="29"/>
  </r>
  <r>
    <x v="17"/>
    <s v="Mortality rate, infant (per 1,000 live births)"/>
    <n v="102"/>
    <x v="29"/>
  </r>
  <r>
    <x v="18"/>
    <s v="Mortality rate, infant (per 1,000 live births)"/>
    <n v="52.8"/>
    <x v="29"/>
  </r>
  <r>
    <x v="19"/>
    <s v="Mortality rate, infant (per 1,000 live births)"/>
    <n v="133.69999999999999"/>
    <x v="29"/>
  </r>
  <r>
    <x v="20"/>
    <s v="Mortality rate, infant (per 1,000 live births)"/>
    <n v="91.2"/>
    <x v="29"/>
  </r>
  <r>
    <x v="21"/>
    <s v="Mortality rate, infant (per 1,000 live births)"/>
    <n v="68.7"/>
    <x v="29"/>
  </r>
  <r>
    <x v="22"/>
    <s v="Mortality rate, infant (per 1,000 live births)"/>
    <n v="18.399999999999999"/>
    <x v="29"/>
  </r>
  <r>
    <x v="23"/>
    <s v="Mortality rate, infant (per 1,000 live births)"/>
    <n v="82.2"/>
    <x v="29"/>
  </r>
  <r>
    <x v="24"/>
    <s v="Mortality rate, infant (per 1,000 live births)"/>
    <n v="101.5"/>
    <x v="29"/>
  </r>
  <r>
    <x v="25"/>
    <s v="Mortality rate, infant (per 1,000 live births)"/>
    <n v="109"/>
    <x v="29"/>
  </r>
  <r>
    <x v="26"/>
    <s v="Mortality rate, infant (per 1,000 live births)"/>
    <n v="109.9"/>
    <x v="29"/>
  </r>
  <r>
    <x v="27"/>
    <s v="Mortality rate, infant (per 1,000 live births)"/>
    <n v="50.1"/>
    <x v="29"/>
  </r>
  <r>
    <x v="0"/>
    <s v="Mortality rate, infant (per 1,000 live births)"/>
    <n v="105.4"/>
    <x v="30"/>
  </r>
  <r>
    <x v="1"/>
    <s v="Mortality rate, infant (per 1,000 live births)"/>
    <n v="86"/>
    <x v="30"/>
  </r>
  <r>
    <x v="2"/>
    <s v="Mortality rate, infant (per 1,000 live births)"/>
    <n v="112.1"/>
    <x v="30"/>
  </r>
  <r>
    <x v="3"/>
    <s v="Mortality rate, infant (per 1,000 live births)"/>
    <n v="87.7"/>
    <x v="30"/>
  </r>
  <r>
    <x v="4"/>
    <s v="Mortality rate, infant (per 1,000 live births)"/>
    <n v="92.2"/>
    <x v="30"/>
  </r>
  <r>
    <x v="5"/>
    <s v="Mortality rate, infant (per 1,000 live births)"/>
    <n v="120.2"/>
    <x v="30"/>
  </r>
  <r>
    <x v="6"/>
    <s v="Mortality rate, infant (per 1,000 live births)"/>
    <n v="138.6"/>
    <x v="30"/>
  </r>
  <r>
    <x v="7"/>
    <s v="Mortality rate, infant (per 1,000 live births)"/>
    <n v="100.3"/>
    <x v="30"/>
  </r>
  <r>
    <x v="8"/>
    <s v="Mortality rate, infant (per 1,000 live births)"/>
    <n v="65.900000000000006"/>
    <x v="30"/>
  </r>
  <r>
    <x v="9"/>
    <s v="Mortality rate, infant (per 1,000 live births)"/>
    <m/>
    <x v="30"/>
  </r>
  <r>
    <x v="10"/>
    <s v="Mortality rate, infant (per 1,000 live births)"/>
    <n v="173.7"/>
    <x v="30"/>
  </r>
  <r>
    <x v="11"/>
    <s v="Mortality rate, infant (per 1,000 live births)"/>
    <n v="97.7"/>
    <x v="30"/>
  </r>
  <r>
    <x v="12"/>
    <s v="Mortality rate, infant (per 1,000 live births)"/>
    <n v="138.19999999999999"/>
    <x v="30"/>
  </r>
  <r>
    <x v="13"/>
    <s v="Mortality rate, infant (per 1,000 live births)"/>
    <n v="130.1"/>
    <x v="30"/>
  </r>
  <r>
    <x v="14"/>
    <s v="Mortality rate, infant (per 1,000 live births)"/>
    <n v="27.5"/>
    <x v="30"/>
  </r>
  <r>
    <x v="15"/>
    <s v="Mortality rate, infant (per 1,000 live births)"/>
    <n v="159.4"/>
    <x v="30"/>
  </r>
  <r>
    <x v="16"/>
    <s v="Mortality rate, infant (per 1,000 live births)"/>
    <n v="81.900000000000006"/>
    <x v="30"/>
  </r>
  <r>
    <x v="17"/>
    <s v="Mortality rate, infant (per 1,000 live births)"/>
    <n v="97.5"/>
    <x v="30"/>
  </r>
  <r>
    <x v="18"/>
    <s v="Mortality rate, infant (per 1,000 live births)"/>
    <n v="50.9"/>
    <x v="30"/>
  </r>
  <r>
    <x v="19"/>
    <s v="Mortality rate, infant (per 1,000 live births)"/>
    <n v="132"/>
    <x v="30"/>
  </r>
  <r>
    <x v="20"/>
    <s v="Mortality rate, infant (per 1,000 live births)"/>
    <n v="92.6"/>
    <x v="30"/>
  </r>
  <r>
    <x v="21"/>
    <s v="Mortality rate, infant (per 1,000 live births)"/>
    <n v="69.400000000000006"/>
    <x v="30"/>
  </r>
  <r>
    <x v="22"/>
    <s v="Mortality rate, infant (per 1,000 live births)"/>
    <n v="18.100000000000001"/>
    <x v="30"/>
  </r>
  <r>
    <x v="23"/>
    <s v="Mortality rate, infant (per 1,000 live births)"/>
    <n v="82.6"/>
    <x v="30"/>
  </r>
  <r>
    <x v="24"/>
    <s v="Mortality rate, infant (per 1,000 live births)"/>
    <n v="100.3"/>
    <x v="30"/>
  </r>
  <r>
    <x v="25"/>
    <s v="Mortality rate, infant (per 1,000 live births)"/>
    <n v="107.2"/>
    <x v="30"/>
  </r>
  <r>
    <x v="26"/>
    <s v="Mortality rate, infant (per 1,000 live births)"/>
    <n v="110.5"/>
    <x v="30"/>
  </r>
  <r>
    <x v="27"/>
    <s v="Mortality rate, infant (per 1,000 live births)"/>
    <n v="50.8"/>
    <x v="30"/>
  </r>
  <r>
    <x v="0"/>
    <s v="Mortality rate, infant (per 1,000 live births)"/>
    <n v="106.6"/>
    <x v="31"/>
  </r>
  <r>
    <x v="1"/>
    <s v="Mortality rate, infant (per 1,000 live births)"/>
    <n v="86.9"/>
    <x v="31"/>
  </r>
  <r>
    <x v="2"/>
    <s v="Mortality rate, infant (per 1,000 live births)"/>
    <n v="110.9"/>
    <x v="31"/>
  </r>
  <r>
    <x v="3"/>
    <s v="Mortality rate, infant (per 1,000 live births)"/>
    <n v="85.2"/>
    <x v="31"/>
  </r>
  <r>
    <x v="4"/>
    <s v="Mortality rate, infant (per 1,000 live births)"/>
    <n v="90.6"/>
    <x v="31"/>
  </r>
  <r>
    <x v="5"/>
    <s v="Mortality rate, infant (per 1,000 live births)"/>
    <n v="117.7"/>
    <x v="31"/>
  </r>
  <r>
    <x v="6"/>
    <s v="Mortality rate, infant (per 1,000 live births)"/>
    <n v="135.19999999999999"/>
    <x v="31"/>
  </r>
  <r>
    <x v="7"/>
    <s v="Mortality rate, infant (per 1,000 live births)"/>
    <n v="97.8"/>
    <x v="31"/>
  </r>
  <r>
    <x v="8"/>
    <s v="Mortality rate, infant (per 1,000 live births)"/>
    <n v="67.3"/>
    <x v="31"/>
  </r>
  <r>
    <x v="9"/>
    <s v="Mortality rate, infant (per 1,000 live births)"/>
    <m/>
    <x v="31"/>
  </r>
  <r>
    <x v="10"/>
    <s v="Mortality rate, infant (per 1,000 live births)"/>
    <n v="175"/>
    <x v="31"/>
  </r>
  <r>
    <x v="11"/>
    <s v="Mortality rate, infant (per 1,000 live births)"/>
    <n v="95"/>
    <x v="31"/>
  </r>
  <r>
    <x v="12"/>
    <s v="Mortality rate, infant (per 1,000 live births)"/>
    <n v="133.69999999999999"/>
    <x v="31"/>
  </r>
  <r>
    <x v="13"/>
    <s v="Mortality rate, infant (per 1,000 live births)"/>
    <n v="128.19999999999999"/>
    <x v="31"/>
  </r>
  <r>
    <x v="14"/>
    <s v="Mortality rate, infant (per 1,000 live births)"/>
    <n v="27.7"/>
    <x v="31"/>
  </r>
  <r>
    <x v="15"/>
    <s v="Mortality rate, infant (per 1,000 live births)"/>
    <n v="157.1"/>
    <x v="31"/>
  </r>
  <r>
    <x v="16"/>
    <s v="Mortality rate, infant (per 1,000 live births)"/>
    <n v="80.2"/>
    <x v="31"/>
  </r>
  <r>
    <x v="17"/>
    <s v="Mortality rate, infant (per 1,000 live births)"/>
    <n v="93.1"/>
    <x v="31"/>
  </r>
  <r>
    <x v="18"/>
    <s v="Mortality rate, infant (per 1,000 live births)"/>
    <n v="48.9"/>
    <x v="31"/>
  </r>
  <r>
    <x v="19"/>
    <s v="Mortality rate, infant (per 1,000 live births)"/>
    <n v="129.69999999999999"/>
    <x v="31"/>
  </r>
  <r>
    <x v="20"/>
    <s v="Mortality rate, infant (per 1,000 live births)"/>
    <n v="95.7"/>
    <x v="31"/>
  </r>
  <r>
    <x v="21"/>
    <s v="Mortality rate, infant (per 1,000 live births)"/>
    <n v="69.8"/>
    <x v="31"/>
  </r>
  <r>
    <x v="22"/>
    <s v="Mortality rate, infant (per 1,000 live births)"/>
    <n v="18.100000000000001"/>
    <x v="31"/>
  </r>
  <r>
    <x v="23"/>
    <s v="Mortality rate, infant (per 1,000 live births)"/>
    <n v="84.5"/>
    <x v="31"/>
  </r>
  <r>
    <x v="24"/>
    <s v="Mortality rate, infant (per 1,000 live births)"/>
    <n v="99.3"/>
    <x v="31"/>
  </r>
  <r>
    <x v="25"/>
    <s v="Mortality rate, infant (per 1,000 live births)"/>
    <n v="105.1"/>
    <x v="31"/>
  </r>
  <r>
    <x v="26"/>
    <s v="Mortality rate, infant (per 1,000 live births)"/>
    <n v="110.8"/>
    <x v="31"/>
  </r>
  <r>
    <x v="27"/>
    <s v="Mortality rate, infant (per 1,000 live births)"/>
    <n v="51.9"/>
    <x v="31"/>
  </r>
  <r>
    <x v="0"/>
    <s v="Mortality rate, infant (per 1,000 live births)"/>
    <n v="107.6"/>
    <x v="32"/>
  </r>
  <r>
    <x v="1"/>
    <s v="Mortality rate, infant (per 1,000 live births)"/>
    <n v="88.2"/>
    <x v="32"/>
  </r>
  <r>
    <x v="2"/>
    <s v="Mortality rate, infant (per 1,000 live births)"/>
    <n v="109.8"/>
    <x v="32"/>
  </r>
  <r>
    <x v="3"/>
    <s v="Mortality rate, infant (per 1,000 live births)"/>
    <n v="82.8"/>
    <x v="32"/>
  </r>
  <r>
    <x v="4"/>
    <s v="Mortality rate, infant (per 1,000 live births)"/>
    <n v="89.3"/>
    <x v="32"/>
  </r>
  <r>
    <x v="5"/>
    <s v="Mortality rate, infant (per 1,000 live births)"/>
    <n v="114.8"/>
    <x v="32"/>
  </r>
  <r>
    <x v="6"/>
    <s v="Mortality rate, infant (per 1,000 live births)"/>
    <n v="131.5"/>
    <x v="32"/>
  </r>
  <r>
    <x v="7"/>
    <s v="Mortality rate, infant (per 1,000 live births)"/>
    <n v="95.2"/>
    <x v="32"/>
  </r>
  <r>
    <x v="8"/>
    <s v="Mortality rate, infant (per 1,000 live births)"/>
    <n v="68.599999999999994"/>
    <x v="32"/>
  </r>
  <r>
    <x v="9"/>
    <s v="Mortality rate, infant (per 1,000 live births)"/>
    <m/>
    <x v="32"/>
  </r>
  <r>
    <x v="10"/>
    <s v="Mortality rate, infant (per 1,000 live births)"/>
    <n v="174.4"/>
    <x v="32"/>
  </r>
  <r>
    <x v="11"/>
    <s v="Mortality rate, infant (per 1,000 live births)"/>
    <n v="92.4"/>
    <x v="32"/>
  </r>
  <r>
    <x v="12"/>
    <s v="Mortality rate, infant (per 1,000 live births)"/>
    <n v="129.1"/>
    <x v="32"/>
  </r>
  <r>
    <x v="13"/>
    <s v="Mortality rate, infant (per 1,000 live births)"/>
    <n v="126.7"/>
    <x v="32"/>
  </r>
  <r>
    <x v="14"/>
    <s v="Mortality rate, infant (per 1,000 live births)"/>
    <n v="28.4"/>
    <x v="32"/>
  </r>
  <r>
    <x v="15"/>
    <s v="Mortality rate, infant (per 1,000 live births)"/>
    <n v="154.4"/>
    <x v="32"/>
  </r>
  <r>
    <x v="16"/>
    <s v="Mortality rate, infant (per 1,000 live births)"/>
    <n v="78.5"/>
    <x v="32"/>
  </r>
  <r>
    <x v="17"/>
    <s v="Mortality rate, infant (per 1,000 live births)"/>
    <n v="88.8"/>
    <x v="32"/>
  </r>
  <r>
    <x v="18"/>
    <s v="Mortality rate, infant (per 1,000 live births)"/>
    <n v="46.8"/>
    <x v="32"/>
  </r>
  <r>
    <x v="19"/>
    <s v="Mortality rate, infant (per 1,000 live births)"/>
    <n v="126.7"/>
    <x v="32"/>
  </r>
  <r>
    <x v="20"/>
    <s v="Mortality rate, infant (per 1,000 live births)"/>
    <n v="100.3"/>
    <x v="32"/>
  </r>
  <r>
    <x v="21"/>
    <s v="Mortality rate, infant (per 1,000 live births)"/>
    <n v="69.8"/>
    <x v="32"/>
  </r>
  <r>
    <x v="22"/>
    <s v="Mortality rate, infant (per 1,000 live births)"/>
    <n v="18.100000000000001"/>
    <x v="32"/>
  </r>
  <r>
    <x v="23"/>
    <s v="Mortality rate, infant (per 1,000 live births)"/>
    <n v="87.4"/>
    <x v="32"/>
  </r>
  <r>
    <x v="24"/>
    <s v="Mortality rate, infant (per 1,000 live births)"/>
    <n v="98.3"/>
    <x v="32"/>
  </r>
  <r>
    <x v="25"/>
    <s v="Mortality rate, infant (per 1,000 live births)"/>
    <n v="103"/>
    <x v="32"/>
  </r>
  <r>
    <x v="26"/>
    <s v="Mortality rate, infant (per 1,000 live births)"/>
    <n v="110.7"/>
    <x v="32"/>
  </r>
  <r>
    <x v="27"/>
    <s v="Mortality rate, infant (per 1,000 live births)"/>
    <n v="53.3"/>
    <x v="32"/>
  </r>
  <r>
    <x v="0"/>
    <s v="Mortality rate, infant (per 1,000 live births)"/>
    <n v="108"/>
    <x v="33"/>
  </r>
  <r>
    <x v="1"/>
    <s v="Mortality rate, infant (per 1,000 live births)"/>
    <n v="89.6"/>
    <x v="33"/>
  </r>
  <r>
    <x v="2"/>
    <s v="Mortality rate, infant (per 1,000 live births)"/>
    <n v="108.7"/>
    <x v="33"/>
  </r>
  <r>
    <x v="3"/>
    <s v="Mortality rate, infant (per 1,000 live births)"/>
    <n v="80.599999999999994"/>
    <x v="33"/>
  </r>
  <r>
    <x v="4"/>
    <s v="Mortality rate, infant (per 1,000 live births)"/>
    <n v="88.2"/>
    <x v="33"/>
  </r>
  <r>
    <x v="5"/>
    <s v="Mortality rate, infant (per 1,000 live births)"/>
    <n v="111.7"/>
    <x v="33"/>
  </r>
  <r>
    <x v="6"/>
    <s v="Mortality rate, infant (per 1,000 live births)"/>
    <n v="127.8"/>
    <x v="33"/>
  </r>
  <r>
    <x v="7"/>
    <s v="Mortality rate, infant (per 1,000 live births)"/>
    <n v="92.5"/>
    <x v="33"/>
  </r>
  <r>
    <x v="8"/>
    <s v="Mortality rate, infant (per 1,000 live births)"/>
    <n v="69.599999999999994"/>
    <x v="33"/>
  </r>
  <r>
    <x v="9"/>
    <s v="Mortality rate, infant (per 1,000 live births)"/>
    <m/>
    <x v="33"/>
  </r>
  <r>
    <x v="10"/>
    <s v="Mortality rate, infant (per 1,000 live births)"/>
    <n v="171.9"/>
    <x v="33"/>
  </r>
  <r>
    <x v="11"/>
    <s v="Mortality rate, infant (per 1,000 live births)"/>
    <n v="90"/>
    <x v="33"/>
  </r>
  <r>
    <x v="12"/>
    <s v="Mortality rate, infant (per 1,000 live births)"/>
    <n v="124.9"/>
    <x v="33"/>
  </r>
  <r>
    <x v="13"/>
    <s v="Mortality rate, infant (per 1,000 live births)"/>
    <n v="125.5"/>
    <x v="33"/>
  </r>
  <r>
    <x v="14"/>
    <s v="Mortality rate, infant (per 1,000 live births)"/>
    <n v="29.5"/>
    <x v="33"/>
  </r>
  <r>
    <x v="15"/>
    <s v="Mortality rate, infant (per 1,000 live births)"/>
    <n v="151.19999999999999"/>
    <x v="33"/>
  </r>
  <r>
    <x v="16"/>
    <s v="Mortality rate, infant (per 1,000 live births)"/>
    <n v="76.8"/>
    <x v="33"/>
  </r>
  <r>
    <x v="17"/>
    <s v="Mortality rate, infant (per 1,000 live births)"/>
    <n v="84.6"/>
    <x v="33"/>
  </r>
  <r>
    <x v="18"/>
    <s v="Mortality rate, infant (per 1,000 live births)"/>
    <n v="44.7"/>
    <x v="33"/>
  </r>
  <r>
    <x v="19"/>
    <s v="Mortality rate, infant (per 1,000 live births)"/>
    <n v="123.3"/>
    <x v="33"/>
  </r>
  <r>
    <x v="20"/>
    <s v="Mortality rate, infant (per 1,000 live births)"/>
    <n v="106.9"/>
    <x v="33"/>
  </r>
  <r>
    <x v="21"/>
    <s v="Mortality rate, infant (per 1,000 live births)"/>
    <n v="69.5"/>
    <x v="33"/>
  </r>
  <r>
    <x v="22"/>
    <s v="Mortality rate, infant (per 1,000 live births)"/>
    <n v="18"/>
    <x v="33"/>
  </r>
  <r>
    <x v="23"/>
    <s v="Mortality rate, infant (per 1,000 live births)"/>
    <n v="90.1"/>
    <x v="33"/>
  </r>
  <r>
    <x v="24"/>
    <s v="Mortality rate, infant (per 1,000 live births)"/>
    <n v="97.2"/>
    <x v="33"/>
  </r>
  <r>
    <x v="25"/>
    <s v="Mortality rate, infant (per 1,000 live births)"/>
    <n v="101.1"/>
    <x v="33"/>
  </r>
  <r>
    <x v="26"/>
    <s v="Mortality rate, infant (per 1,000 live births)"/>
    <n v="110.1"/>
    <x v="33"/>
  </r>
  <r>
    <x v="27"/>
    <s v="Mortality rate, infant (per 1,000 live births)"/>
    <n v="55"/>
    <x v="33"/>
  </r>
  <r>
    <x v="0"/>
    <s v="Mortality rate, infant (per 1,000 live births)"/>
    <n v="107.8"/>
    <x v="34"/>
  </r>
  <r>
    <x v="1"/>
    <s v="Mortality rate, infant (per 1,000 live births)"/>
    <n v="91.1"/>
    <x v="34"/>
  </r>
  <r>
    <x v="2"/>
    <s v="Mortality rate, infant (per 1,000 live births)"/>
    <n v="107.7"/>
    <x v="34"/>
  </r>
  <r>
    <x v="3"/>
    <s v="Mortality rate, infant (per 1,000 live births)"/>
    <n v="78.599999999999994"/>
    <x v="34"/>
  </r>
  <r>
    <x v="4"/>
    <s v="Mortality rate, infant (per 1,000 live births)"/>
    <n v="87.3"/>
    <x v="34"/>
  </r>
  <r>
    <x v="5"/>
    <s v="Mortality rate, infant (per 1,000 live births)"/>
    <n v="108.2"/>
    <x v="34"/>
  </r>
  <r>
    <x v="6"/>
    <s v="Mortality rate, infant (per 1,000 live births)"/>
    <n v="124.1"/>
    <x v="34"/>
  </r>
  <r>
    <x v="7"/>
    <s v="Mortality rate, infant (per 1,000 live births)"/>
    <n v="89.9"/>
    <x v="34"/>
  </r>
  <r>
    <x v="8"/>
    <s v="Mortality rate, infant (per 1,000 live births)"/>
    <n v="70.2"/>
    <x v="34"/>
  </r>
  <r>
    <x v="9"/>
    <s v="Mortality rate, infant (per 1,000 live births)"/>
    <m/>
    <x v="34"/>
  </r>
  <r>
    <x v="10"/>
    <s v="Mortality rate, infant (per 1,000 live births)"/>
    <n v="167.7"/>
    <x v="34"/>
  </r>
  <r>
    <x v="11"/>
    <s v="Mortality rate, infant (per 1,000 live births)"/>
    <n v="87.7"/>
    <x v="34"/>
  </r>
  <r>
    <x v="12"/>
    <s v="Mortality rate, infant (per 1,000 live births)"/>
    <n v="121.2"/>
    <x v="34"/>
  </r>
  <r>
    <x v="13"/>
    <s v="Mortality rate, infant (per 1,000 live births)"/>
    <n v="124.7"/>
    <x v="34"/>
  </r>
  <r>
    <x v="14"/>
    <s v="Mortality rate, infant (per 1,000 live births)"/>
    <n v="30.5"/>
    <x v="34"/>
  </r>
  <r>
    <x v="15"/>
    <s v="Mortality rate, infant (per 1,000 live births)"/>
    <n v="147.4"/>
    <x v="34"/>
  </r>
  <r>
    <x v="16"/>
    <s v="Mortality rate, infant (per 1,000 live births)"/>
    <n v="75.099999999999994"/>
    <x v="34"/>
  </r>
  <r>
    <x v="17"/>
    <s v="Mortality rate, infant (per 1,000 live births)"/>
    <n v="80.7"/>
    <x v="34"/>
  </r>
  <r>
    <x v="18"/>
    <s v="Mortality rate, infant (per 1,000 live births)"/>
    <n v="42.7"/>
    <x v="34"/>
  </r>
  <r>
    <x v="19"/>
    <s v="Mortality rate, infant (per 1,000 live births)"/>
    <n v="119.2"/>
    <x v="34"/>
  </r>
  <r>
    <x v="20"/>
    <s v="Mortality rate, infant (per 1,000 live births)"/>
    <n v="124.8"/>
    <x v="34"/>
  </r>
  <r>
    <x v="21"/>
    <s v="Mortality rate, infant (per 1,000 live births)"/>
    <n v="68.7"/>
    <x v="34"/>
  </r>
  <r>
    <x v="22"/>
    <s v="Mortality rate, infant (per 1,000 live births)"/>
    <n v="17.600000000000001"/>
    <x v="34"/>
  </r>
  <r>
    <x v="23"/>
    <s v="Mortality rate, infant (per 1,000 live births)"/>
    <n v="91.1"/>
    <x v="34"/>
  </r>
  <r>
    <x v="24"/>
    <s v="Mortality rate, infant (per 1,000 live births)"/>
    <n v="96.1"/>
    <x v="34"/>
  </r>
  <r>
    <x v="25"/>
    <s v="Mortality rate, infant (per 1,000 live births)"/>
    <n v="99.4"/>
    <x v="34"/>
  </r>
  <r>
    <x v="26"/>
    <s v="Mortality rate, infant (per 1,000 live births)"/>
    <n v="108.8"/>
    <x v="34"/>
  </r>
  <r>
    <x v="27"/>
    <s v="Mortality rate, infant (per 1,000 live births)"/>
    <n v="56.6"/>
    <x v="34"/>
  </r>
  <r>
    <x v="0"/>
    <s v="Mortality rate, infant (per 1,000 live births)"/>
    <n v="107"/>
    <x v="35"/>
  </r>
  <r>
    <x v="1"/>
    <s v="Mortality rate, infant (per 1,000 live births)"/>
    <n v="92.3"/>
    <x v="35"/>
  </r>
  <r>
    <x v="2"/>
    <s v="Mortality rate, infant (per 1,000 live births)"/>
    <n v="106.8"/>
    <x v="35"/>
  </r>
  <r>
    <x v="3"/>
    <s v="Mortality rate, infant (per 1,000 live births)"/>
    <n v="76.900000000000006"/>
    <x v="35"/>
  </r>
  <r>
    <x v="4"/>
    <s v="Mortality rate, infant (per 1,000 live births)"/>
    <n v="86.4"/>
    <x v="35"/>
  </r>
  <r>
    <x v="5"/>
    <s v="Mortality rate, infant (per 1,000 live births)"/>
    <n v="104.7"/>
    <x v="35"/>
  </r>
  <r>
    <x v="6"/>
    <s v="Mortality rate, infant (per 1,000 live births)"/>
    <n v="120.2"/>
    <x v="35"/>
  </r>
  <r>
    <x v="7"/>
    <s v="Mortality rate, infant (per 1,000 live births)"/>
    <n v="87.3"/>
    <x v="35"/>
  </r>
  <r>
    <x v="8"/>
    <s v="Mortality rate, infant (per 1,000 live births)"/>
    <n v="70.3"/>
    <x v="35"/>
  </r>
  <r>
    <x v="9"/>
    <s v="Mortality rate, infant (per 1,000 live births)"/>
    <m/>
    <x v="35"/>
  </r>
  <r>
    <x v="10"/>
    <s v="Mortality rate, infant (per 1,000 live births)"/>
    <n v="162.19999999999999"/>
    <x v="35"/>
  </r>
  <r>
    <x v="11"/>
    <s v="Mortality rate, infant (per 1,000 live births)"/>
    <n v="85.1"/>
    <x v="35"/>
  </r>
  <r>
    <x v="12"/>
    <s v="Mortality rate, infant (per 1,000 live births)"/>
    <n v="118.1"/>
    <x v="35"/>
  </r>
  <r>
    <x v="13"/>
    <s v="Mortality rate, infant (per 1,000 live births)"/>
    <n v="123.9"/>
    <x v="35"/>
  </r>
  <r>
    <x v="14"/>
    <s v="Mortality rate, infant (per 1,000 live births)"/>
    <n v="31.2"/>
    <x v="35"/>
  </r>
  <r>
    <x v="15"/>
    <s v="Mortality rate, infant (per 1,000 live births)"/>
    <n v="143"/>
    <x v="35"/>
  </r>
  <r>
    <x v="16"/>
    <s v="Mortality rate, infant (per 1,000 live births)"/>
    <n v="73.400000000000006"/>
    <x v="35"/>
  </r>
  <r>
    <x v="17"/>
    <s v="Mortality rate, infant (per 1,000 live births)"/>
    <n v="76.900000000000006"/>
    <x v="35"/>
  </r>
  <r>
    <x v="18"/>
    <s v="Mortality rate, infant (per 1,000 live births)"/>
    <n v="40.700000000000003"/>
    <x v="35"/>
  </r>
  <r>
    <x v="19"/>
    <s v="Mortality rate, infant (per 1,000 live births)"/>
    <n v="114.9"/>
    <x v="35"/>
  </r>
  <r>
    <x v="20"/>
    <s v="Mortality rate, infant (per 1,000 live births)"/>
    <n v="116.6"/>
    <x v="35"/>
  </r>
  <r>
    <x v="21"/>
    <s v="Mortality rate, infant (per 1,000 live births)"/>
    <n v="67.400000000000006"/>
    <x v="35"/>
  </r>
  <r>
    <x v="22"/>
    <s v="Mortality rate, infant (per 1,000 live births)"/>
    <n v="17.100000000000001"/>
    <x v="35"/>
  </r>
  <r>
    <x v="23"/>
    <s v="Mortality rate, infant (per 1,000 live births)"/>
    <n v="89.9"/>
    <x v="35"/>
  </r>
  <r>
    <x v="24"/>
    <s v="Mortality rate, infant (per 1,000 live births)"/>
    <n v="94.6"/>
    <x v="35"/>
  </r>
  <r>
    <x v="25"/>
    <s v="Mortality rate, infant (per 1,000 live births)"/>
    <n v="98"/>
    <x v="35"/>
  </r>
  <r>
    <x v="26"/>
    <s v="Mortality rate, infant (per 1,000 live births)"/>
    <n v="107.1"/>
    <x v="35"/>
  </r>
  <r>
    <x v="27"/>
    <s v="Mortality rate, infant (per 1,000 live births)"/>
    <n v="58.3"/>
    <x v="35"/>
  </r>
  <r>
    <x v="0"/>
    <s v="Mortality rate, infant (per 1,000 live births)"/>
    <n v="105.7"/>
    <x v="36"/>
  </r>
  <r>
    <x v="1"/>
    <s v="Mortality rate, infant (per 1,000 live births)"/>
    <n v="93.2"/>
    <x v="36"/>
  </r>
  <r>
    <x v="2"/>
    <s v="Mortality rate, infant (per 1,000 live births)"/>
    <n v="105.8"/>
    <x v="36"/>
  </r>
  <r>
    <x v="3"/>
    <s v="Mortality rate, infant (per 1,000 live births)"/>
    <n v="75.5"/>
    <x v="36"/>
  </r>
  <r>
    <x v="4"/>
    <s v="Mortality rate, infant (per 1,000 live births)"/>
    <n v="85.4"/>
    <x v="36"/>
  </r>
  <r>
    <x v="5"/>
    <s v="Mortality rate, infant (per 1,000 live births)"/>
    <n v="101.2"/>
    <x v="36"/>
  </r>
  <r>
    <x v="6"/>
    <s v="Mortality rate, infant (per 1,000 live births)"/>
    <n v="116.4"/>
    <x v="36"/>
  </r>
  <r>
    <x v="7"/>
    <s v="Mortality rate, infant (per 1,000 live births)"/>
    <n v="84.6"/>
    <x v="36"/>
  </r>
  <r>
    <x v="8"/>
    <s v="Mortality rate, infant (per 1,000 live births)"/>
    <n v="69.900000000000006"/>
    <x v="36"/>
  </r>
  <r>
    <x v="9"/>
    <s v="Mortality rate, infant (per 1,000 live births)"/>
    <m/>
    <x v="36"/>
  </r>
  <r>
    <x v="10"/>
    <s v="Mortality rate, infant (per 1,000 live births)"/>
    <n v="155.80000000000001"/>
    <x v="36"/>
  </r>
  <r>
    <x v="11"/>
    <s v="Mortality rate, infant (per 1,000 live births)"/>
    <n v="82.2"/>
    <x v="36"/>
  </r>
  <r>
    <x v="12"/>
    <s v="Mortality rate, infant (per 1,000 live births)"/>
    <n v="115.8"/>
    <x v="36"/>
  </r>
  <r>
    <x v="13"/>
    <s v="Mortality rate, infant (per 1,000 live births)"/>
    <n v="123.1"/>
    <x v="36"/>
  </r>
  <r>
    <x v="14"/>
    <s v="Mortality rate, infant (per 1,000 live births)"/>
    <n v="31.5"/>
    <x v="36"/>
  </r>
  <r>
    <x v="15"/>
    <s v="Mortality rate, infant (per 1,000 live births)"/>
    <n v="137.69999999999999"/>
    <x v="36"/>
  </r>
  <r>
    <x v="16"/>
    <s v="Mortality rate, infant (per 1,000 live births)"/>
    <n v="71.8"/>
    <x v="36"/>
  </r>
  <r>
    <x v="17"/>
    <s v="Mortality rate, infant (per 1,000 live births)"/>
    <n v="73.3"/>
    <x v="36"/>
  </r>
  <r>
    <x v="18"/>
    <s v="Mortality rate, infant (per 1,000 live births)"/>
    <n v="38.700000000000003"/>
    <x v="36"/>
  </r>
  <r>
    <x v="19"/>
    <s v="Mortality rate, infant (per 1,000 live births)"/>
    <n v="110.5"/>
    <x v="36"/>
  </r>
  <r>
    <x v="20"/>
    <s v="Mortality rate, infant (per 1,000 live births)"/>
    <n v="110.8"/>
    <x v="36"/>
  </r>
  <r>
    <x v="21"/>
    <s v="Mortality rate, infant (per 1,000 live births)"/>
    <n v="65.7"/>
    <x v="36"/>
  </r>
  <r>
    <x v="22"/>
    <s v="Mortality rate, infant (per 1,000 live births)"/>
    <n v="16.5"/>
    <x v="36"/>
  </r>
  <r>
    <x v="23"/>
    <s v="Mortality rate, infant (per 1,000 live births)"/>
    <n v="87.2"/>
    <x v="36"/>
  </r>
  <r>
    <x v="24"/>
    <s v="Mortality rate, infant (per 1,000 live births)"/>
    <n v="92.8"/>
    <x v="36"/>
  </r>
  <r>
    <x v="25"/>
    <s v="Mortality rate, infant (per 1,000 live births)"/>
    <n v="96.8"/>
    <x v="36"/>
  </r>
  <r>
    <x v="26"/>
    <s v="Mortality rate, infant (per 1,000 live births)"/>
    <n v="105.5"/>
    <x v="36"/>
  </r>
  <r>
    <x v="27"/>
    <s v="Mortality rate, infant (per 1,000 live births)"/>
    <n v="59.2"/>
    <x v="36"/>
  </r>
  <r>
    <x v="0"/>
    <s v="Mortality rate, infant (per 1,000 live births)"/>
    <n v="103.8"/>
    <x v="37"/>
  </r>
  <r>
    <x v="1"/>
    <s v="Mortality rate, infant (per 1,000 live births)"/>
    <n v="93.7"/>
    <x v="37"/>
  </r>
  <r>
    <x v="2"/>
    <s v="Mortality rate, infant (per 1,000 live births)"/>
    <n v="104.8"/>
    <x v="37"/>
  </r>
  <r>
    <x v="3"/>
    <s v="Mortality rate, infant (per 1,000 live births)"/>
    <n v="74.5"/>
    <x v="37"/>
  </r>
  <r>
    <x v="4"/>
    <s v="Mortality rate, infant (per 1,000 live births)"/>
    <n v="84.3"/>
    <x v="37"/>
  </r>
  <r>
    <x v="5"/>
    <s v="Mortality rate, infant (per 1,000 live births)"/>
    <n v="97.8"/>
    <x v="37"/>
  </r>
  <r>
    <x v="6"/>
    <s v="Mortality rate, infant (per 1,000 live births)"/>
    <n v="112.5"/>
    <x v="37"/>
  </r>
  <r>
    <x v="7"/>
    <s v="Mortality rate, infant (per 1,000 live births)"/>
    <n v="81.900000000000006"/>
    <x v="37"/>
  </r>
  <r>
    <x v="8"/>
    <s v="Mortality rate, infant (per 1,000 live births)"/>
    <n v="69"/>
    <x v="37"/>
  </r>
  <r>
    <x v="9"/>
    <s v="Mortality rate, infant (per 1,000 live births)"/>
    <m/>
    <x v="37"/>
  </r>
  <r>
    <x v="10"/>
    <s v="Mortality rate, infant (per 1,000 live births)"/>
    <n v="148.69999999999999"/>
    <x v="37"/>
  </r>
  <r>
    <x v="11"/>
    <s v="Mortality rate, infant (per 1,000 live births)"/>
    <n v="79"/>
    <x v="37"/>
  </r>
  <r>
    <x v="12"/>
    <s v="Mortality rate, infant (per 1,000 live births)"/>
    <n v="113.5"/>
    <x v="37"/>
  </r>
  <r>
    <x v="13"/>
    <s v="Mortality rate, infant (per 1,000 live births)"/>
    <n v="122"/>
    <x v="37"/>
  </r>
  <r>
    <x v="14"/>
    <s v="Mortality rate, infant (per 1,000 live births)"/>
    <n v="31"/>
    <x v="37"/>
  </r>
  <r>
    <x v="15"/>
    <s v="Mortality rate, infant (per 1,000 live births)"/>
    <n v="131.69999999999999"/>
    <x v="37"/>
  </r>
  <r>
    <x v="16"/>
    <s v="Mortality rate, infant (per 1,000 live births)"/>
    <n v="70.099999999999994"/>
    <x v="37"/>
  </r>
  <r>
    <x v="17"/>
    <s v="Mortality rate, infant (per 1,000 live births)"/>
    <n v="69.8"/>
    <x v="37"/>
  </r>
  <r>
    <x v="18"/>
    <s v="Mortality rate, infant (per 1,000 live births)"/>
    <n v="36.799999999999997"/>
    <x v="37"/>
  </r>
  <r>
    <x v="19"/>
    <s v="Mortality rate, infant (per 1,000 live births)"/>
    <n v="106.6"/>
    <x v="37"/>
  </r>
  <r>
    <x v="20"/>
    <s v="Mortality rate, infant (per 1,000 live births)"/>
    <n v="114.9"/>
    <x v="37"/>
  </r>
  <r>
    <x v="21"/>
    <s v="Mortality rate, infant (per 1,000 live births)"/>
    <n v="63.6"/>
    <x v="37"/>
  </r>
  <r>
    <x v="22"/>
    <s v="Mortality rate, infant (per 1,000 live births)"/>
    <n v="15.9"/>
    <x v="37"/>
  </r>
  <r>
    <x v="23"/>
    <s v="Mortality rate, infant (per 1,000 live births)"/>
    <n v="83.7"/>
    <x v="37"/>
  </r>
  <r>
    <x v="24"/>
    <s v="Mortality rate, infant (per 1,000 live births)"/>
    <n v="90.4"/>
    <x v="37"/>
  </r>
  <r>
    <x v="25"/>
    <s v="Mortality rate, infant (per 1,000 live births)"/>
    <n v="95.4"/>
    <x v="37"/>
  </r>
  <r>
    <x v="26"/>
    <s v="Mortality rate, infant (per 1,000 live births)"/>
    <n v="104"/>
    <x v="37"/>
  </r>
  <r>
    <x v="27"/>
    <s v="Mortality rate, infant (per 1,000 live births)"/>
    <n v="59.6"/>
    <x v="37"/>
  </r>
  <r>
    <x v="0"/>
    <s v="Mortality rate, infant (per 1,000 live births)"/>
    <n v="101.4"/>
    <x v="38"/>
  </r>
  <r>
    <x v="1"/>
    <s v="Mortality rate, infant (per 1,000 live births)"/>
    <n v="93.6"/>
    <x v="38"/>
  </r>
  <r>
    <x v="2"/>
    <s v="Mortality rate, infant (per 1,000 live births)"/>
    <n v="103.6"/>
    <x v="38"/>
  </r>
  <r>
    <x v="3"/>
    <s v="Mortality rate, infant (per 1,000 live births)"/>
    <n v="73.599999999999994"/>
    <x v="38"/>
  </r>
  <r>
    <x v="4"/>
    <s v="Mortality rate, infant (per 1,000 live births)"/>
    <n v="83.1"/>
    <x v="38"/>
  </r>
  <r>
    <x v="5"/>
    <s v="Mortality rate, infant (per 1,000 live births)"/>
    <n v="94.6"/>
    <x v="38"/>
  </r>
  <r>
    <x v="6"/>
    <s v="Mortality rate, infant (per 1,000 live births)"/>
    <n v="108.5"/>
    <x v="38"/>
  </r>
  <r>
    <x v="7"/>
    <s v="Mortality rate, infant (per 1,000 live births)"/>
    <n v="79.400000000000006"/>
    <x v="38"/>
  </r>
  <r>
    <x v="8"/>
    <s v="Mortality rate, infant (per 1,000 live births)"/>
    <n v="67.7"/>
    <x v="38"/>
  </r>
  <r>
    <x v="9"/>
    <s v="Mortality rate, infant (per 1,000 live births)"/>
    <m/>
    <x v="38"/>
  </r>
  <r>
    <x v="10"/>
    <s v="Mortality rate, infant (per 1,000 live births)"/>
    <n v="141.30000000000001"/>
    <x v="38"/>
  </r>
  <r>
    <x v="11"/>
    <s v="Mortality rate, infant (per 1,000 live births)"/>
    <n v="75.5"/>
    <x v="38"/>
  </r>
  <r>
    <x v="12"/>
    <s v="Mortality rate, infant (per 1,000 live births)"/>
    <n v="110.6"/>
    <x v="38"/>
  </r>
  <r>
    <x v="13"/>
    <s v="Mortality rate, infant (per 1,000 live births)"/>
    <n v="120.5"/>
    <x v="38"/>
  </r>
  <r>
    <x v="14"/>
    <s v="Mortality rate, infant (per 1,000 live births)"/>
    <n v="30"/>
    <x v="38"/>
  </r>
  <r>
    <x v="15"/>
    <s v="Mortality rate, infant (per 1,000 live births)"/>
    <n v="125.4"/>
    <x v="38"/>
  </r>
  <r>
    <x v="16"/>
    <s v="Mortality rate, infant (per 1,000 live births)"/>
    <n v="68.5"/>
    <x v="38"/>
  </r>
  <r>
    <x v="17"/>
    <s v="Mortality rate, infant (per 1,000 live births)"/>
    <n v="66.5"/>
    <x v="38"/>
  </r>
  <r>
    <x v="18"/>
    <s v="Mortality rate, infant (per 1,000 live births)"/>
    <n v="36.1"/>
    <x v="38"/>
  </r>
  <r>
    <x v="19"/>
    <s v="Mortality rate, infant (per 1,000 live births)"/>
    <n v="103"/>
    <x v="38"/>
  </r>
  <r>
    <x v="20"/>
    <s v="Mortality rate, infant (per 1,000 live births)"/>
    <n v="116.9"/>
    <x v="38"/>
  </r>
  <r>
    <x v="21"/>
    <s v="Mortality rate, infant (per 1,000 live births)"/>
    <n v="61.2"/>
    <x v="38"/>
  </r>
  <r>
    <x v="22"/>
    <s v="Mortality rate, infant (per 1,000 live births)"/>
    <n v="15.3"/>
    <x v="38"/>
  </r>
  <r>
    <x v="23"/>
    <s v="Mortality rate, infant (per 1,000 live births)"/>
    <n v="79.7"/>
    <x v="38"/>
  </r>
  <r>
    <x v="24"/>
    <s v="Mortality rate, infant (per 1,000 live births)"/>
    <n v="87.3"/>
    <x v="38"/>
  </r>
  <r>
    <x v="25"/>
    <s v="Mortality rate, infant (per 1,000 live births)"/>
    <n v="93.7"/>
    <x v="38"/>
  </r>
  <r>
    <x v="26"/>
    <s v="Mortality rate, infant (per 1,000 live births)"/>
    <n v="102.4"/>
    <x v="38"/>
  </r>
  <r>
    <x v="27"/>
    <s v="Mortality rate, infant (per 1,000 live births)"/>
    <n v="59.4"/>
    <x v="38"/>
  </r>
  <r>
    <x v="0"/>
    <s v="Mortality rate, infant (per 1,000 live births)"/>
    <n v="98.8"/>
    <x v="39"/>
  </r>
  <r>
    <x v="1"/>
    <s v="Mortality rate, infant (per 1,000 live births)"/>
    <n v="92.9"/>
    <x v="39"/>
  </r>
  <r>
    <x v="2"/>
    <s v="Mortality rate, infant (per 1,000 live births)"/>
    <n v="102.3"/>
    <x v="39"/>
  </r>
  <r>
    <x v="3"/>
    <s v="Mortality rate, infant (per 1,000 live births)"/>
    <n v="73.099999999999994"/>
    <x v="39"/>
  </r>
  <r>
    <x v="4"/>
    <s v="Mortality rate, infant (per 1,000 live births)"/>
    <n v="81.7"/>
    <x v="39"/>
  </r>
  <r>
    <x v="5"/>
    <s v="Mortality rate, infant (per 1,000 live births)"/>
    <n v="91.4"/>
    <x v="39"/>
  </r>
  <r>
    <x v="6"/>
    <s v="Mortality rate, infant (per 1,000 live births)"/>
    <n v="104.6"/>
    <x v="39"/>
  </r>
  <r>
    <x v="7"/>
    <s v="Mortality rate, infant (per 1,000 live births)"/>
    <n v="76.8"/>
    <x v="39"/>
  </r>
  <r>
    <x v="8"/>
    <s v="Mortality rate, infant (per 1,000 live births)"/>
    <n v="66"/>
    <x v="39"/>
  </r>
  <r>
    <x v="9"/>
    <s v="Mortality rate, infant (per 1,000 live births)"/>
    <m/>
    <x v="39"/>
  </r>
  <r>
    <x v="10"/>
    <s v="Mortality rate, infant (per 1,000 live births)"/>
    <n v="133.6"/>
    <x v="39"/>
  </r>
  <r>
    <x v="11"/>
    <s v="Mortality rate, infant (per 1,000 live births)"/>
    <n v="71.900000000000006"/>
    <x v="39"/>
  </r>
  <r>
    <x v="12"/>
    <s v="Mortality rate, infant (per 1,000 live births)"/>
    <n v="106.5"/>
    <x v="39"/>
  </r>
  <r>
    <x v="13"/>
    <s v="Mortality rate, infant (per 1,000 live births)"/>
    <n v="118.3"/>
    <x v="39"/>
  </r>
  <r>
    <x v="14"/>
    <s v="Mortality rate, infant (per 1,000 live births)"/>
    <n v="28.3"/>
    <x v="39"/>
  </r>
  <r>
    <x v="15"/>
    <s v="Mortality rate, infant (per 1,000 live births)"/>
    <n v="119.3"/>
    <x v="39"/>
  </r>
  <r>
    <x v="16"/>
    <s v="Mortality rate, infant (per 1,000 live births)"/>
    <n v="67"/>
    <x v="39"/>
  </r>
  <r>
    <x v="17"/>
    <s v="Mortality rate, infant (per 1,000 live births)"/>
    <n v="63.3"/>
    <x v="39"/>
  </r>
  <r>
    <x v="18"/>
    <s v="Mortality rate, infant (per 1,000 live births)"/>
    <n v="33.1"/>
    <x v="39"/>
  </r>
  <r>
    <x v="19"/>
    <s v="Mortality rate, infant (per 1,000 live births)"/>
    <n v="99.8"/>
    <x v="39"/>
  </r>
  <r>
    <x v="20"/>
    <s v="Mortality rate, infant (per 1,000 live births)"/>
    <n v="110.4"/>
    <x v="39"/>
  </r>
  <r>
    <x v="21"/>
    <s v="Mortality rate, infant (per 1,000 live births)"/>
    <n v="58.7"/>
    <x v="39"/>
  </r>
  <r>
    <x v="22"/>
    <s v="Mortality rate, infant (per 1,000 live births)"/>
    <n v="14.7"/>
    <x v="39"/>
  </r>
  <r>
    <x v="23"/>
    <s v="Mortality rate, infant (per 1,000 live births)"/>
    <n v="75.2"/>
    <x v="39"/>
  </r>
  <r>
    <x v="24"/>
    <s v="Mortality rate, infant (per 1,000 live births)"/>
    <n v="83.6"/>
    <x v="39"/>
  </r>
  <r>
    <x v="25"/>
    <s v="Mortality rate, infant (per 1,000 live births)"/>
    <n v="91.4"/>
    <x v="39"/>
  </r>
  <r>
    <x v="26"/>
    <s v="Mortality rate, infant (per 1,000 live births)"/>
    <n v="100"/>
    <x v="39"/>
  </r>
  <r>
    <x v="27"/>
    <s v="Mortality rate, infant (per 1,000 live births)"/>
    <n v="58.9"/>
    <x v="39"/>
  </r>
  <r>
    <x v="0"/>
    <s v="Mortality rate, infant (per 1,000 live births)"/>
    <n v="95.9"/>
    <x v="40"/>
  </r>
  <r>
    <x v="1"/>
    <s v="Mortality rate, infant (per 1,000 live births)"/>
    <n v="91.6"/>
    <x v="40"/>
  </r>
  <r>
    <x v="2"/>
    <s v="Mortality rate, infant (per 1,000 live births)"/>
    <n v="100.9"/>
    <x v="40"/>
  </r>
  <r>
    <x v="3"/>
    <s v="Mortality rate, infant (per 1,000 live births)"/>
    <n v="72.7"/>
    <x v="40"/>
  </r>
  <r>
    <x v="4"/>
    <s v="Mortality rate, infant (per 1,000 live births)"/>
    <n v="80.3"/>
    <x v="40"/>
  </r>
  <r>
    <x v="5"/>
    <s v="Mortality rate, infant (per 1,000 live births)"/>
    <n v="88.2"/>
    <x v="40"/>
  </r>
  <r>
    <x v="6"/>
    <s v="Mortality rate, infant (per 1,000 live births)"/>
    <n v="100.5"/>
    <x v="40"/>
  </r>
  <r>
    <x v="7"/>
    <s v="Mortality rate, infant (per 1,000 live births)"/>
    <n v="74.5"/>
    <x v="40"/>
  </r>
  <r>
    <x v="8"/>
    <s v="Mortality rate, infant (per 1,000 live births)"/>
    <n v="64"/>
    <x v="40"/>
  </r>
  <r>
    <x v="9"/>
    <s v="Mortality rate, infant (per 1,000 live births)"/>
    <m/>
    <x v="40"/>
  </r>
  <r>
    <x v="10"/>
    <s v="Mortality rate, infant (per 1,000 live births)"/>
    <n v="125.7"/>
    <x v="40"/>
  </r>
  <r>
    <x v="11"/>
    <s v="Mortality rate, infant (per 1,000 live births)"/>
    <n v="68.5"/>
    <x v="40"/>
  </r>
  <r>
    <x v="12"/>
    <s v="Mortality rate, infant (per 1,000 live births)"/>
    <n v="101.1"/>
    <x v="40"/>
  </r>
  <r>
    <x v="13"/>
    <s v="Mortality rate, infant (per 1,000 live births)"/>
    <n v="115.3"/>
    <x v="40"/>
  </r>
  <r>
    <x v="14"/>
    <s v="Mortality rate, infant (per 1,000 live births)"/>
    <n v="26.2"/>
    <x v="40"/>
  </r>
  <r>
    <x v="15"/>
    <s v="Mortality rate, infant (per 1,000 live births)"/>
    <n v="113.3"/>
    <x v="40"/>
  </r>
  <r>
    <x v="16"/>
    <s v="Mortality rate, infant (per 1,000 live births)"/>
    <n v="65.5"/>
    <x v="40"/>
  </r>
  <r>
    <x v="17"/>
    <s v="Mortality rate, infant (per 1,000 live births)"/>
    <n v="60.2"/>
    <x v="40"/>
  </r>
  <r>
    <x v="18"/>
    <s v="Mortality rate, infant (per 1,000 live births)"/>
    <n v="31.5"/>
    <x v="40"/>
  </r>
  <r>
    <x v="19"/>
    <s v="Mortality rate, infant (per 1,000 live births)"/>
    <n v="96.5"/>
    <x v="40"/>
  </r>
  <r>
    <x v="20"/>
    <s v="Mortality rate, infant (per 1,000 live births)"/>
    <n v="107.7"/>
    <x v="40"/>
  </r>
  <r>
    <x v="21"/>
    <s v="Mortality rate, infant (per 1,000 live births)"/>
    <n v="56"/>
    <x v="40"/>
  </r>
  <r>
    <x v="22"/>
    <s v="Mortality rate, infant (per 1,000 live births)"/>
    <n v="14.2"/>
    <x v="40"/>
  </r>
  <r>
    <x v="23"/>
    <s v="Mortality rate, infant (per 1,000 live births)"/>
    <n v="70.5"/>
    <x v="40"/>
  </r>
  <r>
    <x v="24"/>
    <s v="Mortality rate, infant (per 1,000 live births)"/>
    <n v="79.5"/>
    <x v="40"/>
  </r>
  <r>
    <x v="25"/>
    <s v="Mortality rate, infant (per 1,000 live births)"/>
    <n v="88.4"/>
    <x v="40"/>
  </r>
  <r>
    <x v="26"/>
    <s v="Mortality rate, infant (per 1,000 live births)"/>
    <n v="96.6"/>
    <x v="40"/>
  </r>
  <r>
    <x v="27"/>
    <s v="Mortality rate, infant (per 1,000 live births)"/>
    <n v="58.4"/>
    <x v="40"/>
  </r>
  <r>
    <x v="0"/>
    <s v="Mortality rate, infant (per 1,000 live births)"/>
    <n v="92.8"/>
    <x v="41"/>
  </r>
  <r>
    <x v="1"/>
    <s v="Mortality rate, infant (per 1,000 live births)"/>
    <n v="89.8"/>
    <x v="41"/>
  </r>
  <r>
    <x v="2"/>
    <s v="Mortality rate, infant (per 1,000 live births)"/>
    <n v="99.4"/>
    <x v="41"/>
  </r>
  <r>
    <x v="3"/>
    <s v="Mortality rate, infant (per 1,000 live births)"/>
    <n v="72.400000000000006"/>
    <x v="41"/>
  </r>
  <r>
    <x v="4"/>
    <s v="Mortality rate, infant (per 1,000 live births)"/>
    <n v="78.7"/>
    <x v="41"/>
  </r>
  <r>
    <x v="5"/>
    <s v="Mortality rate, infant (per 1,000 live births)"/>
    <n v="84.9"/>
    <x v="41"/>
  </r>
  <r>
    <x v="6"/>
    <s v="Mortality rate, infant (per 1,000 live births)"/>
    <n v="96.4"/>
    <x v="41"/>
  </r>
  <r>
    <x v="7"/>
    <s v="Mortality rate, infant (per 1,000 live births)"/>
    <n v="72.3"/>
    <x v="41"/>
  </r>
  <r>
    <x v="8"/>
    <s v="Mortality rate, infant (per 1,000 live births)"/>
    <n v="61.7"/>
    <x v="41"/>
  </r>
  <r>
    <x v="9"/>
    <s v="Mortality rate, infant (per 1,000 live births)"/>
    <m/>
    <x v="41"/>
  </r>
  <r>
    <x v="10"/>
    <s v="Mortality rate, infant (per 1,000 live births)"/>
    <n v="117.8"/>
    <x v="41"/>
  </r>
  <r>
    <x v="11"/>
    <s v="Mortality rate, infant (per 1,000 live births)"/>
    <n v="65.2"/>
    <x v="41"/>
  </r>
  <r>
    <x v="12"/>
    <s v="Mortality rate, infant (per 1,000 live births)"/>
    <n v="94.4"/>
    <x v="41"/>
  </r>
  <r>
    <x v="13"/>
    <s v="Mortality rate, infant (per 1,000 live births)"/>
    <n v="111.7"/>
    <x v="41"/>
  </r>
  <r>
    <x v="14"/>
    <s v="Mortality rate, infant (per 1,000 live births)"/>
    <n v="23.8"/>
    <x v="41"/>
  </r>
  <r>
    <x v="15"/>
    <s v="Mortality rate, infant (per 1,000 live births)"/>
    <n v="107.6"/>
    <x v="41"/>
  </r>
  <r>
    <x v="16"/>
    <s v="Mortality rate, infant (per 1,000 live births)"/>
    <n v="64"/>
    <x v="41"/>
  </r>
  <r>
    <x v="17"/>
    <s v="Mortality rate, infant (per 1,000 live births)"/>
    <n v="57.3"/>
    <x v="41"/>
  </r>
  <r>
    <x v="18"/>
    <s v="Mortality rate, infant (per 1,000 live births)"/>
    <n v="29.9"/>
    <x v="41"/>
  </r>
  <r>
    <x v="19"/>
    <s v="Mortality rate, infant (per 1,000 live births)"/>
    <n v="93.2"/>
    <x v="41"/>
  </r>
  <r>
    <x v="20"/>
    <s v="Mortality rate, infant (per 1,000 live births)"/>
    <n v="101"/>
    <x v="41"/>
  </r>
  <r>
    <x v="21"/>
    <s v="Mortality rate, infant (per 1,000 live births)"/>
    <n v="53.3"/>
    <x v="41"/>
  </r>
  <r>
    <x v="22"/>
    <s v="Mortality rate, infant (per 1,000 live births)"/>
    <n v="13.8"/>
    <x v="41"/>
  </r>
  <r>
    <x v="23"/>
    <s v="Mortality rate, infant (per 1,000 live births)"/>
    <n v="65.599999999999994"/>
    <x v="41"/>
  </r>
  <r>
    <x v="24"/>
    <s v="Mortality rate, infant (per 1,000 live births)"/>
    <n v="75.099999999999994"/>
    <x v="41"/>
  </r>
  <r>
    <x v="25"/>
    <s v="Mortality rate, infant (per 1,000 live births)"/>
    <n v="84.9"/>
    <x v="41"/>
  </r>
  <r>
    <x v="26"/>
    <s v="Mortality rate, infant (per 1,000 live births)"/>
    <n v="91.6"/>
    <x v="41"/>
  </r>
  <r>
    <x v="27"/>
    <s v="Mortality rate, infant (per 1,000 live births)"/>
    <n v="58"/>
    <x v="41"/>
  </r>
  <r>
    <x v="0"/>
    <s v="Mortality rate, infant (per 1,000 live births)"/>
    <n v="89.6"/>
    <x v="42"/>
  </r>
  <r>
    <x v="1"/>
    <s v="Mortality rate, infant (per 1,000 live births)"/>
    <n v="87.7"/>
    <x v="42"/>
  </r>
  <r>
    <x v="2"/>
    <s v="Mortality rate, infant (per 1,000 live births)"/>
    <n v="98"/>
    <x v="42"/>
  </r>
  <r>
    <x v="3"/>
    <s v="Mortality rate, infant (per 1,000 live births)"/>
    <n v="72.3"/>
    <x v="42"/>
  </r>
  <r>
    <x v="4"/>
    <s v="Mortality rate, infant (per 1,000 live births)"/>
    <n v="76.900000000000006"/>
    <x v="42"/>
  </r>
  <r>
    <x v="5"/>
    <s v="Mortality rate, infant (per 1,000 live births)"/>
    <n v="81.5"/>
    <x v="42"/>
  </r>
  <r>
    <x v="6"/>
    <s v="Mortality rate, infant (per 1,000 live births)"/>
    <n v="92.4"/>
    <x v="42"/>
  </r>
  <r>
    <x v="7"/>
    <s v="Mortality rate, infant (per 1,000 live births)"/>
    <n v="70.400000000000006"/>
    <x v="42"/>
  </r>
  <r>
    <x v="8"/>
    <s v="Mortality rate, infant (per 1,000 live births)"/>
    <n v="59.1"/>
    <x v="42"/>
  </r>
  <r>
    <x v="9"/>
    <s v="Mortality rate, infant (per 1,000 live births)"/>
    <m/>
    <x v="42"/>
  </r>
  <r>
    <x v="10"/>
    <s v="Mortality rate, infant (per 1,000 live births)"/>
    <n v="110.3"/>
    <x v="42"/>
  </r>
  <r>
    <x v="11"/>
    <s v="Mortality rate, infant (per 1,000 live births)"/>
    <n v="62.1"/>
    <x v="42"/>
  </r>
  <r>
    <x v="12"/>
    <s v="Mortality rate, infant (per 1,000 live births)"/>
    <n v="87.1"/>
    <x v="42"/>
  </r>
  <r>
    <x v="13"/>
    <s v="Mortality rate, infant (per 1,000 live births)"/>
    <n v="107.7"/>
    <x v="42"/>
  </r>
  <r>
    <x v="14"/>
    <s v="Mortality rate, infant (per 1,000 live births)"/>
    <n v="21.6"/>
    <x v="42"/>
  </r>
  <r>
    <x v="15"/>
    <s v="Mortality rate, infant (per 1,000 live births)"/>
    <n v="102.3"/>
    <x v="42"/>
  </r>
  <r>
    <x v="16"/>
    <s v="Mortality rate, infant (per 1,000 live births)"/>
    <n v="62.4"/>
    <x v="42"/>
  </r>
  <r>
    <x v="17"/>
    <s v="Mortality rate, infant (per 1,000 live births)"/>
    <n v="54.6"/>
    <x v="42"/>
  </r>
  <r>
    <x v="18"/>
    <s v="Mortality rate, infant (per 1,000 live births)"/>
    <n v="28.4"/>
    <x v="42"/>
  </r>
  <r>
    <x v="19"/>
    <s v="Mortality rate, infant (per 1,000 live births)"/>
    <n v="89.6"/>
    <x v="42"/>
  </r>
  <r>
    <x v="20"/>
    <s v="Mortality rate, infant (per 1,000 live births)"/>
    <n v="93.2"/>
    <x v="42"/>
  </r>
  <r>
    <x v="21"/>
    <s v="Mortality rate, infant (per 1,000 live births)"/>
    <n v="50.5"/>
    <x v="42"/>
  </r>
  <r>
    <x v="22"/>
    <s v="Mortality rate, infant (per 1,000 live births)"/>
    <n v="13.4"/>
    <x v="42"/>
  </r>
  <r>
    <x v="23"/>
    <s v="Mortality rate, infant (per 1,000 live births)"/>
    <n v="60.8"/>
    <x v="42"/>
  </r>
  <r>
    <x v="24"/>
    <s v="Mortality rate, infant (per 1,000 live births)"/>
    <n v="70.599999999999994"/>
    <x v="42"/>
  </r>
  <r>
    <x v="25"/>
    <s v="Mortality rate, infant (per 1,000 live births)"/>
    <n v="80.900000000000006"/>
    <x v="42"/>
  </r>
  <r>
    <x v="26"/>
    <s v="Mortality rate, infant (per 1,000 live births)"/>
    <n v="85.3"/>
    <x v="42"/>
  </r>
  <r>
    <x v="27"/>
    <s v="Mortality rate, infant (per 1,000 live births)"/>
    <n v="57.9"/>
    <x v="42"/>
  </r>
  <r>
    <x v="0"/>
    <s v="Mortality rate, infant (per 1,000 live births)"/>
    <n v="86.3"/>
    <x v="43"/>
  </r>
  <r>
    <x v="1"/>
    <s v="Mortality rate, infant (per 1,000 live births)"/>
    <n v="85.5"/>
    <x v="43"/>
  </r>
  <r>
    <x v="2"/>
    <s v="Mortality rate, infant (per 1,000 live births)"/>
    <n v="96.6"/>
    <x v="43"/>
  </r>
  <r>
    <x v="3"/>
    <s v="Mortality rate, infant (per 1,000 live births)"/>
    <n v="72"/>
    <x v="43"/>
  </r>
  <r>
    <x v="4"/>
    <s v="Mortality rate, infant (per 1,000 live births)"/>
    <n v="75.2"/>
    <x v="43"/>
  </r>
  <r>
    <x v="5"/>
    <s v="Mortality rate, infant (per 1,000 live births)"/>
    <n v="77.900000000000006"/>
    <x v="43"/>
  </r>
  <r>
    <x v="6"/>
    <s v="Mortality rate, infant (per 1,000 live births)"/>
    <n v="88.7"/>
    <x v="43"/>
  </r>
  <r>
    <x v="7"/>
    <s v="Mortality rate, infant (per 1,000 live births)"/>
    <n v="68.7"/>
    <x v="43"/>
  </r>
  <r>
    <x v="8"/>
    <s v="Mortality rate, infant (per 1,000 live births)"/>
    <n v="56.4"/>
    <x v="43"/>
  </r>
  <r>
    <x v="9"/>
    <s v="Mortality rate, infant (per 1,000 live births)"/>
    <m/>
    <x v="43"/>
  </r>
  <r>
    <x v="10"/>
    <s v="Mortality rate, infant (per 1,000 live births)"/>
    <n v="103"/>
    <x v="43"/>
  </r>
  <r>
    <x v="11"/>
    <s v="Mortality rate, infant (per 1,000 live births)"/>
    <n v="59.3"/>
    <x v="43"/>
  </r>
  <r>
    <x v="12"/>
    <s v="Mortality rate, infant (per 1,000 live births)"/>
    <n v="80.2"/>
    <x v="43"/>
  </r>
  <r>
    <x v="13"/>
    <s v="Mortality rate, infant (per 1,000 live births)"/>
    <n v="103.3"/>
    <x v="43"/>
  </r>
  <r>
    <x v="14"/>
    <s v="Mortality rate, infant (per 1,000 live births)"/>
    <n v="19.600000000000001"/>
    <x v="43"/>
  </r>
  <r>
    <x v="15"/>
    <s v="Mortality rate, infant (per 1,000 live births)"/>
    <n v="97.4"/>
    <x v="43"/>
  </r>
  <r>
    <x v="16"/>
    <s v="Mortality rate, infant (per 1,000 live births)"/>
    <n v="60.8"/>
    <x v="43"/>
  </r>
  <r>
    <x v="17"/>
    <s v="Mortality rate, infant (per 1,000 live births)"/>
    <n v="52.1"/>
    <x v="43"/>
  </r>
  <r>
    <x v="18"/>
    <s v="Mortality rate, infant (per 1,000 live births)"/>
    <n v="27"/>
    <x v="43"/>
  </r>
  <r>
    <x v="19"/>
    <s v="Mortality rate, infant (per 1,000 live births)"/>
    <n v="85.7"/>
    <x v="43"/>
  </r>
  <r>
    <x v="20"/>
    <s v="Mortality rate, infant (per 1,000 live births)"/>
    <n v="85"/>
    <x v="43"/>
  </r>
  <r>
    <x v="21"/>
    <s v="Mortality rate, infant (per 1,000 live births)"/>
    <n v="47.8"/>
    <x v="43"/>
  </r>
  <r>
    <x v="22"/>
    <s v="Mortality rate, infant (per 1,000 live births)"/>
    <n v="13.1"/>
    <x v="43"/>
  </r>
  <r>
    <x v="23"/>
    <s v="Mortality rate, infant (per 1,000 live births)"/>
    <n v="56.3"/>
    <x v="43"/>
  </r>
  <r>
    <x v="24"/>
    <s v="Mortality rate, infant (per 1,000 live births)"/>
    <n v="66.5"/>
    <x v="43"/>
  </r>
  <r>
    <x v="25"/>
    <s v="Mortality rate, infant (per 1,000 live births)"/>
    <n v="76.7"/>
    <x v="43"/>
  </r>
  <r>
    <x v="26"/>
    <s v="Mortality rate, infant (per 1,000 live births)"/>
    <n v="79"/>
    <x v="43"/>
  </r>
  <r>
    <x v="27"/>
    <s v="Mortality rate, infant (per 1,000 live births)"/>
    <n v="57.7"/>
    <x v="43"/>
  </r>
  <r>
    <x v="0"/>
    <s v="Mortality rate, infant (per 1,000 live births)"/>
    <n v="82.6"/>
    <x v="44"/>
  </r>
  <r>
    <x v="1"/>
    <s v="Mortality rate, infant (per 1,000 live births)"/>
    <n v="83.3"/>
    <x v="44"/>
  </r>
  <r>
    <x v="2"/>
    <s v="Mortality rate, infant (per 1,000 live births)"/>
    <n v="95.1"/>
    <x v="44"/>
  </r>
  <r>
    <x v="3"/>
    <s v="Mortality rate, infant (per 1,000 live births)"/>
    <n v="71.400000000000006"/>
    <x v="44"/>
  </r>
  <r>
    <x v="4"/>
    <s v="Mortality rate, infant (per 1,000 live births)"/>
    <n v="73.400000000000006"/>
    <x v="44"/>
  </r>
  <r>
    <x v="5"/>
    <s v="Mortality rate, infant (per 1,000 live births)"/>
    <n v="74.3"/>
    <x v="44"/>
  </r>
  <r>
    <x v="6"/>
    <s v="Mortality rate, infant (per 1,000 live births)"/>
    <n v="85.2"/>
    <x v="44"/>
  </r>
  <r>
    <x v="7"/>
    <s v="Mortality rate, infant (per 1,000 live births)"/>
    <n v="67.2"/>
    <x v="44"/>
  </r>
  <r>
    <x v="8"/>
    <s v="Mortality rate, infant (per 1,000 live births)"/>
    <n v="53.5"/>
    <x v="44"/>
  </r>
  <r>
    <x v="9"/>
    <s v="Mortality rate, infant (per 1,000 live births)"/>
    <m/>
    <x v="44"/>
  </r>
  <r>
    <x v="10"/>
    <s v="Mortality rate, infant (per 1,000 live births)"/>
    <n v="96"/>
    <x v="44"/>
  </r>
  <r>
    <x v="11"/>
    <s v="Mortality rate, infant (per 1,000 live births)"/>
    <n v="56.6"/>
    <x v="44"/>
  </r>
  <r>
    <x v="12"/>
    <s v="Mortality rate, infant (per 1,000 live births)"/>
    <n v="74"/>
    <x v="44"/>
  </r>
  <r>
    <x v="13"/>
    <s v="Mortality rate, infant (per 1,000 live births)"/>
    <n v="98.9"/>
    <x v="44"/>
  </r>
  <r>
    <x v="14"/>
    <s v="Mortality rate, infant (per 1,000 live births)"/>
    <n v="18"/>
    <x v="44"/>
  </r>
  <r>
    <x v="15"/>
    <s v="Mortality rate, infant (per 1,000 live births)"/>
    <n v="92.9"/>
    <x v="44"/>
  </r>
  <r>
    <x v="16"/>
    <s v="Mortality rate, infant (per 1,000 live births)"/>
    <n v="59.2"/>
    <x v="44"/>
  </r>
  <r>
    <x v="17"/>
    <s v="Mortality rate, infant (per 1,000 live births)"/>
    <n v="49.6"/>
    <x v="44"/>
  </r>
  <r>
    <x v="18"/>
    <s v="Mortality rate, infant (per 1,000 live births)"/>
    <n v="25.7"/>
    <x v="44"/>
  </r>
  <r>
    <x v="19"/>
    <s v="Mortality rate, infant (per 1,000 live births)"/>
    <n v="81.900000000000006"/>
    <x v="44"/>
  </r>
  <r>
    <x v="20"/>
    <s v="Mortality rate, infant (per 1,000 live births)"/>
    <n v="76.599999999999994"/>
    <x v="44"/>
  </r>
  <r>
    <x v="21"/>
    <s v="Mortality rate, infant (per 1,000 live births)"/>
    <n v="45.4"/>
    <x v="44"/>
  </r>
  <r>
    <x v="22"/>
    <s v="Mortality rate, infant (per 1,000 live births)"/>
    <n v="15.5"/>
    <x v="44"/>
  </r>
  <r>
    <x v="23"/>
    <s v="Mortality rate, infant (per 1,000 live births)"/>
    <n v="52.2"/>
    <x v="44"/>
  </r>
  <r>
    <x v="24"/>
    <s v="Mortality rate, infant (per 1,000 live births)"/>
    <n v="62.7"/>
    <x v="44"/>
  </r>
  <r>
    <x v="25"/>
    <s v="Mortality rate, infant (per 1,000 live births)"/>
    <n v="72.3"/>
    <x v="44"/>
  </r>
  <r>
    <x v="26"/>
    <s v="Mortality rate, infant (per 1,000 live births)"/>
    <n v="72.7"/>
    <x v="44"/>
  </r>
  <r>
    <x v="27"/>
    <s v="Mortality rate, infant (per 1,000 live births)"/>
    <n v="58.4"/>
    <x v="44"/>
  </r>
  <r>
    <x v="0"/>
    <s v="Mortality rate, infant (per 1,000 live births)"/>
    <n v="78.7"/>
    <x v="45"/>
  </r>
  <r>
    <x v="1"/>
    <s v="Mortality rate, infant (per 1,000 live births)"/>
    <n v="81.2"/>
    <x v="45"/>
  </r>
  <r>
    <x v="2"/>
    <s v="Mortality rate, infant (per 1,000 live births)"/>
    <n v="93.6"/>
    <x v="45"/>
  </r>
  <r>
    <x v="3"/>
    <s v="Mortality rate, infant (per 1,000 live births)"/>
    <n v="70.3"/>
    <x v="45"/>
  </r>
  <r>
    <x v="4"/>
    <s v="Mortality rate, infant (per 1,000 live births)"/>
    <n v="71.7"/>
    <x v="45"/>
  </r>
  <r>
    <x v="5"/>
    <s v="Mortality rate, infant (per 1,000 live births)"/>
    <n v="70.7"/>
    <x v="45"/>
  </r>
  <r>
    <x v="6"/>
    <s v="Mortality rate, infant (per 1,000 live births)"/>
    <n v="82"/>
    <x v="45"/>
  </r>
  <r>
    <x v="7"/>
    <s v="Mortality rate, infant (per 1,000 live births)"/>
    <n v="65.8"/>
    <x v="45"/>
  </r>
  <r>
    <x v="8"/>
    <s v="Mortality rate, infant (per 1,000 live births)"/>
    <n v="50.4"/>
    <x v="45"/>
  </r>
  <r>
    <x v="9"/>
    <s v="Mortality rate, infant (per 1,000 live births)"/>
    <m/>
    <x v="45"/>
  </r>
  <r>
    <x v="10"/>
    <s v="Mortality rate, infant (per 1,000 live births)"/>
    <n v="89.9"/>
    <x v="45"/>
  </r>
  <r>
    <x v="11"/>
    <s v="Mortality rate, infant (per 1,000 live births)"/>
    <n v="54"/>
    <x v="45"/>
  </r>
  <r>
    <x v="12"/>
    <s v="Mortality rate, infant (per 1,000 live births)"/>
    <n v="69.2"/>
    <x v="45"/>
  </r>
  <r>
    <x v="13"/>
    <s v="Mortality rate, infant (per 1,000 live births)"/>
    <n v="94.6"/>
    <x v="45"/>
  </r>
  <r>
    <x v="14"/>
    <s v="Mortality rate, infant (per 1,000 live births)"/>
    <n v="16.8"/>
    <x v="45"/>
  </r>
  <r>
    <x v="15"/>
    <s v="Mortality rate, infant (per 1,000 live births)"/>
    <n v="88.7"/>
    <x v="45"/>
  </r>
  <r>
    <x v="16"/>
    <s v="Mortality rate, infant (per 1,000 live births)"/>
    <n v="57.6"/>
    <x v="45"/>
  </r>
  <r>
    <x v="17"/>
    <s v="Mortality rate, infant (per 1,000 live births)"/>
    <n v="47.3"/>
    <x v="45"/>
  </r>
  <r>
    <x v="18"/>
    <s v="Mortality rate, infant (per 1,000 live births)"/>
    <n v="24.5"/>
    <x v="45"/>
  </r>
  <r>
    <x v="19"/>
    <s v="Mortality rate, infant (per 1,000 live births)"/>
    <n v="78.099999999999994"/>
    <x v="45"/>
  </r>
  <r>
    <x v="20"/>
    <s v="Mortality rate, infant (per 1,000 live births)"/>
    <n v="69.099999999999994"/>
    <x v="45"/>
  </r>
  <r>
    <x v="21"/>
    <s v="Mortality rate, infant (per 1,000 live births)"/>
    <n v="43"/>
    <x v="45"/>
  </r>
  <r>
    <x v="22"/>
    <s v="Mortality rate, infant (per 1,000 live births)"/>
    <n v="12.3"/>
    <x v="45"/>
  </r>
  <r>
    <x v="23"/>
    <s v="Mortality rate, infant (per 1,000 live births)"/>
    <n v="48.5"/>
    <x v="45"/>
  </r>
  <r>
    <x v="24"/>
    <s v="Mortality rate, infant (per 1,000 live births)"/>
    <n v="59.3"/>
    <x v="45"/>
  </r>
  <r>
    <x v="25"/>
    <s v="Mortality rate, infant (per 1,000 live births)"/>
    <n v="68"/>
    <x v="45"/>
  </r>
  <r>
    <x v="26"/>
    <s v="Mortality rate, infant (per 1,000 live births)"/>
    <n v="66.8"/>
    <x v="45"/>
  </r>
  <r>
    <x v="27"/>
    <s v="Mortality rate, infant (per 1,000 live births)"/>
    <n v="59"/>
    <x v="45"/>
  </r>
  <r>
    <x v="0"/>
    <s v="Mortality rate, infant (per 1,000 live births)"/>
    <n v="74.599999999999994"/>
    <x v="46"/>
  </r>
  <r>
    <x v="1"/>
    <s v="Mortality rate, infant (per 1,000 live births)"/>
    <n v="79"/>
    <x v="46"/>
  </r>
  <r>
    <x v="2"/>
    <s v="Mortality rate, infant (per 1,000 live births)"/>
    <n v="92.1"/>
    <x v="46"/>
  </r>
  <r>
    <x v="3"/>
    <s v="Mortality rate, infant (per 1,000 live births)"/>
    <n v="69"/>
    <x v="46"/>
  </r>
  <r>
    <x v="4"/>
    <s v="Mortality rate, infant (per 1,000 live births)"/>
    <n v="69.8"/>
    <x v="46"/>
  </r>
  <r>
    <x v="5"/>
    <s v="Mortality rate, infant (per 1,000 live births)"/>
    <n v="67.2"/>
    <x v="46"/>
  </r>
  <r>
    <x v="6"/>
    <s v="Mortality rate, infant (per 1,000 live births)"/>
    <n v="79.099999999999994"/>
    <x v="46"/>
  </r>
  <r>
    <x v="7"/>
    <s v="Mortality rate, infant (per 1,000 live births)"/>
    <n v="64.599999999999994"/>
    <x v="46"/>
  </r>
  <r>
    <x v="8"/>
    <s v="Mortality rate, infant (per 1,000 live births)"/>
    <n v="47.7"/>
    <x v="46"/>
  </r>
  <r>
    <x v="9"/>
    <s v="Mortality rate, infant (per 1,000 live births)"/>
    <m/>
    <x v="46"/>
  </r>
  <r>
    <x v="10"/>
    <s v="Mortality rate, infant (per 1,000 live births)"/>
    <n v="84.6"/>
    <x v="46"/>
  </r>
  <r>
    <x v="11"/>
    <s v="Mortality rate, infant (per 1,000 live births)"/>
    <n v="51.7"/>
    <x v="46"/>
  </r>
  <r>
    <x v="12"/>
    <s v="Mortality rate, infant (per 1,000 live births)"/>
    <n v="65.8"/>
    <x v="46"/>
  </r>
  <r>
    <x v="13"/>
    <s v="Mortality rate, infant (per 1,000 live births)"/>
    <n v="90.7"/>
    <x v="46"/>
  </r>
  <r>
    <x v="14"/>
    <s v="Mortality rate, infant (per 1,000 live births)"/>
    <n v="16"/>
    <x v="46"/>
  </r>
  <r>
    <x v="15"/>
    <s v="Mortality rate, infant (per 1,000 live births)"/>
    <n v="84.6"/>
    <x v="46"/>
  </r>
  <r>
    <x v="16"/>
    <s v="Mortality rate, infant (per 1,000 live births)"/>
    <n v="55.9"/>
    <x v="46"/>
  </r>
  <r>
    <x v="17"/>
    <s v="Mortality rate, infant (per 1,000 live births)"/>
    <n v="45.2"/>
    <x v="46"/>
  </r>
  <r>
    <x v="18"/>
    <s v="Mortality rate, infant (per 1,000 live births)"/>
    <n v="23.3"/>
    <x v="46"/>
  </r>
  <r>
    <x v="19"/>
    <s v="Mortality rate, infant (per 1,000 live births)"/>
    <n v="74.5"/>
    <x v="46"/>
  </r>
  <r>
    <x v="20"/>
    <s v="Mortality rate, infant (per 1,000 live births)"/>
    <n v="62.6"/>
    <x v="46"/>
  </r>
  <r>
    <x v="21"/>
    <s v="Mortality rate, infant (per 1,000 live births)"/>
    <n v="40.799999999999997"/>
    <x v="46"/>
  </r>
  <r>
    <x v="22"/>
    <s v="Mortality rate, infant (per 1,000 live births)"/>
    <n v="11.7"/>
    <x v="46"/>
  </r>
  <r>
    <x v="23"/>
    <s v="Mortality rate, infant (per 1,000 live births)"/>
    <n v="45.5"/>
    <x v="46"/>
  </r>
  <r>
    <x v="24"/>
    <s v="Mortality rate, infant (per 1,000 live births)"/>
    <n v="56.8"/>
    <x v="46"/>
  </r>
  <r>
    <x v="25"/>
    <s v="Mortality rate, infant (per 1,000 live births)"/>
    <n v="64"/>
    <x v="46"/>
  </r>
  <r>
    <x v="26"/>
    <s v="Mortality rate, infant (per 1,000 live births)"/>
    <n v="62.7"/>
    <x v="46"/>
  </r>
  <r>
    <x v="27"/>
    <s v="Mortality rate, infant (per 1,000 live births)"/>
    <n v="60"/>
    <x v="46"/>
  </r>
  <r>
    <x v="0"/>
    <s v="Mortality rate, infant (per 1,000 live births)"/>
    <n v="70.5"/>
    <x v="47"/>
  </r>
  <r>
    <x v="1"/>
    <s v="Mortality rate, infant (per 1,000 live births)"/>
    <n v="76.8"/>
    <x v="47"/>
  </r>
  <r>
    <x v="2"/>
    <s v="Mortality rate, infant (per 1,000 live births)"/>
    <n v="90.4"/>
    <x v="47"/>
  </r>
  <r>
    <x v="3"/>
    <s v="Mortality rate, infant (per 1,000 live births)"/>
    <n v="67.5"/>
    <x v="47"/>
  </r>
  <r>
    <x v="4"/>
    <s v="Mortality rate, infant (per 1,000 live births)"/>
    <n v="67.900000000000006"/>
    <x v="47"/>
  </r>
  <r>
    <x v="5"/>
    <s v="Mortality rate, infant (per 1,000 live births)"/>
    <n v="63.9"/>
    <x v="47"/>
  </r>
  <r>
    <x v="6"/>
    <s v="Mortality rate, infant (per 1,000 live births)"/>
    <n v="76.400000000000006"/>
    <x v="47"/>
  </r>
  <r>
    <x v="7"/>
    <s v="Mortality rate, infant (per 1,000 live births)"/>
    <n v="63.5"/>
    <x v="47"/>
  </r>
  <r>
    <x v="8"/>
    <s v="Mortality rate, infant (per 1,000 live births)"/>
    <n v="45.5"/>
    <x v="47"/>
  </r>
  <r>
    <x v="9"/>
    <s v="Mortality rate, infant (per 1,000 live births)"/>
    <m/>
    <x v="47"/>
  </r>
  <r>
    <x v="10"/>
    <s v="Mortality rate, infant (per 1,000 live births)"/>
    <n v="80.2"/>
    <x v="47"/>
  </r>
  <r>
    <x v="11"/>
    <s v="Mortality rate, infant (per 1,000 live births)"/>
    <n v="49.4"/>
    <x v="47"/>
  </r>
  <r>
    <x v="12"/>
    <s v="Mortality rate, infant (per 1,000 live births)"/>
    <n v="63.4"/>
    <x v="47"/>
  </r>
  <r>
    <x v="13"/>
    <s v="Mortality rate, infant (per 1,000 live births)"/>
    <n v="87.3"/>
    <x v="47"/>
  </r>
  <r>
    <x v="14"/>
    <s v="Mortality rate, infant (per 1,000 live births)"/>
    <n v="15.5"/>
    <x v="47"/>
  </r>
  <r>
    <x v="15"/>
    <s v="Mortality rate, infant (per 1,000 live births)"/>
    <n v="79.900000000000006"/>
    <x v="47"/>
  </r>
  <r>
    <x v="16"/>
    <s v="Mortality rate, infant (per 1,000 live births)"/>
    <n v="54.2"/>
    <x v="47"/>
  </r>
  <r>
    <x v="17"/>
    <s v="Mortality rate, infant (per 1,000 live births)"/>
    <n v="43.1"/>
    <x v="47"/>
  </r>
  <r>
    <x v="18"/>
    <s v="Mortality rate, infant (per 1,000 live births)"/>
    <n v="22.2"/>
    <x v="47"/>
  </r>
  <r>
    <x v="19"/>
    <s v="Mortality rate, infant (per 1,000 live births)"/>
    <n v="71.099999999999994"/>
    <x v="47"/>
  </r>
  <r>
    <x v="20"/>
    <s v="Mortality rate, infant (per 1,000 live births)"/>
    <n v="56.9"/>
    <x v="47"/>
  </r>
  <r>
    <x v="21"/>
    <s v="Mortality rate, infant (per 1,000 live births)"/>
    <n v="38.799999999999997"/>
    <x v="47"/>
  </r>
  <r>
    <x v="22"/>
    <s v="Mortality rate, infant (per 1,000 live births)"/>
    <n v="11"/>
    <x v="47"/>
  </r>
  <r>
    <x v="23"/>
    <s v="Mortality rate, infant (per 1,000 live births)"/>
    <n v="42.8"/>
    <x v="47"/>
  </r>
  <r>
    <x v="24"/>
    <s v="Mortality rate, infant (per 1,000 live births)"/>
    <n v="54.2"/>
    <x v="47"/>
  </r>
  <r>
    <x v="25"/>
    <s v="Mortality rate, infant (per 1,000 live births)"/>
    <n v="60.2"/>
    <x v="47"/>
  </r>
  <r>
    <x v="26"/>
    <s v="Mortality rate, infant (per 1,000 live births)"/>
    <n v="60.9"/>
    <x v="47"/>
  </r>
  <r>
    <x v="27"/>
    <s v="Mortality rate, infant (per 1,000 live births)"/>
    <n v="60.1"/>
    <x v="47"/>
  </r>
  <r>
    <x v="0"/>
    <s v="Mortality rate, infant (per 1,000 live births)"/>
    <n v="66.400000000000006"/>
    <x v="48"/>
  </r>
  <r>
    <x v="1"/>
    <s v="Mortality rate, infant (per 1,000 live births)"/>
    <n v="74.2"/>
    <x v="48"/>
  </r>
  <r>
    <x v="2"/>
    <s v="Mortality rate, infant (per 1,000 live births)"/>
    <n v="88.7"/>
    <x v="48"/>
  </r>
  <r>
    <x v="3"/>
    <s v="Mortality rate, infant (per 1,000 live births)"/>
    <n v="65.900000000000006"/>
    <x v="48"/>
  </r>
  <r>
    <x v="4"/>
    <s v="Mortality rate, infant (per 1,000 live births)"/>
    <n v="66.099999999999994"/>
    <x v="48"/>
  </r>
  <r>
    <x v="5"/>
    <s v="Mortality rate, infant (per 1,000 live births)"/>
    <n v="60.8"/>
    <x v="48"/>
  </r>
  <r>
    <x v="6"/>
    <s v="Mortality rate, infant (per 1,000 live births)"/>
    <n v="73.900000000000006"/>
    <x v="48"/>
  </r>
  <r>
    <x v="7"/>
    <s v="Mortality rate, infant (per 1,000 live births)"/>
    <n v="62.4"/>
    <x v="48"/>
  </r>
  <r>
    <x v="8"/>
    <s v="Mortality rate, infant (per 1,000 live births)"/>
    <n v="43.1"/>
    <x v="48"/>
  </r>
  <r>
    <x v="9"/>
    <s v="Mortality rate, infant (per 1,000 live births)"/>
    <m/>
    <x v="48"/>
  </r>
  <r>
    <x v="10"/>
    <s v="Mortality rate, infant (per 1,000 live births)"/>
    <n v="76.5"/>
    <x v="48"/>
  </r>
  <r>
    <x v="11"/>
    <s v="Mortality rate, infant (per 1,000 live births)"/>
    <n v="47.1"/>
    <x v="48"/>
  </r>
  <r>
    <x v="12"/>
    <s v="Mortality rate, infant (per 1,000 live births)"/>
    <n v="60.5"/>
    <x v="48"/>
  </r>
  <r>
    <x v="13"/>
    <s v="Mortality rate, infant (per 1,000 live births)"/>
    <n v="84.3"/>
    <x v="48"/>
  </r>
  <r>
    <x v="14"/>
    <s v="Mortality rate, infant (per 1,000 live births)"/>
    <n v="15.1"/>
    <x v="48"/>
  </r>
  <r>
    <x v="15"/>
    <s v="Mortality rate, infant (per 1,000 live births)"/>
    <n v="76.5"/>
    <x v="48"/>
  </r>
  <r>
    <x v="16"/>
    <s v="Mortality rate, infant (per 1,000 live births)"/>
    <n v="56.8"/>
    <x v="48"/>
  </r>
  <r>
    <x v="17"/>
    <s v="Mortality rate, infant (per 1,000 live births)"/>
    <n v="41.1"/>
    <x v="48"/>
  </r>
  <r>
    <x v="18"/>
    <s v="Mortality rate, infant (per 1,000 live births)"/>
    <n v="21.1"/>
    <x v="48"/>
  </r>
  <r>
    <x v="19"/>
    <s v="Mortality rate, infant (per 1,000 live births)"/>
    <n v="68"/>
    <x v="48"/>
  </r>
  <r>
    <x v="20"/>
    <s v="Mortality rate, infant (per 1,000 live births)"/>
    <n v="52.2"/>
    <x v="48"/>
  </r>
  <r>
    <x v="21"/>
    <s v="Mortality rate, infant (per 1,000 live births)"/>
    <n v="36.9"/>
    <x v="48"/>
  </r>
  <r>
    <x v="22"/>
    <s v="Mortality rate, infant (per 1,000 live births)"/>
    <n v="10.6"/>
    <x v="48"/>
  </r>
  <r>
    <x v="23"/>
    <s v="Mortality rate, infant (per 1,000 live births)"/>
    <n v="40.5"/>
    <x v="48"/>
  </r>
  <r>
    <x v="24"/>
    <s v="Mortality rate, infant (per 1,000 live births)"/>
    <n v="51.9"/>
    <x v="48"/>
  </r>
  <r>
    <x v="25"/>
    <s v="Mortality rate, infant (per 1,000 live births)"/>
    <n v="56.7"/>
    <x v="48"/>
  </r>
  <r>
    <x v="26"/>
    <s v="Mortality rate, infant (per 1,000 live births)"/>
    <n v="57.9"/>
    <x v="48"/>
  </r>
  <r>
    <x v="27"/>
    <s v="Mortality rate, infant (per 1,000 live births)"/>
    <n v="59.1"/>
    <x v="48"/>
  </r>
  <r>
    <x v="0"/>
    <s v="Mortality rate, infant (per 1,000 live births)"/>
    <n v="62.6"/>
    <x v="49"/>
  </r>
  <r>
    <x v="1"/>
    <s v="Mortality rate, infant (per 1,000 live births)"/>
    <n v="71.900000000000006"/>
    <x v="49"/>
  </r>
  <r>
    <x v="2"/>
    <s v="Mortality rate, infant (per 1,000 live births)"/>
    <n v="87"/>
    <x v="49"/>
  </r>
  <r>
    <x v="3"/>
    <s v="Mortality rate, infant (per 1,000 live births)"/>
    <n v="64.3"/>
    <x v="49"/>
  </r>
  <r>
    <x v="4"/>
    <s v="Mortality rate, infant (per 1,000 live births)"/>
    <n v="64.3"/>
    <x v="49"/>
  </r>
  <r>
    <x v="5"/>
    <s v="Mortality rate, infant (per 1,000 live births)"/>
    <n v="57.9"/>
    <x v="49"/>
  </r>
  <r>
    <x v="6"/>
    <s v="Mortality rate, infant (per 1,000 live births)"/>
    <n v="71.599999999999994"/>
    <x v="49"/>
  </r>
  <r>
    <x v="7"/>
    <s v="Mortality rate, infant (per 1,000 live births)"/>
    <n v="61.4"/>
    <x v="49"/>
  </r>
  <r>
    <x v="8"/>
    <s v="Mortality rate, infant (per 1,000 live births)"/>
    <n v="41.4"/>
    <x v="49"/>
  </r>
  <r>
    <x v="9"/>
    <s v="Mortality rate, infant (per 1,000 live births)"/>
    <m/>
    <x v="49"/>
  </r>
  <r>
    <x v="10"/>
    <s v="Mortality rate, infant (per 1,000 live births)"/>
    <n v="73.3"/>
    <x v="49"/>
  </r>
  <r>
    <x v="11"/>
    <s v="Mortality rate, infant (per 1,000 live births)"/>
    <n v="45"/>
    <x v="49"/>
  </r>
  <r>
    <x v="12"/>
    <s v="Mortality rate, infant (per 1,000 live births)"/>
    <n v="58.4"/>
    <x v="49"/>
  </r>
  <r>
    <x v="13"/>
    <s v="Mortality rate, infant (per 1,000 live births)"/>
    <n v="81.599999999999994"/>
    <x v="49"/>
  </r>
  <r>
    <x v="14"/>
    <s v="Mortality rate, infant (per 1,000 live births)"/>
    <n v="14.9"/>
    <x v="49"/>
  </r>
  <r>
    <x v="15"/>
    <s v="Mortality rate, infant (per 1,000 live births)"/>
    <n v="72.8"/>
    <x v="49"/>
  </r>
  <r>
    <x v="16"/>
    <s v="Mortality rate, infant (per 1,000 live births)"/>
    <n v="50.8"/>
    <x v="49"/>
  </r>
  <r>
    <x v="17"/>
    <s v="Mortality rate, infant (per 1,000 live births)"/>
    <n v="39.299999999999997"/>
    <x v="49"/>
  </r>
  <r>
    <x v="18"/>
    <s v="Mortality rate, infant (per 1,000 live births)"/>
    <n v="20.100000000000001"/>
    <x v="49"/>
  </r>
  <r>
    <x v="19"/>
    <s v="Mortality rate, infant (per 1,000 live births)"/>
    <n v="65.099999999999994"/>
    <x v="49"/>
  </r>
  <r>
    <x v="20"/>
    <s v="Mortality rate, infant (per 1,000 live births)"/>
    <n v="48.2"/>
    <x v="49"/>
  </r>
  <r>
    <x v="21"/>
    <s v="Mortality rate, infant (per 1,000 live births)"/>
    <n v="35.200000000000003"/>
    <x v="49"/>
  </r>
  <r>
    <x v="22"/>
    <s v="Mortality rate, infant (per 1,000 live births)"/>
    <n v="10.199999999999999"/>
    <x v="49"/>
  </r>
  <r>
    <x v="23"/>
    <s v="Mortality rate, infant (per 1,000 live births)"/>
    <n v="38.6"/>
    <x v="49"/>
  </r>
  <r>
    <x v="24"/>
    <s v="Mortality rate, infant (per 1,000 live births)"/>
    <n v="50.3"/>
    <x v="49"/>
  </r>
  <r>
    <x v="25"/>
    <s v="Mortality rate, infant (per 1,000 live births)"/>
    <n v="53.9"/>
    <x v="49"/>
  </r>
  <r>
    <x v="26"/>
    <s v="Mortality rate, infant (per 1,000 live births)"/>
    <n v="55.6"/>
    <x v="49"/>
  </r>
  <r>
    <x v="27"/>
    <s v="Mortality rate, infant (per 1,000 live births)"/>
    <n v="57.5"/>
    <x v="49"/>
  </r>
  <r>
    <x v="0"/>
    <s v="Mortality rate, infant (per 1,000 live births)"/>
    <n v="59.2"/>
    <x v="50"/>
  </r>
  <r>
    <x v="1"/>
    <s v="Mortality rate, infant (per 1,000 live births)"/>
    <n v="69.099999999999994"/>
    <x v="50"/>
  </r>
  <r>
    <x v="2"/>
    <s v="Mortality rate, infant (per 1,000 live births)"/>
    <n v="85.2"/>
    <x v="50"/>
  </r>
  <r>
    <x v="3"/>
    <s v="Mortality rate, infant (per 1,000 live births)"/>
    <n v="62.6"/>
    <x v="50"/>
  </r>
  <r>
    <x v="4"/>
    <s v="Mortality rate, infant (per 1,000 live births)"/>
    <n v="62.6"/>
    <x v="50"/>
  </r>
  <r>
    <x v="5"/>
    <s v="Mortality rate, infant (per 1,000 live births)"/>
    <n v="55.3"/>
    <x v="50"/>
  </r>
  <r>
    <x v="6"/>
    <s v="Mortality rate, infant (per 1,000 live births)"/>
    <n v="69.5"/>
    <x v="50"/>
  </r>
  <r>
    <x v="7"/>
    <s v="Mortality rate, infant (per 1,000 live births)"/>
    <n v="87"/>
    <x v="50"/>
  </r>
  <r>
    <x v="8"/>
    <s v="Mortality rate, infant (per 1,000 live births)"/>
    <n v="39.9"/>
    <x v="50"/>
  </r>
  <r>
    <x v="9"/>
    <s v="Mortality rate, infant (per 1,000 live births)"/>
    <m/>
    <x v="50"/>
  </r>
  <r>
    <x v="10"/>
    <s v="Mortality rate, infant (per 1,000 live births)"/>
    <n v="70.400000000000006"/>
    <x v="50"/>
  </r>
  <r>
    <x v="11"/>
    <s v="Mortality rate, infant (per 1,000 live births)"/>
    <n v="42.9"/>
    <x v="50"/>
  </r>
  <r>
    <x v="12"/>
    <s v="Mortality rate, infant (per 1,000 live births)"/>
    <n v="56.2"/>
    <x v="50"/>
  </r>
  <r>
    <x v="13"/>
    <s v="Mortality rate, infant (per 1,000 live births)"/>
    <n v="79.099999999999994"/>
    <x v="50"/>
  </r>
  <r>
    <x v="14"/>
    <s v="Mortality rate, infant (per 1,000 live births)"/>
    <n v="14.8"/>
    <x v="50"/>
  </r>
  <r>
    <x v="15"/>
    <s v="Mortality rate, infant (per 1,000 live births)"/>
    <n v="70.7"/>
    <x v="50"/>
  </r>
  <r>
    <x v="16"/>
    <s v="Mortality rate, infant (per 1,000 live births)"/>
    <n v="49"/>
    <x v="50"/>
  </r>
  <r>
    <x v="17"/>
    <s v="Mortality rate, infant (per 1,000 live births)"/>
    <n v="37.5"/>
    <x v="50"/>
  </r>
  <r>
    <x v="18"/>
    <s v="Mortality rate, infant (per 1,000 live births)"/>
    <n v="19.2"/>
    <x v="50"/>
  </r>
  <r>
    <x v="19"/>
    <s v="Mortality rate, infant (per 1,000 live births)"/>
    <n v="62.4"/>
    <x v="50"/>
  </r>
  <r>
    <x v="20"/>
    <s v="Mortality rate, infant (per 1,000 live births)"/>
    <n v="44.5"/>
    <x v="50"/>
  </r>
  <r>
    <x v="21"/>
    <s v="Mortality rate, infant (per 1,000 live births)"/>
    <n v="33.5"/>
    <x v="50"/>
  </r>
  <r>
    <x v="22"/>
    <s v="Mortality rate, infant (per 1,000 live births)"/>
    <n v="10"/>
    <x v="50"/>
  </r>
  <r>
    <x v="23"/>
    <s v="Mortality rate, infant (per 1,000 live births)"/>
    <n v="36.9"/>
    <x v="50"/>
  </r>
  <r>
    <x v="24"/>
    <s v="Mortality rate, infant (per 1,000 live births)"/>
    <n v="48.1"/>
    <x v="50"/>
  </r>
  <r>
    <x v="25"/>
    <s v="Mortality rate, infant (per 1,000 live births)"/>
    <n v="51"/>
    <x v="50"/>
  </r>
  <r>
    <x v="26"/>
    <s v="Mortality rate, infant (per 1,000 live births)"/>
    <n v="53.4"/>
    <x v="50"/>
  </r>
  <r>
    <x v="27"/>
    <s v="Mortality rate, infant (per 1,000 live births)"/>
    <n v="55.1"/>
    <x v="50"/>
  </r>
  <r>
    <x v="0"/>
    <s v="Mortality rate, infant (per 1,000 live births)"/>
    <n v="56.1"/>
    <x v="51"/>
  </r>
  <r>
    <x v="1"/>
    <s v="Mortality rate, infant (per 1,000 live births)"/>
    <n v="66.8"/>
    <x v="51"/>
  </r>
  <r>
    <x v="2"/>
    <s v="Mortality rate, infant (per 1,000 live births)"/>
    <n v="83.4"/>
    <x v="51"/>
  </r>
  <r>
    <x v="3"/>
    <s v="Mortality rate, infant (per 1,000 live births)"/>
    <n v="60.9"/>
    <x v="51"/>
  </r>
  <r>
    <x v="4"/>
    <s v="Mortality rate, infant (per 1,000 live births)"/>
    <n v="60.9"/>
    <x v="51"/>
  </r>
  <r>
    <x v="5"/>
    <s v="Mortality rate, infant (per 1,000 live births)"/>
    <n v="52.7"/>
    <x v="51"/>
  </r>
  <r>
    <x v="6"/>
    <s v="Mortality rate, infant (per 1,000 live births)"/>
    <n v="67.400000000000006"/>
    <x v="51"/>
  </r>
  <r>
    <x v="7"/>
    <s v="Mortality rate, infant (per 1,000 live births)"/>
    <n v="59.6"/>
    <x v="51"/>
  </r>
  <r>
    <x v="8"/>
    <s v="Mortality rate, infant (per 1,000 live births)"/>
    <n v="38.9"/>
    <x v="51"/>
  </r>
  <r>
    <x v="9"/>
    <s v="Mortality rate, infant (per 1,000 live births)"/>
    <m/>
    <x v="51"/>
  </r>
  <r>
    <x v="10"/>
    <s v="Mortality rate, infant (per 1,000 live births)"/>
    <n v="67.8"/>
    <x v="51"/>
  </r>
  <r>
    <x v="11"/>
    <s v="Mortality rate, infant (per 1,000 live births)"/>
    <n v="40.9"/>
    <x v="51"/>
  </r>
  <r>
    <x v="12"/>
    <s v="Mortality rate, infant (per 1,000 live births)"/>
    <n v="52.9"/>
    <x v="51"/>
  </r>
  <r>
    <x v="13"/>
    <s v="Mortality rate, infant (per 1,000 live births)"/>
    <n v="76.900000000000006"/>
    <x v="51"/>
  </r>
  <r>
    <x v="14"/>
    <s v="Mortality rate, infant (per 1,000 live births)"/>
    <n v="14.6"/>
    <x v="51"/>
  </r>
  <r>
    <x v="15"/>
    <s v="Mortality rate, infant (per 1,000 live births)"/>
    <n v="66.900000000000006"/>
    <x v="51"/>
  </r>
  <r>
    <x v="16"/>
    <s v="Mortality rate, infant (per 1,000 live births)"/>
    <n v="47.3"/>
    <x v="51"/>
  </r>
  <r>
    <x v="17"/>
    <s v="Mortality rate, infant (per 1,000 live births)"/>
    <n v="35.799999999999997"/>
    <x v="51"/>
  </r>
  <r>
    <x v="18"/>
    <s v="Mortality rate, infant (per 1,000 live births)"/>
    <n v="18.399999999999999"/>
    <x v="51"/>
  </r>
  <r>
    <x v="19"/>
    <s v="Mortality rate, infant (per 1,000 live births)"/>
    <n v="59.9"/>
    <x v="51"/>
  </r>
  <r>
    <x v="20"/>
    <s v="Mortality rate, infant (per 1,000 live births)"/>
    <n v="40.4"/>
    <x v="51"/>
  </r>
  <r>
    <x v="21"/>
    <s v="Mortality rate, infant (per 1,000 live births)"/>
    <n v="31.9"/>
    <x v="51"/>
  </r>
  <r>
    <x v="22"/>
    <s v="Mortality rate, infant (per 1,000 live births)"/>
    <n v="9.6"/>
    <x v="51"/>
  </r>
  <r>
    <x v="23"/>
    <s v="Mortality rate, infant (per 1,000 live births)"/>
    <n v="35.5"/>
    <x v="51"/>
  </r>
  <r>
    <x v="24"/>
    <s v="Mortality rate, infant (per 1,000 live births)"/>
    <n v="46.2"/>
    <x v="51"/>
  </r>
  <r>
    <x v="25"/>
    <s v="Mortality rate, infant (per 1,000 live births)"/>
    <n v="48.3"/>
    <x v="51"/>
  </r>
  <r>
    <x v="26"/>
    <s v="Mortality rate, infant (per 1,000 live births)"/>
    <n v="51.5"/>
    <x v="51"/>
  </r>
  <r>
    <x v="27"/>
    <s v="Mortality rate, infant (per 1,000 live births)"/>
    <n v="52.2"/>
    <x v="51"/>
  </r>
  <r>
    <x v="0"/>
    <s v="Mortality rate, infant (per 1,000 live births)"/>
    <n v="53.1"/>
    <x v="52"/>
  </r>
  <r>
    <x v="1"/>
    <s v="Mortality rate, infant (per 1,000 live births)"/>
    <n v="64.400000000000006"/>
    <x v="52"/>
  </r>
  <r>
    <x v="2"/>
    <s v="Mortality rate, infant (per 1,000 live births)"/>
    <n v="81.7"/>
    <x v="52"/>
  </r>
  <r>
    <x v="3"/>
    <s v="Mortality rate, infant (per 1,000 live births)"/>
    <n v="59.5"/>
    <x v="52"/>
  </r>
  <r>
    <x v="4"/>
    <s v="Mortality rate, infant (per 1,000 live births)"/>
    <n v="59.3"/>
    <x v="52"/>
  </r>
  <r>
    <x v="5"/>
    <s v="Mortality rate, infant (per 1,000 live births)"/>
    <n v="50.4"/>
    <x v="52"/>
  </r>
  <r>
    <x v="6"/>
    <s v="Mortality rate, infant (per 1,000 live births)"/>
    <n v="65.400000000000006"/>
    <x v="52"/>
  </r>
  <r>
    <x v="7"/>
    <s v="Mortality rate, infant (per 1,000 live births)"/>
    <n v="58.8"/>
    <x v="52"/>
  </r>
  <r>
    <x v="8"/>
    <s v="Mortality rate, infant (per 1,000 live births)"/>
    <n v="38.299999999999997"/>
    <x v="52"/>
  </r>
  <r>
    <x v="9"/>
    <s v="Mortality rate, infant (per 1,000 live births)"/>
    <m/>
    <x v="52"/>
  </r>
  <r>
    <x v="10"/>
    <s v="Mortality rate, infant (per 1,000 live births)"/>
    <n v="65.400000000000006"/>
    <x v="52"/>
  </r>
  <r>
    <x v="11"/>
    <s v="Mortality rate, infant (per 1,000 live births)"/>
    <n v="39"/>
    <x v="52"/>
  </r>
  <r>
    <x v="12"/>
    <s v="Mortality rate, infant (per 1,000 live births)"/>
    <n v="49.2"/>
    <x v="52"/>
  </r>
  <r>
    <x v="13"/>
    <s v="Mortality rate, infant (per 1,000 live births)"/>
    <n v="74.7"/>
    <x v="52"/>
  </r>
  <r>
    <x v="14"/>
    <s v="Mortality rate, infant (per 1,000 live births)"/>
    <n v="14.4"/>
    <x v="52"/>
  </r>
  <r>
    <x v="15"/>
    <s v="Mortality rate, infant (per 1,000 live births)"/>
    <n v="63.5"/>
    <x v="52"/>
  </r>
  <r>
    <x v="16"/>
    <s v="Mortality rate, infant (per 1,000 live births)"/>
    <n v="45.6"/>
    <x v="52"/>
  </r>
  <r>
    <x v="17"/>
    <s v="Mortality rate, infant (per 1,000 live births)"/>
    <n v="34.200000000000003"/>
    <x v="52"/>
  </r>
  <r>
    <x v="18"/>
    <s v="Mortality rate, infant (per 1,000 live births)"/>
    <n v="17.7"/>
    <x v="52"/>
  </r>
  <r>
    <x v="19"/>
    <s v="Mortality rate, infant (per 1,000 live births)"/>
    <n v="57.6"/>
    <x v="52"/>
  </r>
  <r>
    <x v="20"/>
    <s v="Mortality rate, infant (per 1,000 live births)"/>
    <n v="37.5"/>
    <x v="52"/>
  </r>
  <r>
    <x v="21"/>
    <s v="Mortality rate, infant (per 1,000 live births)"/>
    <n v="30.5"/>
    <x v="52"/>
  </r>
  <r>
    <x v="22"/>
    <s v="Mortality rate, infant (per 1,000 live births)"/>
    <n v="9.3000000000000007"/>
    <x v="52"/>
  </r>
  <r>
    <x v="23"/>
    <s v="Mortality rate, infant (per 1,000 live births)"/>
    <n v="34.299999999999997"/>
    <x v="52"/>
  </r>
  <r>
    <x v="24"/>
    <s v="Mortality rate, infant (per 1,000 live births)"/>
    <n v="44.8"/>
    <x v="52"/>
  </r>
  <r>
    <x v="25"/>
    <s v="Mortality rate, infant (per 1,000 live births)"/>
    <n v="45.1"/>
    <x v="52"/>
  </r>
  <r>
    <x v="26"/>
    <s v="Mortality rate, infant (per 1,000 live births)"/>
    <n v="49.6"/>
    <x v="52"/>
  </r>
  <r>
    <x v="27"/>
    <s v="Mortality rate, infant (per 1,000 live births)"/>
    <n v="48.4"/>
    <x v="52"/>
  </r>
  <r>
    <x v="0"/>
    <s v="Mortality rate, infant (per 1,000 live births)"/>
    <n v="50.5"/>
    <x v="53"/>
  </r>
  <r>
    <x v="1"/>
    <s v="Mortality rate, infant (per 1,000 live births)"/>
    <n v="62.1"/>
    <x v="53"/>
  </r>
  <r>
    <x v="2"/>
    <s v="Mortality rate, infant (per 1,000 live births)"/>
    <n v="80.099999999999994"/>
    <x v="53"/>
  </r>
  <r>
    <x v="3"/>
    <s v="Mortality rate, infant (per 1,000 live births)"/>
    <n v="57.9"/>
    <x v="53"/>
  </r>
  <r>
    <x v="4"/>
    <s v="Mortality rate, infant (per 1,000 live births)"/>
    <n v="57.7"/>
    <x v="53"/>
  </r>
  <r>
    <x v="5"/>
    <s v="Mortality rate, infant (per 1,000 live births)"/>
    <n v="48.2"/>
    <x v="53"/>
  </r>
  <r>
    <x v="6"/>
    <s v="Mortality rate, infant (per 1,000 live births)"/>
    <n v="63.5"/>
    <x v="53"/>
  </r>
  <r>
    <x v="7"/>
    <s v="Mortality rate, infant (per 1,000 live births)"/>
    <n v="57.9"/>
    <x v="53"/>
  </r>
  <r>
    <x v="8"/>
    <s v="Mortality rate, infant (per 1,000 live births)"/>
    <n v="37.4"/>
    <x v="53"/>
  </r>
  <r>
    <x v="9"/>
    <s v="Mortality rate, infant (per 1,000 live births)"/>
    <m/>
    <x v="53"/>
  </r>
  <r>
    <x v="10"/>
    <s v="Mortality rate, infant (per 1,000 live births)"/>
    <n v="63.2"/>
    <x v="53"/>
  </r>
  <r>
    <x v="11"/>
    <s v="Mortality rate, infant (per 1,000 live births)"/>
    <n v="37.4"/>
    <x v="53"/>
  </r>
  <r>
    <x v="12"/>
    <s v="Mortality rate, infant (per 1,000 live births)"/>
    <n v="46.4"/>
    <x v="53"/>
  </r>
  <r>
    <x v="13"/>
    <s v="Mortality rate, infant (per 1,000 live births)"/>
    <n v="72.8"/>
    <x v="53"/>
  </r>
  <r>
    <x v="14"/>
    <s v="Mortality rate, infant (per 1,000 live births)"/>
    <n v="14.2"/>
    <x v="53"/>
  </r>
  <r>
    <x v="15"/>
    <s v="Mortality rate, infant (per 1,000 live births)"/>
    <n v="60.9"/>
    <x v="53"/>
  </r>
  <r>
    <x v="16"/>
    <s v="Mortality rate, infant (per 1,000 live births)"/>
    <n v="44.1"/>
    <x v="53"/>
  </r>
  <r>
    <x v="17"/>
    <s v="Mortality rate, infant (per 1,000 live births)"/>
    <n v="32.6"/>
    <x v="53"/>
  </r>
  <r>
    <x v="18"/>
    <s v="Mortality rate, infant (per 1,000 live births)"/>
    <n v="17"/>
    <x v="53"/>
  </r>
  <r>
    <x v="19"/>
    <s v="Mortality rate, infant (per 1,000 live births)"/>
    <n v="55.5"/>
    <x v="53"/>
  </r>
  <r>
    <x v="20"/>
    <s v="Mortality rate, infant (per 1,000 live births)"/>
    <n v="35"/>
    <x v="53"/>
  </r>
  <r>
    <x v="21"/>
    <s v="Mortality rate, infant (per 1,000 live births)"/>
    <n v="29.2"/>
    <x v="53"/>
  </r>
  <r>
    <x v="22"/>
    <s v="Mortality rate, infant (per 1,000 live births)"/>
    <n v="8.9"/>
    <x v="53"/>
  </r>
  <r>
    <x v="23"/>
    <s v="Mortality rate, infant (per 1,000 live births)"/>
    <n v="33.200000000000003"/>
    <x v="53"/>
  </r>
  <r>
    <x v="24"/>
    <s v="Mortality rate, infant (per 1,000 live births)"/>
    <n v="43.5"/>
    <x v="53"/>
  </r>
  <r>
    <x v="25"/>
    <s v="Mortality rate, infant (per 1,000 live births)"/>
    <n v="42.9"/>
    <x v="53"/>
  </r>
  <r>
    <x v="26"/>
    <s v="Mortality rate, infant (per 1,000 live births)"/>
    <n v="48.3"/>
    <x v="53"/>
  </r>
  <r>
    <x v="27"/>
    <s v="Mortality rate, infant (per 1,000 live births)"/>
    <n v="45.4"/>
    <x v="53"/>
  </r>
  <r>
    <x v="0"/>
    <s v="Mortality rate, infant (per 1,000 live births)"/>
    <n v="48"/>
    <x v="54"/>
  </r>
  <r>
    <x v="1"/>
    <s v="Mortality rate, infant (per 1,000 live births)"/>
    <n v="60.3"/>
    <x v="54"/>
  </r>
  <r>
    <x v="2"/>
    <s v="Mortality rate, infant (per 1,000 live births)"/>
    <n v="78.400000000000006"/>
    <x v="54"/>
  </r>
  <r>
    <x v="3"/>
    <s v="Mortality rate, infant (per 1,000 live births)"/>
    <n v="56.4"/>
    <x v="54"/>
  </r>
  <r>
    <x v="4"/>
    <s v="Mortality rate, infant (per 1,000 live births)"/>
    <n v="56.1"/>
    <x v="54"/>
  </r>
  <r>
    <x v="5"/>
    <s v="Mortality rate, infant (per 1,000 live births)"/>
    <n v="46.1"/>
    <x v="54"/>
  </r>
  <r>
    <x v="6"/>
    <s v="Mortality rate, infant (per 1,000 live births)"/>
    <n v="61.6"/>
    <x v="54"/>
  </r>
  <r>
    <x v="7"/>
    <s v="Mortality rate, infant (per 1,000 live births)"/>
    <n v="57"/>
    <x v="54"/>
  </r>
  <r>
    <x v="8"/>
    <s v="Mortality rate, infant (per 1,000 live births)"/>
    <n v="36.299999999999997"/>
    <x v="54"/>
  </r>
  <r>
    <x v="9"/>
    <s v="Mortality rate, infant (per 1,000 live births)"/>
    <m/>
    <x v="54"/>
  </r>
  <r>
    <x v="10"/>
    <s v="Mortality rate, infant (per 1,000 live births)"/>
    <n v="61.2"/>
    <x v="54"/>
  </r>
  <r>
    <x v="11"/>
    <s v="Mortality rate, infant (per 1,000 live births)"/>
    <n v="36.1"/>
    <x v="54"/>
  </r>
  <r>
    <x v="12"/>
    <s v="Mortality rate, infant (per 1,000 live births)"/>
    <n v="44.1"/>
    <x v="54"/>
  </r>
  <r>
    <x v="13"/>
    <s v="Mortality rate, infant (per 1,000 live births)"/>
    <n v="71"/>
    <x v="54"/>
  </r>
  <r>
    <x v="14"/>
    <s v="Mortality rate, infant (per 1,000 live births)"/>
    <n v="14"/>
    <x v="54"/>
  </r>
  <r>
    <x v="15"/>
    <s v="Mortality rate, infant (per 1,000 live births)"/>
    <n v="58.9"/>
    <x v="54"/>
  </r>
  <r>
    <x v="16"/>
    <s v="Mortality rate, infant (per 1,000 live births)"/>
    <n v="42.5"/>
    <x v="54"/>
  </r>
  <r>
    <x v="17"/>
    <s v="Mortality rate, infant (per 1,000 live births)"/>
    <n v="31.2"/>
    <x v="54"/>
  </r>
  <r>
    <x v="18"/>
    <s v="Mortality rate, infant (per 1,000 live births)"/>
    <n v="16.399999999999999"/>
    <x v="54"/>
  </r>
  <r>
    <x v="19"/>
    <s v="Mortality rate, infant (per 1,000 live births)"/>
    <n v="53.5"/>
    <x v="54"/>
  </r>
  <r>
    <x v="20"/>
    <s v="Mortality rate, infant (per 1,000 live births)"/>
    <n v="33"/>
    <x v="54"/>
  </r>
  <r>
    <x v="21"/>
    <s v="Mortality rate, infant (per 1,000 live births)"/>
    <n v="28.1"/>
    <x v="54"/>
  </r>
  <r>
    <x v="22"/>
    <s v="Mortality rate, infant (per 1,000 live births)"/>
    <n v="8.5"/>
    <x v="54"/>
  </r>
  <r>
    <x v="23"/>
    <s v="Mortality rate, infant (per 1,000 live births)"/>
    <n v="32.200000000000003"/>
    <x v="54"/>
  </r>
  <r>
    <x v="24"/>
    <s v="Mortality rate, infant (per 1,000 live births)"/>
    <n v="42.4"/>
    <x v="54"/>
  </r>
  <r>
    <x v="25"/>
    <s v="Mortality rate, infant (per 1,000 live births)"/>
    <n v="41"/>
    <x v="54"/>
  </r>
  <r>
    <x v="26"/>
    <s v="Mortality rate, infant (per 1,000 live births)"/>
    <n v="46.3"/>
    <x v="54"/>
  </r>
  <r>
    <x v="27"/>
    <s v="Mortality rate, infant (per 1,000 live births)"/>
    <n v="42.3"/>
    <x v="54"/>
  </r>
  <r>
    <x v="0"/>
    <s v="Mortality rate, infant (per 1,000 live births)"/>
    <n v="45.9"/>
    <x v="55"/>
  </r>
  <r>
    <x v="1"/>
    <s v="Mortality rate, infant (per 1,000 live births)"/>
    <n v="58.2"/>
    <x v="55"/>
  </r>
  <r>
    <x v="2"/>
    <s v="Mortality rate, infant (per 1,000 live births)"/>
    <n v="76.7"/>
    <x v="55"/>
  </r>
  <r>
    <x v="3"/>
    <s v="Mortality rate, infant (per 1,000 live births)"/>
    <n v="54.9"/>
    <x v="55"/>
  </r>
  <r>
    <x v="4"/>
    <s v="Mortality rate, infant (per 1,000 live births)"/>
    <n v="54.5"/>
    <x v="55"/>
  </r>
  <r>
    <x v="5"/>
    <s v="Mortality rate, infant (per 1,000 live births)"/>
    <n v="44.2"/>
    <x v="55"/>
  </r>
  <r>
    <x v="6"/>
    <s v="Mortality rate, infant (per 1,000 live births)"/>
    <n v="59.8"/>
    <x v="55"/>
  </r>
  <r>
    <x v="7"/>
    <s v="Mortality rate, infant (per 1,000 live births)"/>
    <n v="56.1"/>
    <x v="55"/>
  </r>
  <r>
    <x v="8"/>
    <s v="Mortality rate, infant (per 1,000 live births)"/>
    <n v="35.1"/>
    <x v="55"/>
  </r>
  <r>
    <x v="9"/>
    <s v="Mortality rate, infant (per 1,000 live births)"/>
    <m/>
    <x v="55"/>
  </r>
  <r>
    <x v="10"/>
    <s v="Mortality rate, infant (per 1,000 live births)"/>
    <n v="59.3"/>
    <x v="55"/>
  </r>
  <r>
    <x v="11"/>
    <s v="Mortality rate, infant (per 1,000 live births)"/>
    <n v="34.9"/>
    <x v="55"/>
  </r>
  <r>
    <x v="12"/>
    <s v="Mortality rate, infant (per 1,000 live births)"/>
    <n v="42"/>
    <x v="55"/>
  </r>
  <r>
    <x v="13"/>
    <s v="Mortality rate, infant (per 1,000 live births)"/>
    <n v="69.2"/>
    <x v="55"/>
  </r>
  <r>
    <x v="14"/>
    <s v="Mortality rate, infant (per 1,000 live births)"/>
    <n v="13.8"/>
    <x v="55"/>
  </r>
  <r>
    <x v="15"/>
    <s v="Mortality rate, infant (per 1,000 live births)"/>
    <n v="57"/>
    <x v="55"/>
  </r>
  <r>
    <x v="16"/>
    <s v="Mortality rate, infant (per 1,000 live births)"/>
    <n v="41.1"/>
    <x v="55"/>
  </r>
  <r>
    <x v="17"/>
    <s v="Mortality rate, infant (per 1,000 live births)"/>
    <n v="29.9"/>
    <x v="55"/>
  </r>
  <r>
    <x v="18"/>
    <s v="Mortality rate, infant (per 1,000 live births)"/>
    <n v="15.9"/>
    <x v="55"/>
  </r>
  <r>
    <x v="19"/>
    <s v="Mortality rate, infant (per 1,000 live births)"/>
    <n v="51.6"/>
    <x v="55"/>
  </r>
  <r>
    <x v="20"/>
    <s v="Mortality rate, infant (per 1,000 live births)"/>
    <n v="31.4"/>
    <x v="55"/>
  </r>
  <r>
    <x v="21"/>
    <s v="Mortality rate, infant (per 1,000 live births)"/>
    <n v="27.1"/>
    <x v="55"/>
  </r>
  <r>
    <x v="22"/>
    <s v="Mortality rate, infant (per 1,000 live births)"/>
    <n v="8.1999999999999993"/>
    <x v="55"/>
  </r>
  <r>
    <x v="23"/>
    <s v="Mortality rate, infant (per 1,000 live births)"/>
    <n v="31.3"/>
    <x v="55"/>
  </r>
  <r>
    <x v="24"/>
    <s v="Mortality rate, infant (per 1,000 live births)"/>
    <n v="41"/>
    <x v="55"/>
  </r>
  <r>
    <x v="25"/>
    <s v="Mortality rate, infant (per 1,000 live births)"/>
    <n v="39"/>
    <x v="55"/>
  </r>
  <r>
    <x v="26"/>
    <s v="Mortality rate, infant (per 1,000 live births)"/>
    <n v="44.2"/>
    <x v="55"/>
  </r>
  <r>
    <x v="27"/>
    <s v="Mortality rate, infant (per 1,000 live births)"/>
    <n v="40.200000000000003"/>
    <x v="55"/>
  </r>
  <r>
    <x v="0"/>
    <s v="Mortality rate, infant (per 1,000 live births)"/>
    <n v="44.1"/>
    <x v="56"/>
  </r>
  <r>
    <x v="1"/>
    <s v="Mortality rate, infant (per 1,000 live births)"/>
    <n v="56.6"/>
    <x v="56"/>
  </r>
  <r>
    <x v="2"/>
    <s v="Mortality rate, infant (per 1,000 live births)"/>
    <n v="75"/>
    <x v="56"/>
  </r>
  <r>
    <x v="3"/>
    <s v="Mortality rate, infant (per 1,000 live births)"/>
    <n v="53.6"/>
    <x v="56"/>
  </r>
  <r>
    <x v="4"/>
    <s v="Mortality rate, infant (per 1,000 live births)"/>
    <n v="53"/>
    <x v="56"/>
  </r>
  <r>
    <x v="5"/>
    <s v="Mortality rate, infant (per 1,000 live births)"/>
    <n v="42.5"/>
    <x v="56"/>
  </r>
  <r>
    <x v="6"/>
    <s v="Mortality rate, infant (per 1,000 live births)"/>
    <n v="58.1"/>
    <x v="56"/>
  </r>
  <r>
    <x v="7"/>
    <s v="Mortality rate, infant (per 1,000 live births)"/>
    <n v="55"/>
    <x v="56"/>
  </r>
  <r>
    <x v="8"/>
    <s v="Mortality rate, infant (per 1,000 live births)"/>
    <n v="34.299999999999997"/>
    <x v="56"/>
  </r>
  <r>
    <x v="9"/>
    <s v="Mortality rate, infant (per 1,000 live births)"/>
    <m/>
    <x v="56"/>
  </r>
  <r>
    <x v="10"/>
    <s v="Mortality rate, infant (per 1,000 live births)"/>
    <n v="57.6"/>
    <x v="56"/>
  </r>
  <r>
    <x v="11"/>
    <s v="Mortality rate, infant (per 1,000 live births)"/>
    <n v="33.700000000000003"/>
    <x v="56"/>
  </r>
  <r>
    <x v="12"/>
    <s v="Mortality rate, infant (per 1,000 live births)"/>
    <n v="40.200000000000003"/>
    <x v="56"/>
  </r>
  <r>
    <x v="13"/>
    <s v="Mortality rate, infant (per 1,000 live births)"/>
    <n v="67.400000000000006"/>
    <x v="56"/>
  </r>
  <r>
    <x v="14"/>
    <s v="Mortality rate, infant (per 1,000 live births)"/>
    <n v="13.5"/>
    <x v="56"/>
  </r>
  <r>
    <x v="15"/>
    <s v="Mortality rate, infant (per 1,000 live births)"/>
    <n v="55.2"/>
    <x v="56"/>
  </r>
  <r>
    <x v="16"/>
    <s v="Mortality rate, infant (per 1,000 live births)"/>
    <n v="39.9"/>
    <x v="56"/>
  </r>
  <r>
    <x v="17"/>
    <s v="Mortality rate, infant (per 1,000 live births)"/>
    <n v="28.8"/>
    <x v="56"/>
  </r>
  <r>
    <x v="18"/>
    <s v="Mortality rate, infant (per 1,000 live births)"/>
    <n v="15.3"/>
    <x v="56"/>
  </r>
  <r>
    <x v="19"/>
    <s v="Mortality rate, infant (per 1,000 live births)"/>
    <n v="49.9"/>
    <x v="56"/>
  </r>
  <r>
    <x v="20"/>
    <s v="Mortality rate, infant (per 1,000 live births)"/>
    <n v="30.1"/>
    <x v="56"/>
  </r>
  <r>
    <x v="21"/>
    <s v="Mortality rate, infant (per 1,000 live births)"/>
    <n v="26.1"/>
    <x v="56"/>
  </r>
  <r>
    <x v="22"/>
    <s v="Mortality rate, infant (per 1,000 live births)"/>
    <n v="7.8"/>
    <x v="56"/>
  </r>
  <r>
    <x v="23"/>
    <s v="Mortality rate, infant (per 1,000 live births)"/>
    <n v="30.3"/>
    <x v="56"/>
  </r>
  <r>
    <x v="24"/>
    <s v="Mortality rate, infant (per 1,000 live births)"/>
    <n v="39.700000000000003"/>
    <x v="56"/>
  </r>
  <r>
    <x v="25"/>
    <s v="Mortality rate, infant (per 1,000 live births)"/>
    <n v="37"/>
    <x v="56"/>
  </r>
  <r>
    <x v="26"/>
    <s v="Mortality rate, infant (per 1,000 live births)"/>
    <n v="43"/>
    <x v="56"/>
  </r>
  <r>
    <x v="27"/>
    <s v="Mortality rate, infant (per 1,000 live births)"/>
    <n v="38.200000000000003"/>
    <x v="56"/>
  </r>
  <r>
    <x v="0"/>
    <s v="Mortality rate, infant (per 1,000 live births)"/>
    <n v="42.5"/>
    <x v="57"/>
  </r>
  <r>
    <x v="1"/>
    <s v="Mortality rate, infant (per 1,000 live births)"/>
    <n v="55.1"/>
    <x v="57"/>
  </r>
  <r>
    <x v="2"/>
    <s v="Mortality rate, infant (per 1,000 live births)"/>
    <n v="73.400000000000006"/>
    <x v="57"/>
  </r>
  <r>
    <x v="3"/>
    <s v="Mortality rate, infant (per 1,000 live births)"/>
    <n v="52.2"/>
    <x v="57"/>
  </r>
  <r>
    <x v="4"/>
    <s v="Mortality rate, infant (per 1,000 live births)"/>
    <n v="51.5"/>
    <x v="57"/>
  </r>
  <r>
    <x v="5"/>
    <s v="Mortality rate, infant (per 1,000 live births)"/>
    <n v="41"/>
    <x v="57"/>
  </r>
  <r>
    <x v="6"/>
    <s v="Mortality rate, infant (per 1,000 live births)"/>
    <n v="56.4"/>
    <x v="57"/>
  </r>
  <r>
    <x v="7"/>
    <s v="Mortality rate, infant (per 1,000 live births)"/>
    <n v="53.9"/>
    <x v="57"/>
  </r>
  <r>
    <x v="8"/>
    <s v="Mortality rate, infant (per 1,000 live births)"/>
    <n v="33.6"/>
    <x v="57"/>
  </r>
  <r>
    <x v="9"/>
    <s v="Mortality rate, infant (per 1,000 live births)"/>
    <m/>
    <x v="57"/>
  </r>
  <r>
    <x v="10"/>
    <s v="Mortality rate, infant (per 1,000 live births)"/>
    <n v="55.9"/>
    <x v="57"/>
  </r>
  <r>
    <x v="11"/>
    <s v="Mortality rate, infant (per 1,000 live births)"/>
    <n v="32.700000000000003"/>
    <x v="57"/>
  </r>
  <r>
    <x v="12"/>
    <s v="Mortality rate, infant (per 1,000 live births)"/>
    <n v="38.5"/>
    <x v="57"/>
  </r>
  <r>
    <x v="13"/>
    <s v="Mortality rate, infant (per 1,000 live births)"/>
    <n v="65.8"/>
    <x v="57"/>
  </r>
  <r>
    <x v="14"/>
    <s v="Mortality rate, infant (per 1,000 live births)"/>
    <n v="13.3"/>
    <x v="57"/>
  </r>
  <r>
    <x v="15"/>
    <s v="Mortality rate, infant (per 1,000 live births)"/>
    <n v="53.3"/>
    <x v="57"/>
  </r>
  <r>
    <x v="16"/>
    <s v="Mortality rate, infant (per 1,000 live births)"/>
    <n v="38.5"/>
    <x v="57"/>
  </r>
  <r>
    <x v="17"/>
    <s v="Mortality rate, infant (per 1,000 live births)"/>
    <n v="27.8"/>
    <x v="57"/>
  </r>
  <r>
    <x v="18"/>
    <s v="Mortality rate, infant (per 1,000 live births)"/>
    <n v="14.8"/>
    <x v="57"/>
  </r>
  <r>
    <x v="19"/>
    <s v="Mortality rate, infant (per 1,000 live births)"/>
    <n v="48.3"/>
    <x v="57"/>
  </r>
  <r>
    <x v="20"/>
    <s v="Mortality rate, infant (per 1,000 live births)"/>
    <n v="28.9"/>
    <x v="57"/>
  </r>
  <r>
    <x v="21"/>
    <s v="Mortality rate, infant (per 1,000 live births)"/>
    <n v="25.2"/>
    <x v="57"/>
  </r>
  <r>
    <x v="22"/>
    <s v="Mortality rate, infant (per 1,000 live births)"/>
    <n v="7.5"/>
    <x v="57"/>
  </r>
  <r>
    <x v="23"/>
    <s v="Mortality rate, infant (per 1,000 live births)"/>
    <n v="29.4"/>
    <x v="57"/>
  </r>
  <r>
    <x v="24"/>
    <s v="Mortality rate, infant (per 1,000 live births)"/>
    <n v="38.299999999999997"/>
    <x v="57"/>
  </r>
  <r>
    <x v="25"/>
    <s v="Mortality rate, infant (per 1,000 live births)"/>
    <n v="35.4"/>
    <x v="57"/>
  </r>
  <r>
    <x v="26"/>
    <s v="Mortality rate, infant (per 1,000 live births)"/>
    <n v="41.5"/>
    <x v="57"/>
  </r>
  <r>
    <x v="27"/>
    <s v="Mortality rate, infant (per 1,000 live births)"/>
    <n v="36.5"/>
    <x v="57"/>
  </r>
</pivotCacheRecords>
</file>

<file path=xl/pivotCache/pivotCacheRecords3.xml><?xml version="1.0" encoding="utf-8"?>
<pivotCacheRecords xmlns="http://schemas.openxmlformats.org/spreadsheetml/2006/main" xmlns:r="http://schemas.openxmlformats.org/officeDocument/2006/relationships" count="1624">
  <r>
    <x v="0"/>
    <s v="Population growth (annual %)"/>
    <n v="1.9450671046913399"/>
    <x v="0"/>
  </r>
  <r>
    <x v="1"/>
    <s v="Population growth (annual %)"/>
    <n v="2.0191202759051001"/>
    <x v="0"/>
  </r>
  <r>
    <x v="2"/>
    <s v="Population growth (annual %)"/>
    <n v="1.9000035806061999"/>
    <x v="0"/>
  </r>
  <r>
    <x v="3"/>
    <s v="Population growth (annual %)"/>
    <n v="1.5948948102160401"/>
    <x v="0"/>
  </r>
  <r>
    <x v="4"/>
    <s v="Population growth (annual %)"/>
    <n v="4.9309214152202703"/>
    <x v="0"/>
  </r>
  <r>
    <x v="5"/>
    <s v="Population growth (annual %)"/>
    <n v="2.2335803585264999"/>
    <x v="0"/>
  </r>
  <r>
    <x v="6"/>
    <s v="Population growth (annual %)"/>
    <n v="1.56938319825434"/>
    <x v="0"/>
  </r>
  <r>
    <x v="7"/>
    <s v="Population growth (annual %)"/>
    <n v="1.96060845978278"/>
    <x v="0"/>
  </r>
  <r>
    <x v="8"/>
    <s v="Population growth (annual %)"/>
    <n v="3.0688404005878298"/>
    <x v="0"/>
  </r>
  <r>
    <x v="9"/>
    <s v="Population growth (annual %)"/>
    <n v="2.0267360399877701"/>
    <x v="0"/>
  </r>
  <r>
    <x v="10"/>
    <s v="Population growth (annual %)"/>
    <n v="2.1537718649897801"/>
    <x v="0"/>
  </r>
  <r>
    <x v="11"/>
    <s v="Population growth (annual %)"/>
    <n v="2.3737299582977398"/>
    <x v="0"/>
  </r>
  <r>
    <x v="12"/>
    <s v="Population growth (annual %)"/>
    <n v="2.1967576418553998"/>
    <x v="0"/>
  </r>
  <r>
    <x v="13"/>
    <s v="Population growth (annual %)"/>
    <n v="1.11345092971902"/>
    <x v="0"/>
  </r>
  <r>
    <x v="14"/>
    <s v="Population growth (annual %)"/>
    <n v="2.5075940768211802"/>
    <x v="0"/>
  </r>
  <r>
    <x v="15"/>
    <s v="Population growth (annual %)"/>
    <n v="2.01597717128617"/>
    <x v="0"/>
  </r>
  <r>
    <x v="16"/>
    <s v="Population growth (annual %)"/>
    <n v="2.1467779945830299"/>
    <x v="0"/>
  </r>
  <r>
    <x v="17"/>
    <s v="Population growth (annual %)"/>
    <n v="1.5656238510917899"/>
    <x v="0"/>
  </r>
  <r>
    <x v="18"/>
    <s v="Population growth (annual %)"/>
    <n v="3.1675794469802701"/>
    <x v="0"/>
  </r>
  <r>
    <x v="19"/>
    <s v="Population growth (annual %)"/>
    <n v="2.7882166086077098"/>
    <x v="0"/>
  </r>
  <r>
    <x v="20"/>
    <s v="Population growth (annual %)"/>
    <n v="2.5108500981808"/>
    <x v="0"/>
  </r>
  <r>
    <x v="21"/>
    <s v="Population growth (annual %)"/>
    <n v="1.21350261165204"/>
    <x v="0"/>
  </r>
  <r>
    <x v="22"/>
    <s v="Population growth (annual %)"/>
    <n v="2.3945925589973802"/>
    <x v="0"/>
  </r>
  <r>
    <x v="23"/>
    <s v="Population growth (annual %)"/>
    <n v="3.2374104646138799"/>
    <x v="0"/>
  </r>
  <r>
    <x v="24"/>
    <s v="Population growth (annual %)"/>
    <n v="2.8949827375248098"/>
    <x v="0"/>
  </r>
  <r>
    <x v="25"/>
    <s v="Population growth (annual %)"/>
    <n v="3.0377592699369802"/>
    <x v="0"/>
  </r>
  <r>
    <x v="26"/>
    <s v="Population growth (annual %)"/>
    <n v="3.0126647317910402"/>
    <x v="0"/>
  </r>
  <r>
    <x v="27"/>
    <s v="Population growth (annual %)"/>
    <n v="3.1998771676518598"/>
    <x v="0"/>
  </r>
  <r>
    <x v="0"/>
    <s v="Population growth (annual %)"/>
    <n v="1.9041517609640299"/>
    <x v="1"/>
  </r>
  <r>
    <x v="1"/>
    <s v="Population growth (annual %)"/>
    <n v="2.0831993683772398"/>
    <x v="1"/>
  </r>
  <r>
    <x v="2"/>
    <s v="Population growth (annual %)"/>
    <n v="1.93877745696919"/>
    <x v="1"/>
  </r>
  <r>
    <x v="3"/>
    <s v="Population growth (annual %)"/>
    <n v="1.5667662030157501"/>
    <x v="1"/>
  </r>
  <r>
    <x v="4"/>
    <s v="Population growth (annual %)"/>
    <n v="5.6505903479292297"/>
    <x v="1"/>
  </r>
  <r>
    <x v="5"/>
    <s v="Population growth (annual %)"/>
    <n v="2.3199763078676101"/>
    <x v="1"/>
  </r>
  <r>
    <x v="6"/>
    <s v="Population growth (annual %)"/>
    <n v="1.55994077755865"/>
    <x v="1"/>
  </r>
  <r>
    <x v="7"/>
    <s v="Population growth (annual %)"/>
    <n v="1.9772658409425301"/>
    <x v="1"/>
  </r>
  <r>
    <x v="8"/>
    <s v="Population growth (annual %)"/>
    <n v="3.1095339472939698"/>
    <x v="1"/>
  </r>
  <r>
    <x v="9"/>
    <s v="Population growth (annual %)"/>
    <n v="1.9864741026439801"/>
    <x v="1"/>
  </r>
  <r>
    <x v="10"/>
    <s v="Population growth (annual %)"/>
    <n v="2.1784299307368"/>
    <x v="1"/>
  </r>
  <r>
    <x v="11"/>
    <s v="Population growth (annual %)"/>
    <n v="2.40631023060855"/>
    <x v="1"/>
  </r>
  <r>
    <x v="12"/>
    <s v="Population growth (annual %)"/>
    <n v="2.2253206895018001"/>
    <x v="1"/>
  </r>
  <r>
    <x v="13"/>
    <s v="Population growth (annual %)"/>
    <n v="1.1058681664430401"/>
    <x v="1"/>
  </r>
  <r>
    <x v="14"/>
    <s v="Population growth (annual %)"/>
    <n v="2.36950297274546"/>
    <x v="1"/>
  </r>
  <r>
    <x v="15"/>
    <s v="Population growth (annual %)"/>
    <n v="2.04467666444308"/>
    <x v="1"/>
  </r>
  <r>
    <x v="16"/>
    <s v="Population growth (annual %)"/>
    <n v="2.13048046534395"/>
    <x v="1"/>
  </r>
  <r>
    <x v="17"/>
    <s v="Population growth (annual %)"/>
    <n v="1.56522594046798"/>
    <x v="1"/>
  </r>
  <r>
    <x v="18"/>
    <s v="Population growth (annual %)"/>
    <n v="3.0903691120635401"/>
    <x v="1"/>
  </r>
  <r>
    <x v="19"/>
    <s v="Population growth (annual %)"/>
    <n v="2.8374314589471301"/>
    <x v="1"/>
  </r>
  <r>
    <x v="20"/>
    <s v="Population growth (annual %)"/>
    <n v="2.11384028426769"/>
    <x v="1"/>
  </r>
  <r>
    <x v="21"/>
    <s v="Population growth (annual %)"/>
    <n v="0.46271937471563901"/>
    <x v="1"/>
  </r>
  <r>
    <x v="22"/>
    <s v="Population growth (annual %)"/>
    <n v="2.3734076436323401"/>
    <x v="1"/>
  </r>
  <r>
    <x v="23"/>
    <s v="Population growth (annual %)"/>
    <n v="3.39562848464168"/>
    <x v="1"/>
  </r>
  <r>
    <x v="24"/>
    <s v="Population growth (annual %)"/>
    <n v="2.9236470922805502"/>
    <x v="1"/>
  </r>
  <r>
    <x v="25"/>
    <s v="Population growth (annual %)"/>
    <n v="3.1669398723697801"/>
    <x v="1"/>
  </r>
  <r>
    <x v="26"/>
    <s v="Population growth (annual %)"/>
    <n v="3.0856547648785102"/>
    <x v="1"/>
  </r>
  <r>
    <x v="27"/>
    <s v="Population growth (annual %)"/>
    <n v="3.2395843054940401"/>
    <x v="1"/>
  </r>
  <r>
    <x v="0"/>
    <s v="Population growth (annual %)"/>
    <n v="1.88388074767234"/>
    <x v="2"/>
  </r>
  <r>
    <x v="1"/>
    <s v="Population growth (annual %)"/>
    <n v="2.1468182045183202"/>
    <x v="2"/>
  </r>
  <r>
    <x v="2"/>
    <s v="Population growth (annual %)"/>
    <n v="1.9691747173641201"/>
    <x v="2"/>
  </r>
  <r>
    <x v="3"/>
    <s v="Population growth (annual %)"/>
    <n v="1.5633902780475899"/>
    <x v="2"/>
  </r>
  <r>
    <x v="4"/>
    <s v="Population growth (annual %)"/>
    <n v="6.2482690637337903"/>
    <x v="2"/>
  </r>
  <r>
    <x v="5"/>
    <s v="Population growth (annual %)"/>
    <n v="2.3978838179787201"/>
    <x v="2"/>
  </r>
  <r>
    <x v="6"/>
    <s v="Population growth (annual %)"/>
    <n v="1.5568184520567201"/>
    <x v="2"/>
  </r>
  <r>
    <x v="7"/>
    <s v="Population growth (annual %)"/>
    <n v="1.9892553436926499"/>
    <x v="2"/>
  </r>
  <r>
    <x v="8"/>
    <s v="Population growth (annual %)"/>
    <n v="3.1494597985028898"/>
    <x v="2"/>
  </r>
  <r>
    <x v="9"/>
    <s v="Population growth (annual %)"/>
    <n v="2.8573372444055898"/>
    <x v="2"/>
  </r>
  <r>
    <x v="10"/>
    <s v="Population growth (annual %)"/>
    <n v="2.2021511230553901"/>
    <x v="2"/>
  </r>
  <r>
    <x v="11"/>
    <s v="Population growth (annual %)"/>
    <n v="2.4383608665288898"/>
    <x v="2"/>
  </r>
  <r>
    <x v="12"/>
    <s v="Population growth (annual %)"/>
    <n v="2.2558623412515399"/>
    <x v="2"/>
  </r>
  <r>
    <x v="13"/>
    <s v="Population growth (annual %)"/>
    <n v="1.10434644276477"/>
    <x v="2"/>
  </r>
  <r>
    <x v="14"/>
    <s v="Population growth (annual %)"/>
    <n v="2.2396077472812501"/>
    <x v="2"/>
  </r>
  <r>
    <x v="15"/>
    <s v="Population growth (annual %)"/>
    <n v="2.0710608401475299"/>
    <x v="2"/>
  </r>
  <r>
    <x v="16"/>
    <s v="Population growth (annual %)"/>
    <n v="2.1230007354026998"/>
    <x v="2"/>
  </r>
  <r>
    <x v="17"/>
    <s v="Population growth (annual %)"/>
    <n v="1.57671219087263"/>
    <x v="2"/>
  </r>
  <r>
    <x v="18"/>
    <s v="Population growth (annual %)"/>
    <n v="3.02216027729306"/>
    <x v="2"/>
  </r>
  <r>
    <x v="19"/>
    <s v="Population growth (annual %)"/>
    <n v="2.87988537837342"/>
    <x v="2"/>
  </r>
  <r>
    <x v="20"/>
    <s v="Population growth (annual %)"/>
    <n v="1.8029495935054201"/>
    <x v="2"/>
  </r>
  <r>
    <x v="21"/>
    <s v="Population growth (annual %)"/>
    <n v="-0.18452049303253501"/>
    <x v="2"/>
  </r>
  <r>
    <x v="22"/>
    <s v="Population growth (annual %)"/>
    <n v="2.35100694552081"/>
    <x v="2"/>
  </r>
  <r>
    <x v="23"/>
    <s v="Population growth (annual %)"/>
    <n v="3.5236403318341201"/>
    <x v="2"/>
  </r>
  <r>
    <x v="24"/>
    <s v="Population growth (annual %)"/>
    <n v="2.94938524502775"/>
    <x v="2"/>
  </r>
  <r>
    <x v="25"/>
    <s v="Population growth (annual %)"/>
    <n v="3.2787967436522201"/>
    <x v="2"/>
  </r>
  <r>
    <x v="26"/>
    <s v="Population growth (annual %)"/>
    <n v="3.1447613414869502"/>
    <x v="2"/>
  </r>
  <r>
    <x v="27"/>
    <s v="Population growth (annual %)"/>
    <n v="3.2699263769287601"/>
    <x v="2"/>
  </r>
  <r>
    <x v="0"/>
    <s v="Population growth (annual %)"/>
    <n v="1.92548381913877"/>
    <x v="3"/>
  </r>
  <r>
    <x v="1"/>
    <s v="Population growth (annual %)"/>
    <n v="2.2053494386444301"/>
    <x v="3"/>
  </r>
  <r>
    <x v="2"/>
    <s v="Population growth (annual %)"/>
    <n v="1.9774570969451899"/>
    <x v="3"/>
  </r>
  <r>
    <x v="3"/>
    <s v="Population growth (annual %)"/>
    <n v="1.59673387607258"/>
    <x v="3"/>
  </r>
  <r>
    <x v="4"/>
    <s v="Population growth (annual %)"/>
    <n v="6.5967905433098402"/>
    <x v="3"/>
  </r>
  <r>
    <x v="5"/>
    <s v="Population growth (annual %)"/>
    <n v="2.4545776493316902"/>
    <x v="3"/>
  </r>
  <r>
    <x v="6"/>
    <s v="Population growth (annual %)"/>
    <n v="1.58174436059624"/>
    <x v="3"/>
  </r>
  <r>
    <x v="7"/>
    <s v="Population growth (annual %)"/>
    <n v="1.9969596663142799"/>
    <x v="3"/>
  </r>
  <r>
    <x v="8"/>
    <s v="Population growth (annual %)"/>
    <n v="3.18717427718191"/>
    <x v="3"/>
  </r>
  <r>
    <x v="9"/>
    <s v="Population growth (annual %)"/>
    <n v="2.7779564107075698"/>
    <x v="3"/>
  </r>
  <r>
    <x v="10"/>
    <s v="Population growth (annual %)"/>
    <n v="2.2312604857646798"/>
    <x v="3"/>
  </r>
  <r>
    <x v="11"/>
    <s v="Population growth (annual %)"/>
    <n v="2.46932368707076"/>
    <x v="3"/>
  </r>
  <r>
    <x v="12"/>
    <s v="Population growth (annual %)"/>
    <n v="2.2903984896992702"/>
    <x v="3"/>
  </r>
  <r>
    <x v="13"/>
    <s v="Population growth (annual %)"/>
    <n v="1.1132907326977199"/>
    <x v="3"/>
  </r>
  <r>
    <x v="14"/>
    <s v="Population growth (annual %)"/>
    <n v="2.1170707122966501"/>
    <x v="3"/>
  </r>
  <r>
    <x v="15"/>
    <s v="Population growth (annual %)"/>
    <n v="2.0941680507103499"/>
    <x v="3"/>
  </r>
  <r>
    <x v="16"/>
    <s v="Population growth (annual %)"/>
    <n v="2.1409574697918901"/>
    <x v="3"/>
  </r>
  <r>
    <x v="17"/>
    <s v="Population growth (annual %)"/>
    <n v="1.6054912977546401"/>
    <x v="3"/>
  </r>
  <r>
    <x v="18"/>
    <s v="Population growth (annual %)"/>
    <n v="2.978065346852"/>
    <x v="3"/>
  </r>
  <r>
    <x v="19"/>
    <s v="Population growth (annual %)"/>
    <n v="2.9035184566219701"/>
    <x v="3"/>
  </r>
  <r>
    <x v="20"/>
    <s v="Population growth (annual %)"/>
    <n v="1.7020758099609099"/>
    <x v="3"/>
  </r>
  <r>
    <x v="21"/>
    <s v="Population growth (annual %)"/>
    <n v="-0.39655130537116301"/>
    <x v="3"/>
  </r>
  <r>
    <x v="22"/>
    <s v="Population growth (annual %)"/>
    <n v="2.34221131449043"/>
    <x v="3"/>
  </r>
  <r>
    <x v="23"/>
    <s v="Population growth (annual %)"/>
    <n v="3.58671648685295"/>
    <x v="3"/>
  </r>
  <r>
    <x v="24"/>
    <s v="Population growth (annual %)"/>
    <n v="2.9693449938763701"/>
    <x v="3"/>
  </r>
  <r>
    <x v="25"/>
    <s v="Population growth (annual %)"/>
    <n v="3.3580241667819402"/>
    <x v="3"/>
  </r>
  <r>
    <x v="26"/>
    <s v="Population growth (annual %)"/>
    <n v="3.1755554687771301"/>
    <x v="3"/>
  </r>
  <r>
    <x v="27"/>
    <s v="Population growth (annual %)"/>
    <n v="3.2795396197639799"/>
    <x v="3"/>
  </r>
  <r>
    <x v="0"/>
    <s v="Population growth (annual %)"/>
    <n v="2.0445334815532501"/>
    <x v="4"/>
  </r>
  <r>
    <x v="1"/>
    <s v="Population growth (annual %)"/>
    <n v="2.2565293684683199"/>
    <x v="4"/>
  </r>
  <r>
    <x v="2"/>
    <s v="Population growth (annual %)"/>
    <n v="1.95817926350658"/>
    <x v="4"/>
  </r>
  <r>
    <x v="3"/>
    <s v="Population growth (annual %)"/>
    <n v="1.67328370489556"/>
    <x v="4"/>
  </r>
  <r>
    <x v="4"/>
    <s v="Population growth (annual %)"/>
    <n v="6.6832093721583004"/>
    <x v="4"/>
  </r>
  <r>
    <x v="5"/>
    <s v="Population growth (annual %)"/>
    <n v="2.4841587552019"/>
    <x v="4"/>
  </r>
  <r>
    <x v="6"/>
    <s v="Population growth (annual %)"/>
    <n v="1.6440696166454101"/>
    <x v="4"/>
  </r>
  <r>
    <x v="7"/>
    <s v="Population growth (annual %)"/>
    <n v="2.0002186694344801"/>
    <x v="4"/>
  </r>
  <r>
    <x v="8"/>
    <s v="Population growth (annual %)"/>
    <n v="3.22234277059952"/>
    <x v="4"/>
  </r>
  <r>
    <x v="9"/>
    <s v="Population growth (annual %)"/>
    <n v="2.7028672387919399"/>
    <x v="4"/>
  </r>
  <r>
    <x v="10"/>
    <s v="Population growth (annual %)"/>
    <n v="2.2678664410392599"/>
    <x v="4"/>
  </r>
  <r>
    <x v="11"/>
    <s v="Population growth (annual %)"/>
    <n v="2.49925643830188"/>
    <x v="4"/>
  </r>
  <r>
    <x v="12"/>
    <s v="Population growth (annual %)"/>
    <n v="2.3304887831800598"/>
    <x v="4"/>
  </r>
  <r>
    <x v="13"/>
    <s v="Population growth (annual %)"/>
    <n v="1.13545172051846"/>
    <x v="4"/>
  </r>
  <r>
    <x v="14"/>
    <s v="Population growth (annual %)"/>
    <n v="1.9290862091530701"/>
    <x v="4"/>
  </r>
  <r>
    <x v="15"/>
    <s v="Population growth (annual %)"/>
    <n v="2.1137456346050398"/>
    <x v="4"/>
  </r>
  <r>
    <x v="16"/>
    <s v="Population growth (annual %)"/>
    <n v="2.1921430993222399"/>
    <x v="4"/>
  </r>
  <r>
    <x v="17"/>
    <s v="Population growth (annual %)"/>
    <n v="1.6534790617659201"/>
    <x v="4"/>
  </r>
  <r>
    <x v="18"/>
    <s v="Population growth (annual %)"/>
    <n v="2.9669341241157201"/>
    <x v="4"/>
  </r>
  <r>
    <x v="19"/>
    <s v="Population growth (annual %)"/>
    <n v="2.90219562780343"/>
    <x v="4"/>
  </r>
  <r>
    <x v="20"/>
    <s v="Population growth (annual %)"/>
    <n v="1.8757086550164901"/>
    <x v="4"/>
  </r>
  <r>
    <x v="21"/>
    <s v="Population growth (annual %)"/>
    <n v="5.4521806178117797E-2"/>
    <x v="4"/>
  </r>
  <r>
    <x v="22"/>
    <s v="Population growth (annual %)"/>
    <n v="2.3543133020294098"/>
    <x v="4"/>
  </r>
  <r>
    <x v="23"/>
    <s v="Population growth (annual %)"/>
    <n v="3.5685442281229101"/>
    <x v="4"/>
  </r>
  <r>
    <x v="24"/>
    <s v="Population growth (annual %)"/>
    <n v="2.9824718554515699"/>
    <x v="4"/>
  </r>
  <r>
    <x v="25"/>
    <s v="Population growth (annual %)"/>
    <n v="3.3976661420215102"/>
    <x v="4"/>
  </r>
  <r>
    <x v="26"/>
    <s v="Population growth (annual %)"/>
    <n v="3.1716580356959301"/>
    <x v="4"/>
  </r>
  <r>
    <x v="27"/>
    <s v="Population growth (annual %)"/>
    <n v="3.2637245648959601"/>
    <x v="4"/>
  </r>
  <r>
    <x v="0"/>
    <s v="Population growth (annual %)"/>
    <n v="2.2014328598383002"/>
    <x v="5"/>
  </r>
  <r>
    <x v="1"/>
    <s v="Population growth (annual %)"/>
    <n v="2.3025574874505401"/>
    <x v="5"/>
  </r>
  <r>
    <x v="2"/>
    <s v="Population growth (annual %)"/>
    <n v="1.92401449608703"/>
    <x v="5"/>
  </r>
  <r>
    <x v="3"/>
    <s v="Population growth (annual %)"/>
    <n v="1.7856531580125701"/>
    <x v="5"/>
  </r>
  <r>
    <x v="4"/>
    <s v="Population growth (annual %)"/>
    <n v="6.6347694783188498"/>
    <x v="5"/>
  </r>
  <r>
    <x v="5"/>
    <s v="Population growth (annual %)"/>
    <n v="2.4959558740413401"/>
    <x v="5"/>
  </r>
  <r>
    <x v="6"/>
    <s v="Population growth (annual %)"/>
    <n v="1.72050023466339"/>
    <x v="5"/>
  </r>
  <r>
    <x v="7"/>
    <s v="Population growth (annual %)"/>
    <n v="1.99806286977609"/>
    <x v="5"/>
  </r>
  <r>
    <x v="8"/>
    <s v="Population growth (annual %)"/>
    <n v="3.2566179613170299"/>
    <x v="5"/>
  </r>
  <r>
    <x v="9"/>
    <s v="Population growth (annual %)"/>
    <n v="2.63173083173734"/>
    <x v="5"/>
  </r>
  <r>
    <x v="10"/>
    <s v="Population growth (annual %)"/>
    <n v="2.3113138939723301"/>
    <x v="5"/>
  </r>
  <r>
    <x v="11"/>
    <s v="Population growth (annual %)"/>
    <n v="2.5286439517966599"/>
    <x v="5"/>
  </r>
  <r>
    <x v="12"/>
    <s v="Population growth (annual %)"/>
    <n v="2.3749540908400202"/>
    <x v="5"/>
  </r>
  <r>
    <x v="13"/>
    <s v="Population growth (annual %)"/>
    <n v="1.16928030653318"/>
    <x v="5"/>
  </r>
  <r>
    <x v="14"/>
    <s v="Population growth (annual %)"/>
    <n v="1.8218042705764399"/>
    <x v="5"/>
  </r>
  <r>
    <x v="15"/>
    <s v="Population growth (annual %)"/>
    <n v="2.1321564601922902"/>
    <x v="5"/>
  </r>
  <r>
    <x v="16"/>
    <s v="Population growth (annual %)"/>
    <n v="2.2630304474398"/>
    <x v="5"/>
  </r>
  <r>
    <x v="17"/>
    <s v="Population growth (annual %)"/>
    <n v="1.7145570851560601"/>
    <x v="5"/>
  </r>
  <r>
    <x v="18"/>
    <s v="Population growth (annual %)"/>
    <n v="2.97757478574538"/>
    <x v="5"/>
  </r>
  <r>
    <x v="19"/>
    <s v="Population growth (annual %)"/>
    <n v="2.8847443930477898"/>
    <x v="5"/>
  </r>
  <r>
    <x v="20"/>
    <s v="Population growth (annual %)"/>
    <n v="2.2272635609123199"/>
    <x v="5"/>
  </r>
  <r>
    <x v="21"/>
    <s v="Population growth (annual %)"/>
    <n v="0.90537639407236403"/>
    <x v="5"/>
  </r>
  <r>
    <x v="22"/>
    <s v="Population growth (annual %)"/>
    <n v="2.3756983826526699"/>
    <x v="5"/>
  </r>
  <r>
    <x v="23"/>
    <s v="Population growth (annual %)"/>
    <n v="3.4969152825442098"/>
    <x v="5"/>
  </r>
  <r>
    <x v="24"/>
    <s v="Population growth (annual %)"/>
    <n v="2.9923321085867101"/>
    <x v="5"/>
  </r>
  <r>
    <x v="25"/>
    <s v="Population growth (annual %)"/>
    <n v="3.40379060505725"/>
    <x v="5"/>
  </r>
  <r>
    <x v="26"/>
    <s v="Population growth (annual %)"/>
    <n v="3.1490488403152299"/>
    <x v="5"/>
  </r>
  <r>
    <x v="27"/>
    <s v="Population growth (annual %)"/>
    <n v="3.2341018448977001"/>
    <x v="5"/>
  </r>
  <r>
    <x v="0"/>
    <s v="Population growth (annual %)"/>
    <n v="2.40267751598169"/>
    <x v="6"/>
  </r>
  <r>
    <x v="1"/>
    <s v="Population growth (annual %)"/>
    <n v="2.3483419837075901"/>
    <x v="6"/>
  </r>
  <r>
    <x v="2"/>
    <s v="Population growth (annual %)"/>
    <n v="1.8737276006455501"/>
    <x v="6"/>
  </r>
  <r>
    <x v="3"/>
    <s v="Population growth (annual %)"/>
    <n v="1.9355966644378599"/>
    <x v="6"/>
  </r>
  <r>
    <x v="4"/>
    <s v="Population growth (annual %)"/>
    <n v="6.6483993153242"/>
    <x v="6"/>
  </r>
  <r>
    <x v="5"/>
    <s v="Population growth (annual %)"/>
    <n v="2.4786580371289801"/>
    <x v="6"/>
  </r>
  <r>
    <x v="6"/>
    <s v="Population growth (annual %)"/>
    <n v="1.8159679016458501"/>
    <x v="6"/>
  </r>
  <r>
    <x v="7"/>
    <s v="Population growth (annual %)"/>
    <n v="2.0015694952452399"/>
    <x v="6"/>
  </r>
  <r>
    <x v="8"/>
    <s v="Population growth (annual %)"/>
    <n v="3.2888841903450001"/>
    <x v="6"/>
  </r>
  <r>
    <x v="9"/>
    <s v="Population growth (annual %)"/>
    <n v="2.5642430613337699"/>
    <x v="6"/>
  </r>
  <r>
    <x v="10"/>
    <s v="Population growth (annual %)"/>
    <n v="2.3537773108219402"/>
    <x v="6"/>
  </r>
  <r>
    <x v="11"/>
    <s v="Population growth (annual %)"/>
    <n v="2.5562546908364498"/>
    <x v="6"/>
  </r>
  <r>
    <x v="12"/>
    <s v="Population growth (annual %)"/>
    <n v="2.4207938124191899"/>
    <x v="6"/>
  </r>
  <r>
    <x v="13"/>
    <s v="Population growth (annual %)"/>
    <n v="1.20267314387137"/>
    <x v="6"/>
  </r>
  <r>
    <x v="14"/>
    <s v="Population growth (annual %)"/>
    <n v="1.68484153987481"/>
    <x v="6"/>
  </r>
  <r>
    <x v="15"/>
    <s v="Population growth (annual %)"/>
    <n v="2.15123212266358"/>
    <x v="6"/>
  </r>
  <r>
    <x v="16"/>
    <s v="Population growth (annual %)"/>
    <n v="2.3367672593688802"/>
    <x v="6"/>
  </r>
  <r>
    <x v="17"/>
    <s v="Population growth (annual %)"/>
    <n v="1.78140827287694"/>
    <x v="6"/>
  </r>
  <r>
    <x v="18"/>
    <s v="Population growth (annual %)"/>
    <n v="2.9902869632072999"/>
    <x v="6"/>
  </r>
  <r>
    <x v="19"/>
    <s v="Population growth (annual %)"/>
    <n v="2.86668873205821"/>
    <x v="6"/>
  </r>
  <r>
    <x v="20"/>
    <s v="Population growth (annual %)"/>
    <n v="2.6298154610263298"/>
    <x v="6"/>
  </r>
  <r>
    <x v="21"/>
    <s v="Population growth (annual %)"/>
    <n v="1.9364959134273101"/>
    <x v="6"/>
  </r>
  <r>
    <x v="22"/>
    <s v="Population growth (annual %)"/>
    <n v="2.3997316144643599"/>
    <x v="6"/>
  </r>
  <r>
    <x v="23"/>
    <s v="Population growth (annual %)"/>
    <n v="3.4186511095675201"/>
    <x v="6"/>
  </r>
  <r>
    <x v="24"/>
    <s v="Population growth (annual %)"/>
    <n v="2.9963336187590501"/>
    <x v="6"/>
  </r>
  <r>
    <x v="25"/>
    <s v="Population growth (annual %)"/>
    <n v="3.4144725975715899"/>
    <x v="6"/>
  </r>
  <r>
    <x v="26"/>
    <s v="Population growth (annual %)"/>
    <n v="3.1159508071012598"/>
    <x v="6"/>
  </r>
  <r>
    <x v="27"/>
    <s v="Population growth (annual %)"/>
    <n v="3.1958693095523301"/>
    <x v="6"/>
  </r>
  <r>
    <x v="0"/>
    <s v="Population growth (annual %)"/>
    <n v="2.5460349200237999"/>
    <x v="7"/>
  </r>
  <r>
    <x v="1"/>
    <s v="Population growth (annual %)"/>
    <n v="2.3956390101490199"/>
    <x v="7"/>
  </r>
  <r>
    <x v="2"/>
    <s v="Population growth (annual %)"/>
    <n v="1.8405448273821301"/>
    <x v="7"/>
  </r>
  <r>
    <x v="3"/>
    <s v="Population growth (annual %)"/>
    <n v="2.0680467938851699"/>
    <x v="7"/>
  </r>
  <r>
    <x v="4"/>
    <s v="Population growth (annual %)"/>
    <n v="6.7128944122730596"/>
    <x v="7"/>
  </r>
  <r>
    <x v="5"/>
    <s v="Population growth (annual %)"/>
    <n v="2.46468623153025"/>
    <x v="7"/>
  </r>
  <r>
    <x v="6"/>
    <s v="Population growth (annual %)"/>
    <n v="1.87194822412985"/>
    <x v="7"/>
  </r>
  <r>
    <x v="7"/>
    <s v="Population growth (annual %)"/>
    <n v="2.00042703784221"/>
    <x v="7"/>
  </r>
  <r>
    <x v="8"/>
    <s v="Population growth (annual %)"/>
    <n v="3.3239810690275902"/>
    <x v="7"/>
  </r>
  <r>
    <x v="9"/>
    <s v="Population growth (annual %)"/>
    <n v="2.5882747833223001"/>
    <x v="7"/>
  </r>
  <r>
    <x v="10"/>
    <s v="Population growth (annual %)"/>
    <n v="2.3974915585134902"/>
    <x v="7"/>
  </r>
  <r>
    <x v="11"/>
    <s v="Population growth (annual %)"/>
    <n v="2.5840236394071301"/>
    <x v="7"/>
  </r>
  <r>
    <x v="12"/>
    <s v="Population growth (annual %)"/>
    <n v="2.46756958129036"/>
    <x v="7"/>
  </r>
  <r>
    <x v="13"/>
    <s v="Population growth (annual %)"/>
    <n v="1.2403551772340999"/>
    <x v="7"/>
  </r>
  <r>
    <x v="14"/>
    <s v="Population growth (annual %)"/>
    <n v="1.5541670103441301"/>
    <x v="7"/>
  </r>
  <r>
    <x v="15"/>
    <s v="Population growth (annual %)"/>
    <n v="2.17412939251864"/>
    <x v="7"/>
  </r>
  <r>
    <x v="16"/>
    <s v="Population growth (annual %)"/>
    <n v="2.3949370572834501"/>
    <x v="7"/>
  </r>
  <r>
    <x v="17"/>
    <s v="Population growth (annual %)"/>
    <n v="1.8455482213272401"/>
    <x v="7"/>
  </r>
  <r>
    <x v="18"/>
    <s v="Population growth (annual %)"/>
    <n v="2.9962923922746101"/>
    <x v="7"/>
  </r>
  <r>
    <x v="19"/>
    <s v="Population growth (annual %)"/>
    <n v="2.8546925339896898"/>
    <x v="7"/>
  </r>
  <r>
    <x v="20"/>
    <s v="Population growth (annual %)"/>
    <n v="2.9460086018360401"/>
    <x v="7"/>
  </r>
  <r>
    <x v="21"/>
    <s v="Population growth (annual %)"/>
    <n v="2.70294796977872"/>
    <x v="7"/>
  </r>
  <r>
    <x v="22"/>
    <s v="Population growth (annual %)"/>
    <n v="2.4046030203953701"/>
    <x v="7"/>
  </r>
  <r>
    <x v="23"/>
    <s v="Population growth (annual %)"/>
    <n v="3.3517322323718699"/>
    <x v="7"/>
  </r>
  <r>
    <x v="24"/>
    <s v="Population growth (annual %)"/>
    <n v="3.0040128019233499"/>
    <x v="7"/>
  </r>
  <r>
    <x v="25"/>
    <s v="Population growth (annual %)"/>
    <n v="3.4127923902729198"/>
    <x v="7"/>
  </r>
  <r>
    <x v="26"/>
    <s v="Population growth (annual %)"/>
    <n v="3.09871666178773"/>
    <x v="7"/>
  </r>
  <r>
    <x v="27"/>
    <s v="Population growth (annual %)"/>
    <n v="3.16897781210319"/>
    <x v="7"/>
  </r>
  <r>
    <x v="0"/>
    <s v="Population growth (annual %)"/>
    <n v="2.5102627119219401"/>
    <x v="8"/>
  </r>
  <r>
    <x v="1"/>
    <s v="Population growth (annual %)"/>
    <n v="2.44155252012927"/>
    <x v="8"/>
  </r>
  <r>
    <x v="2"/>
    <s v="Population growth (annual %)"/>
    <n v="1.86159061706758"/>
    <x v="8"/>
  </r>
  <r>
    <x v="3"/>
    <s v="Population growth (annual %)"/>
    <n v="2.1436331005855802"/>
    <x v="8"/>
  </r>
  <r>
    <x v="4"/>
    <s v="Population growth (annual %)"/>
    <n v="6.6713714819085004"/>
    <x v="8"/>
  </r>
  <r>
    <x v="5"/>
    <s v="Population growth (annual %)"/>
    <n v="2.49836360444217"/>
    <x v="8"/>
  </r>
  <r>
    <x v="6"/>
    <s v="Population growth (annual %)"/>
    <n v="1.8152925915348701"/>
    <x v="8"/>
  </r>
  <r>
    <x v="7"/>
    <s v="Population growth (annual %)"/>
    <n v="1.9757063857386701"/>
    <x v="8"/>
  </r>
  <r>
    <x v="8"/>
    <s v="Population growth (annual %)"/>
    <n v="3.3673662499615502"/>
    <x v="8"/>
  </r>
  <r>
    <x v="9"/>
    <s v="Population growth (annual %)"/>
    <n v="2.43702226031614"/>
    <x v="8"/>
  </r>
  <r>
    <x v="10"/>
    <s v="Population growth (annual %)"/>
    <n v="2.4470931262747899"/>
    <x v="8"/>
  </r>
  <r>
    <x v="11"/>
    <s v="Population growth (annual %)"/>
    <n v="2.6153443474791001"/>
    <x v="8"/>
  </r>
  <r>
    <x v="12"/>
    <s v="Population growth (annual %)"/>
    <n v="2.5172032631476098"/>
    <x v="8"/>
  </r>
  <r>
    <x v="13"/>
    <s v="Population growth (annual %)"/>
    <n v="1.2995008165489701"/>
    <x v="8"/>
  </r>
  <r>
    <x v="14"/>
    <s v="Population growth (annual %)"/>
    <n v="1.42908182353752"/>
    <x v="8"/>
  </r>
  <r>
    <x v="15"/>
    <s v="Population growth (annual %)"/>
    <n v="2.2031290878920098"/>
    <x v="8"/>
  </r>
  <r>
    <x v="16"/>
    <s v="Population growth (annual %)"/>
    <n v="2.43128034816089"/>
    <x v="8"/>
  </r>
  <r>
    <x v="17"/>
    <s v="Population growth (annual %)"/>
    <n v="1.9031439015432099"/>
    <x v="8"/>
  </r>
  <r>
    <x v="18"/>
    <s v="Population growth (annual %)"/>
    <n v="3.0092243680546802"/>
    <x v="8"/>
  </r>
  <r>
    <x v="19"/>
    <s v="Population growth (annual %)"/>
    <n v="2.8391063125918499"/>
    <x v="8"/>
  </r>
  <r>
    <x v="20"/>
    <s v="Population growth (annual %)"/>
    <n v="3.1373891407273602"/>
    <x v="8"/>
  </r>
  <r>
    <x v="21"/>
    <s v="Population growth (annual %)"/>
    <n v="3.15138571927287"/>
    <x v="8"/>
  </r>
  <r>
    <x v="22"/>
    <s v="Population growth (annual %)"/>
    <n v="2.3730529517089498"/>
    <x v="8"/>
  </r>
  <r>
    <x v="23"/>
    <s v="Population growth (annual %)"/>
    <n v="3.2761832314316099"/>
    <x v="8"/>
  </r>
  <r>
    <x v="24"/>
    <s v="Population growth (annual %)"/>
    <n v="3.02838202702607"/>
    <x v="8"/>
  </r>
  <r>
    <x v="25"/>
    <s v="Population growth (annual %)"/>
    <n v="3.3491243421190502"/>
    <x v="8"/>
  </r>
  <r>
    <x v="26"/>
    <s v="Population growth (annual %)"/>
    <n v="3.1206695582180801"/>
    <x v="8"/>
  </r>
  <r>
    <x v="27"/>
    <s v="Population growth (annual %)"/>
    <n v="3.1702480894416598"/>
    <x v="8"/>
  </r>
  <r>
    <x v="0"/>
    <s v="Population growth (annual %)"/>
    <n v="2.2517396697513901"/>
    <x v="9"/>
  </r>
  <r>
    <x v="1"/>
    <s v="Population growth (annual %)"/>
    <n v="2.48623085484429"/>
    <x v="9"/>
  </r>
  <r>
    <x v="2"/>
    <s v="Population growth (annual %)"/>
    <n v="1.9532781834306601"/>
    <x v="9"/>
  </r>
  <r>
    <x v="3"/>
    <s v="Population growth (annual %)"/>
    <n v="2.1306031334304998"/>
    <x v="9"/>
  </r>
  <r>
    <x v="4"/>
    <s v="Population growth (annual %)"/>
    <n v="6.4944687306043596"/>
    <x v="9"/>
  </r>
  <r>
    <x v="5"/>
    <s v="Population growth (annual %)"/>
    <n v="2.59384097731916"/>
    <x v="9"/>
  </r>
  <r>
    <x v="6"/>
    <s v="Population growth (annual %)"/>
    <n v="1.61752542578113"/>
    <x v="9"/>
  </r>
  <r>
    <x v="7"/>
    <s v="Population growth (annual %)"/>
    <n v="1.9216352192259001"/>
    <x v="9"/>
  </r>
  <r>
    <x v="8"/>
    <s v="Population growth (annual %)"/>
    <n v="3.4207515626398401"/>
    <x v="9"/>
  </r>
  <r>
    <x v="9"/>
    <s v="Population growth (annual %)"/>
    <n v="2.3790416836635702"/>
    <x v="9"/>
  </r>
  <r>
    <x v="10"/>
    <s v="Population growth (annual %)"/>
    <n v="2.5043037618545698"/>
    <x v="9"/>
  </r>
  <r>
    <x v="11"/>
    <s v="Population growth (annual %)"/>
    <n v="2.65053320615332"/>
    <x v="9"/>
  </r>
  <r>
    <x v="12"/>
    <s v="Population growth (annual %)"/>
    <n v="2.5701664609756798"/>
    <x v="9"/>
  </r>
  <r>
    <x v="13"/>
    <s v="Population growth (annual %)"/>
    <n v="1.38423942769395"/>
    <x v="9"/>
  </r>
  <r>
    <x v="14"/>
    <s v="Population growth (annual %)"/>
    <n v="1.4089464875301201"/>
    <x v="9"/>
  </r>
  <r>
    <x v="15"/>
    <s v="Population growth (annual %)"/>
    <n v="2.2396594507136101"/>
    <x v="9"/>
  </r>
  <r>
    <x v="16"/>
    <s v="Population growth (annual %)"/>
    <n v="2.4394548102071099"/>
    <x v="9"/>
  </r>
  <r>
    <x v="17"/>
    <s v="Population growth (annual %)"/>
    <n v="1.95071059471258"/>
    <x v="9"/>
  </r>
  <r>
    <x v="18"/>
    <s v="Population growth (annual %)"/>
    <n v="3.0269906775527202"/>
    <x v="9"/>
  </r>
  <r>
    <x v="19"/>
    <s v="Population growth (annual %)"/>
    <n v="2.8214590841477301"/>
    <x v="9"/>
  </r>
  <r>
    <x v="20"/>
    <s v="Population growth (annual %)"/>
    <n v="3.1623815011529501"/>
    <x v="9"/>
  </r>
  <r>
    <x v="21"/>
    <s v="Population growth (annual %)"/>
    <n v="3.0855582676640201"/>
    <x v="9"/>
  </r>
  <r>
    <x v="22"/>
    <s v="Population growth (annual %)"/>
    <n v="2.2968080783493998"/>
    <x v="9"/>
  </r>
  <r>
    <x v="23"/>
    <s v="Population growth (annual %)"/>
    <n v="3.1958380883882298"/>
    <x v="9"/>
  </r>
  <r>
    <x v="24"/>
    <s v="Population growth (annual %)"/>
    <n v="3.07306305082041"/>
    <x v="9"/>
  </r>
  <r>
    <x v="25"/>
    <s v="Population growth (annual %)"/>
    <n v="3.2151468648735801"/>
    <x v="9"/>
  </r>
  <r>
    <x v="26"/>
    <s v="Population growth (annual %)"/>
    <n v="3.1907592321888898"/>
    <x v="9"/>
  </r>
  <r>
    <x v="27"/>
    <s v="Population growth (annual %)"/>
    <n v="3.2065191426728199"/>
    <x v="9"/>
  </r>
  <r>
    <x v="0"/>
    <s v="Population growth (annual %)"/>
    <n v="1.8650942931115699"/>
    <x v="10"/>
  </r>
  <r>
    <x v="1"/>
    <s v="Population growth (annual %)"/>
    <n v="2.5298187453023702"/>
    <x v="10"/>
  </r>
  <r>
    <x v="2"/>
    <s v="Population growth (annual %)"/>
    <n v="2.0847616313399402"/>
    <x v="10"/>
  </r>
  <r>
    <x v="3"/>
    <s v="Population growth (annual %)"/>
    <n v="2.0770259532294002"/>
    <x v="10"/>
  </r>
  <r>
    <x v="4"/>
    <s v="Population growth (annual %)"/>
    <n v="6.3158614023727502"/>
    <x v="10"/>
  </r>
  <r>
    <x v="5"/>
    <s v="Population growth (annual %)"/>
    <n v="2.7143679689712301"/>
    <x v="10"/>
  </r>
  <r>
    <x v="6"/>
    <s v="Population growth (annual %)"/>
    <n v="1.3303752979386201"/>
    <x v="10"/>
  </r>
  <r>
    <x v="7"/>
    <s v="Population growth (annual %)"/>
    <n v="1.8527030734530801"/>
    <x v="10"/>
  </r>
  <r>
    <x v="8"/>
    <s v="Population growth (annual %)"/>
    <n v="3.4793055771889398"/>
    <x v="10"/>
  </r>
  <r>
    <x v="9"/>
    <s v="Population growth (annual %)"/>
    <n v="2.3237560125971402"/>
    <x v="10"/>
  </r>
  <r>
    <x v="10"/>
    <s v="Population growth (annual %)"/>
    <n v="2.5664526205508098"/>
    <x v="10"/>
  </r>
  <r>
    <x v="11"/>
    <s v="Population growth (annual %)"/>
    <n v="2.6874935879161601"/>
    <x v="10"/>
  </r>
  <r>
    <x v="12"/>
    <s v="Population growth (annual %)"/>
    <n v="2.6251919900684699"/>
    <x v="10"/>
  </r>
  <r>
    <x v="13"/>
    <s v="Population growth (annual %)"/>
    <n v="1.4840172278505099"/>
    <x v="10"/>
  </r>
  <r>
    <x v="14"/>
    <s v="Population growth (annual %)"/>
    <n v="1.38937067881691"/>
    <x v="10"/>
  </r>
  <r>
    <x v="15"/>
    <s v="Population growth (annual %)"/>
    <n v="2.2822925495216202"/>
    <x v="10"/>
  </r>
  <r>
    <x v="16"/>
    <s v="Population growth (annual %)"/>
    <n v="2.42784647665875"/>
    <x v="10"/>
  </r>
  <r>
    <x v="17"/>
    <s v="Population growth (annual %)"/>
    <n v="1.9904861831693501"/>
    <x v="10"/>
  </r>
  <r>
    <x v="18"/>
    <s v="Population growth (annual %)"/>
    <n v="3.0465277610846599"/>
    <x v="10"/>
  </r>
  <r>
    <x v="19"/>
    <s v="Population growth (annual %)"/>
    <n v="2.80408833857184"/>
    <x v="10"/>
  </r>
  <r>
    <x v="20"/>
    <s v="Population growth (annual %)"/>
    <n v="3.0820009620609401"/>
    <x v="10"/>
  </r>
  <r>
    <x v="21"/>
    <s v="Population growth (annual %)"/>
    <n v="2.7470429147670798"/>
    <x v="10"/>
  </r>
  <r>
    <x v="22"/>
    <s v="Population growth (annual %)"/>
    <n v="2.1926389585261798"/>
    <x v="10"/>
  </r>
  <r>
    <x v="23"/>
    <s v="Population growth (annual %)"/>
    <n v="3.1145054481980101"/>
    <x v="10"/>
  </r>
  <r>
    <x v="24"/>
    <s v="Population growth (annual %)"/>
    <n v="3.1278352672459002"/>
    <x v="10"/>
  </r>
  <r>
    <x v="25"/>
    <s v="Population growth (annual %)"/>
    <n v="3.0442736460636901"/>
    <x v="10"/>
  </r>
  <r>
    <x v="26"/>
    <s v="Population growth (annual %)"/>
    <n v="3.28794865908301"/>
    <x v="10"/>
  </r>
  <r>
    <x v="27"/>
    <s v="Population growth (annual %)"/>
    <n v="3.26198479078883"/>
    <x v="10"/>
  </r>
  <r>
    <x v="0"/>
    <s v="Population growth (annual %)"/>
    <n v="1.43042293731486"/>
    <x v="11"/>
  </r>
  <r>
    <x v="1"/>
    <s v="Population growth (annual %)"/>
    <n v="2.5726199472881399"/>
    <x v="11"/>
  </r>
  <r>
    <x v="2"/>
    <s v="Population growth (annual %)"/>
    <n v="2.2401488209982401"/>
    <x v="11"/>
  </r>
  <r>
    <x v="3"/>
    <s v="Population growth (annual %)"/>
    <n v="1.9755407940872101"/>
    <x v="11"/>
  </r>
  <r>
    <x v="4"/>
    <s v="Population growth (annual %)"/>
    <n v="5.9057188411475696"/>
    <x v="11"/>
  </r>
  <r>
    <x v="5"/>
    <s v="Population growth (annual %)"/>
    <n v="2.8795812421186202"/>
    <x v="11"/>
  </r>
  <r>
    <x v="6"/>
    <s v="Population growth (annual %)"/>
    <n v="1.0389538514419401"/>
    <x v="11"/>
  </r>
  <r>
    <x v="7"/>
    <s v="Population growth (annual %)"/>
    <n v="1.77893147443439"/>
    <x v="11"/>
  </r>
  <r>
    <x v="8"/>
    <s v="Population growth (annual %)"/>
    <n v="3.5361335411639798"/>
    <x v="11"/>
  </r>
  <r>
    <x v="9"/>
    <s v="Population growth (annual %)"/>
    <n v="2.2709816198764798"/>
    <x v="11"/>
  </r>
  <r>
    <x v="10"/>
    <s v="Population growth (annual %)"/>
    <n v="2.6245032830545099"/>
    <x v="11"/>
  </r>
  <r>
    <x v="11"/>
    <s v="Population growth (annual %)"/>
    <n v="2.72317546729013"/>
    <x v="11"/>
  </r>
  <r>
    <x v="12"/>
    <s v="Population growth (annual %)"/>
    <n v="2.6785633738219299"/>
    <x v="11"/>
  </r>
  <r>
    <x v="13"/>
    <s v="Population growth (annual %)"/>
    <n v="1.59230283635896"/>
    <x v="11"/>
  </r>
  <r>
    <x v="14"/>
    <s v="Population growth (annual %)"/>
    <n v="1.4351192163090301"/>
    <x v="11"/>
  </r>
  <r>
    <x v="15"/>
    <s v="Population growth (annual %)"/>
    <n v="2.3048299824638101"/>
    <x v="11"/>
  </r>
  <r>
    <x v="16"/>
    <s v="Population growth (annual %)"/>
    <n v="2.4101417024926"/>
    <x v="11"/>
  </r>
  <r>
    <x v="17"/>
    <s v="Population growth (annual %)"/>
    <n v="2.0283021287008798"/>
    <x v="11"/>
  </r>
  <r>
    <x v="18"/>
    <s v="Population growth (annual %)"/>
    <n v="3.0617787393620102"/>
    <x v="11"/>
  </r>
  <r>
    <x v="19"/>
    <s v="Population growth (annual %)"/>
    <n v="2.7843012512824101"/>
    <x v="11"/>
  </r>
  <r>
    <x v="20"/>
    <s v="Population growth (annual %)"/>
    <n v="2.9858658197905199"/>
    <x v="11"/>
  </r>
  <r>
    <x v="21"/>
    <s v="Population growth (annual %)"/>
    <n v="2.3097252175811001"/>
    <x v="11"/>
  </r>
  <r>
    <x v="22"/>
    <s v="Population growth (annual %)"/>
    <n v="2.0773527815553301"/>
    <x v="11"/>
  </r>
  <r>
    <x v="23"/>
    <s v="Population growth (annual %)"/>
    <n v="3.03569080820776"/>
    <x v="11"/>
  </r>
  <r>
    <x v="24"/>
    <s v="Population growth (annual %)"/>
    <n v="3.18488731576155"/>
    <x v="11"/>
  </r>
  <r>
    <x v="25"/>
    <s v="Population growth (annual %)"/>
    <n v="2.86285202069406"/>
    <x v="11"/>
  </r>
  <r>
    <x v="26"/>
    <s v="Population growth (annual %)"/>
    <n v="3.3876411171969401"/>
    <x v="11"/>
  </r>
  <r>
    <x v="27"/>
    <s v="Population growth (annual %)"/>
    <n v="3.3361148140511001"/>
    <x v="11"/>
  </r>
  <r>
    <x v="0"/>
    <s v="Population growth (annual %)"/>
    <n v="1.09672253196062"/>
    <x v="12"/>
  </r>
  <r>
    <x v="1"/>
    <s v="Population growth (annual %)"/>
    <n v="2.61539040577959"/>
    <x v="12"/>
  </r>
  <r>
    <x v="2"/>
    <s v="Population growth (annual %)"/>
    <n v="2.36079682064873"/>
    <x v="12"/>
  </r>
  <r>
    <x v="3"/>
    <s v="Population growth (annual %)"/>
    <n v="1.9376860527187501"/>
    <x v="12"/>
  </r>
  <r>
    <x v="4"/>
    <s v="Population growth (annual %)"/>
    <n v="5.6538940844647199"/>
    <x v="12"/>
  </r>
  <r>
    <x v="5"/>
    <s v="Population growth (annual %)"/>
    <n v="2.9891281414562401"/>
    <x v="12"/>
  </r>
  <r>
    <x v="6"/>
    <s v="Population growth (annual %)"/>
    <n v="0.80008079272546095"/>
    <x v="12"/>
  </r>
  <r>
    <x v="7"/>
    <s v="Population growth (annual %)"/>
    <n v="1.72511947786682"/>
    <x v="12"/>
  </r>
  <r>
    <x v="8"/>
    <s v="Population growth (annual %)"/>
    <n v="3.5864114330818899"/>
    <x v="12"/>
  </r>
  <r>
    <x v="9"/>
    <s v="Population growth (annual %)"/>
    <n v="2.45556892574437"/>
    <x v="12"/>
  </r>
  <r>
    <x v="10"/>
    <s v="Population growth (annual %)"/>
    <n v="2.6809081663998899"/>
    <x v="12"/>
  </r>
  <r>
    <x v="11"/>
    <s v="Population growth (annual %)"/>
    <n v="2.7550418214389998"/>
    <x v="12"/>
  </r>
  <r>
    <x v="12"/>
    <s v="Population growth (annual %)"/>
    <n v="2.7307230064850301"/>
    <x v="12"/>
  </r>
  <r>
    <x v="13"/>
    <s v="Population growth (annual %)"/>
    <n v="1.68849322020556"/>
    <x v="12"/>
  </r>
  <r>
    <x v="14"/>
    <s v="Population growth (annual %)"/>
    <n v="1.3828810181739"/>
    <x v="12"/>
  </r>
  <r>
    <x v="15"/>
    <s v="Population growth (annual %)"/>
    <n v="2.32596109305288"/>
    <x v="12"/>
  </r>
  <r>
    <x v="16"/>
    <s v="Population growth (annual %)"/>
    <n v="2.39535245645857"/>
    <x v="12"/>
  </r>
  <r>
    <x v="17"/>
    <s v="Population growth (annual %)"/>
    <n v="2.0665890417433999"/>
    <x v="12"/>
  </r>
  <r>
    <x v="18"/>
    <s v="Population growth (annual %)"/>
    <n v="3.0711851232946299"/>
    <x v="12"/>
  </r>
  <r>
    <x v="19"/>
    <s v="Population growth (annual %)"/>
    <n v="2.7696919876227102"/>
    <x v="12"/>
  </r>
  <r>
    <x v="20"/>
    <s v="Population growth (annual %)"/>
    <n v="2.9386336757114502"/>
    <x v="12"/>
  </r>
  <r>
    <x v="21"/>
    <s v="Population growth (annual %)"/>
    <n v="2.01798087029767"/>
    <x v="12"/>
  </r>
  <r>
    <x v="22"/>
    <s v="Population growth (annual %)"/>
    <n v="1.9762339773575801"/>
    <x v="12"/>
  </r>
  <r>
    <x v="23"/>
    <s v="Population growth (annual %)"/>
    <n v="2.96427812837458"/>
    <x v="12"/>
  </r>
  <r>
    <x v="24"/>
    <s v="Population growth (annual %)"/>
    <n v="3.2279762759881501"/>
    <x v="12"/>
  </r>
  <r>
    <x v="25"/>
    <s v="Population growth (annual %)"/>
    <n v="2.7195750336034101"/>
    <x v="12"/>
  </r>
  <r>
    <x v="26"/>
    <s v="Population growth (annual %)"/>
    <n v="3.46309483791297"/>
    <x v="12"/>
  </r>
  <r>
    <x v="27"/>
    <s v="Population growth (annual %)"/>
    <n v="3.3929557488982298"/>
    <x v="12"/>
  </r>
  <r>
    <x v="0"/>
    <s v="Population growth (annual %)"/>
    <n v="0.96716292197423803"/>
    <x v="13"/>
  </r>
  <r>
    <x v="1"/>
    <s v="Population growth (annual %)"/>
    <n v="2.6605651983634"/>
    <x v="13"/>
  </r>
  <r>
    <x v="2"/>
    <s v="Population growth (annual %)"/>
    <n v="2.39639008715961"/>
    <x v="13"/>
  </r>
  <r>
    <x v="3"/>
    <s v="Population growth (annual %)"/>
    <n v="2.0573988729939101"/>
    <x v="13"/>
  </r>
  <r>
    <x v="4"/>
    <s v="Population growth (annual %)"/>
    <n v="6.1372666109289602"/>
    <x v="13"/>
  </r>
  <r>
    <x v="5"/>
    <s v="Population growth (annual %)"/>
    <n v="2.9190059354439999"/>
    <x v="13"/>
  </r>
  <r>
    <x v="6"/>
    <s v="Population growth (annual %)"/>
    <n v="0.609318192095329"/>
    <x v="13"/>
  </r>
  <r>
    <x v="7"/>
    <s v="Population growth (annual %)"/>
    <n v="1.7098138381516601"/>
    <x v="13"/>
  </r>
  <r>
    <x v="8"/>
    <s v="Population growth (annual %)"/>
    <n v="3.6298892212148401"/>
    <x v="13"/>
  </r>
  <r>
    <x v="9"/>
    <s v="Population growth (annual %)"/>
    <n v="2.32028970796638"/>
    <x v="13"/>
  </r>
  <r>
    <x v="10"/>
    <s v="Population growth (annual %)"/>
    <n v="2.7415928009605199"/>
    <x v="13"/>
  </r>
  <r>
    <x v="11"/>
    <s v="Population growth (annual %)"/>
    <n v="2.7825425509553599"/>
    <x v="13"/>
  </r>
  <r>
    <x v="12"/>
    <s v="Population growth (annual %)"/>
    <n v="2.7867537306792101"/>
    <x v="13"/>
  </r>
  <r>
    <x v="13"/>
    <s v="Population growth (annual %)"/>
    <n v="1.7532231061296599"/>
    <x v="13"/>
  </r>
  <r>
    <x v="14"/>
    <s v="Population growth (annual %)"/>
    <n v="1.3640179759948601"/>
    <x v="13"/>
  </r>
  <r>
    <x v="15"/>
    <s v="Population growth (annual %)"/>
    <n v="2.387117603399"/>
    <x v="13"/>
  </r>
  <r>
    <x v="16"/>
    <s v="Population growth (annual %)"/>
    <n v="2.3817900839826298"/>
    <x v="13"/>
  </r>
  <r>
    <x v="17"/>
    <s v="Population growth (annual %)"/>
    <n v="2.10207188369036"/>
    <x v="13"/>
  </r>
  <r>
    <x v="18"/>
    <s v="Population growth (annual %)"/>
    <n v="3.0790887755930898"/>
    <x v="13"/>
  </r>
  <r>
    <x v="19"/>
    <s v="Population growth (annual %)"/>
    <n v="2.7701220405736402"/>
    <x v="13"/>
  </r>
  <r>
    <x v="20"/>
    <s v="Population growth (annual %)"/>
    <n v="2.9341875416205099"/>
    <x v="13"/>
  </r>
  <r>
    <x v="21"/>
    <s v="Population growth (annual %)"/>
    <n v="1.8971052925260501"/>
    <x v="13"/>
  </r>
  <r>
    <x v="22"/>
    <s v="Population growth (annual %)"/>
    <n v="1.9030707312062001"/>
    <x v="13"/>
  </r>
  <r>
    <x v="23"/>
    <s v="Population growth (annual %)"/>
    <n v="2.9064728059577698"/>
    <x v="13"/>
  </r>
  <r>
    <x v="24"/>
    <s v="Population growth (annual %)"/>
    <n v="3.2453552645342199"/>
    <x v="13"/>
  </r>
  <r>
    <x v="25"/>
    <s v="Population growth (annual %)"/>
    <n v="2.6482311128070801"/>
    <x v="13"/>
  </r>
  <r>
    <x v="26"/>
    <s v="Population growth (annual %)"/>
    <n v="3.5062783672487599"/>
    <x v="13"/>
  </r>
  <r>
    <x v="27"/>
    <s v="Population growth (annual %)"/>
    <n v="3.3950058346995902"/>
    <x v="13"/>
  </r>
  <r>
    <x v="0"/>
    <s v="Population growth (annual %)"/>
    <n v="1.1142141719068299"/>
    <x v="14"/>
  </r>
  <r>
    <x v="1"/>
    <s v="Population growth (annual %)"/>
    <n v="2.7087096285935401"/>
    <x v="14"/>
  </r>
  <r>
    <x v="2"/>
    <s v="Population growth (annual %)"/>
    <n v="2.3240789744343102"/>
    <x v="14"/>
  </r>
  <r>
    <x v="3"/>
    <s v="Population growth (annual %)"/>
    <n v="2.3856510185469801"/>
    <x v="14"/>
  </r>
  <r>
    <x v="4"/>
    <s v="Population growth (annual %)"/>
    <n v="7.3883430163145203"/>
    <x v="14"/>
  </r>
  <r>
    <x v="5"/>
    <s v="Population growth (annual %)"/>
    <n v="2.6293969182000301"/>
    <x v="14"/>
  </r>
  <r>
    <x v="6"/>
    <s v="Population growth (annual %)"/>
    <n v="0.488702982640215"/>
    <x v="14"/>
  </r>
  <r>
    <x v="7"/>
    <s v="Population growth (annual %)"/>
    <n v="1.7442840032754501"/>
    <x v="14"/>
  </r>
  <r>
    <x v="8"/>
    <s v="Population growth (annual %)"/>
    <n v="3.6650383160742201"/>
    <x v="14"/>
  </r>
  <r>
    <x v="9"/>
    <s v="Population growth (annual %)"/>
    <n v="2.34238136740285"/>
    <x v="14"/>
  </r>
  <r>
    <x v="10"/>
    <s v="Population growth (annual %)"/>
    <n v="2.8081780244908301"/>
    <x v="14"/>
  </r>
  <r>
    <x v="11"/>
    <s v="Population growth (annual %)"/>
    <n v="2.80453628240917"/>
    <x v="14"/>
  </r>
  <r>
    <x v="12"/>
    <s v="Population growth (annual %)"/>
    <n v="2.8461179182343699"/>
    <x v="14"/>
  </r>
  <r>
    <x v="13"/>
    <s v="Population growth (annual %)"/>
    <n v="1.7769201189505499"/>
    <x v="14"/>
  </r>
  <r>
    <x v="14"/>
    <s v="Population growth (annual %)"/>
    <n v="1.28347355853655"/>
    <x v="14"/>
  </r>
  <r>
    <x v="15"/>
    <s v="Population growth (annual %)"/>
    <n v="2.49807099076174"/>
    <x v="14"/>
  </r>
  <r>
    <x v="16"/>
    <s v="Population growth (annual %)"/>
    <n v="2.3718483919791198"/>
    <x v="14"/>
  </r>
  <r>
    <x v="17"/>
    <s v="Population growth (annual %)"/>
    <n v="2.1348855511883098"/>
    <x v="14"/>
  </r>
  <r>
    <x v="18"/>
    <s v="Population growth (annual %)"/>
    <n v="3.0834705762165302"/>
    <x v="14"/>
  </r>
  <r>
    <x v="19"/>
    <s v="Population growth (annual %)"/>
    <n v="2.7891723248143601"/>
    <x v="14"/>
  </r>
  <r>
    <x v="20"/>
    <s v="Population growth (annual %)"/>
    <n v="2.9892057900654501"/>
    <x v="14"/>
  </r>
  <r>
    <x v="21"/>
    <s v="Population growth (annual %)"/>
    <n v="2.0640464237843101"/>
    <x v="14"/>
  </r>
  <r>
    <x v="22"/>
    <s v="Population growth (annual %)"/>
    <n v="1.8681736272831699"/>
    <x v="14"/>
  </r>
  <r>
    <x v="23"/>
    <s v="Population growth (annual %)"/>
    <n v="2.86446318991552"/>
    <x v="14"/>
  </r>
  <r>
    <x v="24"/>
    <s v="Population growth (annual %)"/>
    <n v="3.2315603873822298"/>
    <x v="14"/>
  </r>
  <r>
    <x v="25"/>
    <s v="Population growth (annual %)"/>
    <n v="2.6676431902128801"/>
    <x v="14"/>
  </r>
  <r>
    <x v="26"/>
    <s v="Population growth (annual %)"/>
    <n v="3.50947014890642"/>
    <x v="14"/>
  </r>
  <r>
    <x v="27"/>
    <s v="Population growth (annual %)"/>
    <n v="3.3296210463321798"/>
    <x v="14"/>
  </r>
  <r>
    <x v="0"/>
    <s v="Population growth (annual %)"/>
    <n v="1.45155982540182"/>
    <x v="15"/>
  </r>
  <r>
    <x v="1"/>
    <s v="Population growth (annual %)"/>
    <n v="2.7584177466004198"/>
    <x v="15"/>
  </r>
  <r>
    <x v="2"/>
    <s v="Population growth (annual %)"/>
    <n v="2.1870778986660402"/>
    <x v="15"/>
  </r>
  <r>
    <x v="3"/>
    <s v="Population growth (annual %)"/>
    <n v="2.83270220362223"/>
    <x v="15"/>
  </r>
  <r>
    <x v="4"/>
    <s v="Population growth (annual %)"/>
    <n v="8.85701661900133"/>
    <x v="15"/>
  </r>
  <r>
    <x v="5"/>
    <s v="Population growth (annual %)"/>
    <n v="2.22030024123716"/>
    <x v="15"/>
  </r>
  <r>
    <x v="6"/>
    <s v="Population growth (annual %)"/>
    <n v="0.43556605046255398"/>
    <x v="15"/>
  </r>
  <r>
    <x v="7"/>
    <s v="Population growth (annual %)"/>
    <n v="1.8141500633086201"/>
    <x v="15"/>
  </r>
  <r>
    <x v="8"/>
    <s v="Population growth (annual %)"/>
    <n v="3.69344098388052"/>
    <x v="15"/>
  </r>
  <r>
    <x v="9"/>
    <s v="Population growth (annual %)"/>
    <n v="2.2157479597276399"/>
    <x v="15"/>
  </r>
  <r>
    <x v="10"/>
    <s v="Population growth (annual %)"/>
    <n v="2.8754479924954999"/>
    <x v="15"/>
  </r>
  <r>
    <x v="11"/>
    <s v="Population growth (annual %)"/>
    <n v="2.8219391929554201"/>
    <x v="15"/>
  </r>
  <r>
    <x v="12"/>
    <s v="Population growth (annual %)"/>
    <n v="2.90620136253396"/>
    <x v="15"/>
  </r>
  <r>
    <x v="13"/>
    <s v="Population growth (annual %)"/>
    <n v="1.7731896507096201"/>
    <x v="15"/>
  </r>
  <r>
    <x v="14"/>
    <s v="Population growth (annual %)"/>
    <n v="1.11352836321855"/>
    <x v="15"/>
  </r>
  <r>
    <x v="15"/>
    <s v="Population growth (annual %)"/>
    <n v="2.6280968872478399"/>
    <x v="15"/>
  </r>
  <r>
    <x v="16"/>
    <s v="Population growth (annual %)"/>
    <n v="2.36346842393933"/>
    <x v="15"/>
  </r>
  <r>
    <x v="17"/>
    <s v="Population growth (annual %)"/>
    <n v="2.16505187525346"/>
    <x v="15"/>
  </r>
  <r>
    <x v="18"/>
    <s v="Population growth (annual %)"/>
    <n v="3.0826277202555201"/>
    <x v="15"/>
  </r>
  <r>
    <x v="19"/>
    <s v="Population growth (annual %)"/>
    <n v="2.8197157371770198"/>
    <x v="15"/>
  </r>
  <r>
    <x v="20"/>
    <s v="Population growth (annual %)"/>
    <n v="3.0818809792619599"/>
    <x v="15"/>
  </r>
  <r>
    <x v="21"/>
    <s v="Population growth (annual %)"/>
    <n v="2.3727663750041899"/>
    <x v="15"/>
  </r>
  <r>
    <x v="22"/>
    <s v="Population growth (annual %)"/>
    <n v="1.8577313406925999"/>
    <x v="15"/>
  </r>
  <r>
    <x v="23"/>
    <s v="Population growth (annual %)"/>
    <n v="2.83672601254893"/>
    <x v="15"/>
  </r>
  <r>
    <x v="24"/>
    <s v="Population growth (annual %)"/>
    <n v="3.1982729526143001"/>
    <x v="15"/>
  </r>
  <r>
    <x v="25"/>
    <s v="Population growth (annual %)"/>
    <n v="2.7475431025988502"/>
    <x v="15"/>
  </r>
  <r>
    <x v="26"/>
    <s v="Population growth (annual %)"/>
    <n v="3.4856855071695199"/>
    <x v="15"/>
  </r>
  <r>
    <x v="27"/>
    <s v="Population growth (annual %)"/>
    <n v="3.23095475077228"/>
    <x v="15"/>
  </r>
  <r>
    <x v="0"/>
    <s v="Population growth (annual %)"/>
    <n v="1.83957671002837"/>
    <x v="16"/>
  </r>
  <r>
    <x v="1"/>
    <s v="Population growth (annual %)"/>
    <n v="2.8042520542847602"/>
    <x v="16"/>
  </r>
  <r>
    <x v="2"/>
    <s v="Population growth (annual %)"/>
    <n v="2.0407532389332901"/>
    <x v="16"/>
  </r>
  <r>
    <x v="3"/>
    <s v="Population growth (annual %)"/>
    <n v="3.3115748046094802"/>
    <x v="16"/>
  </r>
  <r>
    <x v="4"/>
    <s v="Population growth (annual %)"/>
    <n v="10.320548965431"/>
    <x v="16"/>
  </r>
  <r>
    <x v="5"/>
    <s v="Population growth (annual %)"/>
    <n v="1.7654917045357601"/>
    <x v="16"/>
  </r>
  <r>
    <x v="6"/>
    <s v="Population growth (annual %)"/>
    <n v="0.39073398278809801"/>
    <x v="16"/>
  </r>
  <r>
    <x v="7"/>
    <s v="Population growth (annual %)"/>
    <n v="1.88639862612842"/>
    <x v="16"/>
  </r>
  <r>
    <x v="8"/>
    <s v="Population growth (annual %)"/>
    <n v="3.71231231404425"/>
    <x v="16"/>
  </r>
  <r>
    <x v="9"/>
    <s v="Population growth (annual %)"/>
    <n v="2.2391690314901198"/>
    <x v="16"/>
  </r>
  <r>
    <x v="10"/>
    <s v="Population growth (annual %)"/>
    <n v="2.8684108655239098"/>
    <x v="16"/>
  </r>
  <r>
    <x v="11"/>
    <s v="Population growth (annual %)"/>
    <n v="2.8368562027462998"/>
    <x v="16"/>
  </r>
  <r>
    <x v="12"/>
    <s v="Population growth (annual %)"/>
    <n v="3.0129621102615598"/>
    <x v="16"/>
  </r>
  <r>
    <x v="13"/>
    <s v="Population growth (annual %)"/>
    <n v="1.75085982713751"/>
    <x v="16"/>
  </r>
  <r>
    <x v="14"/>
    <s v="Population growth (annual %)"/>
    <n v="1.00995502684135"/>
    <x v="16"/>
  </r>
  <r>
    <x v="15"/>
    <s v="Population growth (annual %)"/>
    <n v="2.7501579980572401"/>
    <x v="16"/>
  </r>
  <r>
    <x v="16"/>
    <s v="Population growth (annual %)"/>
    <n v="2.3477952479220199"/>
    <x v="16"/>
  </r>
  <r>
    <x v="17"/>
    <s v="Population growth (annual %)"/>
    <n v="2.19177388317443"/>
    <x v="16"/>
  </r>
  <r>
    <x v="18"/>
    <s v="Population growth (annual %)"/>
    <n v="3.0775364265031802"/>
    <x v="16"/>
  </r>
  <r>
    <x v="19"/>
    <s v="Population growth (annual %)"/>
    <n v="2.8540124723486899"/>
    <x v="16"/>
  </r>
  <r>
    <x v="20"/>
    <s v="Population growth (annual %)"/>
    <n v="3.17045009203791"/>
    <x v="16"/>
  </r>
  <r>
    <x v="21"/>
    <s v="Population growth (annual %)"/>
    <n v="2.7202976563671801"/>
    <x v="16"/>
  </r>
  <r>
    <x v="22"/>
    <s v="Population growth (annual %)"/>
    <n v="1.85583116580881"/>
    <x v="16"/>
  </r>
  <r>
    <x v="23"/>
    <s v="Population growth (annual %)"/>
    <n v="2.81207420447637"/>
    <x v="16"/>
  </r>
  <r>
    <x v="24"/>
    <s v="Population growth (annual %)"/>
    <n v="3.1597764783108699"/>
    <x v="16"/>
  </r>
  <r>
    <x v="25"/>
    <s v="Population growth (annual %)"/>
    <n v="2.8470651958649298"/>
    <x v="16"/>
  </r>
  <r>
    <x v="26"/>
    <s v="Population growth (annual %)"/>
    <n v="3.4485087054724501"/>
    <x v="16"/>
  </r>
  <r>
    <x v="27"/>
    <s v="Population growth (annual %)"/>
    <n v="3.1060952366803498"/>
    <x v="16"/>
  </r>
  <r>
    <x v="0"/>
    <s v="Population growth (annual %)"/>
    <n v="2.1568508426082502"/>
    <x v="17"/>
  </r>
  <r>
    <x v="1"/>
    <s v="Population growth (annual %)"/>
    <n v="2.8474688087493401"/>
    <x v="17"/>
  </r>
  <r>
    <x v="2"/>
    <s v="Population growth (annual %)"/>
    <n v="1.94064659198251"/>
    <x v="17"/>
  </r>
  <r>
    <x v="3"/>
    <s v="Population growth (annual %)"/>
    <n v="3.6718879782687202"/>
    <x v="17"/>
  </r>
  <r>
    <x v="4"/>
    <s v="Population growth (annual %)"/>
    <n v="11.007708238587901"/>
    <x v="17"/>
  </r>
  <r>
    <x v="5"/>
    <s v="Population growth (annual %)"/>
    <n v="1.4243287679822401"/>
    <x v="17"/>
  </r>
  <r>
    <x v="6"/>
    <s v="Population growth (annual %)"/>
    <n v="0.38457533857674298"/>
    <x v="17"/>
  </r>
  <r>
    <x v="7"/>
    <s v="Population growth (annual %)"/>
    <n v="1.9504829439757601"/>
    <x v="17"/>
  </r>
  <r>
    <x v="8"/>
    <s v="Population growth (annual %)"/>
    <n v="3.7276116280935399"/>
    <x v="17"/>
  </r>
  <r>
    <x v="9"/>
    <s v="Population growth (annual %)"/>
    <n v="2.12022076506029"/>
    <x v="17"/>
  </r>
  <r>
    <x v="10"/>
    <s v="Population growth (annual %)"/>
    <n v="2.84086283397549"/>
    <x v="17"/>
  </r>
  <r>
    <x v="11"/>
    <s v="Population growth (annual %)"/>
    <n v="2.8498062705814702"/>
    <x v="17"/>
  </r>
  <r>
    <x v="12"/>
    <s v="Population growth (annual %)"/>
    <n v="3.1192618846017099"/>
    <x v="17"/>
  </r>
  <r>
    <x v="13"/>
    <s v="Population growth (annual %)"/>
    <n v="1.7376121054270901"/>
    <x v="17"/>
  </r>
  <r>
    <x v="14"/>
    <s v="Population growth (annual %)"/>
    <n v="0.84900449328314598"/>
    <x v="17"/>
  </r>
  <r>
    <x v="15"/>
    <s v="Population growth (annual %)"/>
    <n v="2.8189707176192198"/>
    <x v="17"/>
  </r>
  <r>
    <x v="16"/>
    <s v="Population growth (annual %)"/>
    <n v="2.3267659015687201"/>
    <x v="17"/>
  </r>
  <r>
    <x v="17"/>
    <s v="Population growth (annual %)"/>
    <n v="2.2155471261569302"/>
    <x v="17"/>
  </r>
  <r>
    <x v="18"/>
    <s v="Population growth (annual %)"/>
    <n v="3.06106511221101"/>
    <x v="17"/>
  </r>
  <r>
    <x v="19"/>
    <s v="Population growth (annual %)"/>
    <n v="2.8822486575438302"/>
    <x v="17"/>
  </r>
  <r>
    <x v="20"/>
    <s v="Population growth (annual %)"/>
    <n v="3.2385905081492599"/>
    <x v="17"/>
  </r>
  <r>
    <x v="21"/>
    <s v="Population growth (annual %)"/>
    <n v="2.9586823770086301"/>
    <x v="17"/>
  </r>
  <r>
    <x v="22"/>
    <s v="Population growth (annual %)"/>
    <n v="1.84162866260145"/>
    <x v="17"/>
  </r>
  <r>
    <x v="23"/>
    <s v="Population growth (annual %)"/>
    <n v="2.7950081143304999"/>
    <x v="17"/>
  </r>
  <r>
    <x v="24"/>
    <s v="Population growth (annual %)"/>
    <n v="3.12976750176434"/>
    <x v="17"/>
  </r>
  <r>
    <x v="25"/>
    <s v="Population growth (annual %)"/>
    <n v="2.92832734128987"/>
    <x v="17"/>
  </r>
  <r>
    <x v="26"/>
    <s v="Population growth (annual %)"/>
    <n v="3.416355772118"/>
    <x v="17"/>
  </r>
  <r>
    <x v="27"/>
    <s v="Population growth (annual %)"/>
    <n v="3.02271386457832"/>
    <x v="17"/>
  </r>
  <r>
    <x v="0"/>
    <s v="Population growth (annual %)"/>
    <n v="2.3937653592388899"/>
    <x v="18"/>
  </r>
  <r>
    <x v="1"/>
    <s v="Population growth (annual %)"/>
    <n v="2.89226178790646"/>
    <x v="18"/>
  </r>
  <r>
    <x v="2"/>
    <s v="Population growth (annual %)"/>
    <n v="1.9013257118762401"/>
    <x v="18"/>
  </r>
  <r>
    <x v="3"/>
    <s v="Population growth (annual %)"/>
    <n v="3.8167659374639298"/>
    <x v="18"/>
  </r>
  <r>
    <x v="4"/>
    <s v="Population growth (annual %)"/>
    <n v="10.438050201496401"/>
    <x v="18"/>
  </r>
  <r>
    <x v="5"/>
    <s v="Population growth (annual %)"/>
    <n v="1.3175588710823001"/>
    <x v="18"/>
  </r>
  <r>
    <x v="6"/>
    <s v="Population growth (annual %)"/>
    <n v="0.51362881691648599"/>
    <x v="18"/>
  </r>
  <r>
    <x v="7"/>
    <s v="Population growth (annual %)"/>
    <n v="2.0224989537654201"/>
    <x v="18"/>
  </r>
  <r>
    <x v="8"/>
    <s v="Population growth (annual %)"/>
    <n v="3.7469894380080899"/>
    <x v="18"/>
  </r>
  <r>
    <x v="9"/>
    <s v="Population growth (annual %)"/>
    <n v="2.0761991448429198"/>
    <x v="18"/>
  </r>
  <r>
    <x v="10"/>
    <s v="Population growth (annual %)"/>
    <n v="2.9080346710570502"/>
    <x v="18"/>
  </r>
  <r>
    <x v="11"/>
    <s v="Population growth (annual %)"/>
    <n v="2.8600487454349799"/>
    <x v="18"/>
  </r>
  <r>
    <x v="12"/>
    <s v="Population growth (annual %)"/>
    <n v="3.13662362681622"/>
    <x v="18"/>
  </r>
  <r>
    <x v="13"/>
    <s v="Population growth (annual %)"/>
    <n v="1.7557549172344999"/>
    <x v="18"/>
  </r>
  <r>
    <x v="14"/>
    <s v="Population growth (annual %)"/>
    <n v="0.81191244385041905"/>
    <x v="18"/>
  </r>
  <r>
    <x v="15"/>
    <s v="Population growth (annual %)"/>
    <n v="2.8048740035988402"/>
    <x v="18"/>
  </r>
  <r>
    <x v="16"/>
    <s v="Population growth (annual %)"/>
    <n v="2.3103084199618098"/>
    <x v="18"/>
  </r>
  <r>
    <x v="17"/>
    <s v="Population growth (annual %)"/>
    <n v="2.23771599519044"/>
    <x v="18"/>
  </r>
  <r>
    <x v="18"/>
    <s v="Population growth (annual %)"/>
    <n v="3.0243127680169302"/>
    <x v="18"/>
  </r>
  <r>
    <x v="19"/>
    <s v="Population growth (annual %)"/>
    <n v="2.8976271460531802"/>
    <x v="18"/>
  </r>
  <r>
    <x v="20"/>
    <s v="Population growth (annual %)"/>
    <n v="3.30374738222699"/>
    <x v="18"/>
  </r>
  <r>
    <x v="21"/>
    <s v="Population growth (annual %)"/>
    <n v="2.9913847557959898"/>
    <x v="18"/>
  </r>
  <r>
    <x v="22"/>
    <s v="Population growth (annual %)"/>
    <n v="1.80591000356412"/>
    <x v="18"/>
  </r>
  <r>
    <x v="23"/>
    <s v="Population growth (annual %)"/>
    <n v="2.8012175109597499"/>
    <x v="18"/>
  </r>
  <r>
    <x v="24"/>
    <s v="Population growth (annual %)"/>
    <n v="3.1114733348945398"/>
    <x v="18"/>
  </r>
  <r>
    <x v="25"/>
    <s v="Population growth (annual %)"/>
    <n v="2.9839253132475299"/>
    <x v="18"/>
  </r>
  <r>
    <x v="26"/>
    <s v="Population growth (annual %)"/>
    <n v="3.3982881578535999"/>
    <x v="18"/>
  </r>
  <r>
    <x v="27"/>
    <s v="Population growth (annual %)"/>
    <n v="3.0488973757320501"/>
    <x v="18"/>
  </r>
  <r>
    <x v="0"/>
    <s v="Population growth (annual %)"/>
    <n v="2.5115744424679201"/>
    <x v="19"/>
  </r>
  <r>
    <x v="1"/>
    <s v="Population growth (annual %)"/>
    <n v="2.9395050315339599"/>
    <x v="19"/>
  </r>
  <r>
    <x v="2"/>
    <s v="Population growth (annual %)"/>
    <n v="1.94312858288497"/>
    <x v="19"/>
  </r>
  <r>
    <x v="3"/>
    <s v="Population growth (annual %)"/>
    <n v="3.7029917256479998"/>
    <x v="19"/>
  </r>
  <r>
    <x v="4"/>
    <s v="Population growth (annual %)"/>
    <n v="8.7238347498370192"/>
    <x v="19"/>
  </r>
  <r>
    <x v="5"/>
    <s v="Population growth (annual %)"/>
    <n v="1.5203353805656601"/>
    <x v="19"/>
  </r>
  <r>
    <x v="6"/>
    <s v="Population growth (annual %)"/>
    <n v="0.80971701027887999"/>
    <x v="19"/>
  </r>
  <r>
    <x v="7"/>
    <s v="Population growth (annual %)"/>
    <n v="2.1008114569511802"/>
    <x v="19"/>
  </r>
  <r>
    <x v="8"/>
    <s v="Population growth (annual %)"/>
    <n v="3.7723910044709599"/>
    <x v="19"/>
  </r>
  <r>
    <x v="9"/>
    <s v="Population growth (annual %)"/>
    <n v="2.1010600062356399"/>
    <x v="19"/>
  </r>
  <r>
    <x v="10"/>
    <s v="Population growth (annual %)"/>
    <n v="3.0921241719669701"/>
    <x v="19"/>
  </r>
  <r>
    <x v="11"/>
    <s v="Population growth (annual %)"/>
    <n v="2.8679280207651501"/>
    <x v="19"/>
  </r>
  <r>
    <x v="12"/>
    <s v="Population growth (annual %)"/>
    <n v="3.04414765287778"/>
    <x v="19"/>
  </r>
  <r>
    <x v="13"/>
    <s v="Population growth (annual %)"/>
    <n v="1.81735702255861"/>
    <x v="19"/>
  </r>
  <r>
    <x v="14"/>
    <s v="Population growth (annual %)"/>
    <n v="0.80537348070968295"/>
    <x v="19"/>
  </r>
  <r>
    <x v="15"/>
    <s v="Population growth (annual %)"/>
    <n v="2.6922001653747198"/>
    <x v="19"/>
  </r>
  <r>
    <x v="16"/>
    <s v="Population growth (annual %)"/>
    <n v="2.3003112183525301"/>
    <x v="19"/>
  </r>
  <r>
    <x v="17"/>
    <s v="Population growth (annual %)"/>
    <n v="2.2584057501156898"/>
    <x v="19"/>
  </r>
  <r>
    <x v="18"/>
    <s v="Population growth (annual %)"/>
    <n v="2.96489102014029"/>
    <x v="19"/>
  </r>
  <r>
    <x v="19"/>
    <s v="Population growth (annual %)"/>
    <n v="2.89712552843188"/>
    <x v="19"/>
  </r>
  <r>
    <x v="20"/>
    <s v="Population growth (annual %)"/>
    <n v="3.36405812344809"/>
    <x v="19"/>
  </r>
  <r>
    <x v="21"/>
    <s v="Population growth (annual %)"/>
    <n v="2.8020088774328702"/>
    <x v="19"/>
  </r>
  <r>
    <x v="22"/>
    <s v="Population growth (annual %)"/>
    <n v="1.74092895643012"/>
    <x v="19"/>
  </r>
  <r>
    <x v="23"/>
    <s v="Population growth (annual %)"/>
    <n v="2.8342873622372902"/>
    <x v="19"/>
  </r>
  <r>
    <x v="24"/>
    <s v="Population growth (annual %)"/>
    <n v="3.1090917218382899"/>
    <x v="19"/>
  </r>
  <r>
    <x v="25"/>
    <s v="Population growth (annual %)"/>
    <n v="3.0025944997557001"/>
    <x v="19"/>
  </r>
  <r>
    <x v="26"/>
    <s v="Population growth (annual %)"/>
    <n v="3.4006797272704299"/>
    <x v="19"/>
  </r>
  <r>
    <x v="27"/>
    <s v="Population growth (annual %)"/>
    <n v="3.2092067671664402"/>
    <x v="19"/>
  </r>
  <r>
    <x v="0"/>
    <s v="Population growth (annual %)"/>
    <n v="2.5463954715550199"/>
    <x v="20"/>
  </r>
  <r>
    <x v="1"/>
    <s v="Population growth (annual %)"/>
    <n v="2.9857505966567199"/>
    <x v="20"/>
  </r>
  <r>
    <x v="2"/>
    <s v="Population growth (annual %)"/>
    <n v="2.04481487423564"/>
    <x v="20"/>
  </r>
  <r>
    <x v="3"/>
    <s v="Population growth (annual %)"/>
    <n v="3.4308376136315899"/>
    <x v="20"/>
  </r>
  <r>
    <x v="4"/>
    <s v="Population growth (annual %)"/>
    <n v="6.58468575071283"/>
    <x v="20"/>
  </r>
  <r>
    <x v="5"/>
    <s v="Population growth (annual %)"/>
    <n v="1.9316921661753601"/>
    <x v="20"/>
  </r>
  <r>
    <x v="6"/>
    <s v="Population growth (annual %)"/>
    <n v="1.22253997295211"/>
    <x v="20"/>
  </r>
  <r>
    <x v="7"/>
    <s v="Population growth (annual %)"/>
    <n v="2.1781205674730999"/>
    <x v="20"/>
  </r>
  <r>
    <x v="8"/>
    <s v="Population growth (annual %)"/>
    <n v="3.7969047829016098"/>
    <x v="20"/>
  </r>
  <r>
    <x v="9"/>
    <s v="Population growth (annual %)"/>
    <n v="1.9920977494554299"/>
    <x v="20"/>
  </r>
  <r>
    <x v="10"/>
    <s v="Population growth (annual %)"/>
    <n v="3.30742262791289"/>
    <x v="20"/>
  </r>
  <r>
    <x v="11"/>
    <s v="Population growth (annual %)"/>
    <n v="2.87320786021529"/>
    <x v="20"/>
  </r>
  <r>
    <x v="12"/>
    <s v="Population growth (annual %)"/>
    <n v="2.9097781948165302"/>
    <x v="20"/>
  </r>
  <r>
    <x v="13"/>
    <s v="Population growth (annual %)"/>
    <n v="1.9015281374491999"/>
    <x v="20"/>
  </r>
  <r>
    <x v="14"/>
    <s v="Population growth (annual %)"/>
    <n v="0.88731726804867295"/>
    <x v="20"/>
  </r>
  <r>
    <x v="15"/>
    <s v="Population growth (annual %)"/>
    <n v="2.50705874502273"/>
    <x v="20"/>
  </r>
  <r>
    <x v="16"/>
    <s v="Population growth (annual %)"/>
    <n v="2.29104522944596"/>
    <x v="20"/>
  </r>
  <r>
    <x v="17"/>
    <s v="Population growth (annual %)"/>
    <n v="2.2768886288236301"/>
    <x v="20"/>
  </r>
  <r>
    <x v="18"/>
    <s v="Population growth (annual %)"/>
    <n v="2.8892651869439199"/>
    <x v="20"/>
  </r>
  <r>
    <x v="19"/>
    <s v="Population growth (annual %)"/>
    <n v="2.8864896007573999"/>
    <x v="20"/>
  </r>
  <r>
    <x v="20"/>
    <s v="Population growth (annual %)"/>
    <n v="3.4160129526322698"/>
    <x v="20"/>
  </r>
  <r>
    <x v="21"/>
    <s v="Population growth (annual %)"/>
    <n v="2.45217459789896"/>
    <x v="20"/>
  </r>
  <r>
    <x v="22"/>
    <s v="Population growth (annual %)"/>
    <n v="1.65806616142207"/>
    <x v="20"/>
  </r>
  <r>
    <x v="23"/>
    <s v="Population growth (annual %)"/>
    <n v="2.8831973050131698"/>
    <x v="20"/>
  </r>
  <r>
    <x v="24"/>
    <s v="Population growth (annual %)"/>
    <n v="3.1164556229867699"/>
    <x v="20"/>
  </r>
  <r>
    <x v="25"/>
    <s v="Population growth (annual %)"/>
    <n v="3.0008296613223702"/>
    <x v="20"/>
  </r>
  <r>
    <x v="26"/>
    <s v="Population growth (annual %)"/>
    <n v="3.4107676789552999"/>
    <x v="20"/>
  </r>
  <r>
    <x v="27"/>
    <s v="Population growth (annual %)"/>
    <n v="3.4418086143453599"/>
    <x v="20"/>
  </r>
  <r>
    <x v="0"/>
    <s v="Population growth (annual %)"/>
    <n v="2.5511658632490999"/>
    <x v="21"/>
  </r>
  <r>
    <x v="1"/>
    <s v="Population growth (annual %)"/>
    <n v="3.0247023813248801"/>
    <x v="21"/>
  </r>
  <r>
    <x v="2"/>
    <s v="Population growth (annual %)"/>
    <n v="2.1514259285883202"/>
    <x v="21"/>
  </r>
  <r>
    <x v="3"/>
    <s v="Population growth (annual %)"/>
    <n v="3.1267186891516898"/>
    <x v="21"/>
  </r>
  <r>
    <x v="4"/>
    <s v="Population growth (annual %)"/>
    <n v="4.3547050189102201"/>
    <x v="21"/>
  </r>
  <r>
    <x v="5"/>
    <s v="Population growth (annual %)"/>
    <n v="2.3966623669182998"/>
    <x v="21"/>
  </r>
  <r>
    <x v="6"/>
    <s v="Population growth (annual %)"/>
    <n v="1.7114170039901"/>
    <x v="21"/>
  </r>
  <r>
    <x v="7"/>
    <s v="Population growth (annual %)"/>
    <n v="2.25662273609074"/>
    <x v="21"/>
  </r>
  <r>
    <x v="8"/>
    <s v="Population growth (annual %)"/>
    <n v="3.8152005914296199"/>
    <x v="21"/>
  </r>
  <r>
    <x v="9"/>
    <s v="Population growth (annual %)"/>
    <n v="2.0176408483871202"/>
    <x v="21"/>
  </r>
  <r>
    <x v="10"/>
    <s v="Population growth (annual %)"/>
    <n v="3.5961303526066799"/>
    <x v="21"/>
  </r>
  <r>
    <x v="11"/>
    <s v="Population growth (annual %)"/>
    <n v="2.88117474839928"/>
    <x v="21"/>
  </r>
  <r>
    <x v="12"/>
    <s v="Population growth (annual %)"/>
    <n v="2.6339465571325098"/>
    <x v="21"/>
  </r>
  <r>
    <x v="13"/>
    <s v="Population growth (annual %)"/>
    <n v="2.0130906297942102"/>
    <x v="21"/>
  </r>
  <r>
    <x v="14"/>
    <s v="Population growth (annual %)"/>
    <n v="0.96704050316824797"/>
    <x v="21"/>
  </r>
  <r>
    <x v="15"/>
    <s v="Population growth (annual %)"/>
    <n v="2.3748098339939698"/>
    <x v="21"/>
  </r>
  <r>
    <x v="16"/>
    <s v="Population growth (annual %)"/>
    <n v="2.2795571517950899"/>
    <x v="21"/>
  </r>
  <r>
    <x v="17"/>
    <s v="Population growth (annual %)"/>
    <n v="2.3008212712541898"/>
    <x v="21"/>
  </r>
  <r>
    <x v="18"/>
    <s v="Population growth (annual %)"/>
    <n v="2.8142286022651399"/>
    <x v="21"/>
  </r>
  <r>
    <x v="19"/>
    <s v="Population growth (annual %)"/>
    <n v="2.8818467084652202"/>
    <x v="21"/>
  </r>
  <r>
    <x v="20"/>
    <s v="Population growth (annual %)"/>
    <n v="3.3346663095251099"/>
    <x v="21"/>
  </r>
  <r>
    <x v="21"/>
    <s v="Population growth (annual %)"/>
    <n v="2.08554763446993"/>
    <x v="21"/>
  </r>
  <r>
    <x v="22"/>
    <s v="Population growth (annual %)"/>
    <n v="1.56744153530276"/>
    <x v="21"/>
  </r>
  <r>
    <x v="23"/>
    <s v="Population growth (annual %)"/>
    <n v="2.91118767012212"/>
    <x v="21"/>
  </r>
  <r>
    <x v="24"/>
    <s v="Population growth (annual %)"/>
    <n v="3.1295855127537502"/>
    <x v="21"/>
  </r>
  <r>
    <x v="25"/>
    <s v="Population growth (annual %)"/>
    <n v="2.98823450933273"/>
    <x v="21"/>
  </r>
  <r>
    <x v="26"/>
    <s v="Population growth (annual %)"/>
    <n v="3.4213224666925002"/>
    <x v="21"/>
  </r>
  <r>
    <x v="27"/>
    <s v="Population growth (annual %)"/>
    <n v="3.6694435438150799"/>
    <x v="21"/>
  </r>
  <r>
    <x v="0"/>
    <s v="Population growth (annual %)"/>
    <n v="2.5757271975506599"/>
    <x v="22"/>
  </r>
  <r>
    <x v="1"/>
    <s v="Population growth (annual %)"/>
    <n v="3.0548477233201399"/>
    <x v="22"/>
  </r>
  <r>
    <x v="2"/>
    <s v="Population growth (annual %)"/>
    <n v="2.2526614811891199"/>
    <x v="22"/>
  </r>
  <r>
    <x v="3"/>
    <s v="Population growth (annual %)"/>
    <n v="2.89833987636649"/>
    <x v="22"/>
  </r>
  <r>
    <x v="4"/>
    <s v="Population growth (annual %)"/>
    <n v="2.7188970916179498"/>
    <x v="22"/>
  </r>
  <r>
    <x v="5"/>
    <s v="Population growth (annual %)"/>
    <n v="2.7754982317363202"/>
    <x v="22"/>
  </r>
  <r>
    <x v="6"/>
    <s v="Population growth (annual %)"/>
    <n v="2.17286078648592"/>
    <x v="22"/>
  </r>
  <r>
    <x v="7"/>
    <s v="Population growth (annual %)"/>
    <n v="2.32041529222542"/>
    <x v="22"/>
  </r>
  <r>
    <x v="8"/>
    <s v="Population growth (annual %)"/>
    <n v="3.81782797682432"/>
    <x v="22"/>
  </r>
  <r>
    <x v="9"/>
    <s v="Population growth (annual %)"/>
    <n v="1.91454475844351"/>
    <x v="22"/>
  </r>
  <r>
    <x v="10"/>
    <s v="Population growth (annual %)"/>
    <n v="3.7301037113717799"/>
    <x v="22"/>
  </r>
  <r>
    <x v="11"/>
    <s v="Population growth (annual %)"/>
    <n v="2.8870685008849599"/>
    <x v="22"/>
  </r>
  <r>
    <x v="12"/>
    <s v="Population growth (annual %)"/>
    <n v="2.4491193340913502"/>
    <x v="22"/>
  </r>
  <r>
    <x v="13"/>
    <s v="Population growth (annual %)"/>
    <n v="2.0976481067295398"/>
    <x v="22"/>
  </r>
  <r>
    <x v="14"/>
    <s v="Population growth (annual %)"/>
    <n v="1.01553172194054"/>
    <x v="22"/>
  </r>
  <r>
    <x v="15"/>
    <s v="Population growth (annual %)"/>
    <n v="2.2506486041998599"/>
    <x v="22"/>
  </r>
  <r>
    <x v="16"/>
    <s v="Population growth (annual %)"/>
    <n v="2.2555214775436898"/>
    <x v="22"/>
  </r>
  <r>
    <x v="17"/>
    <s v="Population growth (annual %)"/>
    <n v="2.3220069952597702"/>
    <x v="22"/>
  </r>
  <r>
    <x v="18"/>
    <s v="Population growth (annual %)"/>
    <n v="2.7400162750491401"/>
    <x v="22"/>
  </r>
  <r>
    <x v="19"/>
    <s v="Population growth (annual %)"/>
    <n v="2.8842806044226599"/>
    <x v="22"/>
  </r>
  <r>
    <x v="20"/>
    <s v="Population growth (annual %)"/>
    <n v="3.22657181553343"/>
    <x v="22"/>
  </r>
  <r>
    <x v="21"/>
    <s v="Population growth (annual %)"/>
    <n v="1.79503531766776"/>
    <x v="22"/>
  </r>
  <r>
    <x v="22"/>
    <s v="Population growth (annual %)"/>
    <n v="1.4890104833365301"/>
    <x v="22"/>
  </r>
  <r>
    <x v="23"/>
    <s v="Population growth (annual %)"/>
    <n v="2.9282688491793398"/>
    <x v="22"/>
  </r>
  <r>
    <x v="24"/>
    <s v="Population growth (annual %)"/>
    <n v="3.1376639960459198"/>
    <x v="22"/>
  </r>
  <r>
    <x v="25"/>
    <s v="Population growth (annual %)"/>
    <n v="2.9950427367146899"/>
    <x v="22"/>
  </r>
  <r>
    <x v="26"/>
    <s v="Population growth (annual %)"/>
    <n v="3.41169297973995"/>
    <x v="22"/>
  </r>
  <r>
    <x v="27"/>
    <s v="Population growth (annual %)"/>
    <n v="3.8226379694633699"/>
    <x v="22"/>
  </r>
  <r>
    <x v="0"/>
    <s v="Population growth (annual %)"/>
    <n v="2.6268990054985899"/>
    <x v="23"/>
  </r>
  <r>
    <x v="1"/>
    <s v="Population growth (annual %)"/>
    <n v="3.0796202369363401"/>
    <x v="23"/>
  </r>
  <r>
    <x v="2"/>
    <s v="Population growth (annual %)"/>
    <n v="2.38681756689975"/>
    <x v="23"/>
  </r>
  <r>
    <x v="3"/>
    <s v="Population growth (annual %)"/>
    <n v="2.7601813794507599"/>
    <x v="23"/>
  </r>
  <r>
    <x v="4"/>
    <s v="Population growth (annual %)"/>
    <n v="2.1901262139281399"/>
    <x v="23"/>
  </r>
  <r>
    <x v="5"/>
    <s v="Population growth (annual %)"/>
    <n v="3.0471553905964499"/>
    <x v="23"/>
  </r>
  <r>
    <x v="6"/>
    <s v="Population growth (annual %)"/>
    <n v="2.5238625297958701"/>
    <x v="23"/>
  </r>
  <r>
    <x v="7"/>
    <s v="Population growth (annual %)"/>
    <n v="2.3470290927950601"/>
    <x v="23"/>
  </r>
  <r>
    <x v="8"/>
    <s v="Population growth (annual %)"/>
    <n v="3.7993181130280398"/>
    <x v="23"/>
  </r>
  <r>
    <x v="9"/>
    <s v="Population growth (annual %)"/>
    <n v="2.0025700502294801"/>
    <x v="23"/>
  </r>
  <r>
    <x v="10"/>
    <s v="Population growth (annual %)"/>
    <n v="3.4375867236644901"/>
    <x v="23"/>
  </r>
  <r>
    <x v="11"/>
    <s v="Population growth (annual %)"/>
    <n v="2.8836034583847798"/>
    <x v="23"/>
  </r>
  <r>
    <x v="12"/>
    <s v="Population growth (annual %)"/>
    <n v="2.69160561713083"/>
    <x v="23"/>
  </r>
  <r>
    <x v="13"/>
    <s v="Population growth (annual %)"/>
    <n v="2.09079786822798"/>
    <x v="23"/>
  </r>
  <r>
    <x v="14"/>
    <s v="Population growth (annual %)"/>
    <n v="1.03389777951793"/>
    <x v="23"/>
  </r>
  <r>
    <x v="15"/>
    <s v="Population growth (annual %)"/>
    <n v="1.9824759510011201"/>
    <x v="23"/>
  </r>
  <r>
    <x v="16"/>
    <s v="Population growth (annual %)"/>
    <n v="2.2093619564948801"/>
    <x v="23"/>
  </r>
  <r>
    <x v="17"/>
    <s v="Population growth (annual %)"/>
    <n v="2.3254040009264099"/>
    <x v="23"/>
  </r>
  <r>
    <x v="18"/>
    <s v="Population growth (annual %)"/>
    <n v="2.6544095321975898"/>
    <x v="23"/>
  </r>
  <r>
    <x v="19"/>
    <s v="Population growth (annual %)"/>
    <n v="2.88210134892421"/>
    <x v="23"/>
  </r>
  <r>
    <x v="20"/>
    <s v="Population growth (annual %)"/>
    <n v="3.3021553836535"/>
    <x v="23"/>
  </r>
  <r>
    <x v="21"/>
    <s v="Population growth (annual %)"/>
    <n v="1.61994056163967"/>
    <x v="23"/>
  </r>
  <r>
    <x v="22"/>
    <s v="Population growth (annual %)"/>
    <n v="1.4364121788338799"/>
    <x v="23"/>
  </r>
  <r>
    <x v="23"/>
    <s v="Population growth (annual %)"/>
    <n v="2.9741987778032799"/>
    <x v="23"/>
  </r>
  <r>
    <x v="24"/>
    <s v="Population growth (annual %)"/>
    <n v="3.1332464476351798"/>
    <x v="23"/>
  </r>
  <r>
    <x v="25"/>
    <s v="Population growth (annual %)"/>
    <n v="3.0450265987746601"/>
    <x v="23"/>
  </r>
  <r>
    <x v="26"/>
    <s v="Population growth (annual %)"/>
    <n v="3.3655437512636301"/>
    <x v="23"/>
  </r>
  <r>
    <x v="27"/>
    <s v="Population growth (annual %)"/>
    <n v="3.88679361381452"/>
    <x v="23"/>
  </r>
  <r>
    <x v="0"/>
    <s v="Population growth (annual %)"/>
    <n v="2.7177665677437202"/>
    <x v="24"/>
  </r>
  <r>
    <x v="1"/>
    <s v="Population growth (annual %)"/>
    <n v="3.09876129481114"/>
    <x v="24"/>
  </r>
  <r>
    <x v="2"/>
    <s v="Population growth (annual %)"/>
    <n v="2.5545744020133001"/>
    <x v="24"/>
  </r>
  <r>
    <x v="3"/>
    <s v="Population growth (annual %)"/>
    <n v="2.7497396820767799"/>
    <x v="24"/>
  </r>
  <r>
    <x v="4"/>
    <s v="Population growth (annual %)"/>
    <n v="3.0546785734019402"/>
    <x v="24"/>
  </r>
  <r>
    <x v="5"/>
    <s v="Population growth (annual %)"/>
    <n v="3.1695295188350499"/>
    <x v="24"/>
  </r>
  <r>
    <x v="6"/>
    <s v="Population growth (annual %)"/>
    <n v="2.7201368702058302"/>
    <x v="24"/>
  </r>
  <r>
    <x v="7"/>
    <s v="Population growth (annual %)"/>
    <n v="2.3286576348291899"/>
    <x v="24"/>
  </r>
  <r>
    <x v="8"/>
    <s v="Population growth (annual %)"/>
    <n v="3.75723421736462"/>
    <x v="24"/>
  </r>
  <r>
    <x v="9"/>
    <s v="Population growth (annual %)"/>
    <n v="2.0239881347746098"/>
    <x v="24"/>
  </r>
  <r>
    <x v="10"/>
    <s v="Population growth (annual %)"/>
    <n v="2.63637981408686"/>
    <x v="24"/>
  </r>
  <r>
    <x v="11"/>
    <s v="Population growth (annual %)"/>
    <n v="2.86863129447377"/>
    <x v="24"/>
  </r>
  <r>
    <x v="12"/>
    <s v="Population growth (annual %)"/>
    <n v="3.4607724800993198"/>
    <x v="24"/>
  </r>
  <r>
    <x v="13"/>
    <s v="Population growth (annual %)"/>
    <n v="1.96790449723715"/>
    <x v="24"/>
  </r>
  <r>
    <x v="14"/>
    <s v="Population growth (annual %)"/>
    <n v="1.0233176280028999"/>
    <x v="24"/>
  </r>
  <r>
    <x v="15"/>
    <s v="Population growth (annual %)"/>
    <n v="1.5371573835974099"/>
    <x v="24"/>
  </r>
  <r>
    <x v="16"/>
    <s v="Population growth (annual %)"/>
    <n v="2.1366445463433301"/>
    <x v="24"/>
  </r>
  <r>
    <x v="17"/>
    <s v="Population growth (annual %)"/>
    <n v="2.3070505223825899"/>
    <x v="24"/>
  </r>
  <r>
    <x v="18"/>
    <s v="Population growth (annual %)"/>
    <n v="2.5553803207054"/>
    <x v="24"/>
  </r>
  <r>
    <x v="19"/>
    <s v="Population growth (annual %)"/>
    <n v="2.8748633316296601"/>
    <x v="24"/>
  </r>
  <r>
    <x v="20"/>
    <s v="Population growth (annual %)"/>
    <n v="3.6054554581449598"/>
    <x v="24"/>
  </r>
  <r>
    <x v="21"/>
    <s v="Population growth (annual %)"/>
    <n v="1.5793992053958601"/>
    <x v="24"/>
  </r>
  <r>
    <x v="22"/>
    <s v="Population growth (annual %)"/>
    <n v="1.4181588246283101"/>
    <x v="24"/>
  </r>
  <r>
    <x v="23"/>
    <s v="Population growth (annual %)"/>
    <n v="3.0541790147641898"/>
    <x v="24"/>
  </r>
  <r>
    <x v="24"/>
    <s v="Population growth (annual %)"/>
    <n v="3.1127881967676898"/>
    <x v="24"/>
  </r>
  <r>
    <x v="25"/>
    <s v="Population growth (annual %)"/>
    <n v="3.1475409176269999"/>
    <x v="24"/>
  </r>
  <r>
    <x v="26"/>
    <s v="Population growth (annual %)"/>
    <n v="3.2765822669768601"/>
    <x v="24"/>
  </r>
  <r>
    <x v="27"/>
    <s v="Population growth (annual %)"/>
    <n v="3.8445127076087502"/>
    <x v="24"/>
  </r>
  <r>
    <x v="0"/>
    <s v="Population growth (annual %)"/>
    <n v="2.8206108301397999"/>
    <x v="25"/>
  </r>
  <r>
    <x v="1"/>
    <s v="Population growth (annual %)"/>
    <n v="3.1101491529771401"/>
    <x v="25"/>
  </r>
  <r>
    <x v="2"/>
    <s v="Population growth (annual %)"/>
    <n v="2.7374740358080398"/>
    <x v="25"/>
  </r>
  <r>
    <x v="3"/>
    <s v="Population growth (annual %)"/>
    <n v="2.8172404692651001"/>
    <x v="25"/>
  </r>
  <r>
    <x v="4"/>
    <s v="Population growth (annual %)"/>
    <n v="4.7135452027413702"/>
    <x v="25"/>
  </r>
  <r>
    <x v="5"/>
    <s v="Population growth (annual %)"/>
    <n v="3.1913954886921401"/>
    <x v="25"/>
  </r>
  <r>
    <x v="6"/>
    <s v="Population growth (annual %)"/>
    <n v="2.82476414019269"/>
    <x v="25"/>
  </r>
  <r>
    <x v="7"/>
    <s v="Population growth (annual %)"/>
    <n v="2.2792499443366698"/>
    <x v="25"/>
  </r>
  <r>
    <x v="8"/>
    <s v="Population growth (annual %)"/>
    <n v="3.6983026491692899"/>
    <x v="25"/>
  </r>
  <r>
    <x v="9"/>
    <s v="Population growth (annual %)"/>
    <n v="2.1028110355253"/>
    <x v="25"/>
  </r>
  <r>
    <x v="10"/>
    <s v="Population growth (annual %)"/>
    <n v="1.5381156997016301"/>
    <x v="25"/>
  </r>
  <r>
    <x v="11"/>
    <s v="Population growth (annual %)"/>
    <n v="2.8485878217494802"/>
    <x v="25"/>
  </r>
  <r>
    <x v="12"/>
    <s v="Population growth (annual %)"/>
    <n v="4.4691106444219404"/>
    <x v="25"/>
  </r>
  <r>
    <x v="13"/>
    <s v="Population growth (annual %)"/>
    <n v="1.7806209587467301"/>
    <x v="25"/>
  </r>
  <r>
    <x v="14"/>
    <s v="Population growth (annual %)"/>
    <n v="0.95694510161506696"/>
    <x v="25"/>
  </r>
  <r>
    <x v="15"/>
    <s v="Population growth (annual %)"/>
    <n v="1.0111090454645"/>
    <x v="25"/>
  </r>
  <r>
    <x v="16"/>
    <s v="Population growth (annual %)"/>
    <n v="2.0448423035068402"/>
    <x v="25"/>
  </r>
  <r>
    <x v="17"/>
    <s v="Population growth (annual %)"/>
    <n v="2.2782984442269498"/>
    <x v="25"/>
  </r>
  <r>
    <x v="18"/>
    <s v="Population growth (annual %)"/>
    <n v="2.45191821688613"/>
    <x v="25"/>
  </r>
  <r>
    <x v="19"/>
    <s v="Population growth (annual %)"/>
    <n v="2.8687668830036799"/>
    <x v="25"/>
  </r>
  <r>
    <x v="20"/>
    <s v="Population growth (annual %)"/>
    <n v="3.9698720986279099"/>
    <x v="25"/>
  </r>
  <r>
    <x v="21"/>
    <s v="Population growth (annual %)"/>
    <n v="1.67263287768492"/>
    <x v="25"/>
  </r>
  <r>
    <x v="22"/>
    <s v="Population growth (annual %)"/>
    <n v="1.42153245307194"/>
    <x v="25"/>
  </r>
  <r>
    <x v="23"/>
    <s v="Population growth (annual %)"/>
    <n v="3.1398006361070099"/>
    <x v="25"/>
  </r>
  <r>
    <x v="24"/>
    <s v="Population growth (annual %)"/>
    <n v="3.08504686746311"/>
    <x v="25"/>
  </r>
  <r>
    <x v="25"/>
    <s v="Population growth (annual %)"/>
    <n v="3.2767406076765702"/>
    <x v="25"/>
  </r>
  <r>
    <x v="26"/>
    <s v="Population growth (annual %)"/>
    <n v="3.1614632865341301"/>
    <x v="25"/>
  </r>
  <r>
    <x v="27"/>
    <s v="Population growth (annual %)"/>
    <n v="3.72563565293897"/>
    <x v="25"/>
  </r>
  <r>
    <x v="0"/>
    <s v="Population growth (annual %)"/>
    <n v="2.9236028971024099"/>
    <x v="26"/>
  </r>
  <r>
    <x v="1"/>
    <s v="Population growth (annual %)"/>
    <n v="3.1178151316809699"/>
    <x v="26"/>
  </r>
  <r>
    <x v="2"/>
    <s v="Population growth (annual %)"/>
    <n v="2.9315641164670301"/>
    <x v="26"/>
  </r>
  <r>
    <x v="3"/>
    <s v="Population growth (annual %)"/>
    <n v="2.89107456526623"/>
    <x v="26"/>
  </r>
  <r>
    <x v="4"/>
    <s v="Population growth (annual %)"/>
    <n v="6.5361553585041197"/>
    <x v="26"/>
  </r>
  <r>
    <x v="5"/>
    <s v="Population growth (annual %)"/>
    <n v="3.18495303120618"/>
    <x v="26"/>
  </r>
  <r>
    <x v="6"/>
    <s v="Population growth (annual %)"/>
    <n v="2.8123255383553398"/>
    <x v="26"/>
  </r>
  <r>
    <x v="7"/>
    <s v="Population growth (annual %)"/>
    <n v="2.22052042900145"/>
    <x v="26"/>
  </r>
  <r>
    <x v="8"/>
    <s v="Population growth (annual %)"/>
    <n v="3.6346929144466298"/>
    <x v="26"/>
  </r>
  <r>
    <x v="9"/>
    <s v="Population growth (annual %)"/>
    <n v="2.0595020364582202"/>
    <x v="26"/>
  </r>
  <r>
    <x v="10"/>
    <s v="Population growth (annual %)"/>
    <n v="0.42226648107777098"/>
    <x v="26"/>
  </r>
  <r>
    <x v="11"/>
    <s v="Population growth (annual %)"/>
    <n v="2.8276809810506198"/>
    <x v="26"/>
  </r>
  <r>
    <x v="12"/>
    <s v="Population growth (annual %)"/>
    <n v="5.5850122777657996"/>
    <x v="26"/>
  </r>
  <r>
    <x v="13"/>
    <s v="Population growth (annual %)"/>
    <n v="1.56175450393972"/>
    <x v="26"/>
  </r>
  <r>
    <x v="14"/>
    <s v="Population growth (annual %)"/>
    <n v="0.89236509622166005"/>
    <x v="26"/>
  </r>
  <r>
    <x v="15"/>
    <s v="Population growth (annual %)"/>
    <n v="0.38418436425672498"/>
    <x v="26"/>
  </r>
  <r>
    <x v="16"/>
    <s v="Population growth (annual %)"/>
    <n v="1.95547501852096"/>
    <x v="26"/>
  </r>
  <r>
    <x v="17"/>
    <s v="Population growth (annual %)"/>
    <n v="2.2302711509270998"/>
    <x v="26"/>
  </r>
  <r>
    <x v="18"/>
    <s v="Population growth (annual %)"/>
    <n v="2.3402588526542201"/>
    <x v="26"/>
  </r>
  <r>
    <x v="19"/>
    <s v="Population growth (annual %)"/>
    <n v="2.86233049269247"/>
    <x v="26"/>
  </r>
  <r>
    <x v="20"/>
    <s v="Population growth (annual %)"/>
    <n v="4.5916442407003002"/>
    <x v="26"/>
  </r>
  <r>
    <x v="21"/>
    <s v="Population growth (annual %)"/>
    <n v="1.7599015733266301"/>
    <x v="26"/>
  </r>
  <r>
    <x v="22"/>
    <s v="Population growth (annual %)"/>
    <n v="1.42927922084702"/>
    <x v="26"/>
  </r>
  <r>
    <x v="23"/>
    <s v="Population growth (annual %)"/>
    <n v="3.24132078688171"/>
    <x v="26"/>
  </r>
  <r>
    <x v="24"/>
    <s v="Population growth (annual %)"/>
    <n v="3.0409140285950498"/>
    <x v="26"/>
  </r>
  <r>
    <x v="25"/>
    <s v="Population growth (annual %)"/>
    <n v="3.4089038058967902"/>
    <x v="26"/>
  </r>
  <r>
    <x v="26"/>
    <s v="Population growth (annual %)"/>
    <n v="3.0505836176795902"/>
    <x v="26"/>
  </r>
  <r>
    <x v="27"/>
    <s v="Population growth (annual %)"/>
    <n v="3.5994459480249601"/>
    <x v="26"/>
  </r>
  <r>
    <x v="0"/>
    <s v="Population growth (annual %)"/>
    <n v="2.9744083821677298"/>
    <x v="27"/>
  </r>
  <r>
    <x v="1"/>
    <s v="Population growth (annual %)"/>
    <n v="3.1142382148145198"/>
    <x v="27"/>
  </r>
  <r>
    <x v="2"/>
    <s v="Population growth (annual %)"/>
    <n v="3.1000427916642801"/>
    <x v="27"/>
  </r>
  <r>
    <x v="3"/>
    <s v="Population growth (annual %)"/>
    <n v="2.9349613547801998"/>
    <x v="27"/>
  </r>
  <r>
    <x v="4"/>
    <s v="Population growth (annual %)"/>
    <n v="7.6186597554922502"/>
    <x v="27"/>
  </r>
  <r>
    <x v="5"/>
    <s v="Population growth (annual %)"/>
    <n v="3.2066493828912499"/>
    <x v="27"/>
  </r>
  <r>
    <x v="6"/>
    <s v="Population growth (annual %)"/>
    <n v="2.8591523954699598"/>
    <x v="27"/>
  </r>
  <r>
    <x v="7"/>
    <s v="Population growth (annual %)"/>
    <n v="2.16744046393227"/>
    <x v="27"/>
  </r>
  <r>
    <x v="8"/>
    <s v="Population growth (annual %)"/>
    <n v="3.5701560166466599"/>
    <x v="27"/>
  </r>
  <r>
    <x v="9"/>
    <s v="Population growth (annual %)"/>
    <n v="2.0750024023759099"/>
    <x v="27"/>
  </r>
  <r>
    <x v="10"/>
    <s v="Population growth (annual %)"/>
    <n v="-0.492163723119458"/>
    <x v="27"/>
  </r>
  <r>
    <x v="11"/>
    <s v="Population growth (annual %)"/>
    <n v="2.8157648241541802"/>
    <x v="27"/>
  </r>
  <r>
    <x v="12"/>
    <s v="Population growth (annual %)"/>
    <n v="6.2869285616472901"/>
    <x v="27"/>
  </r>
  <r>
    <x v="13"/>
    <s v="Population growth (annual %)"/>
    <n v="1.40543470579171"/>
    <x v="27"/>
  </r>
  <r>
    <x v="14"/>
    <s v="Population growth (annual %)"/>
    <n v="0.85695064853005498"/>
    <x v="27"/>
  </r>
  <r>
    <x v="15"/>
    <s v="Population growth (annual %)"/>
    <n v="-0.103810197873531"/>
    <x v="27"/>
  </r>
  <r>
    <x v="16"/>
    <s v="Population growth (annual %)"/>
    <n v="1.8685227085920599"/>
    <x v="27"/>
  </r>
  <r>
    <x v="17"/>
    <s v="Population growth (annual %)"/>
    <n v="2.1965163575974498"/>
    <x v="27"/>
  </r>
  <r>
    <x v="18"/>
    <s v="Population growth (annual %)"/>
    <n v="2.2403949622076098"/>
    <x v="27"/>
  </r>
  <r>
    <x v="19"/>
    <s v="Population growth (annual %)"/>
    <n v="2.8702076685535398"/>
    <x v="27"/>
  </r>
  <r>
    <x v="20"/>
    <s v="Population growth (annual %)"/>
    <n v="4.9395712999569898"/>
    <x v="27"/>
  </r>
  <r>
    <x v="21"/>
    <s v="Population growth (annual %)"/>
    <n v="1.82353600812039"/>
    <x v="27"/>
  </r>
  <r>
    <x v="22"/>
    <s v="Population growth (annual %)"/>
    <n v="1.4230689784619399"/>
    <x v="27"/>
  </r>
  <r>
    <x v="23"/>
    <s v="Population growth (annual %)"/>
    <n v="3.2877613141119801"/>
    <x v="27"/>
  </r>
  <r>
    <x v="24"/>
    <s v="Population growth (annual %)"/>
    <n v="3.0074170618024598"/>
    <x v="27"/>
  </r>
  <r>
    <x v="25"/>
    <s v="Population growth (annual %)"/>
    <n v="3.5069473354897598"/>
    <x v="27"/>
  </r>
  <r>
    <x v="26"/>
    <s v="Population growth (annual %)"/>
    <n v="2.9546659908992199"/>
    <x v="27"/>
  </r>
  <r>
    <x v="27"/>
    <s v="Population growth (annual %)"/>
    <n v="3.4714693940211299"/>
    <x v="27"/>
  </r>
  <r>
    <x v="0"/>
    <s v="Population growth (annual %)"/>
    <n v="2.9283899980524302"/>
    <x v="28"/>
  </r>
  <r>
    <x v="1"/>
    <s v="Population growth (annual %)"/>
    <n v="3.08880957214574"/>
    <x v="28"/>
  </r>
  <r>
    <x v="2"/>
    <s v="Population growth (annual %)"/>
    <n v="3.2070646897028099"/>
    <x v="28"/>
  </r>
  <r>
    <x v="3"/>
    <s v="Population growth (annual %)"/>
    <n v="2.9582980097150799"/>
    <x v="28"/>
  </r>
  <r>
    <x v="4"/>
    <s v="Population growth (annual %)"/>
    <n v="7.5907907683656797"/>
    <x v="28"/>
  </r>
  <r>
    <x v="5"/>
    <s v="Population growth (annual %)"/>
    <n v="3.2545147774421102"/>
    <x v="28"/>
  </r>
  <r>
    <x v="6"/>
    <s v="Population growth (annual %)"/>
    <n v="3.1713193995084699"/>
    <x v="28"/>
  </r>
  <r>
    <x v="7"/>
    <s v="Population growth (annual %)"/>
    <n v="2.1178615583821401"/>
    <x v="28"/>
  </r>
  <r>
    <x v="8"/>
    <s v="Population growth (annual %)"/>
    <n v="3.49936009359216"/>
    <x v="28"/>
  </r>
  <r>
    <x v="9"/>
    <s v="Population growth (annual %)"/>
    <n v="2.1445517139477199"/>
    <x v="28"/>
  </r>
  <r>
    <x v="10"/>
    <s v="Population growth (annual %)"/>
    <n v="-1.19066270187364"/>
    <x v="28"/>
  </r>
  <r>
    <x v="11"/>
    <s v="Population growth (annual %)"/>
    <n v="2.8209175911839401"/>
    <x v="28"/>
  </r>
  <r>
    <x v="12"/>
    <s v="Population growth (annual %)"/>
    <n v="6.1706167198600497"/>
    <x v="28"/>
  </r>
  <r>
    <x v="13"/>
    <s v="Population growth (annual %)"/>
    <n v="1.39055196096571"/>
    <x v="28"/>
  </r>
  <r>
    <x v="14"/>
    <s v="Population growth (annual %)"/>
    <n v="0.74043941742100905"/>
    <x v="28"/>
  </r>
  <r>
    <x v="15"/>
    <s v="Population growth (annual %)"/>
    <n v="-0.14070408302661799"/>
    <x v="28"/>
  </r>
  <r>
    <x v="16"/>
    <s v="Population growth (annual %)"/>
    <n v="1.7656577587440501"/>
    <x v="28"/>
  </r>
  <r>
    <x v="17"/>
    <s v="Population growth (annual %)"/>
    <n v="2.22184547461924"/>
    <x v="28"/>
  </r>
  <r>
    <x v="18"/>
    <s v="Population growth (annual %)"/>
    <n v="2.1783226930105801"/>
    <x v="28"/>
  </r>
  <r>
    <x v="19"/>
    <s v="Population growth (annual %)"/>
    <n v="2.9103341690029199"/>
    <x v="28"/>
  </r>
  <r>
    <x v="20"/>
    <s v="Population growth (annual %)"/>
    <n v="4.3320432364723196"/>
    <x v="28"/>
  </r>
  <r>
    <x v="21"/>
    <s v="Population growth (annual %)"/>
    <n v="1.89507019894532"/>
    <x v="28"/>
  </r>
  <r>
    <x v="22"/>
    <s v="Population growth (annual %)"/>
    <n v="1.3972375469129199"/>
    <x v="28"/>
  </r>
  <r>
    <x v="23"/>
    <s v="Population growth (annual %)"/>
    <n v="3.19291777630005"/>
    <x v="28"/>
  </r>
  <r>
    <x v="24"/>
    <s v="Population growth (annual %)"/>
    <n v="3.02058136727931"/>
    <x v="28"/>
  </r>
  <r>
    <x v="25"/>
    <s v="Population growth (annual %)"/>
    <n v="3.5495496410157199"/>
    <x v="28"/>
  </r>
  <r>
    <x v="26"/>
    <s v="Population growth (annual %)"/>
    <n v="2.8613918267118499"/>
    <x v="28"/>
  </r>
  <r>
    <x v="27"/>
    <s v="Population growth (annual %)"/>
    <n v="3.29192419550896"/>
    <x v="28"/>
  </r>
  <r>
    <x v="0"/>
    <s v="Population growth (annual %)"/>
    <n v="2.7664643789615"/>
    <x v="29"/>
  </r>
  <r>
    <x v="1"/>
    <s v="Population growth (annual %)"/>
    <n v="3.0384711088426002"/>
    <x v="29"/>
  </r>
  <r>
    <x v="2"/>
    <s v="Population growth (annual %)"/>
    <n v="3.2374236932532701"/>
    <x v="29"/>
  </r>
  <r>
    <x v="3"/>
    <s v="Population growth (annual %)"/>
    <n v="2.96341493968414"/>
    <x v="29"/>
  </r>
  <r>
    <x v="4"/>
    <s v="Population growth (annual %)"/>
    <n v="6.3826546171282699"/>
    <x v="29"/>
  </r>
  <r>
    <x v="5"/>
    <s v="Population growth (annual %)"/>
    <n v="3.3416670445560799"/>
    <x v="29"/>
  </r>
  <r>
    <x v="6"/>
    <s v="Population growth (annual %)"/>
    <n v="3.8107891661318898"/>
    <x v="29"/>
  </r>
  <r>
    <x v="7"/>
    <s v="Population growth (annual %)"/>
    <n v="2.0764094489702898"/>
    <x v="29"/>
  </r>
  <r>
    <x v="8"/>
    <s v="Population growth (annual %)"/>
    <n v="3.42282226931763"/>
    <x v="29"/>
  </r>
  <r>
    <x v="9"/>
    <s v="Population growth (annual %)"/>
    <n v="1.9901154317295"/>
    <x v="29"/>
  </r>
  <r>
    <x v="10"/>
    <s v="Population growth (annual %)"/>
    <n v="-1.56242450454169"/>
    <x v="29"/>
  </r>
  <r>
    <x v="11"/>
    <s v="Population growth (annual %)"/>
    <n v="2.84670899576914"/>
    <x v="29"/>
  </r>
  <r>
    <x v="12"/>
    <s v="Population growth (annual %)"/>
    <n v="5.1640863085405497"/>
    <x v="29"/>
  </r>
  <r>
    <x v="13"/>
    <s v="Population growth (annual %)"/>
    <n v="1.5622025038577001"/>
    <x v="29"/>
  </r>
  <r>
    <x v="14"/>
    <s v="Population growth (annual %)"/>
    <n v="0.57213069836091202"/>
    <x v="29"/>
  </r>
  <r>
    <x v="15"/>
    <s v="Population growth (annual %)"/>
    <n v="0.43787681477041401"/>
    <x v="29"/>
  </r>
  <r>
    <x v="16"/>
    <s v="Population growth (annual %)"/>
    <n v="1.6446443671322"/>
    <x v="29"/>
  </r>
  <r>
    <x v="17"/>
    <s v="Population growth (annual %)"/>
    <n v="2.32180584212847"/>
    <x v="29"/>
  </r>
  <r>
    <x v="18"/>
    <s v="Population growth (annual %)"/>
    <n v="2.16394386497947"/>
    <x v="29"/>
  </r>
  <r>
    <x v="19"/>
    <s v="Population growth (annual %)"/>
    <n v="2.9885076551016798"/>
    <x v="29"/>
  </r>
  <r>
    <x v="20"/>
    <s v="Population growth (annual %)"/>
    <n v="2.6092495216045601"/>
    <x v="29"/>
  </r>
  <r>
    <x v="21"/>
    <s v="Population growth (annual %)"/>
    <n v="1.9512417052945801"/>
    <x v="29"/>
  </r>
  <r>
    <x v="22"/>
    <s v="Population growth (annual %)"/>
    <n v="1.34455977181194"/>
    <x v="29"/>
  </r>
  <r>
    <x v="23"/>
    <s v="Population growth (annual %)"/>
    <n v="2.9298573721070702"/>
    <x v="29"/>
  </r>
  <r>
    <x v="24"/>
    <s v="Population growth (annual %)"/>
    <n v="3.09109569899304"/>
    <x v="29"/>
  </r>
  <r>
    <x v="25"/>
    <s v="Population growth (annual %)"/>
    <n v="3.5254709348578199"/>
    <x v="29"/>
  </r>
  <r>
    <x v="26"/>
    <s v="Population growth (annual %)"/>
    <n v="2.7734704117065201"/>
    <x v="29"/>
  </r>
  <r>
    <x v="27"/>
    <s v="Population growth (annual %)"/>
    <n v="3.0580166794000698"/>
    <x v="29"/>
  </r>
  <r>
    <x v="0"/>
    <s v="Population growth (annual %)"/>
    <n v="2.5318873319789099"/>
    <x v="30"/>
  </r>
  <r>
    <x v="1"/>
    <s v="Population growth (annual %)"/>
    <n v="2.9720417073527901"/>
    <x v="30"/>
  </r>
  <r>
    <x v="2"/>
    <s v="Population growth (annual %)"/>
    <n v="3.2203019015123502"/>
    <x v="30"/>
  </r>
  <r>
    <x v="3"/>
    <s v="Population growth (annual %)"/>
    <n v="2.9493302945929898"/>
    <x v="30"/>
  </r>
  <r>
    <x v="4"/>
    <s v="Population growth (annual %)"/>
    <n v="4.5983798078022602"/>
    <x v="30"/>
  </r>
  <r>
    <x v="5"/>
    <s v="Population growth (annual %)"/>
    <n v="3.4433474572363698"/>
    <x v="30"/>
  </r>
  <r>
    <x v="6"/>
    <s v="Population growth (annual %)"/>
    <n v="4.5800048970153098"/>
    <x v="30"/>
  </r>
  <r>
    <x v="7"/>
    <s v="Population growth (annual %)"/>
    <n v="2.0409313059321499"/>
    <x v="30"/>
  </r>
  <r>
    <x v="8"/>
    <s v="Population growth (annual %)"/>
    <n v="3.3433163097955498"/>
    <x v="30"/>
  </r>
  <r>
    <x v="9"/>
    <s v="Population growth (annual %)"/>
    <n v="1.89759014590056"/>
    <x v="30"/>
  </r>
  <r>
    <x v="10"/>
    <s v="Population growth (annual %)"/>
    <n v="-1.62193059441523"/>
    <x v="30"/>
  </r>
  <r>
    <x v="11"/>
    <s v="Population growth (annual %)"/>
    <n v="2.88620025751485"/>
    <x v="30"/>
  </r>
  <r>
    <x v="12"/>
    <s v="Population growth (annual %)"/>
    <n v="3.70080928594383"/>
    <x v="30"/>
  </r>
  <r>
    <x v="13"/>
    <s v="Population growth (annual %)"/>
    <n v="1.8559055186561599"/>
    <x v="30"/>
  </r>
  <r>
    <x v="14"/>
    <s v="Population growth (annual %)"/>
    <n v="0.40666993825536102"/>
    <x v="30"/>
  </r>
  <r>
    <x v="15"/>
    <s v="Population growth (annual %)"/>
    <n v="1.42956117830082"/>
    <x v="30"/>
  </r>
  <r>
    <x v="16"/>
    <s v="Population growth (annual %)"/>
    <n v="1.516347430098"/>
    <x v="30"/>
  </r>
  <r>
    <x v="17"/>
    <s v="Population growth (annual %)"/>
    <n v="2.4615501120551699"/>
    <x v="30"/>
  </r>
  <r>
    <x v="18"/>
    <s v="Population growth (annual %)"/>
    <n v="2.1781800512271099"/>
    <x v="30"/>
  </r>
  <r>
    <x v="19"/>
    <s v="Population growth (annual %)"/>
    <n v="3.0907063449440502"/>
    <x v="30"/>
  </r>
  <r>
    <x v="20"/>
    <s v="Population growth (annual %)"/>
    <n v="0.27359881488436599"/>
    <x v="30"/>
  </r>
  <r>
    <x v="21"/>
    <s v="Population growth (annual %)"/>
    <n v="2.0096454976351699"/>
    <x v="30"/>
  </r>
  <r>
    <x v="22"/>
    <s v="Population growth (annual %)"/>
    <n v="1.27177841403097"/>
    <x v="30"/>
  </r>
  <r>
    <x v="23"/>
    <s v="Population growth (annual %)"/>
    <n v="2.5673447663890201"/>
    <x v="30"/>
  </r>
  <r>
    <x v="24"/>
    <s v="Population growth (annual %)"/>
    <n v="3.1887224621309"/>
    <x v="30"/>
  </r>
  <r>
    <x v="25"/>
    <s v="Population growth (annual %)"/>
    <n v="3.4585162105067702"/>
    <x v="30"/>
  </r>
  <r>
    <x v="26"/>
    <s v="Population growth (annual %)"/>
    <n v="2.6949952228694198"/>
    <x v="30"/>
  </r>
  <r>
    <x v="27"/>
    <s v="Population growth (annual %)"/>
    <n v="2.7939470164437301"/>
    <x v="30"/>
  </r>
  <r>
    <x v="0"/>
    <s v="Population growth (annual %)"/>
    <n v="2.3114591054270202"/>
    <x v="31"/>
  </r>
  <r>
    <x v="1"/>
    <s v="Population growth (annual %)"/>
    <n v="2.9065956825294799"/>
    <x v="31"/>
  </r>
  <r>
    <x v="2"/>
    <s v="Population growth (annual %)"/>
    <n v="3.19219237293456"/>
    <x v="31"/>
  </r>
  <r>
    <x v="3"/>
    <s v="Population growth (annual %)"/>
    <n v="2.9394096268344101"/>
    <x v="31"/>
  </r>
  <r>
    <x v="4"/>
    <s v="Population growth (annual %)"/>
    <n v="2.7474870634819299"/>
    <x v="31"/>
  </r>
  <r>
    <x v="5"/>
    <s v="Population growth (annual %)"/>
    <n v="3.5436442684646399"/>
    <x v="31"/>
  </r>
  <r>
    <x v="6"/>
    <s v="Population growth (annual %)"/>
    <n v="5.3693709229607398"/>
    <x v="31"/>
  </r>
  <r>
    <x v="7"/>
    <s v="Population growth (annual %)"/>
    <n v="2.0032430056321302"/>
    <x v="31"/>
  </r>
  <r>
    <x v="8"/>
    <s v="Population growth (annual %)"/>
    <n v="3.2666066361210402"/>
    <x v="31"/>
  </r>
  <r>
    <x v="9"/>
    <s v="Population growth (annual %)"/>
    <n v="1.9149521332860699"/>
    <x v="31"/>
  </r>
  <r>
    <x v="10"/>
    <s v="Population growth (annual %)"/>
    <n v="-1.77827939865456"/>
    <x v="31"/>
  </r>
  <r>
    <x v="11"/>
    <s v="Population growth (annual %)"/>
    <n v="2.9242930909852798"/>
    <x v="31"/>
  </r>
  <r>
    <x v="12"/>
    <s v="Population growth (annual %)"/>
    <n v="2.1343976825964699"/>
    <x v="31"/>
  </r>
  <r>
    <x v="13"/>
    <s v="Population growth (annual %)"/>
    <n v="2.1887690120765302"/>
    <x v="31"/>
  </r>
  <r>
    <x v="14"/>
    <s v="Population growth (annual %)"/>
    <n v="0.216216300449532"/>
    <x v="31"/>
  </r>
  <r>
    <x v="15"/>
    <s v="Population growth (annual %)"/>
    <n v="2.5659074459801299"/>
    <x v="31"/>
  </r>
  <r>
    <x v="16"/>
    <s v="Population growth (annual %)"/>
    <n v="1.3784886360530799"/>
    <x v="31"/>
  </r>
  <r>
    <x v="17"/>
    <s v="Population growth (annual %)"/>
    <n v="2.60920207407914"/>
    <x v="31"/>
  </r>
  <r>
    <x v="18"/>
    <s v="Population growth (annual %)"/>
    <n v="2.2010665985320998"/>
    <x v="31"/>
  </r>
  <r>
    <x v="19"/>
    <s v="Population growth (annual %)"/>
    <n v="3.1946423366529899"/>
    <x v="31"/>
  </r>
  <r>
    <x v="20"/>
    <s v="Population growth (annual %)"/>
    <n v="-2.5763561918270201"/>
    <x v="31"/>
  </r>
  <r>
    <x v="21"/>
    <s v="Population growth (annual %)"/>
    <n v="2.08620563343371"/>
    <x v="31"/>
  </r>
  <r>
    <x v="22"/>
    <s v="Population growth (annual %)"/>
    <n v="1.20405204086527"/>
    <x v="31"/>
  </r>
  <r>
    <x v="23"/>
    <s v="Population growth (annual %)"/>
    <n v="2.1899257871155502"/>
    <x v="31"/>
  </r>
  <r>
    <x v="24"/>
    <s v="Population growth (annual %)"/>
    <n v="3.3046573622039799"/>
    <x v="31"/>
  </r>
  <r>
    <x v="25"/>
    <s v="Population growth (annual %)"/>
    <n v="3.3912049220383702"/>
    <x v="31"/>
  </r>
  <r>
    <x v="26"/>
    <s v="Population growth (annual %)"/>
    <n v="2.61254418432299"/>
    <x v="31"/>
  </r>
  <r>
    <x v="27"/>
    <s v="Population growth (annual %)"/>
    <n v="2.52052550254573"/>
    <x v="31"/>
  </r>
  <r>
    <x v="0"/>
    <s v="Population growth (annual %)"/>
    <n v="2.12610011823655"/>
    <x v="32"/>
  </r>
  <r>
    <x v="1"/>
    <s v="Population growth (annual %)"/>
    <n v="2.84618180633854"/>
    <x v="32"/>
  </r>
  <r>
    <x v="2"/>
    <s v="Population growth (annual %)"/>
    <n v="3.18460855822453"/>
    <x v="32"/>
  </r>
  <r>
    <x v="3"/>
    <s v="Population growth (annual %)"/>
    <n v="2.9237715881950401"/>
    <x v="32"/>
  </r>
  <r>
    <x v="4"/>
    <s v="Population growth (annual %)"/>
    <n v="1.3438312448475001"/>
    <x v="32"/>
  </r>
  <r>
    <x v="5"/>
    <s v="Population growth (annual %)"/>
    <n v="3.6008732836427999"/>
    <x v="32"/>
  </r>
  <r>
    <x v="6"/>
    <s v="Population growth (annual %)"/>
    <n v="5.8572151185525998"/>
    <x v="32"/>
  </r>
  <r>
    <x v="7"/>
    <s v="Population growth (annual %)"/>
    <n v="1.96288473047601"/>
    <x v="32"/>
  </r>
  <r>
    <x v="8"/>
    <s v="Population growth (annual %)"/>
    <n v="3.19236846206493"/>
    <x v="32"/>
  </r>
  <r>
    <x v="9"/>
    <s v="Population growth (annual %)"/>
    <n v="1.7755035602590099"/>
    <x v="32"/>
  </r>
  <r>
    <x v="10"/>
    <s v="Population growth (annual %)"/>
    <n v="-1.83879963070125"/>
    <x v="32"/>
  </r>
  <r>
    <x v="11"/>
    <s v="Population growth (annual %)"/>
    <n v="2.9577697115717099"/>
    <x v="32"/>
  </r>
  <r>
    <x v="12"/>
    <s v="Population growth (annual %)"/>
    <n v="0.91441031923636695"/>
    <x v="32"/>
  </r>
  <r>
    <x v="13"/>
    <s v="Population growth (annual %)"/>
    <n v="2.4629033953181398"/>
    <x v="32"/>
  </r>
  <r>
    <x v="14"/>
    <s v="Population growth (annual %)"/>
    <n v="5.3981107923500797E-2"/>
    <x v="32"/>
  </r>
  <r>
    <x v="15"/>
    <s v="Population growth (annual %)"/>
    <n v="3.4653181228522101"/>
    <x v="32"/>
  </r>
  <r>
    <x v="16"/>
    <s v="Population growth (annual %)"/>
    <n v="1.25767352957901"/>
    <x v="32"/>
  </r>
  <r>
    <x v="17"/>
    <s v="Population growth (annual %)"/>
    <n v="2.71023204607746"/>
    <x v="32"/>
  </r>
  <r>
    <x v="18"/>
    <s v="Population growth (annual %)"/>
    <n v="2.2053914355220501"/>
    <x v="32"/>
  </r>
  <r>
    <x v="19"/>
    <s v="Population growth (annual %)"/>
    <n v="3.2869613057687799"/>
    <x v="32"/>
  </r>
  <r>
    <x v="20"/>
    <s v="Population growth (annual %)"/>
    <n v="-5.0893332350964604"/>
    <x v="32"/>
  </r>
  <r>
    <x v="21"/>
    <s v="Population growth (annual %)"/>
    <n v="2.1454610514569099"/>
    <x v="32"/>
  </r>
  <r>
    <x v="22"/>
    <s v="Population growth (annual %)"/>
    <n v="1.13948206683813"/>
    <x v="32"/>
  </r>
  <r>
    <x v="23"/>
    <s v="Population growth (annual %)"/>
    <n v="1.8757869758752299"/>
    <x v="32"/>
  </r>
  <r>
    <x v="24"/>
    <s v="Population growth (annual %)"/>
    <n v="3.3798387243935002"/>
    <x v="32"/>
  </r>
  <r>
    <x v="25"/>
    <s v="Population growth (annual %)"/>
    <n v="3.33852465404274"/>
    <x v="32"/>
  </r>
  <r>
    <x v="26"/>
    <s v="Population growth (annual %)"/>
    <n v="2.5467816781603401"/>
    <x v="32"/>
  </r>
  <r>
    <x v="27"/>
    <s v="Population growth (annual %)"/>
    <n v="2.2705321727995602"/>
    <x v="32"/>
  </r>
  <r>
    <x v="0"/>
    <s v="Population growth (annual %)"/>
    <n v="1.9289230149249199"/>
    <x v="33"/>
  </r>
  <r>
    <x v="1"/>
    <s v="Population growth (annual %)"/>
    <n v="2.7811122849640002"/>
    <x v="33"/>
  </r>
  <r>
    <x v="2"/>
    <s v="Population growth (annual %)"/>
    <n v="3.2008765785800799"/>
    <x v="33"/>
  </r>
  <r>
    <x v="3"/>
    <s v="Population growth (annual %)"/>
    <n v="2.8963707862897401"/>
    <x v="33"/>
  </r>
  <r>
    <x v="4"/>
    <s v="Population growth (annual %)"/>
    <n v="0.55790388955488202"/>
    <x v="33"/>
  </r>
  <r>
    <x v="5"/>
    <s v="Population growth (annual %)"/>
    <n v="3.5850483559922099"/>
    <x v="33"/>
  </r>
  <r>
    <x v="6"/>
    <s v="Population growth (annual %)"/>
    <n v="5.8110852390409997"/>
    <x v="33"/>
  </r>
  <r>
    <x v="7"/>
    <s v="Population growth (annual %)"/>
    <n v="1.9270348710154901"/>
    <x v="33"/>
  </r>
  <r>
    <x v="8"/>
    <s v="Population growth (annual %)"/>
    <n v="3.1161476979729699"/>
    <x v="33"/>
  </r>
  <r>
    <x v="9"/>
    <s v="Population growth (annual %)"/>
    <n v="1.69365095308983"/>
    <x v="33"/>
  </r>
  <r>
    <x v="10"/>
    <s v="Population growth (annual %)"/>
    <n v="-1.1176416873517601"/>
    <x v="33"/>
  </r>
  <r>
    <x v="11"/>
    <s v="Population growth (annual %)"/>
    <n v="2.99599663658711"/>
    <x v="33"/>
  </r>
  <r>
    <x v="12"/>
    <s v="Population growth (annual %)"/>
    <n v="0.26830121279310598"/>
    <x v="33"/>
  </r>
  <r>
    <x v="13"/>
    <s v="Population growth (annual %)"/>
    <n v="2.6396602975781902"/>
    <x v="33"/>
  </r>
  <r>
    <x v="14"/>
    <s v="Population growth (annual %)"/>
    <n v="-0.13500744591491301"/>
    <x v="33"/>
  </r>
  <r>
    <x v="15"/>
    <s v="Population growth (annual %)"/>
    <n v="3.9419869486674202"/>
    <x v="33"/>
  </r>
  <r>
    <x v="16"/>
    <s v="Population growth (annual %)"/>
    <n v="1.1875869299748101"/>
    <x v="33"/>
  </r>
  <r>
    <x v="17"/>
    <s v="Population growth (annual %)"/>
    <n v="2.7307032725477498"/>
    <x v="33"/>
  </r>
  <r>
    <x v="18"/>
    <s v="Population growth (annual %)"/>
    <n v="2.1764859172387099"/>
    <x v="33"/>
  </r>
  <r>
    <x v="19"/>
    <s v="Population growth (annual %)"/>
    <n v="3.36961171269333"/>
    <x v="33"/>
  </r>
  <r>
    <x v="20"/>
    <s v="Population growth (annual %)"/>
    <n v="-6.1848568049758104"/>
    <x v="33"/>
  </r>
  <r>
    <x v="21"/>
    <s v="Population growth (annual %)"/>
    <n v="2.1572459594448001"/>
    <x v="33"/>
  </r>
  <r>
    <x v="22"/>
    <s v="Population growth (annual %)"/>
    <n v="1.05379807062486"/>
    <x v="33"/>
  </r>
  <r>
    <x v="23"/>
    <s v="Population growth (annual %)"/>
    <n v="1.6425936738979801"/>
    <x v="33"/>
  </r>
  <r>
    <x v="24"/>
    <s v="Population growth (annual %)"/>
    <n v="3.3585482122703398"/>
    <x v="33"/>
  </r>
  <r>
    <x v="25"/>
    <s v="Population growth (annual %)"/>
    <n v="3.28297725950251"/>
    <x v="33"/>
  </r>
  <r>
    <x v="26"/>
    <s v="Population growth (annual %)"/>
    <n v="2.5337187194366102"/>
    <x v="33"/>
  </r>
  <r>
    <x v="27"/>
    <s v="Population growth (annual %)"/>
    <n v="2.0649386440245001"/>
    <x v="33"/>
  </r>
  <r>
    <x v="0"/>
    <s v="Population growth (annual %)"/>
    <n v="1.72140224114754"/>
    <x v="34"/>
  </r>
  <r>
    <x v="1"/>
    <s v="Population growth (annual %)"/>
    <n v="2.7121784891719001"/>
    <x v="34"/>
  </r>
  <r>
    <x v="2"/>
    <s v="Population growth (annual %)"/>
    <n v="3.24959999394388"/>
    <x v="34"/>
  </r>
  <r>
    <x v="3"/>
    <s v="Population growth (annual %)"/>
    <n v="2.8531331905402499"/>
    <x v="34"/>
  </r>
  <r>
    <x v="4"/>
    <s v="Population growth (annual %)"/>
    <n v="0.62392363972092002"/>
    <x v="34"/>
  </r>
  <r>
    <x v="5"/>
    <s v="Population growth (annual %)"/>
    <n v="3.48437587617657"/>
    <x v="34"/>
  </r>
  <r>
    <x v="6"/>
    <s v="Population growth (annual %)"/>
    <n v="5.1829284109385396"/>
    <x v="34"/>
  </r>
  <r>
    <x v="7"/>
    <s v="Population growth (annual %)"/>
    <n v="1.8968034387603701"/>
    <x v="34"/>
  </r>
  <r>
    <x v="8"/>
    <s v="Population growth (annual %)"/>
    <n v="3.0378340241230899"/>
    <x v="34"/>
  </r>
  <r>
    <x v="9"/>
    <s v="Population growth (annual %)"/>
    <n v="1.6153809112453501"/>
    <x v="34"/>
  </r>
  <r>
    <x v="10"/>
    <s v="Population growth (annual %)"/>
    <n v="0.62978434894833102"/>
    <x v="34"/>
  </r>
  <r>
    <x v="11"/>
    <s v="Population growth (annual %)"/>
    <n v="3.0387153065879899"/>
    <x v="34"/>
  </r>
  <r>
    <x v="12"/>
    <s v="Population growth (annual %)"/>
    <n v="0.42059440303226298"/>
    <x v="34"/>
  </r>
  <r>
    <x v="13"/>
    <s v="Population growth (annual %)"/>
    <n v="2.6862758383866399"/>
    <x v="34"/>
  </r>
  <r>
    <x v="14"/>
    <s v="Population growth (annual %)"/>
    <n v="-0.27056293561574202"/>
    <x v="34"/>
  </r>
  <r>
    <x v="15"/>
    <s v="Population growth (annual %)"/>
    <n v="3.8863887535024499"/>
    <x v="34"/>
  </r>
  <r>
    <x v="16"/>
    <s v="Population growth (annual %)"/>
    <n v="1.18332318360501"/>
    <x v="34"/>
  </r>
  <r>
    <x v="17"/>
    <s v="Population growth (annual %)"/>
    <n v="2.6511747822629599"/>
    <x v="34"/>
  </r>
  <r>
    <x v="18"/>
    <s v="Population growth (annual %)"/>
    <n v="2.1045102336540098"/>
    <x v="34"/>
  </r>
  <r>
    <x v="19"/>
    <s v="Population growth (annual %)"/>
    <n v="3.4386508937919"/>
    <x v="34"/>
  </r>
  <r>
    <x v="20"/>
    <s v="Population growth (annual %)"/>
    <n v="-4.7926913292035804"/>
    <x v="34"/>
  </r>
  <r>
    <x v="21"/>
    <s v="Population growth (annual %)"/>
    <n v="2.0915262371218399"/>
    <x v="34"/>
  </r>
  <r>
    <x v="22"/>
    <s v="Population growth (annual %)"/>
    <n v="0.94247988915501202"/>
    <x v="34"/>
  </r>
  <r>
    <x v="23"/>
    <s v="Population growth (annual %)"/>
    <n v="1.52066812812541"/>
    <x v="34"/>
  </r>
  <r>
    <x v="24"/>
    <s v="Population growth (annual %)"/>
    <n v="3.2204387990677201"/>
    <x v="34"/>
  </r>
  <r>
    <x v="25"/>
    <s v="Population growth (annual %)"/>
    <n v="3.2272463403943799"/>
    <x v="34"/>
  </r>
  <r>
    <x v="26"/>
    <s v="Population growth (annual %)"/>
    <n v="2.5841167034425001"/>
    <x v="34"/>
  </r>
  <r>
    <x v="27"/>
    <s v="Population growth (annual %)"/>
    <n v="1.91800674717188"/>
    <x v="34"/>
  </r>
  <r>
    <x v="0"/>
    <s v="Population growth (annual %)"/>
    <n v="1.52873622081271"/>
    <x v="35"/>
  </r>
  <r>
    <x v="1"/>
    <s v="Population growth (annual %)"/>
    <n v="2.6446806891655998"/>
    <x v="35"/>
  </r>
  <r>
    <x v="2"/>
    <s v="Population growth (annual %)"/>
    <n v="3.3197182822711899"/>
    <x v="35"/>
  </r>
  <r>
    <x v="3"/>
    <s v="Population growth (annual %)"/>
    <n v="2.7979655382905801"/>
    <x v="35"/>
  </r>
  <r>
    <x v="4"/>
    <s v="Population growth (annual %)"/>
    <n v="1.2807158706794399"/>
    <x v="35"/>
  </r>
  <r>
    <x v="5"/>
    <s v="Population growth (annual %)"/>
    <n v="3.3331811672434002"/>
    <x v="35"/>
  </r>
  <r>
    <x v="6"/>
    <s v="Population growth (annual %)"/>
    <n v="4.2415980048721602"/>
    <x v="35"/>
  </r>
  <r>
    <x v="7"/>
    <s v="Population growth (annual %)"/>
    <n v="1.8703048750528"/>
    <x v="35"/>
  </r>
  <r>
    <x v="8"/>
    <s v="Population growth (annual %)"/>
    <n v="2.9614219367277101"/>
    <x v="35"/>
  </r>
  <r>
    <x v="9"/>
    <s v="Population growth (annual %)"/>
    <n v="1.5897006409999499"/>
    <x v="35"/>
  </r>
  <r>
    <x v="10"/>
    <s v="Population growth (annual %)"/>
    <n v="2.9660303330356701"/>
    <x v="35"/>
  </r>
  <r>
    <x v="11"/>
    <s v="Population growth (annual %)"/>
    <n v="3.0810807157788802"/>
    <x v="35"/>
  </r>
  <r>
    <x v="12"/>
    <s v="Population growth (annual %)"/>
    <n v="1.1378549222752701"/>
    <x v="35"/>
  </r>
  <r>
    <x v="13"/>
    <s v="Population growth (annual %)"/>
    <n v="2.6488222869853701"/>
    <x v="35"/>
  </r>
  <r>
    <x v="14"/>
    <s v="Population growth (annual %)"/>
    <n v="-0.43173529703935798"/>
    <x v="35"/>
  </r>
  <r>
    <x v="15"/>
    <s v="Population growth (annual %)"/>
    <n v="3.5003891334133299"/>
    <x v="35"/>
  </r>
  <r>
    <x v="16"/>
    <s v="Population growth (annual %)"/>
    <n v="1.22297954379916"/>
    <x v="35"/>
  </r>
  <r>
    <x v="17"/>
    <s v="Population growth (annual %)"/>
    <n v="2.5046742123547698"/>
    <x v="35"/>
  </r>
  <r>
    <x v="18"/>
    <s v="Population growth (annual %)"/>
    <n v="2.0038658226326098"/>
    <x v="35"/>
  </r>
  <r>
    <x v="19"/>
    <s v="Population growth (annual %)"/>
    <n v="3.49564092494332"/>
    <x v="35"/>
  </r>
  <r>
    <x v="20"/>
    <s v="Population growth (annual %)"/>
    <n v="-1.2908229754726399"/>
    <x v="35"/>
  </r>
  <r>
    <x v="21"/>
    <s v="Population growth (annual %)"/>
    <n v="1.98148057118676"/>
    <x v="35"/>
  </r>
  <r>
    <x v="22"/>
    <s v="Population growth (annual %)"/>
    <n v="0.81866507713401004"/>
    <x v="35"/>
  </r>
  <r>
    <x v="23"/>
    <s v="Population growth (annual %)"/>
    <n v="1.48335410074331"/>
    <x v="35"/>
  </r>
  <r>
    <x v="24"/>
    <s v="Population growth (annual %)"/>
    <n v="3.0161189337434098"/>
    <x v="35"/>
  </r>
  <r>
    <x v="25"/>
    <s v="Population growth (annual %)"/>
    <n v="3.1771825167633101"/>
    <x v="35"/>
  </r>
  <r>
    <x v="26"/>
    <s v="Population growth (annual %)"/>
    <n v="2.67265411236919"/>
    <x v="35"/>
  </r>
  <r>
    <x v="27"/>
    <s v="Population growth (annual %)"/>
    <n v="1.8130846959325799"/>
    <x v="35"/>
  </r>
  <r>
    <x v="0"/>
    <s v="Population growth (annual %)"/>
    <n v="1.3172377473904699"/>
    <x v="36"/>
  </r>
  <r>
    <x v="1"/>
    <s v="Population growth (annual %)"/>
    <n v="2.5775782196854"/>
    <x v="36"/>
  </r>
  <r>
    <x v="2"/>
    <s v="Population growth (annual %)"/>
    <n v="3.3764537373109902"/>
    <x v="36"/>
  </r>
  <r>
    <x v="3"/>
    <s v="Population growth (annual %)"/>
    <n v="2.7455483327516399"/>
    <x v="36"/>
  </r>
  <r>
    <x v="4"/>
    <s v="Population growth (annual %)"/>
    <n v="2.0869312501134201"/>
    <x v="36"/>
  </r>
  <r>
    <x v="5"/>
    <s v="Population growth (annual %)"/>
    <n v="3.1690584918240301"/>
    <x v="36"/>
  </r>
  <r>
    <x v="6"/>
    <s v="Population growth (annual %)"/>
    <n v="3.2667675105796801"/>
    <x v="36"/>
  </r>
  <r>
    <x v="7"/>
    <s v="Population growth (annual %)"/>
    <n v="1.8466623637383901"/>
    <x v="36"/>
  </r>
  <r>
    <x v="8"/>
    <s v="Population growth (annual %)"/>
    <n v="2.8879913062755298"/>
    <x v="36"/>
  </r>
  <r>
    <x v="9"/>
    <s v="Population growth (annual %)"/>
    <n v="1.46773672019747"/>
    <x v="36"/>
  </r>
  <r>
    <x v="10"/>
    <s v="Population growth (annual %)"/>
    <n v="5.5210435438681396"/>
    <x v="36"/>
  </r>
  <r>
    <x v="11"/>
    <s v="Population growth (annual %)"/>
    <n v="3.1216401780262801"/>
    <x v="36"/>
  </r>
  <r>
    <x v="12"/>
    <s v="Population growth (annual %)"/>
    <n v="2.0051846536519702"/>
    <x v="36"/>
  </r>
  <r>
    <x v="13"/>
    <s v="Population growth (annual %)"/>
    <n v="2.5936054117640399"/>
    <x v="36"/>
  </r>
  <r>
    <x v="14"/>
    <s v="Population growth (annual %)"/>
    <n v="-0.20022213334363201"/>
    <x v="36"/>
  </r>
  <r>
    <x v="15"/>
    <s v="Population growth (annual %)"/>
    <n v="3.05640960857425"/>
    <x v="36"/>
  </r>
  <r>
    <x v="16"/>
    <s v="Population growth (annual %)"/>
    <n v="1.2766138353054599"/>
    <x v="36"/>
  </r>
  <r>
    <x v="17"/>
    <s v="Population growth (annual %)"/>
    <n v="2.3418981370256402"/>
    <x v="36"/>
  </r>
  <r>
    <x v="18"/>
    <s v="Population growth (annual %)"/>
    <n v="1.90172022245982"/>
    <x v="36"/>
  </r>
  <r>
    <x v="19"/>
    <s v="Population growth (annual %)"/>
    <n v="3.5514508799327098"/>
    <x v="36"/>
  </r>
  <r>
    <x v="20"/>
    <s v="Population growth (annual %)"/>
    <n v="3.1072196385791302"/>
    <x v="36"/>
  </r>
  <r>
    <x v="21"/>
    <s v="Population growth (annual %)"/>
    <n v="1.8545238186167201"/>
    <x v="36"/>
  </r>
  <r>
    <x v="22"/>
    <s v="Population growth (annual %)"/>
    <n v="0.68269839613943695"/>
    <x v="36"/>
  </r>
  <r>
    <x v="23"/>
    <s v="Population growth (annual %)"/>
    <n v="1.46078298351547"/>
    <x v="36"/>
  </r>
  <r>
    <x v="24"/>
    <s v="Population growth (annual %)"/>
    <n v="2.80104265506974"/>
    <x v="36"/>
  </r>
  <r>
    <x v="25"/>
    <s v="Population growth (annual %)"/>
    <n v="3.1225980922180998"/>
    <x v="36"/>
  </r>
  <r>
    <x v="26"/>
    <s v="Population growth (annual %)"/>
    <n v="2.7763016908039799"/>
    <x v="36"/>
  </r>
  <r>
    <x v="27"/>
    <s v="Population growth (annual %)"/>
    <n v="1.7332138151509699"/>
    <x v="36"/>
  </r>
  <r>
    <x v="0"/>
    <s v="Population growth (annual %)"/>
    <n v="1.1681821195567701"/>
    <x v="37"/>
  </r>
  <r>
    <x v="1"/>
    <s v="Population growth (annual %)"/>
    <n v="2.5232043046758998"/>
    <x v="37"/>
  </r>
  <r>
    <x v="2"/>
    <s v="Population growth (annual %)"/>
    <n v="3.4224924785825799"/>
    <x v="37"/>
  </r>
  <r>
    <x v="3"/>
    <s v="Population growth (annual %)"/>
    <n v="2.6907072587393901"/>
    <x v="37"/>
  </r>
  <r>
    <x v="4"/>
    <s v="Population growth (annual %)"/>
    <n v="2.6477917605727002"/>
    <x v="37"/>
  </r>
  <r>
    <x v="5"/>
    <s v="Population growth (annual %)"/>
    <n v="3.03241044527612"/>
    <x v="37"/>
  </r>
  <r>
    <x v="6"/>
    <s v="Population growth (annual %)"/>
    <n v="2.4947166820834799"/>
    <x v="37"/>
  </r>
  <r>
    <x v="7"/>
    <s v="Population growth (annual %)"/>
    <n v="1.8212036693926399"/>
    <x v="37"/>
  </r>
  <r>
    <x v="8"/>
    <s v="Population growth (annual %)"/>
    <n v="2.8245446994010601"/>
    <x v="37"/>
  </r>
  <r>
    <x v="9"/>
    <s v="Population growth (annual %)"/>
    <n v="1.3027928532928199"/>
    <x v="37"/>
  </r>
  <r>
    <x v="10"/>
    <s v="Population growth (annual %)"/>
    <n v="7.3572924577270404"/>
    <x v="37"/>
  </r>
  <r>
    <x v="11"/>
    <s v="Population growth (annual %)"/>
    <n v="3.1518181248171602"/>
    <x v="37"/>
  </r>
  <r>
    <x v="12"/>
    <s v="Population growth (annual %)"/>
    <n v="2.6556082690863301"/>
    <x v="37"/>
  </r>
  <r>
    <x v="13"/>
    <s v="Population growth (annual %)"/>
    <n v="2.5767309806607899"/>
    <x v="37"/>
  </r>
  <r>
    <x v="14"/>
    <s v="Population growth (annual %)"/>
    <n v="-0.36984694893285602"/>
    <x v="37"/>
  </r>
  <r>
    <x v="15"/>
    <s v="Population growth (annual %)"/>
    <n v="2.75055114976217"/>
    <x v="37"/>
  </r>
  <r>
    <x v="16"/>
    <s v="Population growth (annual %)"/>
    <n v="1.3116868879574599"/>
    <x v="37"/>
  </r>
  <r>
    <x v="17"/>
    <s v="Population growth (annual %)"/>
    <n v="2.1964714843090301"/>
    <x v="37"/>
  </r>
  <r>
    <x v="18"/>
    <s v="Population growth (annual %)"/>
    <n v="1.8100464243077601"/>
    <x v="37"/>
  </r>
  <r>
    <x v="19"/>
    <s v="Population growth (annual %)"/>
    <n v="3.6013546874002902"/>
    <x v="37"/>
  </r>
  <r>
    <x v="20"/>
    <s v="Population growth (annual %)"/>
    <n v="6.4467404454658004"/>
    <x v="37"/>
  </r>
  <r>
    <x v="21"/>
    <s v="Population growth (annual %)"/>
    <n v="1.7589939841309401"/>
    <x v="37"/>
  </r>
  <r>
    <x v="22"/>
    <s v="Population growth (annual %)"/>
    <n v="0.56656268299766799"/>
    <x v="37"/>
  </r>
  <r>
    <x v="23"/>
    <s v="Population growth (annual %)"/>
    <n v="1.4383017816275401"/>
    <x v="37"/>
  </r>
  <r>
    <x v="24"/>
    <s v="Population growth (annual %)"/>
    <n v="2.63725507515232"/>
    <x v="37"/>
  </r>
  <r>
    <x v="25"/>
    <s v="Population growth (annual %)"/>
    <n v="3.0828681075196398"/>
    <x v="37"/>
  </r>
  <r>
    <x v="26"/>
    <s v="Population growth (annual %)"/>
    <n v="2.85708206997682"/>
    <x v="37"/>
  </r>
  <r>
    <x v="27"/>
    <s v="Population growth (annual %)"/>
    <n v="1.6509145587843801"/>
    <x v="37"/>
  </r>
  <r>
    <x v="0"/>
    <s v="Population growth (annual %)"/>
    <n v="1.2075653170326599"/>
    <x v="38"/>
  </r>
  <r>
    <x v="1"/>
    <s v="Population growth (annual %)"/>
    <n v="2.4968851771364"/>
    <x v="38"/>
  </r>
  <r>
    <x v="2"/>
    <s v="Population growth (annual %)"/>
    <n v="3.4883962314147601"/>
    <x v="38"/>
  </r>
  <r>
    <x v="3"/>
    <s v="Population growth (annual %)"/>
    <n v="2.6407704375318302"/>
    <x v="38"/>
  </r>
  <r>
    <x v="4"/>
    <s v="Population growth (annual %)"/>
    <n v="2.9309660476630901"/>
    <x v="38"/>
  </r>
  <r>
    <x v="5"/>
    <s v="Population growth (annual %)"/>
    <n v="2.9374208136922499"/>
    <x v="38"/>
  </r>
  <r>
    <x v="6"/>
    <s v="Population growth (annual %)"/>
    <n v="1.96320303787811"/>
    <x v="38"/>
  </r>
  <r>
    <x v="7"/>
    <s v="Population growth (annual %)"/>
    <n v="1.79025080950335"/>
    <x v="38"/>
  </r>
  <r>
    <x v="8"/>
    <s v="Population growth (annual %)"/>
    <n v="2.7782256601798898"/>
    <x v="38"/>
  </r>
  <r>
    <x v="9"/>
    <s v="Population growth (annual %)"/>
    <n v="-5.9247334853605897"/>
    <x v="38"/>
  </r>
  <r>
    <x v="10"/>
    <s v="Population growth (annual %)"/>
    <n v="7.8497063350393104"/>
    <x v="38"/>
  </r>
  <r>
    <x v="11"/>
    <s v="Population growth (annual %)"/>
    <n v="3.1620606932379198"/>
    <x v="38"/>
  </r>
  <r>
    <x v="12"/>
    <s v="Population growth (annual %)"/>
    <n v="3.0626762616718102"/>
    <x v="38"/>
  </r>
  <r>
    <x v="13"/>
    <s v="Population growth (annual %)"/>
    <n v="2.6031420999831698"/>
    <x v="38"/>
  </r>
  <r>
    <x v="14"/>
    <s v="Population growth (annual %)"/>
    <n v="-4.0399949091569902E-2"/>
    <x v="38"/>
  </r>
  <r>
    <x v="15"/>
    <s v="Population growth (annual %)"/>
    <n v="2.5737416522534802"/>
    <x v="38"/>
  </r>
  <r>
    <x v="16"/>
    <s v="Population growth (annual %)"/>
    <n v="1.31738249848053"/>
    <x v="38"/>
  </r>
  <r>
    <x v="17"/>
    <s v="Population growth (annual %)"/>
    <n v="2.0621377255491602"/>
    <x v="38"/>
  </r>
  <r>
    <x v="18"/>
    <s v="Population growth (annual %)"/>
    <n v="1.71884335250912"/>
    <x v="38"/>
  </r>
  <r>
    <x v="19"/>
    <s v="Population growth (annual %)"/>
    <n v="3.6315422379304301"/>
    <x v="38"/>
  </r>
  <r>
    <x v="20"/>
    <s v="Population growth (annual %)"/>
    <n v="7.9178917259825097"/>
    <x v="38"/>
  </r>
  <r>
    <x v="21"/>
    <s v="Population growth (annual %)"/>
    <n v="1.74732732130007"/>
    <x v="38"/>
  </r>
  <r>
    <x v="22"/>
    <s v="Population growth (annual %)"/>
    <n v="0.508519875892261"/>
    <x v="38"/>
  </r>
  <r>
    <x v="23"/>
    <s v="Population growth (annual %)"/>
    <n v="1.4622073396805"/>
    <x v="38"/>
  </r>
  <r>
    <x v="24"/>
    <s v="Population growth (annual %)"/>
    <n v="2.54811938454118"/>
    <x v="38"/>
  </r>
  <r>
    <x v="25"/>
    <s v="Population growth (annual %)"/>
    <n v="3.0884634190075002"/>
    <x v="38"/>
  </r>
  <r>
    <x v="26"/>
    <s v="Population growth (annual %)"/>
    <n v="2.8920694617407099"/>
    <x v="38"/>
  </r>
  <r>
    <x v="27"/>
    <s v="Population growth (annual %)"/>
    <n v="1.5529940661425601"/>
    <x v="38"/>
  </r>
  <r>
    <x v="0"/>
    <s v="Population growth (annual %)"/>
    <n v="1.4855601097126701"/>
    <x v="39"/>
  </r>
  <r>
    <x v="1"/>
    <s v="Population growth (annual %)"/>
    <n v="2.5043989672862499"/>
    <x v="39"/>
  </r>
  <r>
    <x v="2"/>
    <s v="Population growth (annual %)"/>
    <n v="3.5771947759741098"/>
    <x v="39"/>
  </r>
  <r>
    <x v="3"/>
    <s v="Population growth (annual %)"/>
    <n v="2.5786861790334101"/>
    <x v="39"/>
  </r>
  <r>
    <x v="4"/>
    <s v="Population growth (annual %)"/>
    <n v="2.8229360201767202"/>
    <x v="39"/>
  </r>
  <r>
    <x v="5"/>
    <s v="Population growth (annual %)"/>
    <n v="2.8972317414567201"/>
    <x v="39"/>
  </r>
  <r>
    <x v="6"/>
    <s v="Population growth (annual %)"/>
    <n v="1.75409779453395"/>
    <x v="39"/>
  </r>
  <r>
    <x v="7"/>
    <s v="Population growth (annual %)"/>
    <n v="1.7514225770449701"/>
    <x v="39"/>
  </r>
  <r>
    <x v="8"/>
    <s v="Population growth (annual %)"/>
    <n v="2.7518425124661698"/>
    <x v="39"/>
  </r>
  <r>
    <x v="9"/>
    <s v="Population growth (annual %)"/>
    <n v="-10.955149421098699"/>
    <x v="39"/>
  </r>
  <r>
    <x v="10"/>
    <s v="Population growth (annual %)"/>
    <n v="6.9445443280485701"/>
    <x v="39"/>
  </r>
  <r>
    <x v="11"/>
    <s v="Population growth (annual %)"/>
    <n v="3.1488766124117098"/>
    <x v="39"/>
  </r>
  <r>
    <x v="12"/>
    <s v="Population growth (annual %)"/>
    <n v="3.12325205491052"/>
    <x v="39"/>
  </r>
  <r>
    <x v="13"/>
    <s v="Population growth (annual %)"/>
    <n v="2.6886289632946099"/>
    <x v="39"/>
  </r>
  <r>
    <x v="14"/>
    <s v="Population growth (annual %)"/>
    <n v="-0.15701947393108101"/>
    <x v="39"/>
  </r>
  <r>
    <x v="15"/>
    <s v="Population growth (annual %)"/>
    <n v="2.5811785490594001"/>
    <x v="39"/>
  </r>
  <r>
    <x v="16"/>
    <s v="Population growth (annual %)"/>
    <n v="1.2806894028326701"/>
    <x v="39"/>
  </r>
  <r>
    <x v="17"/>
    <s v="Population growth (annual %)"/>
    <n v="1.94835714499466"/>
    <x v="39"/>
  </r>
  <r>
    <x v="18"/>
    <s v="Population growth (annual %)"/>
    <n v="1.63017499219604"/>
    <x v="39"/>
  </r>
  <r>
    <x v="19"/>
    <s v="Population growth (annual %)"/>
    <n v="3.63947461400734"/>
    <x v="39"/>
  </r>
  <r>
    <x v="20"/>
    <s v="Population growth (annual %)"/>
    <n v="7.28396821932989"/>
    <x v="39"/>
  </r>
  <r>
    <x v="21"/>
    <s v="Population growth (annual %)"/>
    <n v="1.83292420136004"/>
    <x v="39"/>
  </r>
  <r>
    <x v="22"/>
    <s v="Population growth (annual %)"/>
    <n v="0.52847876977113295"/>
    <x v="39"/>
  </r>
  <r>
    <x v="23"/>
    <s v="Population growth (annual %)"/>
    <n v="1.5358009396911301"/>
    <x v="39"/>
  </r>
  <r>
    <x v="24"/>
    <s v="Population growth (annual %)"/>
    <n v="2.55500799923231"/>
    <x v="39"/>
  </r>
  <r>
    <x v="25"/>
    <s v="Population growth (annual %)"/>
    <n v="3.14792779078949"/>
    <x v="39"/>
  </r>
  <r>
    <x v="26"/>
    <s v="Population growth (annual %)"/>
    <n v="2.8678626053909202"/>
    <x v="39"/>
  </r>
  <r>
    <x v="27"/>
    <s v="Population growth (annual %)"/>
    <n v="1.42974607946843"/>
    <x v="39"/>
  </r>
  <r>
    <x v="0"/>
    <s v="Population growth (annual %)"/>
    <n v="1.9207120357062599"/>
    <x v="40"/>
  </r>
  <r>
    <x v="1"/>
    <s v="Population growth (annual %)"/>
    <n v="2.5350519883151099"/>
    <x v="40"/>
  </r>
  <r>
    <x v="2"/>
    <s v="Population growth (annual %)"/>
    <n v="3.6711345012519501"/>
    <x v="40"/>
  </r>
  <r>
    <x v="3"/>
    <s v="Population growth (annual %)"/>
    <n v="2.52234002212069"/>
    <x v="40"/>
  </r>
  <r>
    <x v="4"/>
    <s v="Population growth (annual %)"/>
    <n v="2.46682603372233"/>
    <x v="40"/>
  </r>
  <r>
    <x v="5"/>
    <s v="Population growth (annual %)"/>
    <n v="2.8928908966022502"/>
    <x v="40"/>
  </r>
  <r>
    <x v="6"/>
    <s v="Population growth (annual %)"/>
    <n v="1.77274380123127"/>
    <x v="40"/>
  </r>
  <r>
    <x v="7"/>
    <s v="Population growth (annual %)"/>
    <n v="1.7082571057376601"/>
    <x v="40"/>
  </r>
  <r>
    <x v="8"/>
    <s v="Population growth (annual %)"/>
    <n v="2.7401358008788499"/>
    <x v="40"/>
  </r>
  <r>
    <x v="9"/>
    <s v="Population growth (annual %)"/>
    <n v="-3.5821276451817301"/>
    <x v="40"/>
  </r>
  <r>
    <x v="10"/>
    <s v="Population growth (annual %)"/>
    <n v="5.3404015318215903"/>
    <x v="40"/>
  </r>
  <r>
    <x v="11"/>
    <s v="Population growth (annual %)"/>
    <n v="3.1197086959506399"/>
    <x v="40"/>
  </r>
  <r>
    <x v="12"/>
    <s v="Population growth (annual %)"/>
    <n v="2.9601464250561"/>
    <x v="40"/>
  </r>
  <r>
    <x v="13"/>
    <s v="Population growth (annual %)"/>
    <n v="2.8106070524497602"/>
    <x v="40"/>
  </r>
  <r>
    <x v="14"/>
    <s v="Population growth (annual %)"/>
    <n v="-0.20335985702345799"/>
    <x v="40"/>
  </r>
  <r>
    <x v="15"/>
    <s v="Population growth (annual %)"/>
    <n v="2.7086277830193199"/>
    <x v="40"/>
  </r>
  <r>
    <x v="16"/>
    <s v="Population growth (annual %)"/>
    <n v="1.2135853096193301"/>
    <x v="40"/>
  </r>
  <r>
    <x v="17"/>
    <s v="Population growth (annual %)"/>
    <n v="1.84891817908859"/>
    <x v="40"/>
  </r>
  <r>
    <x v="18"/>
    <s v="Population growth (annual %)"/>
    <n v="1.5463915670813499"/>
    <x v="40"/>
  </r>
  <r>
    <x v="19"/>
    <s v="Population growth (annual %)"/>
    <n v="3.6338476188293498"/>
    <x v="40"/>
  </r>
  <r>
    <x v="20"/>
    <s v="Population growth (annual %)"/>
    <n v="5.5391020329888896"/>
    <x v="40"/>
  </r>
  <r>
    <x v="21"/>
    <s v="Population growth (annual %)"/>
    <n v="1.98190769358248"/>
    <x v="40"/>
  </r>
  <r>
    <x v="22"/>
    <s v="Population growth (annual %)"/>
    <n v="0.602575193660151"/>
    <x v="40"/>
  </r>
  <r>
    <x v="23"/>
    <s v="Population growth (annual %)"/>
    <n v="1.6433465646087899"/>
    <x v="40"/>
  </r>
  <r>
    <x v="24"/>
    <s v="Population growth (annual %)"/>
    <n v="2.6280080429486601"/>
    <x v="40"/>
  </r>
  <r>
    <x v="25"/>
    <s v="Population growth (annual %)"/>
    <n v="3.2395234022493899"/>
    <x v="40"/>
  </r>
  <r>
    <x v="26"/>
    <s v="Population growth (annual %)"/>
    <n v="2.80705843058242"/>
    <x v="40"/>
  </r>
  <r>
    <x v="27"/>
    <s v="Population growth (annual %)"/>
    <n v="1.2987820124466001"/>
    <x v="40"/>
  </r>
  <r>
    <x v="0"/>
    <s v="Population growth (annual %)"/>
    <n v="2.3946280782341498"/>
    <x v="41"/>
  </r>
  <r>
    <x v="1"/>
    <s v="Population growth (annual %)"/>
    <n v="2.5703666141889299"/>
    <x v="41"/>
  </r>
  <r>
    <x v="2"/>
    <s v="Population growth (annual %)"/>
    <n v="3.7692464269534001"/>
    <x v="41"/>
  </r>
  <r>
    <x v="3"/>
    <s v="Population growth (annual %)"/>
    <n v="2.4642378912691498"/>
    <x v="41"/>
  </r>
  <r>
    <x v="4"/>
    <s v="Population growth (annual %)"/>
    <n v="2.0861340066988801"/>
    <x v="41"/>
  </r>
  <r>
    <x v="5"/>
    <s v="Population growth (annual %)"/>
    <n v="2.8957543808169799"/>
    <x v="41"/>
  </r>
  <r>
    <x v="6"/>
    <s v="Population growth (annual %)"/>
    <n v="1.8290260227908901"/>
    <x v="41"/>
  </r>
  <r>
    <x v="7"/>
    <s v="Population growth (annual %)"/>
    <n v="1.6630581344731299"/>
    <x v="41"/>
  </r>
  <r>
    <x v="8"/>
    <s v="Population growth (annual %)"/>
    <n v="2.73177458228569"/>
    <x v="41"/>
  </r>
  <r>
    <x v="9"/>
    <s v="Population growth (annual %)"/>
    <n v="6.7859323293424201E-2"/>
    <x v="41"/>
  </r>
  <r>
    <x v="10"/>
    <s v="Population growth (annual %)"/>
    <n v="3.62927094137296"/>
    <x v="41"/>
  </r>
  <r>
    <x v="11"/>
    <s v="Population growth (annual %)"/>
    <n v="3.0858577050171698"/>
    <x v="41"/>
  </r>
  <r>
    <x v="12"/>
    <s v="Population growth (annual %)"/>
    <n v="2.7714197036011998"/>
    <x v="41"/>
  </r>
  <r>
    <x v="13"/>
    <s v="Population growth (annual %)"/>
    <n v="2.92522326716387"/>
    <x v="41"/>
  </r>
  <r>
    <x v="14"/>
    <s v="Population growth (annual %)"/>
    <n v="-0.22362654404981899"/>
    <x v="41"/>
  </r>
  <r>
    <x v="15"/>
    <s v="Population growth (annual %)"/>
    <n v="2.8431895190952701"/>
    <x v="41"/>
  </r>
  <r>
    <x v="16"/>
    <s v="Population growth (annual %)"/>
    <n v="1.14865834001569"/>
    <x v="41"/>
  </r>
  <r>
    <x v="17"/>
    <s v="Population growth (annual %)"/>
    <n v="1.75721591888621"/>
    <x v="41"/>
  </r>
  <r>
    <x v="18"/>
    <s v="Population growth (annual %)"/>
    <n v="1.4604784718046"/>
    <x v="41"/>
  </r>
  <r>
    <x v="19"/>
    <s v="Population growth (annual %)"/>
    <n v="3.62421436796153"/>
    <x v="41"/>
  </r>
  <r>
    <x v="20"/>
    <s v="Population growth (annual %)"/>
    <n v="3.7142878687348002"/>
    <x v="41"/>
  </r>
  <r>
    <x v="21"/>
    <s v="Population growth (annual %)"/>
    <n v="2.1526160560913401"/>
    <x v="41"/>
  </r>
  <r>
    <x v="22"/>
    <s v="Population growth (annual %)"/>
    <n v="0.69567081371493"/>
    <x v="41"/>
  </r>
  <r>
    <x v="23"/>
    <s v="Population growth (annual %)"/>
    <n v="1.7686354638775199"/>
    <x v="41"/>
  </r>
  <r>
    <x v="24"/>
    <s v="Population growth (annual %)"/>
    <n v="2.7102493669714498"/>
    <x v="41"/>
  </r>
  <r>
    <x v="25"/>
    <s v="Population growth (annual %)"/>
    <n v="3.3365684791256598"/>
    <x v="41"/>
  </r>
  <r>
    <x v="26"/>
    <s v="Population growth (annual %)"/>
    <n v="2.7433165373098198"/>
    <x v="41"/>
  </r>
  <r>
    <x v="27"/>
    <s v="Population growth (annual %)"/>
    <n v="1.1705971085840501"/>
    <x v="41"/>
  </r>
  <r>
    <x v="0"/>
    <s v="Population growth (annual %)"/>
    <n v="2.7938109586503002"/>
    <x v="42"/>
  </r>
  <r>
    <x v="1"/>
    <s v="Population growth (annual %)"/>
    <n v="2.6009050674791601"/>
    <x v="42"/>
  </r>
  <r>
    <x v="2"/>
    <s v="Population growth (annual %)"/>
    <n v="3.8349758287224902"/>
    <x v="42"/>
  </r>
  <r>
    <x v="3"/>
    <s v="Population growth (annual %)"/>
    <n v="2.41550726459531"/>
    <x v="42"/>
  </r>
  <r>
    <x v="4"/>
    <s v="Population growth (annual %)"/>
    <n v="1.82704489612125"/>
    <x v="42"/>
  </r>
  <r>
    <x v="5"/>
    <s v="Population growth (annual %)"/>
    <n v="2.8852176855038798"/>
    <x v="42"/>
  </r>
  <r>
    <x v="6"/>
    <s v="Population growth (annual %)"/>
    <n v="1.8357215039866801"/>
    <x v="42"/>
  </r>
  <r>
    <x v="7"/>
    <s v="Population growth (annual %)"/>
    <n v="1.6222591937681901"/>
    <x v="42"/>
  </r>
  <r>
    <x v="8"/>
    <s v="Population growth (annual %)"/>
    <n v="2.72396581925676"/>
    <x v="42"/>
  </r>
  <r>
    <x v="9"/>
    <s v="Population growth (annual %)"/>
    <n v="6.7930793124533095E-2"/>
    <x v="42"/>
  </r>
  <r>
    <x v="10"/>
    <s v="Population growth (annual %)"/>
    <n v="2.3698188387695298"/>
    <x v="42"/>
  </r>
  <r>
    <x v="11"/>
    <s v="Population growth (annual %)"/>
    <n v="3.0534937668569202"/>
    <x v="42"/>
  </r>
  <r>
    <x v="12"/>
    <s v="Population growth (annual %)"/>
    <n v="2.68133913372565"/>
    <x v="42"/>
  </r>
  <r>
    <x v="13"/>
    <s v="Population growth (annual %)"/>
    <n v="3.0149517269435"/>
    <x v="42"/>
  </r>
  <r>
    <x v="14"/>
    <s v="Population growth (annual %)"/>
    <n v="-0.231579735735711"/>
    <x v="42"/>
  </r>
  <r>
    <x v="15"/>
    <s v="Population growth (annual %)"/>
    <n v="2.9205528138115899"/>
    <x v="42"/>
  </r>
  <r>
    <x v="16"/>
    <s v="Population growth (annual %)"/>
    <n v="1.0925474067076899"/>
    <x v="42"/>
  </r>
  <r>
    <x v="17"/>
    <s v="Population growth (annual %)"/>
    <n v="1.66053730140166"/>
    <x v="42"/>
  </r>
  <r>
    <x v="18"/>
    <s v="Population growth (annual %)"/>
    <n v="1.3820441064153199"/>
    <x v="42"/>
  </r>
  <r>
    <x v="19"/>
    <s v="Population growth (annual %)"/>
    <n v="3.62060063429676"/>
    <x v="42"/>
  </r>
  <r>
    <x v="20"/>
    <s v="Population growth (annual %)"/>
    <n v="2.4524384530826899"/>
    <x v="42"/>
  </r>
  <r>
    <x v="21"/>
    <s v="Population growth (annual %)"/>
    <n v="2.2806395598231002"/>
    <x v="42"/>
  </r>
  <r>
    <x v="22"/>
    <s v="Population growth (annual %)"/>
    <n v="0.77027999423996296"/>
    <x v="42"/>
  </r>
  <r>
    <x v="23"/>
    <s v="Population growth (annual %)"/>
    <n v="1.8875670368567501"/>
    <x v="42"/>
  </r>
  <r>
    <x v="24"/>
    <s v="Population growth (annual %)"/>
    <n v="2.77678540702476"/>
    <x v="42"/>
  </r>
  <r>
    <x v="25"/>
    <s v="Population growth (annual %)"/>
    <n v="3.4138407908558599"/>
    <x v="42"/>
  </r>
  <r>
    <x v="26"/>
    <s v="Population growth (annual %)"/>
    <n v="2.7004629508844"/>
    <x v="42"/>
  </r>
  <r>
    <x v="27"/>
    <s v="Population growth (annual %)"/>
    <n v="1.08065293415603"/>
    <x v="42"/>
  </r>
  <r>
    <x v="0"/>
    <s v="Population growth (annual %)"/>
    <n v="3.0896785811888199"/>
    <x v="43"/>
  </r>
  <r>
    <x v="1"/>
    <s v="Population growth (annual %)"/>
    <n v="2.6317653886536898"/>
    <x v="43"/>
  </r>
  <r>
    <x v="2"/>
    <s v="Population growth (annual %)"/>
    <n v="3.8306411256675799"/>
    <x v="43"/>
  </r>
  <r>
    <x v="3"/>
    <s v="Population growth (annual %)"/>
    <n v="2.3827134214535599"/>
    <x v="43"/>
  </r>
  <r>
    <x v="4"/>
    <s v="Population growth (annual %)"/>
    <n v="1.64725993456733"/>
    <x v="43"/>
  </r>
  <r>
    <x v="5"/>
    <s v="Population growth (annual %)"/>
    <n v="2.8636164702759599"/>
    <x v="43"/>
  </r>
  <r>
    <x v="6"/>
    <s v="Population growth (annual %)"/>
    <n v="1.87029027573573"/>
    <x v="43"/>
  </r>
  <r>
    <x v="7"/>
    <s v="Population growth (annual %)"/>
    <n v="1.59249596137289"/>
    <x v="43"/>
  </r>
  <r>
    <x v="8"/>
    <s v="Population growth (annual %)"/>
    <n v="2.7229981227767999"/>
    <x v="43"/>
  </r>
  <r>
    <x v="9"/>
    <s v="Population growth (annual %)"/>
    <n v="6.7884678522227695E-2"/>
    <x v="43"/>
  </r>
  <r>
    <x v="10"/>
    <s v="Population growth (annual %)"/>
    <n v="1.72748011070889"/>
    <x v="43"/>
  </r>
  <r>
    <x v="11"/>
    <s v="Population growth (annual %)"/>
    <n v="3.0199692773373399"/>
    <x v="43"/>
  </r>
  <r>
    <x v="12"/>
    <s v="Population growth (annual %)"/>
    <n v="2.6528925062001001"/>
    <x v="43"/>
  </r>
  <r>
    <x v="13"/>
    <s v="Population growth (annual %)"/>
    <n v="3.0978464079643602"/>
    <x v="43"/>
  </r>
  <r>
    <x v="14"/>
    <s v="Population growth (annual %)"/>
    <n v="-0.28159471648710699"/>
    <x v="43"/>
  </r>
  <r>
    <x v="15"/>
    <s v="Population growth (annual %)"/>
    <n v="2.9698301552437099"/>
    <x v="43"/>
  </r>
  <r>
    <x v="16"/>
    <s v="Population growth (annual %)"/>
    <n v="1.0229043275996399"/>
    <x v="43"/>
  </r>
  <r>
    <x v="17"/>
    <s v="Population growth (annual %)"/>
    <n v="1.55214971252955"/>
    <x v="43"/>
  </r>
  <r>
    <x v="18"/>
    <s v="Population growth (annual %)"/>
    <n v="1.32812035505421"/>
    <x v="43"/>
  </r>
  <r>
    <x v="19"/>
    <s v="Population growth (annual %)"/>
    <n v="3.6272352785145601"/>
    <x v="43"/>
  </r>
  <r>
    <x v="20"/>
    <s v="Population growth (annual %)"/>
    <n v="1.6744859985356899"/>
    <x v="43"/>
  </r>
  <r>
    <x v="21"/>
    <s v="Population growth (annual %)"/>
    <n v="2.3754701664578599"/>
    <x v="43"/>
  </r>
  <r>
    <x v="22"/>
    <s v="Population growth (annual %)"/>
    <n v="0.81520295667792098"/>
    <x v="43"/>
  </r>
  <r>
    <x v="23"/>
    <s v="Population growth (annual %)"/>
    <n v="1.9838395671823801"/>
    <x v="43"/>
  </r>
  <r>
    <x v="24"/>
    <s v="Population growth (annual %)"/>
    <n v="2.8485052215598001"/>
    <x v="43"/>
  </r>
  <r>
    <x v="25"/>
    <s v="Population growth (annual %)"/>
    <n v="3.4650861199774701"/>
    <x v="43"/>
  </r>
  <r>
    <x v="26"/>
    <s v="Population growth (annual %)"/>
    <n v="2.6757850714639799"/>
    <x v="43"/>
  </r>
  <r>
    <x v="27"/>
    <s v="Population growth (annual %)"/>
    <n v="1.06127964129117"/>
    <x v="43"/>
  </r>
  <r>
    <x v="0"/>
    <s v="Population growth (annual %)"/>
    <n v="3.2451216748515499"/>
    <x v="44"/>
  </r>
  <r>
    <x v="1"/>
    <s v="Population growth (annual %)"/>
    <n v="2.6605715370920699"/>
    <x v="44"/>
  </r>
  <r>
    <x v="2"/>
    <s v="Population growth (annual %)"/>
    <n v="3.7442073065357202"/>
    <x v="44"/>
  </r>
  <r>
    <x v="3"/>
    <s v="Population growth (annual %)"/>
    <n v="2.3749908060831801"/>
    <x v="44"/>
  </r>
  <r>
    <x v="4"/>
    <s v="Population growth (annual %)"/>
    <n v="1.5872259312160899"/>
    <x v="44"/>
  </r>
  <r>
    <x v="5"/>
    <s v="Population growth (annual %)"/>
    <n v="2.8258554541128502"/>
    <x v="44"/>
  </r>
  <r>
    <x v="6"/>
    <s v="Population growth (annual %)"/>
    <n v="1.91899783694693"/>
    <x v="44"/>
  </r>
  <r>
    <x v="7"/>
    <s v="Population growth (annual %)"/>
    <n v="1.57638242295371"/>
    <x v="44"/>
  </r>
  <r>
    <x v="8"/>
    <s v="Population growth (annual %)"/>
    <n v="2.72849327911094"/>
    <x v="44"/>
  </r>
  <r>
    <x v="9"/>
    <s v="Population growth (annual %)"/>
    <n v="6.78386264869726E-2"/>
    <x v="44"/>
  </r>
  <r>
    <x v="10"/>
    <s v="Population growth (annual %)"/>
    <n v="1.91279869685765"/>
    <x v="44"/>
  </r>
  <r>
    <x v="11"/>
    <s v="Population growth (annual %)"/>
    <n v="2.9866762419640098"/>
    <x v="44"/>
  </r>
  <r>
    <x v="12"/>
    <s v="Population growth (annual %)"/>
    <n v="2.7135933683497302"/>
    <x v="44"/>
  </r>
  <r>
    <x v="13"/>
    <s v="Population growth (annual %)"/>
    <n v="3.17096257062909"/>
    <x v="44"/>
  </r>
  <r>
    <x v="14"/>
    <s v="Population growth (annual %)"/>
    <n v="-0.247449868318115"/>
    <x v="44"/>
  </r>
  <r>
    <x v="15"/>
    <s v="Population growth (annual %)"/>
    <n v="2.9785733267674899"/>
    <x v="44"/>
  </r>
  <r>
    <x v="16"/>
    <s v="Population growth (annual %)"/>
    <n v="0.93797879147312002"/>
    <x v="44"/>
  </r>
  <r>
    <x v="17"/>
    <s v="Population growth (annual %)"/>
    <n v="1.42790124430349"/>
    <x v="44"/>
  </r>
  <r>
    <x v="18"/>
    <s v="Population growth (annual %)"/>
    <n v="1.3046669129777599"/>
    <x v="44"/>
  </r>
  <r>
    <x v="19"/>
    <s v="Population growth (annual %)"/>
    <n v="3.6471941205990599"/>
    <x v="44"/>
  </r>
  <r>
    <x v="20"/>
    <s v="Population growth (annual %)"/>
    <n v="1.5783367200463601"/>
    <x v="44"/>
  </r>
  <r>
    <x v="21"/>
    <s v="Population growth (annual %)"/>
    <n v="2.3953918991933598"/>
    <x v="44"/>
  </r>
  <r>
    <x v="22"/>
    <s v="Population growth (annual %)"/>
    <n v="0.81492952070716096"/>
    <x v="44"/>
  </r>
  <r>
    <x v="23"/>
    <s v="Population growth (annual %)"/>
    <n v="2.04622466808644"/>
    <x v="44"/>
  </r>
  <r>
    <x v="24"/>
    <s v="Population growth (annual %)"/>
    <n v="2.9204350931611001"/>
    <x v="44"/>
  </r>
  <r>
    <x v="25"/>
    <s v="Population growth (annual %)"/>
    <n v="3.4827631655343998"/>
    <x v="44"/>
  </r>
  <r>
    <x v="26"/>
    <s v="Population growth (annual %)"/>
    <n v="2.6758581257087801"/>
    <x v="44"/>
  </r>
  <r>
    <x v="27"/>
    <s v="Population growth (annual %)"/>
    <n v="1.13032327090155"/>
    <x v="44"/>
  </r>
  <r>
    <x v="0"/>
    <s v="Population growth (annual %)"/>
    <n v="3.2981530712579001"/>
    <x v="45"/>
  </r>
  <r>
    <x v="1"/>
    <s v="Population growth (annual %)"/>
    <n v="2.6861165006763099"/>
    <x v="45"/>
  </r>
  <r>
    <x v="2"/>
    <s v="Population growth (annual %)"/>
    <n v="3.6102931039285702"/>
    <x v="45"/>
  </r>
  <r>
    <x v="3"/>
    <s v="Population growth (annual %)"/>
    <n v="2.38236695500082"/>
    <x v="45"/>
  </r>
  <r>
    <x v="4"/>
    <s v="Population growth (annual %)"/>
    <n v="1.6090375107515"/>
    <x v="45"/>
  </r>
  <r>
    <x v="5"/>
    <s v="Population growth (annual %)"/>
    <n v="2.7787150564064098"/>
    <x v="45"/>
  </r>
  <r>
    <x v="6"/>
    <s v="Population growth (annual %)"/>
    <n v="1.97728149717433"/>
    <x v="45"/>
  </r>
  <r>
    <x v="7"/>
    <s v="Population growth (annual %)"/>
    <n v="1.5691915255403901"/>
    <x v="45"/>
  </r>
  <r>
    <x v="8"/>
    <s v="Population growth (annual %)"/>
    <n v="2.73727142320356"/>
    <x v="45"/>
  </r>
  <r>
    <x v="9"/>
    <s v="Population growth (annual %)"/>
    <n v="6.7909885374403595E-2"/>
    <x v="45"/>
  </r>
  <r>
    <x v="10"/>
    <s v="Population growth (annual %)"/>
    <n v="2.6351537297577399"/>
    <x v="45"/>
  </r>
  <r>
    <x v="11"/>
    <s v="Population growth (annual %)"/>
    <n v="2.9539011006818199"/>
    <x v="45"/>
  </r>
  <r>
    <x v="12"/>
    <s v="Population growth (annual %)"/>
    <n v="2.8285954060943999"/>
    <x v="45"/>
  </r>
  <r>
    <x v="13"/>
    <s v="Population growth (annual %)"/>
    <n v="3.2305008083825602"/>
    <x v="45"/>
  </r>
  <r>
    <x v="14"/>
    <s v="Population growth (annual %)"/>
    <n v="-0.24330722982984601"/>
    <x v="45"/>
  </r>
  <r>
    <x v="15"/>
    <s v="Population growth (annual %)"/>
    <n v="2.9605825605331302"/>
    <x v="45"/>
  </r>
  <r>
    <x v="16"/>
    <s v="Population growth (annual %)"/>
    <n v="0.84698638120539405"/>
    <x v="45"/>
  </r>
  <r>
    <x v="17"/>
    <s v="Population growth (annual %)"/>
    <n v="1.29870211688625"/>
    <x v="45"/>
  </r>
  <r>
    <x v="18"/>
    <s v="Population growth (annual %)"/>
    <n v="1.3027557822765501"/>
    <x v="45"/>
  </r>
  <r>
    <x v="19"/>
    <s v="Population growth (annual %)"/>
    <n v="3.6753325617677399"/>
    <x v="45"/>
  </r>
  <r>
    <x v="20"/>
    <s v="Population growth (annual %)"/>
    <n v="1.9461065247081999"/>
    <x v="45"/>
  </r>
  <r>
    <x v="21"/>
    <s v="Population growth (annual %)"/>
    <n v="2.3804842539156099"/>
    <x v="45"/>
  </r>
  <r>
    <x v="22"/>
    <s v="Population growth (annual %)"/>
    <n v="0.78165616279988404"/>
    <x v="45"/>
  </r>
  <r>
    <x v="23"/>
    <s v="Population growth (annual %)"/>
    <n v="2.0835842269133602"/>
    <x v="45"/>
  </r>
  <r>
    <x v="24"/>
    <s v="Population growth (annual %)"/>
    <n v="2.9890278116906099"/>
    <x v="45"/>
  </r>
  <r>
    <x v="25"/>
    <s v="Population growth (annual %)"/>
    <n v="3.4773159278752099"/>
    <x v="45"/>
  </r>
  <r>
    <x v="26"/>
    <s v="Population growth (annual %)"/>
    <n v="2.6945064400693099"/>
    <x v="45"/>
  </r>
  <r>
    <x v="27"/>
    <s v="Population growth (annual %)"/>
    <n v="1.2639089473576099"/>
    <x v="45"/>
  </r>
  <r>
    <x v="0"/>
    <s v="Population growth (annual %)"/>
    <n v="3.3390111168039698"/>
    <x v="46"/>
  </r>
  <r>
    <x v="1"/>
    <s v="Population growth (annual %)"/>
    <n v="2.7111635691955001"/>
    <x v="46"/>
  </r>
  <r>
    <x v="2"/>
    <s v="Population growth (annual %)"/>
    <n v="3.4616645780489299"/>
    <x v="46"/>
  </r>
  <r>
    <x v="3"/>
    <s v="Population growth (annual %)"/>
    <n v="2.3906434898981699"/>
    <x v="46"/>
  </r>
  <r>
    <x v="4"/>
    <s v="Population growth (annual %)"/>
    <n v="1.6403421496910999"/>
    <x v="46"/>
  </r>
  <r>
    <x v="5"/>
    <s v="Population growth (annual %)"/>
    <n v="2.7301302435492198"/>
    <x v="46"/>
  </r>
  <r>
    <x v="6"/>
    <s v="Population growth (annual %)"/>
    <n v="2.0621477762343199"/>
    <x v="46"/>
  </r>
  <r>
    <x v="7"/>
    <s v="Population growth (annual %)"/>
    <n v="1.5643663662107099"/>
    <x v="46"/>
  </r>
  <r>
    <x v="8"/>
    <s v="Population growth (annual %)"/>
    <n v="2.74643078401802"/>
    <x v="46"/>
  </r>
  <r>
    <x v="9"/>
    <s v="Population growth (annual %)"/>
    <n v="0.80320028595336201"/>
    <x v="46"/>
  </r>
  <r>
    <x v="10"/>
    <s v="Population growth (annual %)"/>
    <n v="3.45391649682304"/>
    <x v="46"/>
  </r>
  <r>
    <x v="11"/>
    <s v="Population growth (annual %)"/>
    <n v="2.9211530613257501"/>
    <x v="46"/>
  </r>
  <r>
    <x v="12"/>
    <s v="Population growth (annual %)"/>
    <n v="2.9436663748131999"/>
    <x v="46"/>
  </r>
  <r>
    <x v="13"/>
    <s v="Population growth (annual %)"/>
    <n v="3.2916507989376198"/>
    <x v="46"/>
  </r>
  <r>
    <x v="14"/>
    <s v="Population growth (annual %)"/>
    <n v="-0.27792356919118899"/>
    <x v="46"/>
  </r>
  <r>
    <x v="15"/>
    <s v="Population growth (annual %)"/>
    <n v="2.9405705449331299"/>
    <x v="46"/>
  </r>
  <r>
    <x v="16"/>
    <s v="Population growth (annual %)"/>
    <n v="0.74769362909954895"/>
    <x v="46"/>
  </r>
  <r>
    <x v="17"/>
    <s v="Population growth (annual %)"/>
    <n v="1.1645177376659499"/>
    <x v="46"/>
  </r>
  <r>
    <x v="18"/>
    <s v="Population growth (annual %)"/>
    <n v="1.30908642130945"/>
    <x v="46"/>
  </r>
  <r>
    <x v="19"/>
    <s v="Population growth (annual %)"/>
    <n v="3.7020840630823799"/>
    <x v="46"/>
  </r>
  <r>
    <x v="20"/>
    <s v="Population growth (annual %)"/>
    <n v="2.3612623723730199"/>
    <x v="46"/>
  </r>
  <r>
    <x v="21"/>
    <s v="Population growth (annual %)"/>
    <n v="2.3483575242853498"/>
    <x v="46"/>
  </r>
  <r>
    <x v="22"/>
    <s v="Population growth (annual %)"/>
    <n v="0.74292512110060505"/>
    <x v="46"/>
  </r>
  <r>
    <x v="23"/>
    <s v="Population growth (annual %)"/>
    <n v="2.1131615759565001"/>
    <x v="46"/>
  </r>
  <r>
    <x v="24"/>
    <s v="Population growth (annual %)"/>
    <n v="3.0595064430638899"/>
    <x v="46"/>
  </r>
  <r>
    <x v="25"/>
    <s v="Population growth (annual %)"/>
    <n v="3.46614919309937"/>
    <x v="46"/>
  </r>
  <r>
    <x v="26"/>
    <s v="Population growth (annual %)"/>
    <n v="2.7117015610598498"/>
    <x v="46"/>
  </r>
  <r>
    <x v="27"/>
    <s v="Population growth (annual %)"/>
    <n v="1.4137197277320199"/>
    <x v="46"/>
  </r>
  <r>
    <x v="0"/>
    <s v="Population growth (annual %)"/>
    <n v="3.3847163883889699"/>
    <x v="47"/>
  </r>
  <r>
    <x v="1"/>
    <s v="Population growth (annual %)"/>
    <n v="2.7323792110382299"/>
    <x v="47"/>
  </r>
  <r>
    <x v="2"/>
    <s v="Population growth (annual %)"/>
    <n v="3.3414053950262401"/>
    <x v="47"/>
  </r>
  <r>
    <x v="3"/>
    <s v="Population growth (annual %)"/>
    <n v="2.3967173655849301"/>
    <x v="47"/>
  </r>
  <r>
    <x v="4"/>
    <s v="Population growth (annual %)"/>
    <n v="1.6435245162419501"/>
    <x v="47"/>
  </r>
  <r>
    <x v="5"/>
    <s v="Population growth (annual %)"/>
    <n v="2.6898152561200299"/>
    <x v="47"/>
  </r>
  <r>
    <x v="6"/>
    <s v="Population growth (annual %)"/>
    <n v="2.1554276194037598"/>
    <x v="47"/>
  </r>
  <r>
    <x v="7"/>
    <s v="Population growth (annual %)"/>
    <n v="1.5547008330498799"/>
    <x v="47"/>
  </r>
  <r>
    <x v="8"/>
    <s v="Population growth (annual %)"/>
    <n v="2.7520690358667301"/>
    <x v="47"/>
  </r>
  <r>
    <x v="9"/>
    <s v="Population growth (annual %)"/>
    <n v="0.80326183292791598"/>
    <x v="47"/>
  </r>
  <r>
    <x v="10"/>
    <s v="Population growth (annual %)"/>
    <n v="3.9807426620775002"/>
    <x v="47"/>
  </r>
  <r>
    <x v="11"/>
    <s v="Population growth (annual %)"/>
    <n v="2.8882208971626602"/>
    <x v="47"/>
  </r>
  <r>
    <x v="12"/>
    <s v="Population growth (annual %)"/>
    <n v="3.0196904765135102"/>
    <x v="47"/>
  </r>
  <r>
    <x v="13"/>
    <s v="Population growth (annual %)"/>
    <n v="3.3348628148660699"/>
    <x v="47"/>
  </r>
  <r>
    <x v="14"/>
    <s v="Population growth (annual %)"/>
    <n v="-0.23174716070115001"/>
    <x v="47"/>
  </r>
  <r>
    <x v="15"/>
    <s v="Population growth (annual %)"/>
    <n v="2.9310960499961398"/>
    <x v="47"/>
  </r>
  <r>
    <x v="16"/>
    <s v="Population growth (annual %)"/>
    <n v="0.66337406035776803"/>
    <x v="47"/>
  </r>
  <r>
    <x v="17"/>
    <s v="Population growth (annual %)"/>
    <n v="1.0515926840011001"/>
    <x v="47"/>
  </r>
  <r>
    <x v="18"/>
    <s v="Population growth (annual %)"/>
    <n v="1.3104985745168101"/>
    <x v="47"/>
  </r>
  <r>
    <x v="19"/>
    <s v="Population growth (annual %)"/>
    <n v="3.7245035087510501"/>
    <x v="47"/>
  </r>
  <r>
    <x v="20"/>
    <s v="Population growth (annual %)"/>
    <n v="2.58213372728969"/>
    <x v="47"/>
  </r>
  <r>
    <x v="21"/>
    <s v="Population growth (annual %)"/>
    <n v="2.3404670356248198"/>
    <x v="47"/>
  </r>
  <r>
    <x v="22"/>
    <s v="Population growth (annual %)"/>
    <n v="0.71243792503671"/>
    <x v="47"/>
  </r>
  <r>
    <x v="23"/>
    <s v="Population growth (annual %)"/>
    <n v="2.1456150200321802"/>
    <x v="47"/>
  </r>
  <r>
    <x v="24"/>
    <s v="Population growth (annual %)"/>
    <n v="3.1223172750019099"/>
    <x v="47"/>
  </r>
  <r>
    <x v="25"/>
    <s v="Population growth (annual %)"/>
    <n v="3.4582931963011498"/>
    <x v="47"/>
  </r>
  <r>
    <x v="26"/>
    <s v="Population growth (annual %)"/>
    <n v="2.7284521042458301"/>
    <x v="47"/>
  </r>
  <r>
    <x v="27"/>
    <s v="Population growth (annual %)"/>
    <n v="1.5547348161535"/>
    <x v="47"/>
  </r>
  <r>
    <x v="0"/>
    <s v="Population growth (annual %)"/>
    <n v="3.3769151240528901"/>
    <x v="48"/>
  </r>
  <r>
    <x v="1"/>
    <s v="Population growth (annual %)"/>
    <n v="2.7432611605442201"/>
    <x v="48"/>
  </r>
  <r>
    <x v="2"/>
    <s v="Population growth (annual %)"/>
    <n v="3.2696663913238"/>
    <x v="48"/>
  </r>
  <r>
    <x v="3"/>
    <s v="Population growth (annual %)"/>
    <n v="2.4036283650959298"/>
    <x v="48"/>
  </r>
  <r>
    <x v="4"/>
    <s v="Population growth (annual %)"/>
    <n v="1.65802996457734"/>
    <x v="48"/>
  </r>
  <r>
    <x v="5"/>
    <s v="Population growth (annual %)"/>
    <n v="2.6611540757463099"/>
    <x v="48"/>
  </r>
  <r>
    <x v="6"/>
    <s v="Population growth (annual %)"/>
    <n v="2.2176859157341799"/>
    <x v="48"/>
  </r>
  <r>
    <x v="7"/>
    <s v="Population growth (annual %)"/>
    <n v="1.53819490737395"/>
    <x v="48"/>
  </r>
  <r>
    <x v="8"/>
    <s v="Population growth (annual %)"/>
    <n v="2.75155906438204"/>
    <x v="48"/>
  </r>
  <r>
    <x v="9"/>
    <s v="Population growth (annual %)"/>
    <n v="0.80321347756918904"/>
    <x v="48"/>
  </r>
  <r>
    <x v="10"/>
    <s v="Population growth (annual %)"/>
    <n v="4.1829556371799699"/>
    <x v="48"/>
  </r>
  <r>
    <x v="11"/>
    <s v="Population growth (annual %)"/>
    <n v="2.8556143463716599"/>
    <x v="48"/>
  </r>
  <r>
    <x v="12"/>
    <s v="Population growth (annual %)"/>
    <n v="3.06129406831288"/>
    <x v="48"/>
  </r>
  <r>
    <x v="13"/>
    <s v="Population growth (annual %)"/>
    <n v="3.32678238377069"/>
    <x v="48"/>
  </r>
  <r>
    <x v="14"/>
    <s v="Population growth (annual %)"/>
    <n v="-0.19034517763099301"/>
    <x v="48"/>
  </r>
  <r>
    <x v="15"/>
    <s v="Population growth (annual %)"/>
    <n v="2.9240181534613399"/>
    <x v="48"/>
  </r>
  <r>
    <x v="16"/>
    <s v="Population growth (annual %)"/>
    <n v="0.62475990416533"/>
    <x v="48"/>
  </r>
  <r>
    <x v="17"/>
    <s v="Population growth (annual %)"/>
    <n v="0.99074070103818501"/>
    <x v="48"/>
  </r>
  <r>
    <x v="18"/>
    <s v="Population growth (annual %)"/>
    <n v="1.3025735479743901"/>
    <x v="48"/>
  </r>
  <r>
    <x v="19"/>
    <s v="Population growth (annual %)"/>
    <n v="3.7479020588015501"/>
    <x v="48"/>
  </r>
  <r>
    <x v="20"/>
    <s v="Population growth (annual %)"/>
    <n v="2.7227912962739098"/>
    <x v="48"/>
  </r>
  <r>
    <x v="21"/>
    <s v="Population growth (annual %)"/>
    <n v="2.3103077771092502"/>
    <x v="48"/>
  </r>
  <r>
    <x v="22"/>
    <s v="Population growth (annual %)"/>
    <n v="0.67935109159613905"/>
    <x v="48"/>
  </r>
  <r>
    <x v="23"/>
    <s v="Population growth (annual %)"/>
    <n v="2.1760196248509902"/>
    <x v="48"/>
  </r>
  <r>
    <x v="24"/>
    <s v="Population growth (annual %)"/>
    <n v="3.1611224902724699"/>
    <x v="48"/>
  </r>
  <r>
    <x v="25"/>
    <s v="Population growth (annual %)"/>
    <n v="3.4488026096243698"/>
    <x v="48"/>
  </r>
  <r>
    <x v="26"/>
    <s v="Population growth (annual %)"/>
    <n v="2.7631656962141902"/>
    <x v="48"/>
  </r>
  <r>
    <x v="27"/>
    <s v="Population growth (annual %)"/>
    <n v="1.7001063072573599"/>
    <x v="48"/>
  </r>
  <r>
    <x v="0"/>
    <s v="Population growth (annual %)"/>
    <n v="3.3146212817890501"/>
    <x v="49"/>
  </r>
  <r>
    <x v="1"/>
    <s v="Population growth (annual %)"/>
    <n v="2.7416384998088699"/>
    <x v="49"/>
  </r>
  <r>
    <x v="2"/>
    <s v="Population growth (annual %)"/>
    <n v="3.2598261497335401"/>
    <x v="49"/>
  </r>
  <r>
    <x v="3"/>
    <s v="Population growth (annual %)"/>
    <n v="2.4087190564731502"/>
    <x v="49"/>
  </r>
  <r>
    <x v="4"/>
    <s v="Population growth (annual %)"/>
    <n v="1.6756890264814099"/>
    <x v="49"/>
  </r>
  <r>
    <x v="5"/>
    <s v="Population growth (annual %)"/>
    <n v="2.6470654046082198"/>
    <x v="49"/>
  </r>
  <r>
    <x v="6"/>
    <s v="Population growth (annual %)"/>
    <n v="2.2355886344190701"/>
    <x v="49"/>
  </r>
  <r>
    <x v="7"/>
    <s v="Population growth (annual %)"/>
    <n v="1.5118578535268601"/>
    <x v="49"/>
  </r>
  <r>
    <x v="8"/>
    <s v="Population growth (annual %)"/>
    <n v="2.7432078427850999"/>
    <x v="49"/>
  </r>
  <r>
    <x v="9"/>
    <s v="Population growth (annual %)"/>
    <n v="0.80317184479312198"/>
    <x v="49"/>
  </r>
  <r>
    <x v="10"/>
    <s v="Population growth (annual %)"/>
    <n v="3.9749585815432198"/>
    <x v="49"/>
  </r>
  <r>
    <x v="11"/>
    <s v="Population growth (annual %)"/>
    <n v="2.8235262650441002"/>
    <x v="49"/>
  </r>
  <r>
    <x v="12"/>
    <s v="Population growth (annual %)"/>
    <n v="3.0594431216314"/>
    <x v="49"/>
  </r>
  <r>
    <x v="13"/>
    <s v="Population growth (annual %)"/>
    <n v="3.25917903698892"/>
    <x v="49"/>
  </r>
  <r>
    <x v="14"/>
    <s v="Population growth (annual %)"/>
    <n v="-0.126238295439487"/>
    <x v="49"/>
  </r>
  <r>
    <x v="15"/>
    <s v="Population growth (annual %)"/>
    <n v="2.9214629274130801"/>
    <x v="49"/>
  </r>
  <r>
    <x v="16"/>
    <s v="Population growth (annual %)"/>
    <n v="0.64653039706936"/>
    <x v="49"/>
  </r>
  <r>
    <x v="17"/>
    <s v="Population growth (annual %)"/>
    <n v="0.99684832235353904"/>
    <x v="49"/>
  </r>
  <r>
    <x v="18"/>
    <s v="Population growth (annual %)"/>
    <n v="1.28008928798093"/>
    <x v="49"/>
  </r>
  <r>
    <x v="19"/>
    <s v="Population growth (annual %)"/>
    <n v="3.7719808287899301"/>
    <x v="49"/>
  </r>
  <r>
    <x v="20"/>
    <s v="Population growth (annual %)"/>
    <n v="2.7359449712842401"/>
    <x v="49"/>
  </r>
  <r>
    <x v="21"/>
    <s v="Population growth (annual %)"/>
    <n v="2.3096672283132"/>
    <x v="49"/>
  </r>
  <r>
    <x v="22"/>
    <s v="Population growth (annual %)"/>
    <n v="0.64593445560892404"/>
    <x v="49"/>
  </r>
  <r>
    <x v="23"/>
    <s v="Population growth (annual %)"/>
    <n v="2.2066240360521601"/>
    <x v="49"/>
  </r>
  <r>
    <x v="24"/>
    <s v="Population growth (annual %)"/>
    <n v="3.1710097773156498"/>
    <x v="49"/>
  </r>
  <r>
    <x v="25"/>
    <s v="Population growth (annual %)"/>
    <n v="3.4394183952138899"/>
    <x v="49"/>
  </r>
  <r>
    <x v="26"/>
    <s v="Population growth (annual %)"/>
    <n v="2.8179333934193802"/>
    <x v="49"/>
  </r>
  <r>
    <x v="27"/>
    <s v="Population growth (annual %)"/>
    <n v="1.8424970313749101"/>
    <x v="49"/>
  </r>
  <r>
    <x v="0"/>
    <s v="Population growth (annual %)"/>
    <n v="3.2211828553465001"/>
    <x v="50"/>
  </r>
  <r>
    <x v="1"/>
    <s v="Population growth (annual %)"/>
    <n v="2.7306902313796"/>
    <x v="50"/>
  </r>
  <r>
    <x v="2"/>
    <s v="Population growth (annual %)"/>
    <n v="3.2873092309842402"/>
    <x v="50"/>
  </r>
  <r>
    <x v="3"/>
    <s v="Population growth (annual %)"/>
    <n v="2.4125418771942599"/>
    <x v="50"/>
  </r>
  <r>
    <x v="4"/>
    <s v="Population growth (annual %)"/>
    <n v="1.6950783409915999"/>
    <x v="50"/>
  </r>
  <r>
    <x v="5"/>
    <s v="Population growth (annual %)"/>
    <n v="2.6415944766588502"/>
    <x v="50"/>
  </r>
  <r>
    <x v="6"/>
    <s v="Population growth (annual %)"/>
    <n v="2.22621161386768"/>
    <x v="50"/>
  </r>
  <r>
    <x v="7"/>
    <s v="Population growth (annual %)"/>
    <n v="1.4784008958366299"/>
    <x v="50"/>
  </r>
  <r>
    <x v="8"/>
    <s v="Population growth (annual %)"/>
    <n v="2.72840571240366"/>
    <x v="50"/>
  </r>
  <r>
    <x v="9"/>
    <s v="Population growth (annual %)"/>
    <n v="0.80324896127775403"/>
    <x v="50"/>
  </r>
  <r>
    <x v="10"/>
    <s v="Population growth (annual %)"/>
    <n v="3.52106240624552"/>
    <x v="50"/>
  </r>
  <r>
    <x v="11"/>
    <s v="Population growth (annual %)"/>
    <n v="2.79264732396225"/>
    <x v="50"/>
  </r>
  <r>
    <x v="12"/>
    <s v="Population growth (annual %)"/>
    <n v="3.0287944559309601"/>
    <x v="50"/>
  </r>
  <r>
    <x v="13"/>
    <s v="Population growth (annual %)"/>
    <n v="3.1570105095450098"/>
    <x v="50"/>
  </r>
  <r>
    <x v="14"/>
    <s v="Population growth (annual %)"/>
    <n v="-9.9864634068835903E-2"/>
    <x v="50"/>
  </r>
  <r>
    <x v="15"/>
    <s v="Population growth (annual %)"/>
    <n v="2.9212891641512302"/>
    <x v="50"/>
  </r>
  <r>
    <x v="16"/>
    <s v="Population growth (annual %)"/>
    <n v="0.71072354392485504"/>
    <x v="50"/>
  </r>
  <r>
    <x v="17"/>
    <s v="Population growth (annual %)"/>
    <n v="1.04916050907034"/>
    <x v="50"/>
  </r>
  <r>
    <x v="18"/>
    <s v="Population growth (annual %)"/>
    <n v="1.2476504106978901"/>
    <x v="50"/>
  </r>
  <r>
    <x v="19"/>
    <s v="Population growth (annual %)"/>
    <n v="3.79496318310688"/>
    <x v="50"/>
  </r>
  <r>
    <x v="20"/>
    <s v="Population growth (annual %)"/>
    <n v="2.6642414802930299"/>
    <x v="50"/>
  </r>
  <r>
    <x v="21"/>
    <s v="Population growth (annual %)"/>
    <n v="2.29357631535468"/>
    <x v="50"/>
  </r>
  <r>
    <x v="22"/>
    <s v="Population growth (annual %)"/>
    <n v="0.61215226706709402"/>
    <x v="50"/>
  </r>
  <r>
    <x v="23"/>
    <s v="Population growth (annual %)"/>
    <n v="2.23386270801273"/>
    <x v="50"/>
  </r>
  <r>
    <x v="24"/>
    <s v="Population growth (annual %)"/>
    <n v="3.1609405598942302"/>
    <x v="50"/>
  </r>
  <r>
    <x v="25"/>
    <s v="Population growth (annual %)"/>
    <n v="3.4290027639141001"/>
    <x v="50"/>
  </r>
  <r>
    <x v="26"/>
    <s v="Population growth (annual %)"/>
    <n v="2.8831522658589201"/>
    <x v="50"/>
  </r>
  <r>
    <x v="27"/>
    <s v="Population growth (annual %)"/>
    <n v="1.97675598375432"/>
    <x v="50"/>
  </r>
  <r>
    <x v="0"/>
    <s v="Population growth (annual %)"/>
    <n v="3.1060464141009199"/>
    <x v="51"/>
  </r>
  <r>
    <x v="1"/>
    <s v="Population growth (annual %)"/>
    <n v="2.7165869389742099"/>
    <x v="51"/>
  </r>
  <r>
    <x v="2"/>
    <s v="Population growth (annual %)"/>
    <n v="3.3213794309443099"/>
    <x v="51"/>
  </r>
  <r>
    <x v="3"/>
    <s v="Population growth (annual %)"/>
    <n v="2.4175740775310701"/>
    <x v="51"/>
  </r>
  <r>
    <x v="4"/>
    <s v="Population growth (annual %)"/>
    <n v="1.72284809228897"/>
    <x v="51"/>
  </r>
  <r>
    <x v="5"/>
    <s v="Population growth (annual %)"/>
    <n v="2.6376702929657401"/>
    <x v="51"/>
  </r>
  <r>
    <x v="6"/>
    <s v="Population growth (annual %)"/>
    <n v="2.2081271555014799"/>
    <x v="51"/>
  </r>
  <r>
    <x v="7"/>
    <s v="Population growth (annual %)"/>
    <n v="1.4439503822152799"/>
    <x v="51"/>
  </r>
  <r>
    <x v="8"/>
    <s v="Population growth (annual %)"/>
    <n v="2.71182599842321"/>
    <x v="51"/>
  </r>
  <r>
    <x v="9"/>
    <s v="Population growth (annual %)"/>
    <n v="0.85906749231754498"/>
    <x v="51"/>
  </r>
  <r>
    <x v="10"/>
    <s v="Population growth (annual %)"/>
    <n v="3.0443247882920601"/>
    <x v="51"/>
  </r>
  <r>
    <x v="11"/>
    <s v="Population growth (annual %)"/>
    <n v="2.7618068074155002"/>
    <x v="51"/>
  </r>
  <r>
    <x v="12"/>
    <s v="Population growth (annual %)"/>
    <n v="2.9911454938950701"/>
    <x v="51"/>
  </r>
  <r>
    <x v="13"/>
    <s v="Population growth (annual %)"/>
    <n v="3.0437604056415499"/>
    <x v="51"/>
  </r>
  <r>
    <x v="14"/>
    <s v="Population growth (annual %)"/>
    <n v="-5.7820586778247703E-2"/>
    <x v="51"/>
  </r>
  <r>
    <x v="15"/>
    <s v="Population growth (annual %)"/>
    <n v="2.9196297354631802"/>
    <x v="51"/>
  </r>
  <r>
    <x v="16"/>
    <s v="Population growth (annual %)"/>
    <n v="0.78868293085810404"/>
    <x v="51"/>
  </r>
  <r>
    <x v="17"/>
    <s v="Population growth (annual %)"/>
    <n v="1.11871787326644"/>
    <x v="51"/>
  </r>
  <r>
    <x v="18"/>
    <s v="Population growth (annual %)"/>
    <n v="1.2142843572950199"/>
    <x v="51"/>
  </r>
  <r>
    <x v="19"/>
    <s v="Population growth (annual %)"/>
    <n v="3.8168497912886399"/>
    <x v="51"/>
  </r>
  <r>
    <x v="20"/>
    <s v="Population growth (annual %)"/>
    <n v="2.5935097909789899"/>
    <x v="51"/>
  </r>
  <r>
    <x v="21"/>
    <s v="Population growth (annual %)"/>
    <n v="2.27627087156222"/>
    <x v="51"/>
  </r>
  <r>
    <x v="22"/>
    <s v="Population growth (annual %)"/>
    <n v="0.57592998298605202"/>
    <x v="51"/>
  </r>
  <r>
    <x v="23"/>
    <s v="Population growth (annual %)"/>
    <n v="2.2555458434700402"/>
    <x v="51"/>
  </r>
  <r>
    <x v="24"/>
    <s v="Population growth (annual %)"/>
    <n v="3.1438886250607498"/>
    <x v="51"/>
  </r>
  <r>
    <x v="25"/>
    <s v="Population growth (annual %)"/>
    <n v="3.4158829475066499"/>
    <x v="51"/>
  </r>
  <r>
    <x v="26"/>
    <s v="Population growth (annual %)"/>
    <n v="2.9504264415222599"/>
    <x v="51"/>
  </r>
  <r>
    <x v="27"/>
    <s v="Population growth (annual %)"/>
    <n v="2.10967230476873"/>
    <x v="51"/>
  </r>
  <r>
    <x v="0"/>
    <s v="Population growth (annual %)"/>
    <n v="3.00843601052626"/>
    <x v="52"/>
  </r>
  <r>
    <x v="1"/>
    <s v="Population growth (annual %)"/>
    <n v="2.7015959133753"/>
    <x v="52"/>
  </r>
  <r>
    <x v="2"/>
    <s v="Population growth (annual %)"/>
    <n v="3.33300889359437"/>
    <x v="52"/>
  </r>
  <r>
    <x v="3"/>
    <s v="Population growth (annual %)"/>
    <n v="2.4188193422099702"/>
    <x v="52"/>
  </r>
  <r>
    <x v="4"/>
    <s v="Population growth (annual %)"/>
    <n v="1.7455434892658199"/>
    <x v="52"/>
  </r>
  <r>
    <x v="5"/>
    <s v="Population growth (annual %)"/>
    <n v="2.6275988813792002"/>
    <x v="52"/>
  </r>
  <r>
    <x v="6"/>
    <s v="Population growth (annual %)"/>
    <n v="2.2074022969209999"/>
    <x v="52"/>
  </r>
  <r>
    <x v="7"/>
    <s v="Population growth (annual %)"/>
    <n v="1.41094772494131"/>
    <x v="52"/>
  </r>
  <r>
    <x v="8"/>
    <s v="Population growth (annual %)"/>
    <n v="2.69316939694823"/>
    <x v="52"/>
  </r>
  <r>
    <x v="9"/>
    <s v="Population growth (annual %)"/>
    <n v="0.78972658921343297"/>
    <x v="52"/>
  </r>
  <r>
    <x v="10"/>
    <s v="Population growth (annual %)"/>
    <n v="2.7001069535943398"/>
    <x v="52"/>
  </r>
  <r>
    <x v="11"/>
    <s v="Population growth (annual %)"/>
    <n v="2.7337464038063599"/>
    <x v="52"/>
  </r>
  <r>
    <x v="12"/>
    <s v="Population growth (annual %)"/>
    <n v="2.9612133087384902"/>
    <x v="52"/>
  </r>
  <r>
    <x v="13"/>
    <s v="Population growth (annual %)"/>
    <n v="2.9524525243475899"/>
    <x v="52"/>
  </r>
  <r>
    <x v="14"/>
    <s v="Population growth (annual %)"/>
    <n v="-1.31188896045369E-2"/>
    <x v="52"/>
  </r>
  <r>
    <x v="15"/>
    <s v="Population growth (annual %)"/>
    <n v="2.9147261271914302"/>
    <x v="52"/>
  </r>
  <r>
    <x v="16"/>
    <s v="Population growth (annual %)"/>
    <n v="0.85382622794986496"/>
    <x v="52"/>
  </r>
  <r>
    <x v="17"/>
    <s v="Population growth (annual %)"/>
    <n v="1.1742411775752399"/>
    <x v="52"/>
  </r>
  <r>
    <x v="18"/>
    <s v="Population growth (annual %)"/>
    <n v="1.18595188777772"/>
    <x v="52"/>
  </r>
  <r>
    <x v="19"/>
    <s v="Population growth (annual %)"/>
    <n v="3.8342024096962999"/>
    <x v="52"/>
  </r>
  <r>
    <x v="20"/>
    <s v="Population growth (annual %)"/>
    <n v="2.5608813026541002"/>
    <x v="52"/>
  </r>
  <r>
    <x v="21"/>
    <s v="Population growth (annual %)"/>
    <n v="2.2611548694611701"/>
    <x v="52"/>
  </r>
  <r>
    <x v="22"/>
    <s v="Population growth (annual %)"/>
    <n v="0.53992744866429598"/>
    <x v="52"/>
  </r>
  <r>
    <x v="23"/>
    <s v="Population growth (annual %)"/>
    <n v="2.26577114602006"/>
    <x v="52"/>
  </r>
  <r>
    <x v="24"/>
    <s v="Population growth (annual %)"/>
    <n v="3.1291409753289998"/>
    <x v="52"/>
  </r>
  <r>
    <x v="25"/>
    <s v="Population growth (annual %)"/>
    <n v="3.3984795944577999"/>
    <x v="52"/>
  </r>
  <r>
    <x v="26"/>
    <s v="Population growth (annual %)"/>
    <n v="3.00513283440094"/>
    <x v="52"/>
  </r>
  <r>
    <x v="27"/>
    <s v="Population growth (annual %)"/>
    <n v="2.2283061582036701"/>
    <x v="52"/>
  </r>
  <r>
    <x v="0"/>
    <s v="Population growth (annual %)"/>
    <n v="2.9650960952535201"/>
    <x v="53"/>
  </r>
  <r>
    <x v="1"/>
    <s v="Population growth (annual %)"/>
    <n v="2.68316290755262"/>
    <x v="53"/>
  </r>
  <r>
    <x v="2"/>
    <s v="Population growth (annual %)"/>
    <n v="3.31667519978018"/>
    <x v="53"/>
  </r>
  <r>
    <x v="3"/>
    <s v="Population growth (annual %)"/>
    <n v="2.40661062566515"/>
    <x v="53"/>
  </r>
  <r>
    <x v="4"/>
    <s v="Population growth (annual %)"/>
    <n v="1.7440382925404301"/>
    <x v="53"/>
  </r>
  <r>
    <x v="5"/>
    <s v="Population growth (annual %)"/>
    <n v="2.6089304674401199"/>
    <x v="53"/>
  </r>
  <r>
    <x v="6"/>
    <s v="Population growth (annual %)"/>
    <n v="2.2364422407573699"/>
    <x v="53"/>
  </r>
  <r>
    <x v="7"/>
    <s v="Population growth (annual %)"/>
    <n v="1.37607592289763"/>
    <x v="53"/>
  </r>
  <r>
    <x v="8"/>
    <s v="Population growth (annual %)"/>
    <n v="2.66812165895313"/>
    <x v="53"/>
  </r>
  <r>
    <x v="9"/>
    <s v="Population growth (annual %)"/>
    <n v="1.0415325740022701"/>
    <x v="53"/>
  </r>
  <r>
    <x v="10"/>
    <s v="Population growth (annual %)"/>
    <n v="2.4736690130535202"/>
    <x v="53"/>
  </r>
  <r>
    <x v="11"/>
    <s v="Population growth (annual %)"/>
    <n v="2.7130507128257699"/>
    <x v="53"/>
  </r>
  <r>
    <x v="12"/>
    <s v="Population growth (annual %)"/>
    <n v="2.93731934371"/>
    <x v="53"/>
  </r>
  <r>
    <x v="13"/>
    <s v="Population growth (annual %)"/>
    <n v="2.9009602431125199"/>
    <x v="53"/>
  </r>
  <r>
    <x v="14"/>
    <s v="Population growth (annual %)"/>
    <n v="-2.67768650049581E-2"/>
    <x v="53"/>
  </r>
  <r>
    <x v="15"/>
    <s v="Population growth (annual %)"/>
    <n v="2.9084828043495299"/>
    <x v="53"/>
  </r>
  <r>
    <x v="16"/>
    <s v="Population growth (annual %)"/>
    <n v="0.90142321135702397"/>
    <x v="53"/>
  </r>
  <r>
    <x v="17"/>
    <s v="Population growth (annual %)"/>
    <n v="1.2056714157573201"/>
    <x v="53"/>
  </r>
  <r>
    <x v="18"/>
    <s v="Population growth (annual %)"/>
    <n v="1.1611369872978801"/>
    <x v="53"/>
  </r>
  <r>
    <x v="19"/>
    <s v="Population growth (annual %)"/>
    <n v="3.8432623326397199"/>
    <x v="53"/>
  </r>
  <r>
    <x v="20"/>
    <s v="Population growth (annual %)"/>
    <n v="2.52871485554597"/>
    <x v="53"/>
  </r>
  <r>
    <x v="21"/>
    <s v="Population growth (annual %)"/>
    <n v="2.2469818182218799"/>
    <x v="53"/>
  </r>
  <r>
    <x v="22"/>
    <s v="Population growth (annual %)"/>
    <n v="0.78030144758014197"/>
    <x v="53"/>
  </r>
  <r>
    <x v="23"/>
    <s v="Population growth (annual %)"/>
    <n v="2.2600165223477302"/>
    <x v="53"/>
  </r>
  <r>
    <x v="24"/>
    <s v="Population growth (annual %)"/>
    <n v="3.1161854690673301"/>
    <x v="53"/>
  </r>
  <r>
    <x v="25"/>
    <s v="Population growth (annual %)"/>
    <n v="3.3767659605180902"/>
    <x v="53"/>
  </r>
  <r>
    <x v="26"/>
    <s v="Population growth (annual %)"/>
    <n v="3.0369182638627099"/>
    <x v="53"/>
  </r>
  <r>
    <x v="27"/>
    <s v="Population growth (annual %)"/>
    <n v="2.3093663062179401"/>
    <x v="53"/>
  </r>
  <r>
    <x v="0"/>
    <s v="Population growth (annual %)"/>
    <n v="2.9922646871545102"/>
    <x v="54"/>
  </r>
  <r>
    <x v="1"/>
    <s v="Population growth (annual %)"/>
    <n v="2.66187609259836"/>
    <x v="54"/>
  </r>
  <r>
    <x v="2"/>
    <s v="Population growth (annual %)"/>
    <n v="3.2647063652005399"/>
    <x v="54"/>
  </r>
  <r>
    <x v="3"/>
    <s v="Population growth (annual %)"/>
    <n v="2.3833733588499499"/>
    <x v="54"/>
  </r>
  <r>
    <x v="4"/>
    <s v="Population growth (annual %)"/>
    <n v="1.7111823002921001"/>
    <x v="54"/>
  </r>
  <r>
    <x v="5"/>
    <s v="Population growth (annual %)"/>
    <n v="2.5790683056791499"/>
    <x v="54"/>
  </r>
  <r>
    <x v="6"/>
    <s v="Population growth (annual %)"/>
    <n v="2.3040396436433999"/>
    <x v="54"/>
  </r>
  <r>
    <x v="7"/>
    <s v="Population growth (annual %)"/>
    <n v="1.3396541907930299"/>
    <x v="54"/>
  </r>
  <r>
    <x v="8"/>
    <s v="Population growth (annual %)"/>
    <n v="2.6361163551476001"/>
    <x v="54"/>
  </r>
  <r>
    <x v="9"/>
    <s v="Population growth (annual %)"/>
    <n v="-0.12616913821593301"/>
    <x v="54"/>
  </r>
  <r>
    <x v="10"/>
    <s v="Population growth (annual %)"/>
    <n v="2.4075304325297702"/>
    <x v="54"/>
  </r>
  <r>
    <x v="11"/>
    <s v="Population growth (annual %)"/>
    <n v="2.7010974508385499"/>
    <x v="54"/>
  </r>
  <r>
    <x v="12"/>
    <s v="Population growth (annual %)"/>
    <n v="2.92294017355582"/>
    <x v="54"/>
  </r>
  <r>
    <x v="13"/>
    <s v="Population growth (annual %)"/>
    <n v="2.9010310086912501"/>
    <x v="54"/>
  </r>
  <r>
    <x v="14"/>
    <s v="Population growth (annual %)"/>
    <n v="-6.09701011007674E-2"/>
    <x v="54"/>
  </r>
  <r>
    <x v="15"/>
    <s v="Population growth (annual %)"/>
    <n v="2.90069572870848"/>
    <x v="54"/>
  </r>
  <r>
    <x v="16"/>
    <s v="Population growth (annual %)"/>
    <n v="0.92092176502699996"/>
    <x v="54"/>
  </r>
  <r>
    <x v="17"/>
    <s v="Population growth (annual %)"/>
    <n v="1.2002974723075801"/>
    <x v="54"/>
  </r>
  <r>
    <x v="18"/>
    <s v="Population growth (annual %)"/>
    <n v="1.1413411672703599"/>
    <x v="54"/>
  </r>
  <r>
    <x v="19"/>
    <s v="Population growth (annual %)"/>
    <n v="3.8426809344167698"/>
    <x v="54"/>
  </r>
  <r>
    <x v="20"/>
    <s v="Population growth (annual %)"/>
    <n v="2.5007965300157999"/>
    <x v="54"/>
  </r>
  <r>
    <x v="21"/>
    <s v="Population growth (annual %)"/>
    <n v="2.2315899721806298"/>
    <x v="54"/>
  </r>
  <r>
    <x v="22"/>
    <s v="Population growth (annual %)"/>
    <n v="0.89951278721032601"/>
    <x v="54"/>
  </r>
  <r>
    <x v="23"/>
    <s v="Population growth (annual %)"/>
    <n v="2.2362456157973098"/>
    <x v="54"/>
  </r>
  <r>
    <x v="24"/>
    <s v="Population growth (annual %)"/>
    <n v="3.1075724150560302"/>
    <x v="54"/>
  </r>
  <r>
    <x v="25"/>
    <s v="Population growth (annual %)"/>
    <n v="3.3506503525505802"/>
    <x v="54"/>
  </r>
  <r>
    <x v="26"/>
    <s v="Population growth (annual %)"/>
    <n v="3.0402107721545302"/>
    <x v="54"/>
  </r>
  <r>
    <x v="27"/>
    <s v="Population growth (annual %)"/>
    <n v="2.3447990700846102"/>
    <x v="54"/>
  </r>
  <r>
    <x v="0"/>
    <s v="Population growth (annual %)"/>
    <n v="3.06110289439754"/>
    <x v="55"/>
  </r>
  <r>
    <x v="1"/>
    <s v="Population growth (annual %)"/>
    <n v="2.63853608129366"/>
    <x v="55"/>
  </r>
  <r>
    <x v="2"/>
    <s v="Population growth (annual %)"/>
    <n v="3.1909402723936902"/>
    <x v="55"/>
  </r>
  <r>
    <x v="3"/>
    <s v="Population growth (annual %)"/>
    <n v="2.34769949129974"/>
    <x v="55"/>
  </r>
  <r>
    <x v="4"/>
    <s v="Population growth (annual %)"/>
    <n v="1.6580269341401099"/>
    <x v="55"/>
  </r>
  <r>
    <x v="5"/>
    <s v="Population growth (annual %)"/>
    <n v="2.5414686187041502"/>
    <x v="55"/>
  </r>
  <r>
    <x v="6"/>
    <s v="Population growth (annual %)"/>
    <n v="2.3939168664711401"/>
    <x v="55"/>
  </r>
  <r>
    <x v="7"/>
    <s v="Population growth (annual %)"/>
    <n v="1.3023871377045999"/>
    <x v="55"/>
  </r>
  <r>
    <x v="8"/>
    <s v="Population growth (annual %)"/>
    <n v="2.5993365335320702"/>
    <x v="55"/>
  </r>
  <r>
    <x v="9"/>
    <s v="Population growth (annual %)"/>
    <n v="-1.1038858093369801"/>
    <x v="55"/>
  </r>
  <r>
    <x v="10"/>
    <s v="Population growth (annual %)"/>
    <n v="2.4496076461636598"/>
    <x v="55"/>
  </r>
  <r>
    <x v="11"/>
    <s v="Population growth (annual %)"/>
    <n v="2.6945779458470902"/>
    <x v="55"/>
  </r>
  <r>
    <x v="12"/>
    <s v="Population growth (annual %)"/>
    <n v="2.9143712395279802"/>
    <x v="55"/>
  </r>
  <r>
    <x v="13"/>
    <s v="Population growth (annual %)"/>
    <n v="2.93397742028047"/>
    <x v="55"/>
  </r>
  <r>
    <x v="14"/>
    <s v="Population growth (annual %)"/>
    <n v="-6.4383614921027704E-2"/>
    <x v="55"/>
  </r>
  <r>
    <x v="15"/>
    <s v="Population growth (annual %)"/>
    <n v="2.8914168419794501"/>
    <x v="55"/>
  </r>
  <r>
    <x v="16"/>
    <s v="Population growth (annual %)"/>
    <n v="0.91919918122672595"/>
    <x v="55"/>
  </r>
  <r>
    <x v="17"/>
    <s v="Population growth (annual %)"/>
    <n v="1.16899817730387"/>
    <x v="55"/>
  </r>
  <r>
    <x v="18"/>
    <s v="Population growth (annual %)"/>
    <n v="1.12497581944097"/>
    <x v="55"/>
  </r>
  <r>
    <x v="19"/>
    <s v="Population growth (annual %)"/>
    <n v="3.8357498845731199"/>
    <x v="55"/>
  </r>
  <r>
    <x v="20"/>
    <s v="Population growth (annual %)"/>
    <n v="2.4740945366655498"/>
    <x v="55"/>
  </r>
  <r>
    <x v="21"/>
    <s v="Population growth (annual %)"/>
    <n v="2.2166313090719898"/>
    <x v="55"/>
  </r>
  <r>
    <x v="22"/>
    <s v="Population growth (annual %)"/>
    <n v="0.93442949364096495"/>
    <x v="55"/>
  </r>
  <r>
    <x v="23"/>
    <s v="Population growth (annual %)"/>
    <n v="2.1986770238589499"/>
    <x v="55"/>
  </r>
  <r>
    <x v="24"/>
    <s v="Population growth (annual %)"/>
    <n v="3.1008293082737501"/>
    <x v="55"/>
  </r>
  <r>
    <x v="25"/>
    <s v="Population growth (annual %)"/>
    <n v="3.3215556860789301"/>
    <x v="55"/>
  </r>
  <r>
    <x v="26"/>
    <s v="Population growth (annual %)"/>
    <n v="3.0241232531716902"/>
    <x v="55"/>
  </r>
  <r>
    <x v="27"/>
    <s v="Population growth (annual %)"/>
    <n v="2.3456429705700499"/>
    <x v="55"/>
  </r>
  <r>
    <x v="0"/>
    <s v="Population growth (annual %)"/>
    <n v="3.1353331460468001"/>
    <x v="56"/>
  </r>
  <r>
    <x v="1"/>
    <s v="Population growth (annual %)"/>
    <n v="2.61358514949048"/>
    <x v="56"/>
  </r>
  <r>
    <x v="2"/>
    <s v="Population growth (annual %)"/>
    <n v="3.11409244065461"/>
    <x v="56"/>
  </r>
  <r>
    <x v="3"/>
    <s v="Population growth (annual %)"/>
    <n v="2.3111913812565201"/>
    <x v="56"/>
  </r>
  <r>
    <x v="4"/>
    <s v="Population growth (annual %)"/>
    <n v="1.5958647482909101"/>
    <x v="56"/>
  </r>
  <r>
    <x v="5"/>
    <s v="Population growth (annual %)"/>
    <n v="2.50182137816318"/>
    <x v="56"/>
  </r>
  <r>
    <x v="6"/>
    <s v="Population growth (annual %)"/>
    <n v="2.4862253300873101"/>
    <x v="56"/>
  </r>
  <r>
    <x v="7"/>
    <s v="Population growth (annual %)"/>
    <n v="1.2642389661953"/>
    <x v="56"/>
  </r>
  <r>
    <x v="8"/>
    <s v="Population growth (annual %)"/>
    <n v="2.5609253982648701"/>
    <x v="56"/>
  </r>
  <r>
    <x v="9"/>
    <s v="Population growth (annual %)"/>
    <n v="0.79602410383883204"/>
    <x v="56"/>
  </r>
  <r>
    <x v="10"/>
    <s v="Population growth (annual %)"/>
    <n v="2.5063626500126501"/>
    <x v="56"/>
  </r>
  <r>
    <x v="11"/>
    <s v="Population growth (annual %)"/>
    <n v="2.6888707116748001"/>
    <x v="56"/>
  </r>
  <r>
    <x v="12"/>
    <s v="Population growth (annual %)"/>
    <n v="2.90481860513923"/>
    <x v="56"/>
  </r>
  <r>
    <x v="13"/>
    <s v="Population growth (annual %)"/>
    <n v="2.9719686325900998"/>
    <x v="56"/>
  </r>
  <r>
    <x v="14"/>
    <s v="Population growth (annual %)"/>
    <n v="-6.0624297000835298E-2"/>
    <x v="56"/>
  </r>
  <r>
    <x v="15"/>
    <s v="Population growth (annual %)"/>
    <n v="2.8812077244991001"/>
    <x v="56"/>
  </r>
  <r>
    <x v="16"/>
    <s v="Population growth (annual %)"/>
    <n v="0.91473535079874702"/>
    <x v="56"/>
  </r>
  <r>
    <x v="17"/>
    <s v="Population growth (annual %)"/>
    <n v="1.1328863847858599"/>
    <x v="56"/>
  </r>
  <r>
    <x v="18"/>
    <s v="Population growth (annual %)"/>
    <n v="1.1101030508248899"/>
    <x v="56"/>
  </r>
  <r>
    <x v="19"/>
    <s v="Population growth (annual %)"/>
    <n v="3.82606646670245"/>
    <x v="56"/>
  </r>
  <r>
    <x v="20"/>
    <s v="Population growth (annual %)"/>
    <n v="2.4459048668105701"/>
    <x v="56"/>
  </r>
  <r>
    <x v="21"/>
    <s v="Population growth (annual %)"/>
    <n v="2.2035822838881001"/>
    <x v="56"/>
  </r>
  <r>
    <x v="22"/>
    <s v="Population growth (annual %)"/>
    <n v="1.12406030700326"/>
    <x v="56"/>
  </r>
  <r>
    <x v="23"/>
    <s v="Population growth (annual %)"/>
    <n v="2.1558841231132502"/>
    <x v="56"/>
  </r>
  <r>
    <x v="24"/>
    <s v="Population growth (annual %)"/>
    <n v="3.0924540737403001"/>
    <x v="56"/>
  </r>
  <r>
    <x v="25"/>
    <s v="Population growth (annual %)"/>
    <n v="3.29087238084198"/>
    <x v="56"/>
  </r>
  <r>
    <x v="26"/>
    <s v="Population growth (annual %)"/>
    <n v="3.0028155152340399"/>
    <x v="56"/>
  </r>
  <r>
    <x v="27"/>
    <s v="Population growth (annual %)"/>
    <n v="2.3360695495182999"/>
    <x v="56"/>
  </r>
  <r>
    <x v="0"/>
    <s v="Population growth (annual %)"/>
    <n v="3.1807641546363898"/>
    <x v="57"/>
  </r>
  <r>
    <x v="1"/>
    <s v="Population growth (annual %)"/>
    <n v="2.58805882261683"/>
    <x v="57"/>
  </r>
  <r>
    <x v="2"/>
    <s v="Population growth (annual %)"/>
    <n v="3.0490425032905502"/>
    <x v="57"/>
  </r>
  <r>
    <x v="3"/>
    <s v="Population growth (annual %)"/>
    <n v="2.2754448158280698"/>
    <x v="57"/>
  </r>
  <r>
    <x v="4"/>
    <s v="Population growth (annual %)"/>
    <n v="1.54290020553782"/>
    <x v="57"/>
  </r>
  <r>
    <x v="5"/>
    <s v="Population growth (annual %)"/>
    <n v="2.4636992543230498"/>
    <x v="57"/>
  </r>
  <r>
    <x v="6"/>
    <s v="Population growth (annual %)"/>
    <n v="2.5585811788215"/>
    <x v="57"/>
  </r>
  <r>
    <x v="7"/>
    <s v="Population growth (annual %)"/>
    <n v="1.22680250927908"/>
    <x v="57"/>
  </r>
  <r>
    <x v="8"/>
    <s v="Population growth (annual %)"/>
    <n v="2.5231105626011199"/>
    <x v="57"/>
  </r>
  <r>
    <x v="9"/>
    <s v="Population growth (annual %)"/>
    <n v="0.79520011012409497"/>
    <x v="57"/>
  </r>
  <r>
    <x v="10"/>
    <s v="Population growth (annual %)"/>
    <n v="2.5271283660911599"/>
    <x v="57"/>
  </r>
  <r>
    <x v="11"/>
    <s v="Population growth (annual %)"/>
    <n v="2.6805846464608201"/>
    <x v="57"/>
  </r>
  <r>
    <x v="12"/>
    <s v="Population growth (annual %)"/>
    <n v="2.89029019490127"/>
    <x v="57"/>
  </r>
  <r>
    <x v="13"/>
    <s v="Population growth (annual %)"/>
    <n v="2.9952467133631799"/>
    <x v="57"/>
  </r>
  <r>
    <x v="14"/>
    <s v="Population growth (annual %)"/>
    <n v="-6.2069612328547102E-2"/>
    <x v="57"/>
  </r>
  <r>
    <x v="15"/>
    <s v="Population growth (annual %)"/>
    <n v="2.86987986018184"/>
    <x v="57"/>
  </r>
  <r>
    <x v="16"/>
    <s v="Population growth (annual %)"/>
    <n v="0.91362397180206001"/>
    <x v="57"/>
  </r>
  <r>
    <x v="17"/>
    <s v="Population growth (annual %)"/>
    <n v="1.1056531691835501"/>
    <x v="57"/>
  </r>
  <r>
    <x v="18"/>
    <s v="Population growth (annual %)"/>
    <n v="1.0940549922010301"/>
    <x v="57"/>
  </r>
  <r>
    <x v="19"/>
    <s v="Population growth (annual %)"/>
    <n v="3.8170926127810998"/>
    <x v="57"/>
  </r>
  <r>
    <x v="20"/>
    <s v="Population growth (annual %)"/>
    <n v="2.4116233402262202"/>
    <x v="57"/>
  </r>
  <r>
    <x v="21"/>
    <s v="Population growth (annual %)"/>
    <n v="2.1854386414056099"/>
    <x v="57"/>
  </r>
  <r>
    <x v="22"/>
    <s v="Population growth (annual %)"/>
    <n v="1.1302204864877701"/>
    <x v="57"/>
  </r>
  <r>
    <x v="23"/>
    <s v="Population growth (annual %)"/>
    <n v="2.1114161843133901"/>
    <x v="57"/>
  </r>
  <r>
    <x v="24"/>
    <s v="Population growth (annual %)"/>
    <n v="3.0792365884401902"/>
    <x v="57"/>
  </r>
  <r>
    <x v="25"/>
    <s v="Population growth (annual %)"/>
    <n v="3.26046178844302"/>
    <x v="57"/>
  </r>
  <r>
    <x v="26"/>
    <s v="Population growth (annual %)"/>
    <n v="2.9851243617062599"/>
    <x v="57"/>
  </r>
  <r>
    <x v="27"/>
    <s v="Population growth (annual %)"/>
    <n v="2.3228639915426501"/>
    <x v="5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数据透视表3" cacheId="0" applyNumberFormats="0" applyBorderFormats="0" applyFontFormats="0" applyPatternFormats="0" applyAlignmentFormats="0" applyWidthHeightFormats="1" dataCaption="值" updatedVersion="6" minRefreshableVersion="3" useAutoFormatting="1" rowGrandTotals="0" colGrandTotals="0" itemPrintTitles="1" createdVersion="6" indent="0" outline="1" outlineData="1" multipleFieldFilters="0" chartFormat="2" rowHeaderCaption="Year" colHeaderCaption="Country name">
  <location ref="J5:K63" firstHeaderRow="1" firstDataRow="2" firstDataCol="1"/>
  <pivotFields count="4">
    <pivotField axis="axisCol" showAll="0">
      <items count="29">
        <item h="1" x="0"/>
        <item h="1" x="1"/>
        <item h="1" x="2"/>
        <item h="1" x="3"/>
        <item h="1" x="4"/>
        <item h="1" x="5"/>
        <item h="1" x="6"/>
        <item h="1" x="7"/>
        <item h="1" x="8"/>
        <item h="1" x="9"/>
        <item h="1" x="10"/>
        <item h="1" x="11"/>
        <item h="1" x="12"/>
        <item h="1" x="13"/>
        <item h="1" x="14"/>
        <item x="15"/>
        <item h="1" x="16"/>
        <item h="1" x="17"/>
        <item h="1" x="18"/>
        <item h="1" x="19"/>
        <item h="1" x="20"/>
        <item h="1" x="21"/>
        <item h="1" x="22"/>
        <item h="1" x="23"/>
        <item h="1" x="24"/>
        <item h="1" x="25"/>
        <item h="1" x="26"/>
        <item h="1" x="27"/>
        <item t="default"/>
      </items>
    </pivotField>
    <pivotField showAll="0"/>
    <pivotField dataField="1" showAll="0"/>
    <pivotField axis="axisRow" showAll="0">
      <items count="5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h="1" x="57"/>
        <item t="default"/>
      </items>
    </pivotField>
  </pivotFields>
  <rowFields count="1">
    <field x="3"/>
  </rowFields>
  <rowItems count="5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rowItems>
  <colFields count="1">
    <field x="0"/>
  </colFields>
  <colItems count="1">
    <i>
      <x v="15"/>
    </i>
  </colItems>
  <dataFields count="1">
    <dataField name="Somme:Data" fld="2" baseField="0" baseItem="0"/>
  </dataFields>
  <formats count="18">
    <format dxfId="536">
      <pivotArea type="topRight" dataOnly="0" labelOnly="1" outline="0" fieldPosition="0"/>
    </format>
    <format dxfId="535">
      <pivotArea dataOnly="0" labelOnly="1" fieldPosition="0">
        <references count="1">
          <reference field="0" count="0"/>
        </references>
      </pivotArea>
    </format>
    <format dxfId="534">
      <pivotArea dataOnly="0" labelOnly="1" grandCol="1" outline="0" fieldPosition="0"/>
    </format>
    <format dxfId="533">
      <pivotArea dataOnly="0" labelOnly="1" fieldPosition="0">
        <references count="1">
          <reference field="3"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32">
      <pivotArea dataOnly="0" labelOnly="1" fieldPosition="0">
        <references count="1">
          <reference field="3" count="8">
            <x v="50"/>
            <x v="51"/>
            <x v="52"/>
            <x v="53"/>
            <x v="54"/>
            <x v="55"/>
            <x v="56"/>
            <x v="57"/>
          </reference>
        </references>
      </pivotArea>
    </format>
    <format dxfId="531">
      <pivotArea dataOnly="0" labelOnly="1" fieldPosition="0">
        <references count="1">
          <reference field="0" count="0"/>
        </references>
      </pivotArea>
    </format>
    <format dxfId="530">
      <pivotArea type="origin" dataOnly="0" labelOnly="1" outline="0" fieldPosition="0"/>
    </format>
    <format dxfId="529">
      <pivotArea field="0" type="button" dataOnly="0" labelOnly="1" outline="0" axis="axisCol" fieldPosition="0"/>
    </format>
    <format dxfId="528">
      <pivotArea field="3" type="button" dataOnly="0" labelOnly="1" outline="0" axis="axisRow" fieldPosition="0"/>
    </format>
    <format dxfId="527">
      <pivotArea dataOnly="0" labelOnly="1" fieldPosition="0">
        <references count="1">
          <reference field="0" count="0"/>
        </references>
      </pivotArea>
    </format>
    <format dxfId="526">
      <pivotArea type="all" dataOnly="0" outline="0" fieldPosition="0"/>
    </format>
    <format dxfId="525">
      <pivotArea outline="0" collapsedLevelsAreSubtotals="1" fieldPosition="0"/>
    </format>
    <format dxfId="524">
      <pivotArea type="origin" dataOnly="0" labelOnly="1" outline="0" fieldPosition="0"/>
    </format>
    <format dxfId="523">
      <pivotArea field="0" type="button" dataOnly="0" labelOnly="1" outline="0" axis="axisCol" fieldPosition="0"/>
    </format>
    <format dxfId="522">
      <pivotArea field="3" type="button" dataOnly="0" labelOnly="1" outline="0" axis="axisRow" fieldPosition="0"/>
    </format>
    <format dxfId="521">
      <pivotArea dataOnly="0" labelOnly="1" fieldPosition="0">
        <references count="1">
          <reference field="3"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20">
      <pivotArea dataOnly="0" labelOnly="1" fieldPosition="0">
        <references count="1">
          <reference field="3" count="7">
            <x v="50"/>
            <x v="51"/>
            <x v="52"/>
            <x v="53"/>
            <x v="54"/>
            <x v="55"/>
            <x v="56"/>
          </reference>
        </references>
      </pivotArea>
    </format>
    <format dxfId="519">
      <pivotArea dataOnly="0" labelOnly="1" fieldPosition="0">
        <references count="1">
          <reference field="0" count="0"/>
        </references>
      </pivotArea>
    </format>
  </formats>
  <chartFormats count="30">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 chart="0" format="4" series="1">
      <pivotArea type="data" outline="0" fieldPosition="0">
        <references count="2">
          <reference field="4294967294" count="1" selected="0">
            <x v="0"/>
          </reference>
          <reference field="0" count="1" selected="0">
            <x v="4"/>
          </reference>
        </references>
      </pivotArea>
    </chartFormat>
    <chartFormat chart="0" format="5" series="1">
      <pivotArea type="data" outline="0" fieldPosition="0">
        <references count="2">
          <reference field="4294967294" count="1" selected="0">
            <x v="0"/>
          </reference>
          <reference field="0" count="1" selected="0">
            <x v="5"/>
          </reference>
        </references>
      </pivotArea>
    </chartFormat>
    <chartFormat chart="0" format="6" series="1">
      <pivotArea type="data" outline="0" fieldPosition="0">
        <references count="2">
          <reference field="4294967294" count="1" selected="0">
            <x v="0"/>
          </reference>
          <reference field="0" count="1" selected="0">
            <x v="6"/>
          </reference>
        </references>
      </pivotArea>
    </chartFormat>
    <chartFormat chart="0" format="7" series="1">
      <pivotArea type="data" outline="0" fieldPosition="0">
        <references count="2">
          <reference field="4294967294" count="1" selected="0">
            <x v="0"/>
          </reference>
          <reference field="0" count="1" selected="0">
            <x v="7"/>
          </reference>
        </references>
      </pivotArea>
    </chartFormat>
    <chartFormat chart="0" format="8" series="1">
      <pivotArea type="data" outline="0" fieldPosition="0">
        <references count="2">
          <reference field="4294967294" count="1" selected="0">
            <x v="0"/>
          </reference>
          <reference field="0" count="1" selected="0">
            <x v="8"/>
          </reference>
        </references>
      </pivotArea>
    </chartFormat>
    <chartFormat chart="0" format="9" series="1">
      <pivotArea type="data" outline="0" fieldPosition="0">
        <references count="2">
          <reference field="4294967294" count="1" selected="0">
            <x v="0"/>
          </reference>
          <reference field="0" count="1" selected="0">
            <x v="9"/>
          </reference>
        </references>
      </pivotArea>
    </chartFormat>
    <chartFormat chart="0" format="10" series="1">
      <pivotArea type="data" outline="0" fieldPosition="0">
        <references count="2">
          <reference field="4294967294" count="1" selected="0">
            <x v="0"/>
          </reference>
          <reference field="0" count="1" selected="0">
            <x v="10"/>
          </reference>
        </references>
      </pivotArea>
    </chartFormat>
    <chartFormat chart="0" format="11" series="1">
      <pivotArea type="data" outline="0" fieldPosition="0">
        <references count="2">
          <reference field="4294967294" count="1" selected="0">
            <x v="0"/>
          </reference>
          <reference field="0" count="1" selected="0">
            <x v="11"/>
          </reference>
        </references>
      </pivotArea>
    </chartFormat>
    <chartFormat chart="0" format="12" series="1">
      <pivotArea type="data" outline="0" fieldPosition="0">
        <references count="2">
          <reference field="4294967294" count="1" selected="0">
            <x v="0"/>
          </reference>
          <reference field="0" count="1" selected="0">
            <x v="12"/>
          </reference>
        </references>
      </pivotArea>
    </chartFormat>
    <chartFormat chart="0" format="13" series="1">
      <pivotArea type="data" outline="0" fieldPosition="0">
        <references count="2">
          <reference field="4294967294" count="1" selected="0">
            <x v="0"/>
          </reference>
          <reference field="0" count="1" selected="0">
            <x v="13"/>
          </reference>
        </references>
      </pivotArea>
    </chartFormat>
    <chartFormat chart="0" format="14" series="1">
      <pivotArea type="data" outline="0" fieldPosition="0">
        <references count="2">
          <reference field="4294967294" count="1" selected="0">
            <x v="0"/>
          </reference>
          <reference field="0" count="1" selected="0">
            <x v="14"/>
          </reference>
        </references>
      </pivotArea>
    </chartFormat>
    <chartFormat chart="0" format="15" series="1">
      <pivotArea type="data" outline="0" fieldPosition="0">
        <references count="2">
          <reference field="4294967294" count="1" selected="0">
            <x v="0"/>
          </reference>
          <reference field="0" count="1" selected="0">
            <x v="15"/>
          </reference>
        </references>
      </pivotArea>
    </chartFormat>
    <chartFormat chart="0" format="16" series="1">
      <pivotArea type="data" outline="0" fieldPosition="0">
        <references count="2">
          <reference field="4294967294" count="1" selected="0">
            <x v="0"/>
          </reference>
          <reference field="0" count="1" selected="0">
            <x v="16"/>
          </reference>
        </references>
      </pivotArea>
    </chartFormat>
    <chartFormat chart="0" format="17" series="1">
      <pivotArea type="data" outline="0" fieldPosition="0">
        <references count="2">
          <reference field="4294967294" count="1" selected="0">
            <x v="0"/>
          </reference>
          <reference field="0" count="1" selected="0">
            <x v="17"/>
          </reference>
        </references>
      </pivotArea>
    </chartFormat>
    <chartFormat chart="0" format="18" series="1">
      <pivotArea type="data" outline="0" fieldPosition="0">
        <references count="2">
          <reference field="4294967294" count="1" selected="0">
            <x v="0"/>
          </reference>
          <reference field="0" count="1" selected="0">
            <x v="18"/>
          </reference>
        </references>
      </pivotArea>
    </chartFormat>
    <chartFormat chart="0" format="19" series="1">
      <pivotArea type="data" outline="0" fieldPosition="0">
        <references count="2">
          <reference field="4294967294" count="1" selected="0">
            <x v="0"/>
          </reference>
          <reference field="0" count="1" selected="0">
            <x v="19"/>
          </reference>
        </references>
      </pivotArea>
    </chartFormat>
    <chartFormat chart="0" format="20" series="1">
      <pivotArea type="data" outline="0" fieldPosition="0">
        <references count="2">
          <reference field="4294967294" count="1" selected="0">
            <x v="0"/>
          </reference>
          <reference field="0" count="1" selected="0">
            <x v="20"/>
          </reference>
        </references>
      </pivotArea>
    </chartFormat>
    <chartFormat chart="0" format="21" series="1">
      <pivotArea type="data" outline="0" fieldPosition="0">
        <references count="2">
          <reference field="4294967294" count="1" selected="0">
            <x v="0"/>
          </reference>
          <reference field="0" count="1" selected="0">
            <x v="21"/>
          </reference>
        </references>
      </pivotArea>
    </chartFormat>
    <chartFormat chart="0" format="22" series="1">
      <pivotArea type="data" outline="0" fieldPosition="0">
        <references count="2">
          <reference field="4294967294" count="1" selected="0">
            <x v="0"/>
          </reference>
          <reference field="0" count="1" selected="0">
            <x v="22"/>
          </reference>
        </references>
      </pivotArea>
    </chartFormat>
    <chartFormat chart="0" format="23" series="1">
      <pivotArea type="data" outline="0" fieldPosition="0">
        <references count="2">
          <reference field="4294967294" count="1" selected="0">
            <x v="0"/>
          </reference>
          <reference field="0" count="1" selected="0">
            <x v="23"/>
          </reference>
        </references>
      </pivotArea>
    </chartFormat>
    <chartFormat chart="0" format="24" series="1">
      <pivotArea type="data" outline="0" fieldPosition="0">
        <references count="2">
          <reference field="4294967294" count="1" selected="0">
            <x v="0"/>
          </reference>
          <reference field="0" count="1" selected="0">
            <x v="24"/>
          </reference>
        </references>
      </pivotArea>
    </chartFormat>
    <chartFormat chart="0" format="25" series="1">
      <pivotArea type="data" outline="0" fieldPosition="0">
        <references count="2">
          <reference field="4294967294" count="1" selected="0">
            <x v="0"/>
          </reference>
          <reference field="0" count="1" selected="0">
            <x v="25"/>
          </reference>
        </references>
      </pivotArea>
    </chartFormat>
    <chartFormat chart="0" format="26" series="1">
      <pivotArea type="data" outline="0" fieldPosition="0">
        <references count="2">
          <reference field="4294967294" count="1" selected="0">
            <x v="0"/>
          </reference>
          <reference field="0" count="1" selected="0">
            <x v="26"/>
          </reference>
        </references>
      </pivotArea>
    </chartFormat>
    <chartFormat chart="0" format="27" series="1">
      <pivotArea type="data" outline="0" fieldPosition="0">
        <references count="2">
          <reference field="4294967294" count="1" selected="0">
            <x v="0"/>
          </reference>
          <reference field="0" count="1" selected="0">
            <x v="27"/>
          </reference>
        </references>
      </pivotArea>
    </chartFormat>
    <chartFormat chart="0" format="28" series="1">
      <pivotArea type="data" outline="0" fieldPosition="0">
        <references count="1">
          <reference field="4294967294" count="1" selected="0">
            <x v="0"/>
          </reference>
        </references>
      </pivotArea>
    </chartFormat>
    <chartFormat chart="1" format="29" series="1">
      <pivotArea type="data" outline="0" fieldPosition="0">
        <references count="1">
          <reference field="4294967294" count="1" selected="0">
            <x v="0"/>
          </reference>
        </references>
      </pivotArea>
    </chartFormat>
  </chartFormats>
  <pivotTableStyleInfo name="PivotStyleLight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4" cacheId="1" applyNumberFormats="0" applyBorderFormats="0" applyFontFormats="0" applyPatternFormats="0" applyAlignmentFormats="0" applyWidthHeightFormats="1" dataCaption="值" updatedVersion="6" minRefreshableVersion="3" useAutoFormatting="1" rowGrandTotals="0" colGrandTotals="0" itemPrintTitles="1" createdVersion="6" indent="0" outline="1" outlineData="1" multipleFieldFilters="0" chartFormat="2" rowHeaderCaption="Year" colHeaderCaption="Country name">
  <location ref="J5:K64" firstHeaderRow="1" firstDataRow="2" firstDataCol="1"/>
  <pivotFields count="4">
    <pivotField axis="axisCol" showAll="0">
      <items count="29">
        <item h="1" x="0"/>
        <item h="1" x="1"/>
        <item h="1" x="2"/>
        <item h="1" x="3"/>
        <item h="1" x="4"/>
        <item h="1" x="5"/>
        <item h="1" x="6"/>
        <item h="1" x="7"/>
        <item h="1" x="8"/>
        <item h="1" x="9"/>
        <item h="1" x="10"/>
        <item h="1" x="11"/>
        <item h="1" x="12"/>
        <item h="1" x="13"/>
        <item h="1" x="14"/>
        <item x="15"/>
        <item h="1" x="16"/>
        <item h="1" x="17"/>
        <item h="1" x="18"/>
        <item h="1" x="19"/>
        <item h="1" x="20"/>
        <item h="1" x="21"/>
        <item h="1" x="22"/>
        <item h="1" x="23"/>
        <item h="1" x="24"/>
        <item h="1" x="25"/>
        <item h="1" x="26"/>
        <item h="1" x="27"/>
        <item t="default"/>
      </items>
    </pivotField>
    <pivotField showAll="0"/>
    <pivotField dataField="1" showAll="0"/>
    <pivotField axis="axisRow" showAll="0">
      <items count="5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t="default"/>
      </items>
    </pivotField>
  </pivotFields>
  <rowFields count="1">
    <field x="3"/>
  </rowFields>
  <rowItems count="5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rowItems>
  <colFields count="1">
    <field x="0"/>
  </colFields>
  <colItems count="1">
    <i>
      <x v="15"/>
    </i>
  </colItems>
  <dataFields count="1">
    <dataField name="Somme:Data" fld="2" baseField="0" baseItem="0"/>
  </dataFields>
  <formats count="17">
    <format dxfId="518">
      <pivotArea type="topRight" dataOnly="0" labelOnly="1" outline="0" fieldPosition="0"/>
    </format>
    <format dxfId="517">
      <pivotArea dataOnly="0" labelOnly="1" fieldPosition="0">
        <references count="1">
          <reference field="0" count="0"/>
        </references>
      </pivotArea>
    </format>
    <format dxfId="516">
      <pivotArea dataOnly="0" labelOnly="1" grandCol="1" outline="0" fieldPosition="0"/>
    </format>
    <format dxfId="515">
      <pivotArea dataOnly="0" labelOnly="1" fieldPosition="0">
        <references count="1">
          <reference field="3" count="0"/>
        </references>
      </pivotArea>
    </format>
    <format dxfId="514">
      <pivotArea dataOnly="0" labelOnly="1" fieldPosition="0">
        <references count="1">
          <reference field="0" count="0"/>
        </references>
      </pivotArea>
    </format>
    <format dxfId="513">
      <pivotArea type="origin" dataOnly="0" labelOnly="1" outline="0" fieldPosition="0"/>
    </format>
    <format dxfId="512">
      <pivotArea field="0" type="button" dataOnly="0" labelOnly="1" outline="0" axis="axisCol" fieldPosition="0"/>
    </format>
    <format dxfId="511">
      <pivotArea field="3" type="button" dataOnly="0" labelOnly="1" outline="0" axis="axisRow" fieldPosition="0"/>
    </format>
    <format dxfId="510">
      <pivotArea dataOnly="0" labelOnly="1" fieldPosition="0">
        <references count="1">
          <reference field="0" count="0"/>
        </references>
      </pivotArea>
    </format>
    <format dxfId="509">
      <pivotArea type="all" dataOnly="0" outline="0" fieldPosition="0"/>
    </format>
    <format dxfId="508">
      <pivotArea outline="0" collapsedLevelsAreSubtotals="1" fieldPosition="0"/>
    </format>
    <format dxfId="507">
      <pivotArea type="origin" dataOnly="0" labelOnly="1" outline="0" fieldPosition="0"/>
    </format>
    <format dxfId="506">
      <pivotArea field="0" type="button" dataOnly="0" labelOnly="1" outline="0" axis="axisCol" fieldPosition="0"/>
    </format>
    <format dxfId="505">
      <pivotArea field="3" type="button" dataOnly="0" labelOnly="1" outline="0" axis="axisRow" fieldPosition="0"/>
    </format>
    <format dxfId="504">
      <pivotArea dataOnly="0" labelOnly="1" fieldPosition="0">
        <references count="1">
          <reference field="3"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03">
      <pivotArea dataOnly="0" labelOnly="1" fieldPosition="0">
        <references count="1">
          <reference field="3" count="8">
            <x v="50"/>
            <x v="51"/>
            <x v="52"/>
            <x v="53"/>
            <x v="54"/>
            <x v="55"/>
            <x v="56"/>
            <x v="57"/>
          </reference>
        </references>
      </pivotArea>
    </format>
    <format dxfId="502">
      <pivotArea dataOnly="0" labelOnly="1" fieldPosition="0">
        <references count="1">
          <reference field="0" count="0"/>
        </references>
      </pivotArea>
    </format>
  </formats>
  <chartFormats count="30">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 chart="0" format="4" series="1">
      <pivotArea type="data" outline="0" fieldPosition="0">
        <references count="2">
          <reference field="4294967294" count="1" selected="0">
            <x v="0"/>
          </reference>
          <reference field="0" count="1" selected="0">
            <x v="4"/>
          </reference>
        </references>
      </pivotArea>
    </chartFormat>
    <chartFormat chart="0" format="5" series="1">
      <pivotArea type="data" outline="0" fieldPosition="0">
        <references count="2">
          <reference field="4294967294" count="1" selected="0">
            <x v="0"/>
          </reference>
          <reference field="0" count="1" selected="0">
            <x v="5"/>
          </reference>
        </references>
      </pivotArea>
    </chartFormat>
    <chartFormat chart="0" format="6" series="1">
      <pivotArea type="data" outline="0" fieldPosition="0">
        <references count="2">
          <reference field="4294967294" count="1" selected="0">
            <x v="0"/>
          </reference>
          <reference field="0" count="1" selected="0">
            <x v="6"/>
          </reference>
        </references>
      </pivotArea>
    </chartFormat>
    <chartFormat chart="0" format="7" series="1">
      <pivotArea type="data" outline="0" fieldPosition="0">
        <references count="2">
          <reference field="4294967294" count="1" selected="0">
            <x v="0"/>
          </reference>
          <reference field="0" count="1" selected="0">
            <x v="7"/>
          </reference>
        </references>
      </pivotArea>
    </chartFormat>
    <chartFormat chart="0" format="8" series="1">
      <pivotArea type="data" outline="0" fieldPosition="0">
        <references count="2">
          <reference field="4294967294" count="1" selected="0">
            <x v="0"/>
          </reference>
          <reference field="0" count="1" selected="0">
            <x v="8"/>
          </reference>
        </references>
      </pivotArea>
    </chartFormat>
    <chartFormat chart="0" format="9" series="1">
      <pivotArea type="data" outline="0" fieldPosition="0">
        <references count="2">
          <reference field="4294967294" count="1" selected="0">
            <x v="0"/>
          </reference>
          <reference field="0" count="1" selected="0">
            <x v="9"/>
          </reference>
        </references>
      </pivotArea>
    </chartFormat>
    <chartFormat chart="0" format="10" series="1">
      <pivotArea type="data" outline="0" fieldPosition="0">
        <references count="2">
          <reference field="4294967294" count="1" selected="0">
            <x v="0"/>
          </reference>
          <reference field="0" count="1" selected="0">
            <x v="10"/>
          </reference>
        </references>
      </pivotArea>
    </chartFormat>
    <chartFormat chart="0" format="11" series="1">
      <pivotArea type="data" outline="0" fieldPosition="0">
        <references count="2">
          <reference field="4294967294" count="1" selected="0">
            <x v="0"/>
          </reference>
          <reference field="0" count="1" selected="0">
            <x v="11"/>
          </reference>
        </references>
      </pivotArea>
    </chartFormat>
    <chartFormat chart="0" format="12" series="1">
      <pivotArea type="data" outline="0" fieldPosition="0">
        <references count="2">
          <reference field="4294967294" count="1" selected="0">
            <x v="0"/>
          </reference>
          <reference field="0" count="1" selected="0">
            <x v="12"/>
          </reference>
        </references>
      </pivotArea>
    </chartFormat>
    <chartFormat chart="0" format="13" series="1">
      <pivotArea type="data" outline="0" fieldPosition="0">
        <references count="2">
          <reference field="4294967294" count="1" selected="0">
            <x v="0"/>
          </reference>
          <reference field="0" count="1" selected="0">
            <x v="13"/>
          </reference>
        </references>
      </pivotArea>
    </chartFormat>
    <chartFormat chart="0" format="14" series="1">
      <pivotArea type="data" outline="0" fieldPosition="0">
        <references count="2">
          <reference field="4294967294" count="1" selected="0">
            <x v="0"/>
          </reference>
          <reference field="0" count="1" selected="0">
            <x v="14"/>
          </reference>
        </references>
      </pivotArea>
    </chartFormat>
    <chartFormat chart="0" format="15" series="1">
      <pivotArea type="data" outline="0" fieldPosition="0">
        <references count="2">
          <reference field="4294967294" count="1" selected="0">
            <x v="0"/>
          </reference>
          <reference field="0" count="1" selected="0">
            <x v="15"/>
          </reference>
        </references>
      </pivotArea>
    </chartFormat>
    <chartFormat chart="0" format="16" series="1">
      <pivotArea type="data" outline="0" fieldPosition="0">
        <references count="2">
          <reference field="4294967294" count="1" selected="0">
            <x v="0"/>
          </reference>
          <reference field="0" count="1" selected="0">
            <x v="16"/>
          </reference>
        </references>
      </pivotArea>
    </chartFormat>
    <chartFormat chart="0" format="17" series="1">
      <pivotArea type="data" outline="0" fieldPosition="0">
        <references count="2">
          <reference field="4294967294" count="1" selected="0">
            <x v="0"/>
          </reference>
          <reference field="0" count="1" selected="0">
            <x v="17"/>
          </reference>
        </references>
      </pivotArea>
    </chartFormat>
    <chartFormat chart="0" format="18" series="1">
      <pivotArea type="data" outline="0" fieldPosition="0">
        <references count="2">
          <reference field="4294967294" count="1" selected="0">
            <x v="0"/>
          </reference>
          <reference field="0" count="1" selected="0">
            <x v="18"/>
          </reference>
        </references>
      </pivotArea>
    </chartFormat>
    <chartFormat chart="0" format="19" series="1">
      <pivotArea type="data" outline="0" fieldPosition="0">
        <references count="2">
          <reference field="4294967294" count="1" selected="0">
            <x v="0"/>
          </reference>
          <reference field="0" count="1" selected="0">
            <x v="19"/>
          </reference>
        </references>
      </pivotArea>
    </chartFormat>
    <chartFormat chart="0" format="20" series="1">
      <pivotArea type="data" outline="0" fieldPosition="0">
        <references count="2">
          <reference field="4294967294" count="1" selected="0">
            <x v="0"/>
          </reference>
          <reference field="0" count="1" selected="0">
            <x v="20"/>
          </reference>
        </references>
      </pivotArea>
    </chartFormat>
    <chartFormat chart="0" format="21" series="1">
      <pivotArea type="data" outline="0" fieldPosition="0">
        <references count="2">
          <reference field="4294967294" count="1" selected="0">
            <x v="0"/>
          </reference>
          <reference field="0" count="1" selected="0">
            <x v="21"/>
          </reference>
        </references>
      </pivotArea>
    </chartFormat>
    <chartFormat chart="0" format="22" series="1">
      <pivotArea type="data" outline="0" fieldPosition="0">
        <references count="2">
          <reference field="4294967294" count="1" selected="0">
            <x v="0"/>
          </reference>
          <reference field="0" count="1" selected="0">
            <x v="22"/>
          </reference>
        </references>
      </pivotArea>
    </chartFormat>
    <chartFormat chart="0" format="23" series="1">
      <pivotArea type="data" outline="0" fieldPosition="0">
        <references count="2">
          <reference field="4294967294" count="1" selected="0">
            <x v="0"/>
          </reference>
          <reference field="0" count="1" selected="0">
            <x v="23"/>
          </reference>
        </references>
      </pivotArea>
    </chartFormat>
    <chartFormat chart="0" format="24" series="1">
      <pivotArea type="data" outline="0" fieldPosition="0">
        <references count="2">
          <reference field="4294967294" count="1" selected="0">
            <x v="0"/>
          </reference>
          <reference field="0" count="1" selected="0">
            <x v="24"/>
          </reference>
        </references>
      </pivotArea>
    </chartFormat>
    <chartFormat chart="0" format="25" series="1">
      <pivotArea type="data" outline="0" fieldPosition="0">
        <references count="2">
          <reference field="4294967294" count="1" selected="0">
            <x v="0"/>
          </reference>
          <reference field="0" count="1" selected="0">
            <x v="25"/>
          </reference>
        </references>
      </pivotArea>
    </chartFormat>
    <chartFormat chart="0" format="26" series="1">
      <pivotArea type="data" outline="0" fieldPosition="0">
        <references count="2">
          <reference field="4294967294" count="1" selected="0">
            <x v="0"/>
          </reference>
          <reference field="0" count="1" selected="0">
            <x v="26"/>
          </reference>
        </references>
      </pivotArea>
    </chartFormat>
    <chartFormat chart="0" format="27" series="1">
      <pivotArea type="data" outline="0" fieldPosition="0">
        <references count="2">
          <reference field="4294967294" count="1" selected="0">
            <x v="0"/>
          </reference>
          <reference field="0" count="1" selected="0">
            <x v="27"/>
          </reference>
        </references>
      </pivotArea>
    </chartFormat>
    <chartFormat chart="0" format="28" series="1">
      <pivotArea type="data" outline="0" fieldPosition="0">
        <references count="1">
          <reference field="4294967294" count="1" selected="0">
            <x v="0"/>
          </reference>
        </references>
      </pivotArea>
    </chartFormat>
    <chartFormat chart="1" format="29" series="1">
      <pivotArea type="data" outline="0" fieldPosition="0">
        <references count="1">
          <reference field="4294967294" count="1" selected="0">
            <x v="0"/>
          </reference>
        </references>
      </pivotArea>
    </chartFormat>
  </chartFormats>
  <pivotTableStyleInfo name="PivotStyleLight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数据透视表1" cacheId="2" applyNumberFormats="0" applyBorderFormats="0" applyFontFormats="0" applyPatternFormats="0" applyAlignmentFormats="0" applyWidthHeightFormats="1" dataCaption="值" updatedVersion="6" minRefreshableVersion="3" useAutoFormatting="1" rowGrandTotals="0" colGrandTotals="0" itemPrintTitles="1" createdVersion="6" indent="0" outline="1" outlineData="1" multipleFieldFilters="0" chartFormat="2" rowHeaderCaption="Year" colHeaderCaption="Country name">
  <location ref="J5:K64" firstHeaderRow="1" firstDataRow="2" firstDataCol="1"/>
  <pivotFields count="4">
    <pivotField axis="axisCol" showAll="0">
      <items count="29">
        <item h="1" x="0"/>
        <item h="1" x="1"/>
        <item h="1" x="2"/>
        <item h="1" x="3"/>
        <item h="1" x="4"/>
        <item h="1" x="5"/>
        <item h="1" x="6"/>
        <item h="1" x="7"/>
        <item h="1" x="8"/>
        <item h="1" x="9"/>
        <item h="1" x="10"/>
        <item h="1" x="11"/>
        <item h="1" x="12"/>
        <item h="1" x="13"/>
        <item h="1" x="14"/>
        <item x="15"/>
        <item h="1" x="16"/>
        <item h="1" x="17"/>
        <item h="1" x="18"/>
        <item h="1" x="19"/>
        <item h="1" x="20"/>
        <item h="1" x="21"/>
        <item h="1" x="22"/>
        <item h="1" x="23"/>
        <item h="1" x="24"/>
        <item h="1" x="25"/>
        <item h="1" x="26"/>
        <item h="1" x="27"/>
        <item t="default"/>
      </items>
    </pivotField>
    <pivotField showAll="0"/>
    <pivotField dataField="1" showAll="0"/>
    <pivotField axis="axisRow" showAll="0">
      <items count="5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t="default"/>
      </items>
    </pivotField>
  </pivotFields>
  <rowFields count="1">
    <field x="3"/>
  </rowFields>
  <rowItems count="5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rowItems>
  <colFields count="1">
    <field x="0"/>
  </colFields>
  <colItems count="1">
    <i>
      <x v="15"/>
    </i>
  </colItems>
  <dataFields count="1">
    <dataField name="Somme:Data" fld="2" baseField="0" baseItem="0"/>
  </dataFields>
  <formats count="22">
    <format dxfId="501">
      <pivotArea type="topRight" dataOnly="0" labelOnly="1" outline="0" fieldPosition="0"/>
    </format>
    <format dxfId="500">
      <pivotArea dataOnly="0" labelOnly="1" fieldPosition="0">
        <references count="1">
          <reference field="0" count="0"/>
        </references>
      </pivotArea>
    </format>
    <format dxfId="499">
      <pivotArea dataOnly="0" labelOnly="1" grandCol="1" outline="0" fieldPosition="0"/>
    </format>
    <format dxfId="498">
      <pivotArea type="topRight" dataOnly="0" labelOnly="1" outline="0" fieldPosition="0"/>
    </format>
    <format dxfId="497">
      <pivotArea dataOnly="0" labelOnly="1" fieldPosition="0">
        <references count="1">
          <reference field="0" count="0"/>
        </references>
      </pivotArea>
    </format>
    <format dxfId="496">
      <pivotArea dataOnly="0" labelOnly="1" grandCol="1" outline="0" fieldPosition="0"/>
    </format>
    <format dxfId="495">
      <pivotArea dataOnly="0" labelOnly="1" fieldPosition="0">
        <references count="1">
          <reference field="0" count="0"/>
        </references>
      </pivotArea>
    </format>
    <format dxfId="494">
      <pivotArea dataOnly="0" labelOnly="1" grandCol="1" outline="0" fieldPosition="0"/>
    </format>
    <format dxfId="493">
      <pivotArea dataOnly="0" labelOnly="1" fieldPosition="0">
        <references count="1">
          <reference field="3"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92">
      <pivotArea dataOnly="0" labelOnly="1" fieldPosition="0">
        <references count="1">
          <reference field="3" count="8">
            <x v="50"/>
            <x v="51"/>
            <x v="52"/>
            <x v="53"/>
            <x v="54"/>
            <x v="55"/>
            <x v="56"/>
            <x v="57"/>
          </reference>
        </references>
      </pivotArea>
    </format>
    <format dxfId="491">
      <pivotArea type="origin" dataOnly="0" labelOnly="1" outline="0" fieldPosition="0"/>
    </format>
    <format dxfId="490">
      <pivotArea field="0" type="button" dataOnly="0" labelOnly="1" outline="0" axis="axisCol" fieldPosition="0"/>
    </format>
    <format dxfId="489">
      <pivotArea field="3" type="button" dataOnly="0" labelOnly="1" outline="0" axis="axisRow" fieldPosition="0"/>
    </format>
    <format dxfId="488">
      <pivotArea dataOnly="0" labelOnly="1" fieldPosition="0">
        <references count="1">
          <reference field="0" count="0"/>
        </references>
      </pivotArea>
    </format>
    <format dxfId="487">
      <pivotArea type="all" dataOnly="0" outline="0" fieldPosition="0"/>
    </format>
    <format dxfId="486">
      <pivotArea outline="0" collapsedLevelsAreSubtotals="1" fieldPosition="0"/>
    </format>
    <format dxfId="485">
      <pivotArea type="origin" dataOnly="0" labelOnly="1" outline="0" fieldPosition="0"/>
    </format>
    <format dxfId="484">
      <pivotArea field="0" type="button" dataOnly="0" labelOnly="1" outline="0" axis="axisCol" fieldPosition="0"/>
    </format>
    <format dxfId="483">
      <pivotArea field="3" type="button" dataOnly="0" labelOnly="1" outline="0" axis="axisRow" fieldPosition="0"/>
    </format>
    <format dxfId="482">
      <pivotArea dataOnly="0" labelOnly="1" fieldPosition="0">
        <references count="1">
          <reference field="3"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81">
      <pivotArea dataOnly="0" labelOnly="1" fieldPosition="0">
        <references count="1">
          <reference field="3" count="8">
            <x v="50"/>
            <x v="51"/>
            <x v="52"/>
            <x v="53"/>
            <x v="54"/>
            <x v="55"/>
            <x v="56"/>
            <x v="57"/>
          </reference>
        </references>
      </pivotArea>
    </format>
    <format dxfId="480">
      <pivotArea dataOnly="0" labelOnly="1" fieldPosition="0">
        <references count="1">
          <reference field="0" count="0"/>
        </references>
      </pivotArea>
    </format>
  </formats>
  <chartFormats count="36">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 chart="0" format="4" series="1">
      <pivotArea type="data" outline="0" fieldPosition="0">
        <references count="2">
          <reference field="4294967294" count="1" selected="0">
            <x v="0"/>
          </reference>
          <reference field="0" count="1" selected="0">
            <x v="4"/>
          </reference>
        </references>
      </pivotArea>
    </chartFormat>
    <chartFormat chart="0" format="5" series="1">
      <pivotArea type="data" outline="0" fieldPosition="0">
        <references count="2">
          <reference field="4294967294" count="1" selected="0">
            <x v="0"/>
          </reference>
          <reference field="0" count="1" selected="0">
            <x v="5"/>
          </reference>
        </references>
      </pivotArea>
    </chartFormat>
    <chartFormat chart="0" format="6" series="1">
      <pivotArea type="data" outline="0" fieldPosition="0">
        <references count="2">
          <reference field="4294967294" count="1" selected="0">
            <x v="0"/>
          </reference>
          <reference field="0" count="1" selected="0">
            <x v="6"/>
          </reference>
        </references>
      </pivotArea>
    </chartFormat>
    <chartFormat chart="0" format="7" series="1">
      <pivotArea type="data" outline="0" fieldPosition="0">
        <references count="2">
          <reference field="4294967294" count="1" selected="0">
            <x v="0"/>
          </reference>
          <reference field="0" count="1" selected="0">
            <x v="7"/>
          </reference>
        </references>
      </pivotArea>
    </chartFormat>
    <chartFormat chart="0" format="8" series="1">
      <pivotArea type="data" outline="0" fieldPosition="0">
        <references count="2">
          <reference field="4294967294" count="1" selected="0">
            <x v="0"/>
          </reference>
          <reference field="0" count="1" selected="0">
            <x v="8"/>
          </reference>
        </references>
      </pivotArea>
    </chartFormat>
    <chartFormat chart="0" format="9" series="1">
      <pivotArea type="data" outline="0" fieldPosition="0">
        <references count="2">
          <reference field="4294967294" count="1" selected="0">
            <x v="0"/>
          </reference>
          <reference field="0" count="1" selected="0">
            <x v="9"/>
          </reference>
        </references>
      </pivotArea>
    </chartFormat>
    <chartFormat chart="0" format="10" series="1">
      <pivotArea type="data" outline="0" fieldPosition="0">
        <references count="2">
          <reference field="4294967294" count="1" selected="0">
            <x v="0"/>
          </reference>
          <reference field="0" count="1" selected="0">
            <x v="10"/>
          </reference>
        </references>
      </pivotArea>
    </chartFormat>
    <chartFormat chart="0" format="11" series="1">
      <pivotArea type="data" outline="0" fieldPosition="0">
        <references count="2">
          <reference field="4294967294" count="1" selected="0">
            <x v="0"/>
          </reference>
          <reference field="0" count="1" selected="0">
            <x v="11"/>
          </reference>
        </references>
      </pivotArea>
    </chartFormat>
    <chartFormat chart="0" format="12" series="1">
      <pivotArea type="data" outline="0" fieldPosition="0">
        <references count="2">
          <reference field="4294967294" count="1" selected="0">
            <x v="0"/>
          </reference>
          <reference field="0" count="1" selected="0">
            <x v="12"/>
          </reference>
        </references>
      </pivotArea>
    </chartFormat>
    <chartFormat chart="0" format="13" series="1">
      <pivotArea type="data" outline="0" fieldPosition="0">
        <references count="2">
          <reference field="4294967294" count="1" selected="0">
            <x v="0"/>
          </reference>
          <reference field="0" count="1" selected="0">
            <x v="13"/>
          </reference>
        </references>
      </pivotArea>
    </chartFormat>
    <chartFormat chart="0" format="14" series="1">
      <pivotArea type="data" outline="0" fieldPosition="0">
        <references count="2">
          <reference field="4294967294" count="1" selected="0">
            <x v="0"/>
          </reference>
          <reference field="0" count="1" selected="0">
            <x v="14"/>
          </reference>
        </references>
      </pivotArea>
    </chartFormat>
    <chartFormat chart="0" format="15" series="1">
      <pivotArea type="data" outline="0" fieldPosition="0">
        <references count="2">
          <reference field="4294967294" count="1" selected="0">
            <x v="0"/>
          </reference>
          <reference field="0" count="1" selected="0">
            <x v="15"/>
          </reference>
        </references>
      </pivotArea>
    </chartFormat>
    <chartFormat chart="0" format="16" series="1">
      <pivotArea type="data" outline="0" fieldPosition="0">
        <references count="2">
          <reference field="4294967294" count="1" selected="0">
            <x v="0"/>
          </reference>
          <reference field="0" count="1" selected="0">
            <x v="16"/>
          </reference>
        </references>
      </pivotArea>
    </chartFormat>
    <chartFormat chart="0" format="17" series="1">
      <pivotArea type="data" outline="0" fieldPosition="0">
        <references count="2">
          <reference field="4294967294" count="1" selected="0">
            <x v="0"/>
          </reference>
          <reference field="0" count="1" selected="0">
            <x v="17"/>
          </reference>
        </references>
      </pivotArea>
    </chartFormat>
    <chartFormat chart="0" format="18" series="1">
      <pivotArea type="data" outline="0" fieldPosition="0">
        <references count="2">
          <reference field="4294967294" count="1" selected="0">
            <x v="0"/>
          </reference>
          <reference field="0" count="1" selected="0">
            <x v="18"/>
          </reference>
        </references>
      </pivotArea>
    </chartFormat>
    <chartFormat chart="0" format="19" series="1">
      <pivotArea type="data" outline="0" fieldPosition="0">
        <references count="2">
          <reference field="4294967294" count="1" selected="0">
            <x v="0"/>
          </reference>
          <reference field="0" count="1" selected="0">
            <x v="19"/>
          </reference>
        </references>
      </pivotArea>
    </chartFormat>
    <chartFormat chart="0" format="20" series="1">
      <pivotArea type="data" outline="0" fieldPosition="0">
        <references count="2">
          <reference field="4294967294" count="1" selected="0">
            <x v="0"/>
          </reference>
          <reference field="0" count="1" selected="0">
            <x v="20"/>
          </reference>
        </references>
      </pivotArea>
    </chartFormat>
    <chartFormat chart="0" format="21" series="1">
      <pivotArea type="data" outline="0" fieldPosition="0">
        <references count="2">
          <reference field="4294967294" count="1" selected="0">
            <x v="0"/>
          </reference>
          <reference field="0" count="1" selected="0">
            <x v="21"/>
          </reference>
        </references>
      </pivotArea>
    </chartFormat>
    <chartFormat chart="0" format="22" series="1">
      <pivotArea type="data" outline="0" fieldPosition="0">
        <references count="2">
          <reference field="4294967294" count="1" selected="0">
            <x v="0"/>
          </reference>
          <reference field="0" count="1" selected="0">
            <x v="22"/>
          </reference>
        </references>
      </pivotArea>
    </chartFormat>
    <chartFormat chart="0" format="23" series="1">
      <pivotArea type="data" outline="0" fieldPosition="0">
        <references count="2">
          <reference field="4294967294" count="1" selected="0">
            <x v="0"/>
          </reference>
          <reference field="0" count="1" selected="0">
            <x v="23"/>
          </reference>
        </references>
      </pivotArea>
    </chartFormat>
    <chartFormat chart="0" format="24" series="1">
      <pivotArea type="data" outline="0" fieldPosition="0">
        <references count="2">
          <reference field="4294967294" count="1" selected="0">
            <x v="0"/>
          </reference>
          <reference field="0" count="1" selected="0">
            <x v="24"/>
          </reference>
        </references>
      </pivotArea>
    </chartFormat>
    <chartFormat chart="0" format="25" series="1">
      <pivotArea type="data" outline="0" fieldPosition="0">
        <references count="2">
          <reference field="4294967294" count="1" selected="0">
            <x v="0"/>
          </reference>
          <reference field="0" count="1" selected="0">
            <x v="25"/>
          </reference>
        </references>
      </pivotArea>
    </chartFormat>
    <chartFormat chart="0" format="26" series="1">
      <pivotArea type="data" outline="0" fieldPosition="0">
        <references count="2">
          <reference field="4294967294" count="1" selected="0">
            <x v="0"/>
          </reference>
          <reference field="0" count="1" selected="0">
            <x v="26"/>
          </reference>
        </references>
      </pivotArea>
    </chartFormat>
    <chartFormat chart="0" format="27" series="1">
      <pivotArea type="data" outline="0" fieldPosition="0">
        <references count="2">
          <reference field="4294967294" count="1" selected="0">
            <x v="0"/>
          </reference>
          <reference field="0" count="1" selected="0">
            <x v="27"/>
          </reference>
        </references>
      </pivotArea>
    </chartFormat>
    <chartFormat chart="0" format="28" series="1">
      <pivotArea type="data" outline="0" fieldPosition="0">
        <references count="1">
          <reference field="4294967294" count="1" selected="0">
            <x v="0"/>
          </reference>
        </references>
      </pivotArea>
    </chartFormat>
    <chartFormat chart="1" format="29" series="1">
      <pivotArea type="data" outline="0" fieldPosition="0">
        <references count="1">
          <reference field="4294967294" count="1" selected="0">
            <x v="0"/>
          </reference>
        </references>
      </pivotArea>
    </chartFormat>
    <chartFormat chart="1" format="30" series="1">
      <pivotArea type="data" outline="0" fieldPosition="0">
        <references count="2">
          <reference field="4294967294" count="1" selected="0">
            <x v="0"/>
          </reference>
          <reference field="0" count="1" selected="0">
            <x v="6"/>
          </reference>
        </references>
      </pivotArea>
    </chartFormat>
    <chartFormat chart="1" format="31" series="1">
      <pivotArea type="data" outline="0" fieldPosition="0">
        <references count="2">
          <reference field="4294967294" count="1" selected="0">
            <x v="0"/>
          </reference>
          <reference field="0" count="1" selected="0">
            <x v="9"/>
          </reference>
        </references>
      </pivotArea>
    </chartFormat>
    <chartFormat chart="1" format="32" series="1">
      <pivotArea type="data" outline="0" fieldPosition="0">
        <references count="2">
          <reference field="4294967294" count="1" selected="0">
            <x v="0"/>
          </reference>
          <reference field="0" count="1" selected="0">
            <x v="7"/>
          </reference>
        </references>
      </pivotArea>
    </chartFormat>
    <chartFormat chart="1" format="33" series="1">
      <pivotArea type="data" outline="0" fieldPosition="0">
        <references count="2">
          <reference field="4294967294" count="1" selected="0">
            <x v="0"/>
          </reference>
          <reference field="0" count="1" selected="0">
            <x v="8"/>
          </reference>
        </references>
      </pivotArea>
    </chartFormat>
    <chartFormat chart="1" format="34" series="1">
      <pivotArea type="data" outline="0" fieldPosition="0">
        <references count="2">
          <reference field="4294967294" count="1" selected="0">
            <x v="0"/>
          </reference>
          <reference field="0" count="1" selected="0">
            <x v="5"/>
          </reference>
        </references>
      </pivotArea>
    </chartFormat>
    <chartFormat chart="1" format="35" series="1">
      <pivotArea type="data" outline="0" fieldPosition="0">
        <references count="2">
          <reference field="4294967294" count="1" selected="0">
            <x v="0"/>
          </reference>
          <reference field="0" count="1" selected="0">
            <x v="4"/>
          </reference>
        </references>
      </pivotArea>
    </chartFormat>
  </chartFormats>
  <pivotTableStyleInfo name="PivotStyleLight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切片器_Country_name2" xr10:uid="{00000000-0013-0000-FFFF-FFFF01000000}" sourceName="Country name">
  <pivotTables>
    <pivotTable tabId="3" name="数据透视表3"/>
  </pivotTables>
  <data>
    <tabular pivotCacheId="736536824">
      <items count="28">
        <i x="0"/>
        <i x="1"/>
        <i x="2"/>
        <i x="3"/>
        <i x="4"/>
        <i x="5"/>
        <i x="6"/>
        <i x="7"/>
        <i x="8"/>
        <i x="9"/>
        <i x="10"/>
        <i x="11"/>
        <i x="12"/>
        <i x="13"/>
        <i x="14"/>
        <i x="15" s="1"/>
        <i x="16"/>
        <i x="17"/>
        <i x="18"/>
        <i x="19"/>
        <i x="20"/>
        <i x="21"/>
        <i x="22"/>
        <i x="23"/>
        <i x="24"/>
        <i x="25"/>
        <i x="26"/>
        <i x="2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切片器_Country_name3" xr10:uid="{00000000-0013-0000-FFFF-FFFF02000000}" sourceName="Country name">
  <pivotTables>
    <pivotTable tabId="4" name="数据透视表4"/>
  </pivotTables>
  <data>
    <tabular pivotCacheId="790309814">
      <items count="28">
        <i x="0"/>
        <i x="1"/>
        <i x="2"/>
        <i x="3"/>
        <i x="4"/>
        <i x="5"/>
        <i x="6"/>
        <i x="7"/>
        <i x="8"/>
        <i x="10"/>
        <i x="11"/>
        <i x="12"/>
        <i x="13"/>
        <i x="14"/>
        <i x="15" s="1"/>
        <i x="16"/>
        <i x="17"/>
        <i x="18"/>
        <i x="19"/>
        <i x="20"/>
        <i x="21"/>
        <i x="22"/>
        <i x="23"/>
        <i x="24"/>
        <i x="25"/>
        <i x="26"/>
        <i x="27"/>
        <i x="9"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切片器_Country_name4" xr10:uid="{00000000-0013-0000-FFFF-FFFF03000000}" sourceName="Country name">
  <pivotTables>
    <pivotTable tabId="5" name="数据透视表1"/>
  </pivotTables>
  <data>
    <tabular pivotCacheId="2023659588">
      <items count="28">
        <i x="0"/>
        <i x="1"/>
        <i x="2"/>
        <i x="3"/>
        <i x="4"/>
        <i x="5"/>
        <i x="6"/>
        <i x="7"/>
        <i x="8"/>
        <i x="9"/>
        <i x="10"/>
        <i x="11"/>
        <i x="12"/>
        <i x="13"/>
        <i x="14"/>
        <i x="15" s="1"/>
        <i x="16"/>
        <i x="17"/>
        <i x="18"/>
        <i x="19"/>
        <i x="20"/>
        <i x="21"/>
        <i x="22"/>
        <i x="23"/>
        <i x="24"/>
        <i x="25"/>
        <i x="26"/>
        <i x="2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name 3" xr10:uid="{00000000-0014-0000-FFFF-FFFF01000000}" cache="切片器_Country_name2" caption="Country name" style="SlicerStyleLight4" rowHeight="2095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name 4" xr10:uid="{00000000-0014-0000-FFFF-FFFF02000000}" cache="切片器_Country_name3" caption="Country name" style="SlicerStyleLight4" rowHeight="2095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name 5" xr10:uid="{00000000-0014-0000-FFFF-FFFF03000000}" cache="切片器_Country_name4" caption="Country name" style="SlicerStyleLight4" rowHeight="209550"/>
</slicer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2.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M47"/>
  <sheetViews>
    <sheetView showGridLines="0" tabSelected="1" topLeftCell="A3" workbookViewId="0">
      <selection activeCell="P32" sqref="P32"/>
    </sheetView>
  </sheetViews>
  <sheetFormatPr defaultColWidth="11" defaultRowHeight="20.100000000000001" customHeight="1" x14ac:dyDescent="0.25"/>
  <cols>
    <col min="1" max="1" width="11" style="1"/>
    <col min="2" max="2" width="14.59765625" style="1" customWidth="1"/>
    <col min="3" max="3" width="11" style="1"/>
    <col min="4" max="4" width="6.09765625" style="1" customWidth="1"/>
    <col min="5" max="5" width="11" style="1"/>
    <col min="6" max="7" width="10" style="1" customWidth="1"/>
    <col min="8" max="8" width="11" style="1"/>
    <col min="9" max="9" width="10" style="1" customWidth="1"/>
    <col min="10" max="11" width="11" style="1"/>
    <col min="12" max="12" width="11.5" style="1" customWidth="1"/>
    <col min="13" max="13" width="13" style="1" customWidth="1"/>
    <col min="14" max="16384" width="11" style="1"/>
  </cols>
  <sheetData>
    <row r="2" spans="2:13" ht="24.9" customHeight="1" x14ac:dyDescent="0.25">
      <c r="E2" s="26" t="s">
        <v>44</v>
      </c>
      <c r="F2" s="26"/>
      <c r="G2" s="26"/>
      <c r="H2" s="26"/>
      <c r="I2" s="26"/>
      <c r="J2" s="26"/>
      <c r="K2" s="26"/>
      <c r="L2" s="26"/>
      <c r="M2" s="26"/>
    </row>
    <row r="4" spans="2:13" ht="20.100000000000001" customHeight="1" x14ac:dyDescent="0.25">
      <c r="B4" s="2" t="s">
        <v>0</v>
      </c>
      <c r="C4" s="3" t="s">
        <v>48</v>
      </c>
    </row>
    <row r="30" spans="5:13" ht="20.100000000000001" customHeight="1" x14ac:dyDescent="0.25">
      <c r="E30" s="4" t="s">
        <v>2</v>
      </c>
      <c r="F30" s="4"/>
      <c r="G30" s="4"/>
      <c r="H30" s="4"/>
      <c r="I30" s="4"/>
      <c r="J30" s="4"/>
      <c r="K30" s="4"/>
      <c r="L30" s="4"/>
      <c r="M30" s="4"/>
    </row>
    <row r="31" spans="5:13" ht="20.100000000000001" customHeight="1" x14ac:dyDescent="0.25">
      <c r="E31" s="23"/>
      <c r="F31" s="24"/>
      <c r="G31" s="24"/>
      <c r="H31" s="24"/>
      <c r="I31" s="24"/>
      <c r="J31" s="24"/>
      <c r="K31" s="24"/>
      <c r="L31" s="24"/>
      <c r="M31" s="25"/>
    </row>
    <row r="32" spans="5:13" ht="20.100000000000001" customHeight="1" x14ac:dyDescent="0.25">
      <c r="E32" s="23"/>
      <c r="F32" s="24"/>
      <c r="G32" s="24"/>
      <c r="H32" s="24"/>
      <c r="I32" s="24"/>
      <c r="J32" s="24"/>
      <c r="K32" s="24"/>
      <c r="L32" s="24"/>
      <c r="M32" s="25"/>
    </row>
    <row r="33" spans="5:13" ht="20.100000000000001" customHeight="1" x14ac:dyDescent="0.25">
      <c r="E33" s="23"/>
      <c r="F33" s="24"/>
      <c r="G33" s="24"/>
      <c r="H33" s="24"/>
      <c r="I33" s="24"/>
      <c r="J33" s="24"/>
      <c r="K33" s="24"/>
      <c r="L33" s="24"/>
      <c r="M33" s="25"/>
    </row>
    <row r="34" spans="5:13" ht="20.100000000000001" customHeight="1" x14ac:dyDescent="0.25">
      <c r="E34" s="23"/>
      <c r="F34" s="24"/>
      <c r="G34" s="24"/>
      <c r="H34" s="24"/>
      <c r="I34" s="24"/>
      <c r="J34" s="24"/>
      <c r="K34" s="24"/>
      <c r="L34" s="24"/>
      <c r="M34" s="25"/>
    </row>
    <row r="35" spans="5:13" ht="20.100000000000001" customHeight="1" x14ac:dyDescent="0.25">
      <c r="E35" s="23"/>
      <c r="F35" s="24"/>
      <c r="G35" s="24"/>
      <c r="H35" s="24"/>
      <c r="I35" s="24"/>
      <c r="J35" s="24"/>
      <c r="K35" s="24"/>
      <c r="L35" s="24"/>
      <c r="M35" s="25"/>
    </row>
    <row r="36" spans="5:13" ht="20.100000000000001" customHeight="1" x14ac:dyDescent="0.25">
      <c r="E36" s="23"/>
      <c r="F36" s="24"/>
      <c r="G36" s="24"/>
      <c r="H36" s="24"/>
      <c r="I36" s="24"/>
      <c r="J36" s="24"/>
      <c r="K36" s="24"/>
      <c r="L36" s="24"/>
      <c r="M36" s="25"/>
    </row>
    <row r="37" spans="5:13" ht="20.100000000000001" customHeight="1" x14ac:dyDescent="0.25">
      <c r="E37" s="23"/>
      <c r="F37" s="24"/>
      <c r="G37" s="24"/>
      <c r="H37" s="24"/>
      <c r="I37" s="24"/>
      <c r="J37" s="24"/>
      <c r="K37" s="24"/>
      <c r="L37" s="24"/>
      <c r="M37" s="25"/>
    </row>
    <row r="38" spans="5:13" ht="20.100000000000001" customHeight="1" x14ac:dyDescent="0.25">
      <c r="E38" s="23"/>
      <c r="F38" s="24"/>
      <c r="G38" s="24"/>
      <c r="H38" s="24"/>
      <c r="I38" s="24"/>
      <c r="J38" s="24"/>
      <c r="K38" s="24"/>
      <c r="L38" s="24"/>
      <c r="M38" s="25"/>
    </row>
    <row r="39" spans="5:13" ht="20.100000000000001" customHeight="1" x14ac:dyDescent="0.25">
      <c r="E39" s="40"/>
      <c r="F39" s="41"/>
      <c r="G39" s="41"/>
      <c r="H39" s="41"/>
      <c r="I39" s="41"/>
      <c r="J39" s="41"/>
      <c r="K39" s="41"/>
      <c r="L39" s="41"/>
      <c r="M39" s="42"/>
    </row>
    <row r="40" spans="5:13" ht="20.100000000000001" customHeight="1" x14ac:dyDescent="0.25">
      <c r="E40" s="40"/>
      <c r="F40" s="41"/>
      <c r="G40" s="41"/>
      <c r="H40" s="41"/>
      <c r="I40" s="41"/>
      <c r="J40" s="41"/>
      <c r="K40" s="41"/>
      <c r="L40" s="41"/>
      <c r="M40" s="42"/>
    </row>
    <row r="41" spans="5:13" ht="20.100000000000001" customHeight="1" x14ac:dyDescent="0.25">
      <c r="E41" s="40"/>
      <c r="F41" s="41"/>
      <c r="G41" s="41"/>
      <c r="H41" s="41"/>
      <c r="I41" s="41"/>
      <c r="J41" s="41"/>
      <c r="K41" s="41"/>
      <c r="L41" s="41"/>
      <c r="M41" s="42"/>
    </row>
    <row r="42" spans="5:13" ht="20.100000000000001" customHeight="1" x14ac:dyDescent="0.25">
      <c r="E42" s="40"/>
      <c r="F42" s="41"/>
      <c r="G42" s="41"/>
      <c r="H42" s="41"/>
      <c r="I42" s="41"/>
      <c r="J42" s="41"/>
      <c r="K42" s="41"/>
      <c r="L42" s="41"/>
      <c r="M42" s="42"/>
    </row>
    <row r="43" spans="5:13" ht="20.100000000000001" customHeight="1" x14ac:dyDescent="0.25">
      <c r="E43" s="40"/>
      <c r="F43" s="41"/>
      <c r="G43" s="41"/>
      <c r="H43" s="41"/>
      <c r="I43" s="41"/>
      <c r="J43" s="41"/>
      <c r="K43" s="41"/>
      <c r="L43" s="41"/>
      <c r="M43" s="42"/>
    </row>
    <row r="44" spans="5:13" ht="20.100000000000001" customHeight="1" x14ac:dyDescent="0.25">
      <c r="E44" s="40"/>
      <c r="F44" s="41"/>
      <c r="G44" s="41"/>
      <c r="H44" s="41"/>
      <c r="I44" s="41"/>
      <c r="J44" s="41"/>
      <c r="K44" s="41"/>
      <c r="L44" s="41"/>
      <c r="M44" s="42"/>
    </row>
    <row r="45" spans="5:13" ht="20.100000000000001" customHeight="1" x14ac:dyDescent="0.25">
      <c r="E45" s="40"/>
      <c r="F45" s="41"/>
      <c r="G45" s="41"/>
      <c r="H45" s="41"/>
      <c r="I45" s="41"/>
      <c r="J45" s="41"/>
      <c r="K45" s="41"/>
      <c r="L45" s="41"/>
      <c r="M45" s="42"/>
    </row>
    <row r="46" spans="5:13" ht="20.100000000000001" customHeight="1" x14ac:dyDescent="0.25">
      <c r="E46" s="40"/>
      <c r="F46" s="41"/>
      <c r="G46" s="41"/>
      <c r="H46" s="41"/>
      <c r="I46" s="41"/>
      <c r="J46" s="41"/>
      <c r="K46" s="41"/>
      <c r="L46" s="41"/>
      <c r="M46" s="42"/>
    </row>
    <row r="47" spans="5:13" ht="20.100000000000001" customHeight="1" x14ac:dyDescent="0.25">
      <c r="E47" s="43"/>
      <c r="F47" s="44"/>
      <c r="G47" s="44"/>
      <c r="H47" s="44"/>
      <c r="I47" s="44"/>
      <c r="J47" s="44"/>
      <c r="K47" s="44"/>
      <c r="L47" s="44"/>
      <c r="M47" s="45"/>
    </row>
  </sheetData>
  <mergeCells count="1">
    <mergeCell ref="E2:M2"/>
  </mergeCells>
  <phoneticPr fontId="1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Indicateur4">
              <controlPr defaultSize="0" print="0" autoFill="0" autoPict="0" macro="[0]!SelectSheet">
                <anchor moveWithCells="1" sizeWithCells="1">
                  <from>
                    <xdr:col>0</xdr:col>
                    <xdr:colOff>822960</xdr:colOff>
                    <xdr:row>5</xdr:row>
                    <xdr:rowOff>7620</xdr:rowOff>
                  </from>
                  <to>
                    <xdr:col>2</xdr:col>
                    <xdr:colOff>60960</xdr:colOff>
                    <xdr:row>6</xdr:row>
                    <xdr:rowOff>121920</xdr:rowOff>
                  </to>
                </anchor>
              </controlPr>
            </control>
          </mc:Choice>
        </mc:AlternateContent>
        <mc:AlternateContent xmlns:mc="http://schemas.openxmlformats.org/markup-compatibility/2006">
          <mc:Choice Requires="x14">
            <control shapeId="1026" r:id="rId5" name="Indicateur5">
              <controlPr defaultSize="0" print="0" autoFill="0" autoPict="0" macro="[0]!SelectSheet">
                <anchor moveWithCells="1" sizeWithCells="1">
                  <from>
                    <xdr:col>0</xdr:col>
                    <xdr:colOff>822960</xdr:colOff>
                    <xdr:row>6</xdr:row>
                    <xdr:rowOff>190500</xdr:rowOff>
                  </from>
                  <to>
                    <xdr:col>2</xdr:col>
                    <xdr:colOff>60960</xdr:colOff>
                    <xdr:row>8</xdr:row>
                    <xdr:rowOff>60960</xdr:rowOff>
                  </to>
                </anchor>
              </controlPr>
            </control>
          </mc:Choice>
        </mc:AlternateContent>
        <mc:AlternateContent xmlns:mc="http://schemas.openxmlformats.org/markup-compatibility/2006">
          <mc:Choice Requires="x14">
            <control shapeId="1027" r:id="rId6" name="Indicateur6">
              <controlPr defaultSize="0" print="0" autoFill="0" autoPict="0" macro="[0]!SelectSheet">
                <anchor moveWithCells="1" sizeWithCells="1">
                  <from>
                    <xdr:col>0</xdr:col>
                    <xdr:colOff>822960</xdr:colOff>
                    <xdr:row>8</xdr:row>
                    <xdr:rowOff>137160</xdr:rowOff>
                  </from>
                  <to>
                    <xdr:col>2</xdr:col>
                    <xdr:colOff>60960</xdr:colOff>
                    <xdr:row>10</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prevision4!$A$2:$A$29</xm:f>
          </x14:formula1>
          <xm:sqref>C4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2:K1628"/>
  <sheetViews>
    <sheetView showGridLines="0" topLeftCell="H1" zoomScale="80" zoomScaleNormal="80" workbookViewId="0">
      <selection activeCell="F27" sqref="F27"/>
    </sheetView>
  </sheetViews>
  <sheetFormatPr defaultColWidth="14.69921875" defaultRowHeight="19.95" customHeight="1" x14ac:dyDescent="0.25"/>
  <cols>
    <col min="1" max="1" width="21.59765625" style="1" hidden="1" customWidth="1"/>
    <col min="2" max="2" width="31.69921875" style="1" hidden="1" customWidth="1"/>
    <col min="3" max="4" width="14.69921875" style="1" hidden="1" customWidth="1"/>
    <col min="5" max="5" width="10.59765625" style="1" customWidth="1"/>
    <col min="6" max="6" width="14.5" style="1" customWidth="1"/>
    <col min="7" max="7" width="26.8984375" style="1" customWidth="1"/>
    <col min="8" max="8" width="78.5" style="1" customWidth="1"/>
    <col min="9" max="9" width="5.19921875" style="1" customWidth="1"/>
    <col min="10" max="10" width="13" style="1" bestFit="1" customWidth="1"/>
    <col min="11" max="11" width="16.59765625" style="1" bestFit="1" customWidth="1"/>
    <col min="12" max="12" width="10.3984375" style="1" bestFit="1" customWidth="1"/>
    <col min="13" max="13" width="7.5" style="1" bestFit="1" customWidth="1"/>
    <col min="14" max="14" width="9.19921875" style="1" bestFit="1" customWidth="1"/>
    <col min="15" max="15" width="8.09765625" style="1" bestFit="1" customWidth="1"/>
    <col min="16" max="16" width="8.5" style="1" bestFit="1" customWidth="1"/>
    <col min="17" max="18" width="7.5" style="1" bestFit="1" customWidth="1"/>
    <col min="19" max="19" width="11" style="1" customWidth="1"/>
    <col min="20" max="20" width="12.59765625" style="1" bestFit="1" customWidth="1"/>
    <col min="21" max="21" width="7.5" style="1" bestFit="1" customWidth="1"/>
    <col min="22" max="22" width="12" style="1" bestFit="1" customWidth="1"/>
    <col min="23" max="24" width="7.5" style="1" bestFit="1" customWidth="1"/>
    <col min="25" max="25" width="9" style="1" bestFit="1" customWidth="1"/>
    <col min="26" max="26" width="12.8984375" style="1" bestFit="1" customWidth="1"/>
    <col min="27" max="27" width="9.69921875" style="1" bestFit="1" customWidth="1"/>
    <col min="28" max="28" width="7.5" style="1" bestFit="1" customWidth="1"/>
    <col min="29" max="29" width="10.09765625" style="1" bestFit="1" customWidth="1"/>
    <col min="30" max="30" width="7.5" style="1" bestFit="1" customWidth="1"/>
    <col min="31" max="31" width="8.19921875" style="1" bestFit="1" customWidth="1"/>
    <col min="32" max="32" width="22.3984375" style="1" bestFit="1" customWidth="1"/>
    <col min="33" max="33" width="9.09765625" style="1" bestFit="1" customWidth="1"/>
    <col min="34" max="34" width="9.3984375" style="1" bestFit="1" customWidth="1"/>
    <col min="35" max="35" width="9" style="1" bestFit="1" customWidth="1"/>
    <col min="36" max="36" width="8.09765625" style="1" bestFit="1" customWidth="1"/>
    <col min="37" max="37" width="7.8984375" style="1" bestFit="1" customWidth="1"/>
    <col min="38" max="38" width="10.3984375" style="1" bestFit="1" customWidth="1"/>
    <col min="39" max="39" width="12.59765625" style="1" bestFit="1" customWidth="1"/>
    <col min="40" max="16384" width="14.69921875" style="1"/>
  </cols>
  <sheetData>
    <row r="2" spans="1:11" ht="25.05" customHeight="1" x14ac:dyDescent="0.25">
      <c r="G2" s="26" t="s">
        <v>45</v>
      </c>
      <c r="H2" s="27"/>
      <c r="I2" s="27"/>
      <c r="J2" s="27"/>
      <c r="K2" s="27"/>
    </row>
    <row r="3" spans="1:11" ht="10.199999999999999" customHeight="1" x14ac:dyDescent="0.25"/>
    <row r="4" spans="1:11" ht="22.05" customHeight="1" thickBot="1" x14ac:dyDescent="0.3">
      <c r="A4" s="5" t="s">
        <v>3</v>
      </c>
      <c r="B4" s="5" t="s">
        <v>4</v>
      </c>
      <c r="C4" s="5" t="s">
        <v>5</v>
      </c>
      <c r="D4" s="5" t="s">
        <v>6</v>
      </c>
      <c r="H4" s="6" t="s">
        <v>7</v>
      </c>
      <c r="J4" s="28" t="s">
        <v>8</v>
      </c>
      <c r="K4" s="28"/>
    </row>
    <row r="5" spans="1:11" ht="19.95" customHeight="1" thickTop="1" x14ac:dyDescent="0.25">
      <c r="A5" s="7" t="s">
        <v>9</v>
      </c>
      <c r="B5" s="8" t="s">
        <v>10</v>
      </c>
      <c r="C5" s="8">
        <v>41.280999999999999</v>
      </c>
      <c r="D5" s="8">
        <v>1960</v>
      </c>
      <c r="J5" s="30" t="s">
        <v>11</v>
      </c>
      <c r="K5" s="30" t="s">
        <v>3</v>
      </c>
    </row>
    <row r="6" spans="1:11" ht="19.95" customHeight="1" x14ac:dyDescent="0.25">
      <c r="A6" s="7" t="s">
        <v>12</v>
      </c>
      <c r="B6" s="8" t="s">
        <v>10</v>
      </c>
      <c r="C6" s="8">
        <v>41.545999999999999</v>
      </c>
      <c r="D6" s="8">
        <v>1960</v>
      </c>
      <c r="J6" s="31" t="s">
        <v>6</v>
      </c>
      <c r="K6" s="32" t="s">
        <v>26</v>
      </c>
    </row>
    <row r="7" spans="1:11" ht="19.95" customHeight="1" x14ac:dyDescent="0.25">
      <c r="A7" s="7" t="s">
        <v>13</v>
      </c>
      <c r="B7" s="8" t="s">
        <v>14</v>
      </c>
      <c r="C7" s="8">
        <v>38.018999999999998</v>
      </c>
      <c r="D7" s="8">
        <v>1960</v>
      </c>
      <c r="J7" s="19">
        <v>1960</v>
      </c>
      <c r="K7" s="33">
        <v>35.026000000000003</v>
      </c>
    </row>
    <row r="8" spans="1:11" ht="19.95" customHeight="1" x14ac:dyDescent="0.25">
      <c r="A8" s="7" t="s">
        <v>15</v>
      </c>
      <c r="B8" s="8" t="s">
        <v>10</v>
      </c>
      <c r="C8" s="8">
        <v>41.447000000000003</v>
      </c>
      <c r="D8" s="8">
        <v>1960</v>
      </c>
      <c r="J8" s="19">
        <v>1961</v>
      </c>
      <c r="K8" s="33">
        <v>35.49</v>
      </c>
    </row>
    <row r="9" spans="1:11" ht="19.95" customHeight="1" x14ac:dyDescent="0.25">
      <c r="A9" s="7" t="s">
        <v>16</v>
      </c>
      <c r="B9" s="8" t="s">
        <v>10</v>
      </c>
      <c r="C9" s="8">
        <v>44.037999999999997</v>
      </c>
      <c r="D9" s="8">
        <v>1960</v>
      </c>
      <c r="J9" s="19">
        <v>1962</v>
      </c>
      <c r="K9" s="33">
        <v>35.936</v>
      </c>
    </row>
    <row r="10" spans="1:11" ht="19.95" customHeight="1" x14ac:dyDescent="0.25">
      <c r="A10" s="7" t="s">
        <v>1</v>
      </c>
      <c r="B10" s="8" t="s">
        <v>10</v>
      </c>
      <c r="C10" s="8">
        <v>38.418999999999997</v>
      </c>
      <c r="D10" s="8">
        <v>1960</v>
      </c>
      <c r="J10" s="19">
        <v>1963</v>
      </c>
      <c r="K10" s="33">
        <v>36.363</v>
      </c>
    </row>
    <row r="11" spans="1:11" ht="19.95" customHeight="1" x14ac:dyDescent="0.25">
      <c r="A11" s="7" t="s">
        <v>17</v>
      </c>
      <c r="B11" s="8" t="s">
        <v>10</v>
      </c>
      <c r="C11" s="8">
        <v>34.89</v>
      </c>
      <c r="D11" s="8">
        <v>1960</v>
      </c>
      <c r="J11" s="19">
        <v>1964</v>
      </c>
      <c r="K11" s="33">
        <v>36.773000000000003</v>
      </c>
    </row>
    <row r="12" spans="1:11" ht="19.95" customHeight="1" x14ac:dyDescent="0.25">
      <c r="A12" s="7" t="s">
        <v>18</v>
      </c>
      <c r="B12" s="8" t="s">
        <v>10</v>
      </c>
      <c r="C12" s="8">
        <v>42.113</v>
      </c>
      <c r="D12" s="8">
        <v>1960</v>
      </c>
      <c r="J12" s="19">
        <v>1965</v>
      </c>
      <c r="K12" s="33">
        <v>37.173999999999999</v>
      </c>
    </row>
    <row r="13" spans="1:11" ht="19.95" customHeight="1" x14ac:dyDescent="0.25">
      <c r="A13" s="7" t="s">
        <v>19</v>
      </c>
      <c r="B13" s="8" t="s">
        <v>10</v>
      </c>
      <c r="C13" s="8">
        <v>46.347999999999999</v>
      </c>
      <c r="D13" s="8">
        <v>1960</v>
      </c>
      <c r="J13" s="19">
        <v>1966</v>
      </c>
      <c r="K13" s="33">
        <v>37.573</v>
      </c>
    </row>
    <row r="14" spans="1:11" ht="19.95" customHeight="1" x14ac:dyDescent="0.25">
      <c r="A14" s="7" t="s">
        <v>20</v>
      </c>
      <c r="B14" s="8" t="s">
        <v>14</v>
      </c>
      <c r="C14" s="8"/>
      <c r="D14" s="8">
        <v>1960</v>
      </c>
      <c r="J14" s="19">
        <v>1967</v>
      </c>
      <c r="K14" s="33">
        <v>37.979999999999997</v>
      </c>
    </row>
    <row r="15" spans="1:11" ht="19.95" customHeight="1" x14ac:dyDescent="0.25">
      <c r="A15" s="7" t="s">
        <v>21</v>
      </c>
      <c r="B15" s="8" t="s">
        <v>10</v>
      </c>
      <c r="C15" s="8">
        <v>34.670999999999999</v>
      </c>
      <c r="D15" s="8">
        <v>1960</v>
      </c>
      <c r="J15" s="19">
        <v>1968</v>
      </c>
      <c r="K15" s="33">
        <v>38.396999999999998</v>
      </c>
    </row>
    <row r="16" spans="1:11" ht="19.95" customHeight="1" x14ac:dyDescent="0.25">
      <c r="A16" s="7" t="s">
        <v>22</v>
      </c>
      <c r="B16" s="8" t="s">
        <v>10</v>
      </c>
      <c r="C16" s="8">
        <v>39.962000000000003</v>
      </c>
      <c r="D16" s="8">
        <v>1960</v>
      </c>
      <c r="J16" s="19">
        <v>1969</v>
      </c>
      <c r="K16" s="33">
        <v>38.826000000000001</v>
      </c>
    </row>
    <row r="17" spans="1:11" ht="19.95" customHeight="1" x14ac:dyDescent="0.25">
      <c r="A17" s="7" t="s">
        <v>23</v>
      </c>
      <c r="B17" s="8" t="s">
        <v>10</v>
      </c>
      <c r="C17" s="8">
        <v>37.805</v>
      </c>
      <c r="D17" s="8">
        <v>1960</v>
      </c>
      <c r="J17" s="19">
        <v>1970</v>
      </c>
      <c r="K17" s="33">
        <v>39.271000000000001</v>
      </c>
    </row>
    <row r="18" spans="1:11" ht="19.95" customHeight="1" x14ac:dyDescent="0.25">
      <c r="A18" s="7" t="s">
        <v>24</v>
      </c>
      <c r="B18" s="8" t="s">
        <v>10</v>
      </c>
      <c r="C18" s="8">
        <v>28.199000000000002</v>
      </c>
      <c r="D18" s="8">
        <v>1960</v>
      </c>
      <c r="J18" s="19">
        <v>1971</v>
      </c>
      <c r="K18" s="33">
        <v>39.734999999999999</v>
      </c>
    </row>
    <row r="19" spans="1:11" ht="19.95" customHeight="1" x14ac:dyDescent="0.25">
      <c r="A19" s="7" t="s">
        <v>25</v>
      </c>
      <c r="B19" s="8" t="s">
        <v>10</v>
      </c>
      <c r="C19" s="8">
        <v>61.994999999999997</v>
      </c>
      <c r="D19" s="8">
        <v>1960</v>
      </c>
      <c r="J19" s="19">
        <v>1972</v>
      </c>
      <c r="K19" s="33">
        <v>40.21</v>
      </c>
    </row>
    <row r="20" spans="1:11" ht="22.05" customHeight="1" x14ac:dyDescent="0.25">
      <c r="A20" s="7" t="s">
        <v>26</v>
      </c>
      <c r="B20" s="8" t="s">
        <v>10</v>
      </c>
      <c r="C20" s="8">
        <v>35.026000000000003</v>
      </c>
      <c r="D20" s="8">
        <v>1960</v>
      </c>
      <c r="H20" s="4" t="s">
        <v>27</v>
      </c>
      <c r="J20" s="19">
        <v>1973</v>
      </c>
      <c r="K20" s="33">
        <v>40.679000000000002</v>
      </c>
    </row>
    <row r="21" spans="1:11" ht="19.95" customHeight="1" x14ac:dyDescent="0.25">
      <c r="A21" s="7" t="s">
        <v>28</v>
      </c>
      <c r="B21" s="8" t="s">
        <v>10</v>
      </c>
      <c r="C21" s="8">
        <v>42.713999999999999</v>
      </c>
      <c r="D21" s="8">
        <v>1960</v>
      </c>
      <c r="J21" s="19">
        <v>1974</v>
      </c>
      <c r="K21" s="33">
        <v>41.125</v>
      </c>
    </row>
    <row r="22" spans="1:11" ht="19.95" customHeight="1" x14ac:dyDescent="0.25">
      <c r="A22" s="7" t="s">
        <v>29</v>
      </c>
      <c r="B22" s="8" t="s">
        <v>10</v>
      </c>
      <c r="C22" s="8">
        <v>35.197000000000003</v>
      </c>
      <c r="D22" s="8">
        <v>1960</v>
      </c>
      <c r="J22" s="19">
        <v>1975</v>
      </c>
      <c r="K22" s="33">
        <v>41.512</v>
      </c>
    </row>
    <row r="23" spans="1:11" ht="19.95" customHeight="1" x14ac:dyDescent="0.25">
      <c r="A23" s="7" t="s">
        <v>30</v>
      </c>
      <c r="B23" s="8" t="s">
        <v>10</v>
      </c>
      <c r="C23" s="8">
        <v>47.03</v>
      </c>
      <c r="D23" s="8">
        <v>1960</v>
      </c>
      <c r="J23" s="19">
        <v>1976</v>
      </c>
      <c r="K23" s="33">
        <v>41.804000000000002</v>
      </c>
    </row>
    <row r="24" spans="1:11" ht="19.95" customHeight="1" x14ac:dyDescent="0.25">
      <c r="A24" s="7" t="s">
        <v>31</v>
      </c>
      <c r="B24" s="8" t="s">
        <v>10</v>
      </c>
      <c r="C24" s="8">
        <v>35.045000000000002</v>
      </c>
      <c r="D24" s="8">
        <v>1960</v>
      </c>
      <c r="J24" s="19">
        <v>1977</v>
      </c>
      <c r="K24" s="33">
        <v>41.982999999999997</v>
      </c>
    </row>
    <row r="25" spans="1:11" ht="19.95" customHeight="1" x14ac:dyDescent="0.25">
      <c r="A25" s="7" t="s">
        <v>32</v>
      </c>
      <c r="B25" s="8" t="s">
        <v>10</v>
      </c>
      <c r="C25" s="8">
        <v>42.292000000000002</v>
      </c>
      <c r="D25" s="8">
        <v>1960</v>
      </c>
      <c r="J25" s="19">
        <v>1978</v>
      </c>
      <c r="K25" s="33">
        <v>42.05</v>
      </c>
    </row>
    <row r="26" spans="1:11" ht="19.95" customHeight="1" x14ac:dyDescent="0.25">
      <c r="A26" s="7" t="s">
        <v>33</v>
      </c>
      <c r="B26" s="8" t="s">
        <v>10</v>
      </c>
      <c r="C26" s="8">
        <v>50.363999999999997</v>
      </c>
      <c r="D26" s="8">
        <v>1960</v>
      </c>
      <c r="J26" s="19">
        <v>1979</v>
      </c>
      <c r="K26" s="33">
        <v>42.017000000000003</v>
      </c>
    </row>
    <row r="27" spans="1:11" ht="19.95" customHeight="1" x14ac:dyDescent="0.25">
      <c r="A27" s="7" t="s">
        <v>34</v>
      </c>
      <c r="B27" s="8" t="s">
        <v>10</v>
      </c>
      <c r="C27" s="8">
        <v>59.369</v>
      </c>
      <c r="D27" s="8">
        <v>1960</v>
      </c>
      <c r="J27" s="19">
        <v>1980</v>
      </c>
      <c r="K27" s="33">
        <v>41.912999999999997</v>
      </c>
    </row>
    <row r="28" spans="1:11" ht="19.95" customHeight="1" x14ac:dyDescent="0.25">
      <c r="A28" s="7" t="s">
        <v>35</v>
      </c>
      <c r="B28" s="8" t="s">
        <v>10</v>
      </c>
      <c r="C28" s="8">
        <v>56.152000000000001</v>
      </c>
      <c r="D28" s="8">
        <v>1960</v>
      </c>
      <c r="J28" s="19">
        <v>1981</v>
      </c>
      <c r="K28" s="33">
        <v>41.777999999999999</v>
      </c>
    </row>
    <row r="29" spans="1:11" ht="19.95" customHeight="1" x14ac:dyDescent="0.25">
      <c r="A29" s="7" t="s">
        <v>36</v>
      </c>
      <c r="B29" s="8" t="s">
        <v>10</v>
      </c>
      <c r="C29" s="8">
        <v>43.686</v>
      </c>
      <c r="D29" s="8">
        <v>1960</v>
      </c>
      <c r="J29" s="19">
        <v>1982</v>
      </c>
      <c r="K29" s="33">
        <v>41.66</v>
      </c>
    </row>
    <row r="30" spans="1:11" ht="19.95" customHeight="1" x14ac:dyDescent="0.25">
      <c r="A30" s="7" t="s">
        <v>37</v>
      </c>
      <c r="B30" s="8" t="s">
        <v>10</v>
      </c>
      <c r="C30" s="8">
        <v>43.991</v>
      </c>
      <c r="D30" s="8">
        <v>1960</v>
      </c>
      <c r="J30" s="19">
        <v>1983</v>
      </c>
      <c r="K30" s="33">
        <v>41.597000000000001</v>
      </c>
    </row>
    <row r="31" spans="1:11" ht="19.95" customHeight="1" x14ac:dyDescent="0.25">
      <c r="A31" s="7" t="s">
        <v>38</v>
      </c>
      <c r="B31" s="8" t="s">
        <v>10</v>
      </c>
      <c r="C31" s="8">
        <v>45.124000000000002</v>
      </c>
      <c r="D31" s="8">
        <v>1960</v>
      </c>
      <c r="J31" s="19">
        <v>1984</v>
      </c>
      <c r="K31" s="33">
        <v>41.61</v>
      </c>
    </row>
    <row r="32" spans="1:11" ht="19.95" customHeight="1" x14ac:dyDescent="0.25">
      <c r="A32" s="7" t="s">
        <v>39</v>
      </c>
      <c r="B32" s="8" t="s">
        <v>10</v>
      </c>
      <c r="C32" s="8">
        <v>51.564999999999998</v>
      </c>
      <c r="D32" s="8">
        <v>1960</v>
      </c>
      <c r="J32" s="19">
        <v>1985</v>
      </c>
      <c r="K32" s="33">
        <v>41.704999999999998</v>
      </c>
    </row>
    <row r="33" spans="1:11" ht="19.95" customHeight="1" x14ac:dyDescent="0.25">
      <c r="A33" s="9" t="s">
        <v>9</v>
      </c>
      <c r="B33" s="10" t="s">
        <v>10</v>
      </c>
      <c r="C33" s="10">
        <v>41.591999999999999</v>
      </c>
      <c r="D33" s="10">
        <v>1961</v>
      </c>
      <c r="J33" s="19">
        <v>1986</v>
      </c>
      <c r="K33" s="33">
        <v>41.872</v>
      </c>
    </row>
    <row r="34" spans="1:11" ht="19.95" customHeight="1" x14ac:dyDescent="0.25">
      <c r="A34" s="9" t="s">
        <v>12</v>
      </c>
      <c r="B34" s="10" t="s">
        <v>10</v>
      </c>
      <c r="C34" s="10">
        <v>41.988</v>
      </c>
      <c r="D34" s="10">
        <v>1961</v>
      </c>
      <c r="J34" s="19">
        <v>1987</v>
      </c>
      <c r="K34" s="33">
        <v>42.085000000000001</v>
      </c>
    </row>
    <row r="35" spans="1:11" ht="19.95" customHeight="1" x14ac:dyDescent="0.25">
      <c r="A35" s="9" t="s">
        <v>13</v>
      </c>
      <c r="B35" s="10" t="s">
        <v>10</v>
      </c>
      <c r="C35" s="10">
        <v>38.279000000000003</v>
      </c>
      <c r="D35" s="10">
        <v>1961</v>
      </c>
      <c r="J35" s="19">
        <v>1988</v>
      </c>
      <c r="K35" s="33">
        <v>42.326999999999998</v>
      </c>
    </row>
    <row r="36" spans="1:11" ht="22.05" customHeight="1" x14ac:dyDescent="0.25">
      <c r="A36" s="9" t="s">
        <v>15</v>
      </c>
      <c r="B36" s="10" t="s">
        <v>10</v>
      </c>
      <c r="C36" s="10">
        <v>41.845999999999997</v>
      </c>
      <c r="D36" s="10">
        <v>1961</v>
      </c>
      <c r="J36" s="19">
        <v>1989</v>
      </c>
      <c r="K36" s="33">
        <v>42.6</v>
      </c>
    </row>
    <row r="37" spans="1:11" ht="19.95" customHeight="1" x14ac:dyDescent="0.25">
      <c r="A37" s="9" t="s">
        <v>16</v>
      </c>
      <c r="B37" s="10" t="s">
        <v>10</v>
      </c>
      <c r="C37" s="10">
        <v>44.469000000000001</v>
      </c>
      <c r="D37" s="10">
        <v>1961</v>
      </c>
      <c r="J37" s="19">
        <v>1990</v>
      </c>
      <c r="K37" s="33">
        <v>42.914999999999999</v>
      </c>
    </row>
    <row r="38" spans="1:11" ht="19.95" customHeight="1" x14ac:dyDescent="0.25">
      <c r="A38" s="9" t="s">
        <v>1</v>
      </c>
      <c r="B38" s="10" t="s">
        <v>10</v>
      </c>
      <c r="C38" s="10">
        <v>39.082000000000001</v>
      </c>
      <c r="D38" s="10">
        <v>1961</v>
      </c>
      <c r="J38" s="19">
        <v>1991</v>
      </c>
      <c r="K38" s="33">
        <v>43.292999999999999</v>
      </c>
    </row>
    <row r="39" spans="1:11" ht="19.95" customHeight="1" x14ac:dyDescent="0.25">
      <c r="A39" s="9" t="s">
        <v>17</v>
      </c>
      <c r="B39" s="10" t="s">
        <v>10</v>
      </c>
      <c r="C39" s="10">
        <v>35.085999999999999</v>
      </c>
      <c r="D39" s="10">
        <v>1961</v>
      </c>
      <c r="J39" s="19">
        <v>1992</v>
      </c>
      <c r="K39" s="33">
        <v>43.744999999999997</v>
      </c>
    </row>
    <row r="40" spans="1:11" ht="19.95" customHeight="1" x14ac:dyDescent="0.25">
      <c r="A40" s="9" t="s">
        <v>18</v>
      </c>
      <c r="B40" s="10" t="s">
        <v>10</v>
      </c>
      <c r="C40" s="10">
        <v>42.697000000000003</v>
      </c>
      <c r="D40" s="10">
        <v>1961</v>
      </c>
      <c r="J40" s="19">
        <v>1993</v>
      </c>
      <c r="K40" s="33">
        <v>44.271999999999998</v>
      </c>
    </row>
    <row r="41" spans="1:11" ht="19.95" customHeight="1" x14ac:dyDescent="0.25">
      <c r="A41" s="9" t="s">
        <v>19</v>
      </c>
      <c r="B41" s="10" t="s">
        <v>10</v>
      </c>
      <c r="C41" s="10">
        <v>46.997</v>
      </c>
      <c r="D41" s="10">
        <v>1961</v>
      </c>
      <c r="J41" s="19">
        <v>1994</v>
      </c>
      <c r="K41" s="33">
        <v>44.862000000000002</v>
      </c>
    </row>
    <row r="42" spans="1:11" ht="19.95" customHeight="1" x14ac:dyDescent="0.25">
      <c r="A42" s="9" t="s">
        <v>20</v>
      </c>
      <c r="B42" s="10" t="s">
        <v>10</v>
      </c>
      <c r="C42" s="10"/>
      <c r="D42" s="10">
        <v>1961</v>
      </c>
      <c r="J42" s="19">
        <v>1995</v>
      </c>
      <c r="K42" s="33">
        <v>45.491</v>
      </c>
    </row>
    <row r="43" spans="1:11" ht="19.95" customHeight="1" x14ac:dyDescent="0.25">
      <c r="A43" s="9" t="s">
        <v>21</v>
      </c>
      <c r="B43" s="10" t="s">
        <v>10</v>
      </c>
      <c r="C43" s="10">
        <v>34.941000000000003</v>
      </c>
      <c r="D43" s="10">
        <v>1961</v>
      </c>
      <c r="J43" s="19">
        <v>1996</v>
      </c>
      <c r="K43" s="33">
        <v>46.124000000000002</v>
      </c>
    </row>
    <row r="44" spans="1:11" ht="19.95" customHeight="1" x14ac:dyDescent="0.25">
      <c r="A44" s="9" t="s">
        <v>22</v>
      </c>
      <c r="B44" s="10" t="s">
        <v>10</v>
      </c>
      <c r="C44" s="10">
        <v>40.444000000000003</v>
      </c>
      <c r="D44" s="10">
        <v>1961</v>
      </c>
      <c r="J44" s="19">
        <v>1997</v>
      </c>
      <c r="K44" s="33">
        <v>46.735999999999997</v>
      </c>
    </row>
    <row r="45" spans="1:11" ht="19.95" customHeight="1" x14ac:dyDescent="0.25">
      <c r="A45" s="9" t="s">
        <v>23</v>
      </c>
      <c r="B45" s="10" t="s">
        <v>10</v>
      </c>
      <c r="C45" s="10">
        <v>38.030999999999999</v>
      </c>
      <c r="D45" s="10">
        <v>1961</v>
      </c>
      <c r="J45" s="19">
        <v>1998</v>
      </c>
      <c r="K45" s="33">
        <v>47.308999999999997</v>
      </c>
    </row>
    <row r="46" spans="1:11" ht="19.95" customHeight="1" x14ac:dyDescent="0.25">
      <c r="A46" s="9" t="s">
        <v>24</v>
      </c>
      <c r="B46" s="10" t="s">
        <v>10</v>
      </c>
      <c r="C46" s="10">
        <v>28.344999999999999</v>
      </c>
      <c r="D46" s="10">
        <v>1961</v>
      </c>
      <c r="J46" s="19">
        <v>1999</v>
      </c>
      <c r="K46" s="33">
        <v>47.841000000000001</v>
      </c>
    </row>
    <row r="47" spans="1:11" ht="19.95" customHeight="1" x14ac:dyDescent="0.25">
      <c r="A47" s="9" t="s">
        <v>25</v>
      </c>
      <c r="B47" s="10" t="s">
        <v>10</v>
      </c>
      <c r="C47" s="10">
        <v>62.366999999999997</v>
      </c>
      <c r="D47" s="10">
        <v>1961</v>
      </c>
      <c r="J47" s="19">
        <v>2000</v>
      </c>
      <c r="K47" s="33">
        <v>48.347999999999999</v>
      </c>
    </row>
    <row r="48" spans="1:11" ht="19.95" customHeight="1" x14ac:dyDescent="0.25">
      <c r="A48" s="9" t="s">
        <v>26</v>
      </c>
      <c r="B48" s="10" t="s">
        <v>10</v>
      </c>
      <c r="C48" s="10">
        <v>35.49</v>
      </c>
      <c r="D48" s="10">
        <v>1961</v>
      </c>
      <c r="J48" s="19">
        <v>2001</v>
      </c>
      <c r="K48" s="33">
        <v>48.859000000000002</v>
      </c>
    </row>
    <row r="49" spans="1:11" ht="19.95" customHeight="1" x14ac:dyDescent="0.25">
      <c r="A49" s="9" t="s">
        <v>28</v>
      </c>
      <c r="B49" s="10" t="s">
        <v>10</v>
      </c>
      <c r="C49" s="10">
        <v>43.384</v>
      </c>
      <c r="D49" s="10">
        <v>1961</v>
      </c>
      <c r="J49" s="19">
        <v>2002</v>
      </c>
      <c r="K49" s="33">
        <v>49.405999999999999</v>
      </c>
    </row>
    <row r="50" spans="1:11" ht="19.95" customHeight="1" x14ac:dyDescent="0.25">
      <c r="A50" s="9" t="s">
        <v>29</v>
      </c>
      <c r="B50" s="10" t="s">
        <v>10</v>
      </c>
      <c r="C50" s="10">
        <v>35.561</v>
      </c>
      <c r="D50" s="10">
        <v>1961</v>
      </c>
      <c r="J50" s="19">
        <v>2003</v>
      </c>
      <c r="K50" s="33">
        <v>50.006999999999998</v>
      </c>
    </row>
    <row r="51" spans="1:11" ht="19.95" customHeight="1" x14ac:dyDescent="0.25">
      <c r="A51" s="9" t="s">
        <v>30</v>
      </c>
      <c r="B51" s="10" t="s">
        <v>10</v>
      </c>
      <c r="C51" s="10">
        <v>47.677</v>
      </c>
      <c r="D51" s="10">
        <v>1961</v>
      </c>
      <c r="J51" s="19">
        <v>2004</v>
      </c>
      <c r="K51" s="33">
        <v>50.662999999999997</v>
      </c>
    </row>
    <row r="52" spans="1:11" ht="19.95" customHeight="1" x14ac:dyDescent="0.25">
      <c r="A52" s="9" t="s">
        <v>31</v>
      </c>
      <c r="B52" s="10" t="s">
        <v>10</v>
      </c>
      <c r="C52" s="10">
        <v>35.131</v>
      </c>
      <c r="D52" s="10">
        <v>1961</v>
      </c>
      <c r="J52" s="19">
        <v>2005</v>
      </c>
      <c r="K52" s="33">
        <v>51.362000000000002</v>
      </c>
    </row>
    <row r="53" spans="1:11" ht="19.95" customHeight="1" x14ac:dyDescent="0.25">
      <c r="A53" s="9" t="s">
        <v>32</v>
      </c>
      <c r="B53" s="10" t="s">
        <v>10</v>
      </c>
      <c r="C53" s="10">
        <v>42.591999999999999</v>
      </c>
      <c r="D53" s="10">
        <v>1961</v>
      </c>
      <c r="J53" s="19">
        <v>2006</v>
      </c>
      <c r="K53" s="33">
        <v>52.079000000000001</v>
      </c>
    </row>
    <row r="54" spans="1:11" ht="19.95" customHeight="1" x14ac:dyDescent="0.25">
      <c r="A54" s="9" t="s">
        <v>33</v>
      </c>
      <c r="B54" s="10" t="s">
        <v>10</v>
      </c>
      <c r="C54" s="10">
        <v>50.944000000000003</v>
      </c>
      <c r="D54" s="10">
        <v>1961</v>
      </c>
      <c r="J54" s="19">
        <v>2007</v>
      </c>
      <c r="K54" s="33">
        <v>52.784999999999997</v>
      </c>
    </row>
    <row r="55" spans="1:11" ht="19.95" customHeight="1" x14ac:dyDescent="0.25">
      <c r="A55" s="9" t="s">
        <v>34</v>
      </c>
      <c r="B55" s="10" t="s">
        <v>10</v>
      </c>
      <c r="C55" s="10">
        <v>59.768999999999998</v>
      </c>
      <c r="D55" s="10">
        <v>1961</v>
      </c>
      <c r="J55" s="19">
        <v>2008</v>
      </c>
      <c r="K55" s="33">
        <v>53.459000000000003</v>
      </c>
    </row>
    <row r="56" spans="1:11" ht="19.95" customHeight="1" x14ac:dyDescent="0.25">
      <c r="A56" s="9" t="s">
        <v>35</v>
      </c>
      <c r="B56" s="10" t="s">
        <v>10</v>
      </c>
      <c r="C56" s="10">
        <v>56.572000000000003</v>
      </c>
      <c r="D56" s="10">
        <v>1961</v>
      </c>
      <c r="J56" s="19">
        <v>2009</v>
      </c>
      <c r="K56" s="33">
        <v>54.095999999999997</v>
      </c>
    </row>
    <row r="57" spans="1:11" ht="19.95" customHeight="1" x14ac:dyDescent="0.25">
      <c r="A57" s="9" t="s">
        <v>36</v>
      </c>
      <c r="B57" s="10" t="s">
        <v>10</v>
      </c>
      <c r="C57" s="10">
        <v>43.94</v>
      </c>
      <c r="D57" s="10">
        <v>1961</v>
      </c>
      <c r="J57" s="19">
        <v>2010</v>
      </c>
      <c r="K57" s="33">
        <v>54.7</v>
      </c>
    </row>
    <row r="58" spans="1:11" ht="19.95" customHeight="1" x14ac:dyDescent="0.25">
      <c r="A58" s="9" t="s">
        <v>37</v>
      </c>
      <c r="B58" s="10" t="s">
        <v>10</v>
      </c>
      <c r="C58" s="10">
        <v>44.567999999999998</v>
      </c>
      <c r="D58" s="10">
        <v>1961</v>
      </c>
      <c r="J58" s="19">
        <v>2011</v>
      </c>
      <c r="K58" s="33">
        <v>55.287999999999997</v>
      </c>
    </row>
    <row r="59" spans="1:11" ht="19.95" customHeight="1" x14ac:dyDescent="0.25">
      <c r="A59" s="9" t="s">
        <v>38</v>
      </c>
      <c r="B59" s="10" t="s">
        <v>10</v>
      </c>
      <c r="C59" s="10">
        <v>45.502000000000002</v>
      </c>
      <c r="D59" s="10">
        <v>1961</v>
      </c>
      <c r="J59" s="19">
        <v>2012</v>
      </c>
      <c r="K59" s="33">
        <v>55.878</v>
      </c>
    </row>
    <row r="60" spans="1:11" ht="19.95" customHeight="1" x14ac:dyDescent="0.25">
      <c r="A60" s="9" t="s">
        <v>39</v>
      </c>
      <c r="B60" s="10" t="s">
        <v>10</v>
      </c>
      <c r="C60" s="10">
        <v>51.938000000000002</v>
      </c>
      <c r="D60" s="10">
        <v>1961</v>
      </c>
      <c r="J60" s="19">
        <v>2013</v>
      </c>
      <c r="K60" s="33">
        <v>56.482999999999997</v>
      </c>
    </row>
    <row r="61" spans="1:11" ht="19.95" customHeight="1" x14ac:dyDescent="0.25">
      <c r="A61" s="9" t="s">
        <v>9</v>
      </c>
      <c r="B61" s="10" t="s">
        <v>10</v>
      </c>
      <c r="C61" s="10">
        <v>41.906999999999996</v>
      </c>
      <c r="D61" s="10">
        <v>1962</v>
      </c>
      <c r="J61" s="19">
        <v>2014</v>
      </c>
      <c r="K61" s="33">
        <v>57.098999999999997</v>
      </c>
    </row>
    <row r="62" spans="1:11" ht="19.95" customHeight="1" x14ac:dyDescent="0.25">
      <c r="A62" s="9" t="s">
        <v>12</v>
      </c>
      <c r="B62" s="10" t="s">
        <v>10</v>
      </c>
      <c r="C62" s="10">
        <v>42.429000000000002</v>
      </c>
      <c r="D62" s="10">
        <v>1962</v>
      </c>
      <c r="J62" s="19">
        <v>2015</v>
      </c>
      <c r="K62" s="33">
        <v>57.713999999999999</v>
      </c>
    </row>
    <row r="63" spans="1:11" ht="19.95" customHeight="1" x14ac:dyDescent="0.25">
      <c r="A63" s="9" t="s">
        <v>13</v>
      </c>
      <c r="B63" s="10" t="s">
        <v>10</v>
      </c>
      <c r="C63" s="10">
        <v>38.536000000000001</v>
      </c>
      <c r="D63" s="10">
        <v>1962</v>
      </c>
      <c r="J63" s="20">
        <v>2016</v>
      </c>
      <c r="K63" s="34">
        <v>58.311</v>
      </c>
    </row>
    <row r="64" spans="1:11" ht="19.95" customHeight="1" x14ac:dyDescent="0.25">
      <c r="A64" s="9" t="s">
        <v>15</v>
      </c>
      <c r="B64" s="10" t="s">
        <v>10</v>
      </c>
      <c r="C64" s="10">
        <v>42.244999999999997</v>
      </c>
      <c r="D64" s="10">
        <v>1962</v>
      </c>
    </row>
    <row r="65" spans="1:4" ht="19.95" customHeight="1" x14ac:dyDescent="0.25">
      <c r="A65" s="9" t="s">
        <v>16</v>
      </c>
      <c r="B65" s="10" t="s">
        <v>10</v>
      </c>
      <c r="C65" s="10">
        <v>44.892000000000003</v>
      </c>
      <c r="D65" s="10">
        <v>1962</v>
      </c>
    </row>
    <row r="66" spans="1:4" ht="19.95" customHeight="1" x14ac:dyDescent="0.25">
      <c r="A66" s="9" t="s">
        <v>1</v>
      </c>
      <c r="B66" s="10" t="s">
        <v>10</v>
      </c>
      <c r="C66" s="10">
        <v>39.710999999999999</v>
      </c>
      <c r="D66" s="10">
        <v>1962</v>
      </c>
    </row>
    <row r="67" spans="1:4" ht="19.95" customHeight="1" x14ac:dyDescent="0.25">
      <c r="A67" s="9" t="s">
        <v>17</v>
      </c>
      <c r="B67" s="10" t="s">
        <v>10</v>
      </c>
      <c r="C67" s="10">
        <v>35.265999999999998</v>
      </c>
      <c r="D67" s="10">
        <v>1962</v>
      </c>
    </row>
    <row r="68" spans="1:4" ht="19.95" customHeight="1" x14ac:dyDescent="0.25">
      <c r="A68" s="9" t="s">
        <v>18</v>
      </c>
      <c r="B68" s="10" t="s">
        <v>10</v>
      </c>
      <c r="C68" s="10">
        <v>43.277000000000001</v>
      </c>
      <c r="D68" s="10">
        <v>1962</v>
      </c>
    </row>
    <row r="69" spans="1:4" ht="19.95" customHeight="1" x14ac:dyDescent="0.25">
      <c r="A69" s="9" t="s">
        <v>19</v>
      </c>
      <c r="B69" s="10" t="s">
        <v>10</v>
      </c>
      <c r="C69" s="10">
        <v>47.634999999999998</v>
      </c>
      <c r="D69" s="10">
        <v>1962</v>
      </c>
    </row>
    <row r="70" spans="1:4" ht="19.95" customHeight="1" x14ac:dyDescent="0.25">
      <c r="A70" s="9" t="s">
        <v>20</v>
      </c>
      <c r="B70" s="10" t="s">
        <v>10</v>
      </c>
      <c r="C70" s="10"/>
      <c r="D70" s="10">
        <v>1962</v>
      </c>
    </row>
    <row r="71" spans="1:4" ht="19.95" customHeight="1" x14ac:dyDescent="0.25">
      <c r="A71" s="9" t="s">
        <v>21</v>
      </c>
      <c r="B71" s="10" t="s">
        <v>10</v>
      </c>
      <c r="C71" s="10">
        <v>35.256999999999998</v>
      </c>
      <c r="D71" s="10">
        <v>1962</v>
      </c>
    </row>
    <row r="72" spans="1:4" ht="19.95" customHeight="1" x14ac:dyDescent="0.25">
      <c r="A72" s="9" t="s">
        <v>22</v>
      </c>
      <c r="B72" s="10" t="s">
        <v>10</v>
      </c>
      <c r="C72" s="10">
        <v>40.923999999999999</v>
      </c>
      <c r="D72" s="10">
        <v>1962</v>
      </c>
    </row>
    <row r="73" spans="1:4" ht="19.95" customHeight="1" x14ac:dyDescent="0.25">
      <c r="A73" s="9" t="s">
        <v>23</v>
      </c>
      <c r="B73" s="10" t="s">
        <v>10</v>
      </c>
      <c r="C73" s="10">
        <v>38.249000000000002</v>
      </c>
      <c r="D73" s="10">
        <v>1962</v>
      </c>
    </row>
    <row r="74" spans="1:4" ht="19.95" customHeight="1" x14ac:dyDescent="0.25">
      <c r="A74" s="9" t="s">
        <v>24</v>
      </c>
      <c r="B74" s="10" t="s">
        <v>10</v>
      </c>
      <c r="C74" s="10">
        <v>28.535</v>
      </c>
      <c r="D74" s="10">
        <v>1962</v>
      </c>
    </row>
    <row r="75" spans="1:4" ht="19.95" customHeight="1" x14ac:dyDescent="0.25">
      <c r="A75" s="9" t="s">
        <v>25</v>
      </c>
      <c r="B75" s="10" t="s">
        <v>10</v>
      </c>
      <c r="C75" s="10">
        <v>62.743000000000002</v>
      </c>
      <c r="D75" s="10">
        <v>1962</v>
      </c>
    </row>
    <row r="76" spans="1:4" ht="19.95" customHeight="1" x14ac:dyDescent="0.25">
      <c r="A76" s="9" t="s">
        <v>26</v>
      </c>
      <c r="B76" s="10" t="s">
        <v>10</v>
      </c>
      <c r="C76" s="10">
        <v>35.936</v>
      </c>
      <c r="D76" s="10">
        <v>1962</v>
      </c>
    </row>
    <row r="77" spans="1:4" ht="19.95" customHeight="1" x14ac:dyDescent="0.25">
      <c r="A77" s="9" t="s">
        <v>28</v>
      </c>
      <c r="B77" s="10" t="s">
        <v>10</v>
      </c>
      <c r="C77" s="10">
        <v>44.136000000000003</v>
      </c>
      <c r="D77" s="10">
        <v>1962</v>
      </c>
    </row>
    <row r="78" spans="1:4" ht="19.95" customHeight="1" x14ac:dyDescent="0.25">
      <c r="A78" s="9" t="s">
        <v>29</v>
      </c>
      <c r="B78" s="10" t="s">
        <v>10</v>
      </c>
      <c r="C78" s="10">
        <v>35.981000000000002</v>
      </c>
      <c r="D78" s="10">
        <v>1962</v>
      </c>
    </row>
    <row r="79" spans="1:4" ht="19.95" customHeight="1" x14ac:dyDescent="0.25">
      <c r="A79" s="9" t="s">
        <v>30</v>
      </c>
      <c r="B79" s="10" t="s">
        <v>10</v>
      </c>
      <c r="C79" s="10">
        <v>48.329000000000001</v>
      </c>
      <c r="D79" s="10">
        <v>1962</v>
      </c>
    </row>
    <row r="80" spans="1:4" ht="19.95" customHeight="1" x14ac:dyDescent="0.25">
      <c r="A80" s="9" t="s">
        <v>31</v>
      </c>
      <c r="B80" s="10" t="s">
        <v>10</v>
      </c>
      <c r="C80" s="10">
        <v>35.212000000000003</v>
      </c>
      <c r="D80" s="10">
        <v>1962</v>
      </c>
    </row>
    <row r="81" spans="1:4" ht="19.95" customHeight="1" x14ac:dyDescent="0.25">
      <c r="A81" s="9" t="s">
        <v>32</v>
      </c>
      <c r="B81" s="10" t="s">
        <v>10</v>
      </c>
      <c r="C81" s="10">
        <v>42.883000000000003</v>
      </c>
      <c r="D81" s="10">
        <v>1962</v>
      </c>
    </row>
    <row r="82" spans="1:4" ht="19.95" customHeight="1" x14ac:dyDescent="0.25">
      <c r="A82" s="9" t="s">
        <v>33</v>
      </c>
      <c r="B82" s="10" t="s">
        <v>10</v>
      </c>
      <c r="C82" s="10">
        <v>51.512</v>
      </c>
      <c r="D82" s="10">
        <v>1962</v>
      </c>
    </row>
    <row r="83" spans="1:4" ht="19.95" customHeight="1" x14ac:dyDescent="0.25">
      <c r="A83" s="9" t="s">
        <v>34</v>
      </c>
      <c r="B83" s="10" t="s">
        <v>10</v>
      </c>
      <c r="C83" s="10">
        <v>60.177</v>
      </c>
      <c r="D83" s="10">
        <v>1962</v>
      </c>
    </row>
    <row r="84" spans="1:4" ht="19.95" customHeight="1" x14ac:dyDescent="0.25">
      <c r="A84" s="9" t="s">
        <v>35</v>
      </c>
      <c r="B84" s="10" t="s">
        <v>10</v>
      </c>
      <c r="C84" s="10">
        <v>56.994999999999997</v>
      </c>
      <c r="D84" s="10">
        <v>1962</v>
      </c>
    </row>
    <row r="85" spans="1:4" ht="19.95" customHeight="1" x14ac:dyDescent="0.25">
      <c r="A85" s="9" t="s">
        <v>36</v>
      </c>
      <c r="B85" s="10" t="s">
        <v>10</v>
      </c>
      <c r="C85" s="10">
        <v>44.195</v>
      </c>
      <c r="D85" s="10">
        <v>1962</v>
      </c>
    </row>
    <row r="86" spans="1:4" ht="19.95" customHeight="1" x14ac:dyDescent="0.25">
      <c r="A86" s="9" t="s">
        <v>37</v>
      </c>
      <c r="B86" s="10" t="s">
        <v>10</v>
      </c>
      <c r="C86" s="10">
        <v>45.155999999999999</v>
      </c>
      <c r="D86" s="10">
        <v>1962</v>
      </c>
    </row>
    <row r="87" spans="1:4" ht="19.95" customHeight="1" x14ac:dyDescent="0.25">
      <c r="A87" s="9" t="s">
        <v>38</v>
      </c>
      <c r="B87" s="10" t="s">
        <v>10</v>
      </c>
      <c r="C87" s="10">
        <v>45.869</v>
      </c>
      <c r="D87" s="10">
        <v>1962</v>
      </c>
    </row>
    <row r="88" spans="1:4" ht="19.95" customHeight="1" x14ac:dyDescent="0.25">
      <c r="A88" s="9" t="s">
        <v>39</v>
      </c>
      <c r="B88" s="10" t="s">
        <v>10</v>
      </c>
      <c r="C88" s="10">
        <v>52.3</v>
      </c>
      <c r="D88" s="10">
        <v>1962</v>
      </c>
    </row>
    <row r="89" spans="1:4" ht="19.95" customHeight="1" x14ac:dyDescent="0.25">
      <c r="A89" s="9" t="s">
        <v>9</v>
      </c>
      <c r="B89" s="10" t="s">
        <v>10</v>
      </c>
      <c r="C89" s="10">
        <v>42.225000000000001</v>
      </c>
      <c r="D89" s="10">
        <v>1963</v>
      </c>
    </row>
    <row r="90" spans="1:4" ht="19.95" customHeight="1" x14ac:dyDescent="0.25">
      <c r="A90" s="9" t="s">
        <v>12</v>
      </c>
      <c r="B90" s="10" t="s">
        <v>10</v>
      </c>
      <c r="C90" s="10">
        <v>42.868000000000002</v>
      </c>
      <c r="D90" s="10">
        <v>1963</v>
      </c>
    </row>
    <row r="91" spans="1:4" ht="19.95" customHeight="1" x14ac:dyDescent="0.25">
      <c r="A91" s="9" t="s">
        <v>13</v>
      </c>
      <c r="B91" s="10" t="s">
        <v>10</v>
      </c>
      <c r="C91" s="10">
        <v>38.795000000000002</v>
      </c>
      <c r="D91" s="10">
        <v>1963</v>
      </c>
    </row>
    <row r="92" spans="1:4" ht="19.95" customHeight="1" x14ac:dyDescent="0.25">
      <c r="A92" s="9" t="s">
        <v>15</v>
      </c>
      <c r="B92" s="10" t="s">
        <v>10</v>
      </c>
      <c r="C92" s="10">
        <v>42.643999999999998</v>
      </c>
      <c r="D92" s="10">
        <v>1963</v>
      </c>
    </row>
    <row r="93" spans="1:4" ht="19.95" customHeight="1" x14ac:dyDescent="0.25">
      <c r="A93" s="9" t="s">
        <v>16</v>
      </c>
      <c r="B93" s="10" t="s">
        <v>10</v>
      </c>
      <c r="C93" s="10">
        <v>45.308999999999997</v>
      </c>
      <c r="D93" s="10">
        <v>1963</v>
      </c>
    </row>
    <row r="94" spans="1:4" ht="19.95" customHeight="1" x14ac:dyDescent="0.25">
      <c r="A94" s="9" t="s">
        <v>1</v>
      </c>
      <c r="B94" s="10" t="s">
        <v>10</v>
      </c>
      <c r="C94" s="10">
        <v>40.29</v>
      </c>
      <c r="D94" s="10">
        <v>1963</v>
      </c>
    </row>
    <row r="95" spans="1:4" ht="19.95" customHeight="1" x14ac:dyDescent="0.25">
      <c r="A95" s="9" t="s">
        <v>17</v>
      </c>
      <c r="B95" s="10" t="s">
        <v>10</v>
      </c>
      <c r="C95" s="10">
        <v>35.432000000000002</v>
      </c>
      <c r="D95" s="10">
        <v>1963</v>
      </c>
    </row>
    <row r="96" spans="1:4" ht="19.95" customHeight="1" x14ac:dyDescent="0.25">
      <c r="A96" s="9" t="s">
        <v>18</v>
      </c>
      <c r="B96" s="10" t="s">
        <v>10</v>
      </c>
      <c r="C96" s="10">
        <v>43.848999999999997</v>
      </c>
      <c r="D96" s="10">
        <v>1963</v>
      </c>
    </row>
    <row r="97" spans="1:4" ht="19.95" customHeight="1" x14ac:dyDescent="0.25">
      <c r="A97" s="9" t="s">
        <v>19</v>
      </c>
      <c r="B97" s="10" t="s">
        <v>10</v>
      </c>
      <c r="C97" s="10">
        <v>48.250999999999998</v>
      </c>
      <c r="D97" s="10">
        <v>1963</v>
      </c>
    </row>
    <row r="98" spans="1:4" ht="19.95" customHeight="1" x14ac:dyDescent="0.25">
      <c r="A98" s="9" t="s">
        <v>20</v>
      </c>
      <c r="B98" s="10" t="s">
        <v>10</v>
      </c>
      <c r="C98" s="10"/>
      <c r="D98" s="10">
        <v>1963</v>
      </c>
    </row>
    <row r="99" spans="1:4" ht="19.95" customHeight="1" x14ac:dyDescent="0.25">
      <c r="A99" s="9" t="s">
        <v>21</v>
      </c>
      <c r="B99" s="10" t="s">
        <v>10</v>
      </c>
      <c r="C99" s="10">
        <v>35.625999999999998</v>
      </c>
      <c r="D99" s="10">
        <v>1963</v>
      </c>
    </row>
    <row r="100" spans="1:4" ht="19.95" customHeight="1" x14ac:dyDescent="0.25">
      <c r="A100" s="9" t="s">
        <v>22</v>
      </c>
      <c r="B100" s="10" t="s">
        <v>10</v>
      </c>
      <c r="C100" s="10">
        <v>41.401000000000003</v>
      </c>
      <c r="D100" s="10">
        <v>1963</v>
      </c>
    </row>
    <row r="101" spans="1:4" ht="19.95" customHeight="1" x14ac:dyDescent="0.25">
      <c r="A101" s="9" t="s">
        <v>23</v>
      </c>
      <c r="B101" s="10" t="s">
        <v>10</v>
      </c>
      <c r="C101" s="10">
        <v>38.457999999999998</v>
      </c>
      <c r="D101" s="10">
        <v>1963</v>
      </c>
    </row>
    <row r="102" spans="1:4" ht="19.95" customHeight="1" x14ac:dyDescent="0.25">
      <c r="A102" s="9" t="s">
        <v>24</v>
      </c>
      <c r="B102" s="10" t="s">
        <v>10</v>
      </c>
      <c r="C102" s="10">
        <v>28.782</v>
      </c>
      <c r="D102" s="10">
        <v>1963</v>
      </c>
    </row>
    <row r="103" spans="1:4" ht="19.95" customHeight="1" x14ac:dyDescent="0.25">
      <c r="A103" s="9" t="s">
        <v>25</v>
      </c>
      <c r="B103" s="10" t="s">
        <v>10</v>
      </c>
      <c r="C103" s="10">
        <v>63.122</v>
      </c>
      <c r="D103" s="10">
        <v>1963</v>
      </c>
    </row>
    <row r="104" spans="1:4" ht="19.95" customHeight="1" x14ac:dyDescent="0.25">
      <c r="A104" s="9" t="s">
        <v>26</v>
      </c>
      <c r="B104" s="10" t="s">
        <v>10</v>
      </c>
      <c r="C104" s="10">
        <v>36.363</v>
      </c>
      <c r="D104" s="10">
        <v>1963</v>
      </c>
    </row>
    <row r="105" spans="1:4" ht="19.95" customHeight="1" x14ac:dyDescent="0.25">
      <c r="A105" s="9" t="s">
        <v>28</v>
      </c>
      <c r="B105" s="10" t="s">
        <v>10</v>
      </c>
      <c r="C105" s="10">
        <v>44.993000000000002</v>
      </c>
      <c r="D105" s="10">
        <v>1963</v>
      </c>
    </row>
    <row r="106" spans="1:4" ht="19.95" customHeight="1" x14ac:dyDescent="0.25">
      <c r="A106" s="9" t="s">
        <v>29</v>
      </c>
      <c r="B106" s="10" t="s">
        <v>10</v>
      </c>
      <c r="C106" s="10">
        <v>36.454999999999998</v>
      </c>
      <c r="D106" s="10">
        <v>1963</v>
      </c>
    </row>
    <row r="107" spans="1:4" ht="19.95" customHeight="1" x14ac:dyDescent="0.25">
      <c r="A107" s="9" t="s">
        <v>30</v>
      </c>
      <c r="B107" s="10" t="s">
        <v>10</v>
      </c>
      <c r="C107" s="10">
        <v>48.984000000000002</v>
      </c>
      <c r="D107" s="10">
        <v>1963</v>
      </c>
    </row>
    <row r="108" spans="1:4" ht="19.95" customHeight="1" x14ac:dyDescent="0.25">
      <c r="A108" s="9" t="s">
        <v>31</v>
      </c>
      <c r="B108" s="10" t="s">
        <v>10</v>
      </c>
      <c r="C108" s="10">
        <v>35.287999999999997</v>
      </c>
      <c r="D108" s="10">
        <v>1963</v>
      </c>
    </row>
    <row r="109" spans="1:4" ht="19.95" customHeight="1" x14ac:dyDescent="0.25">
      <c r="A109" s="9" t="s">
        <v>32</v>
      </c>
      <c r="B109" s="10" t="s">
        <v>10</v>
      </c>
      <c r="C109" s="10">
        <v>43.16</v>
      </c>
      <c r="D109" s="10">
        <v>1963</v>
      </c>
    </row>
    <row r="110" spans="1:4" ht="19.95" customHeight="1" x14ac:dyDescent="0.25">
      <c r="A110" s="9" t="s">
        <v>33</v>
      </c>
      <c r="B110" s="10" t="s">
        <v>10</v>
      </c>
      <c r="C110" s="10">
        <v>52.063000000000002</v>
      </c>
      <c r="D110" s="10">
        <v>1963</v>
      </c>
    </row>
    <row r="111" spans="1:4" ht="19.95" customHeight="1" x14ac:dyDescent="0.25">
      <c r="A111" s="9" t="s">
        <v>34</v>
      </c>
      <c r="B111" s="10" t="s">
        <v>10</v>
      </c>
      <c r="C111" s="10">
        <v>60.610999999999997</v>
      </c>
      <c r="D111" s="10">
        <v>1963</v>
      </c>
    </row>
    <row r="112" spans="1:4" ht="19.95" customHeight="1" x14ac:dyDescent="0.25">
      <c r="A112" s="9" t="s">
        <v>35</v>
      </c>
      <c r="B112" s="10" t="s">
        <v>10</v>
      </c>
      <c r="C112" s="10">
        <v>57.418999999999997</v>
      </c>
      <c r="D112" s="10">
        <v>1963</v>
      </c>
    </row>
    <row r="113" spans="1:4" ht="19.95" customHeight="1" x14ac:dyDescent="0.25">
      <c r="A113" s="9" t="s">
        <v>36</v>
      </c>
      <c r="B113" s="10" t="s">
        <v>10</v>
      </c>
      <c r="C113" s="10">
        <v>44.456000000000003</v>
      </c>
      <c r="D113" s="10">
        <v>1963</v>
      </c>
    </row>
    <row r="114" spans="1:4" ht="19.95" customHeight="1" x14ac:dyDescent="0.25">
      <c r="A114" s="9" t="s">
        <v>37</v>
      </c>
      <c r="B114" s="10" t="s">
        <v>10</v>
      </c>
      <c r="C114" s="10">
        <v>45.747999999999998</v>
      </c>
      <c r="D114" s="10">
        <v>1963</v>
      </c>
    </row>
    <row r="115" spans="1:4" ht="19.95" customHeight="1" x14ac:dyDescent="0.25">
      <c r="A115" s="9" t="s">
        <v>38</v>
      </c>
      <c r="B115" s="10" t="s">
        <v>10</v>
      </c>
      <c r="C115" s="10">
        <v>46.225000000000001</v>
      </c>
      <c r="D115" s="10">
        <v>1963</v>
      </c>
    </row>
    <row r="116" spans="1:4" ht="19.95" customHeight="1" x14ac:dyDescent="0.25">
      <c r="A116" s="9" t="s">
        <v>39</v>
      </c>
      <c r="B116" s="10" t="s">
        <v>10</v>
      </c>
      <c r="C116" s="10">
        <v>52.651000000000003</v>
      </c>
      <c r="D116" s="10">
        <v>1963</v>
      </c>
    </row>
    <row r="117" spans="1:4" ht="19.95" customHeight="1" x14ac:dyDescent="0.25">
      <c r="A117" s="9" t="s">
        <v>9</v>
      </c>
      <c r="B117" s="10" t="s">
        <v>10</v>
      </c>
      <c r="C117" s="10">
        <v>42.54</v>
      </c>
      <c r="D117" s="10">
        <v>1964</v>
      </c>
    </row>
    <row r="118" spans="1:4" ht="19.95" customHeight="1" x14ac:dyDescent="0.25">
      <c r="A118" s="9" t="s">
        <v>12</v>
      </c>
      <c r="B118" s="10" t="s">
        <v>10</v>
      </c>
      <c r="C118" s="10">
        <v>43.304000000000002</v>
      </c>
      <c r="D118" s="10">
        <v>1964</v>
      </c>
    </row>
    <row r="119" spans="1:4" ht="19.95" customHeight="1" x14ac:dyDescent="0.25">
      <c r="A119" s="9" t="s">
        <v>13</v>
      </c>
      <c r="B119" s="10" t="s">
        <v>10</v>
      </c>
      <c r="C119" s="10">
        <v>39.061</v>
      </c>
      <c r="D119" s="10">
        <v>1964</v>
      </c>
    </row>
    <row r="120" spans="1:4" ht="19.95" customHeight="1" x14ac:dyDescent="0.25">
      <c r="A120" s="9" t="s">
        <v>15</v>
      </c>
      <c r="B120" s="10" t="s">
        <v>10</v>
      </c>
      <c r="C120" s="10">
        <v>43.042999999999999</v>
      </c>
      <c r="D120" s="10">
        <v>1964</v>
      </c>
    </row>
    <row r="121" spans="1:4" ht="19.95" customHeight="1" x14ac:dyDescent="0.25">
      <c r="A121" s="9" t="s">
        <v>16</v>
      </c>
      <c r="B121" s="10" t="s">
        <v>10</v>
      </c>
      <c r="C121" s="10">
        <v>45.726999999999997</v>
      </c>
      <c r="D121" s="10">
        <v>1964</v>
      </c>
    </row>
    <row r="122" spans="1:4" ht="19.95" customHeight="1" x14ac:dyDescent="0.25">
      <c r="A122" s="9" t="s">
        <v>1</v>
      </c>
      <c r="B122" s="10" t="s">
        <v>10</v>
      </c>
      <c r="C122" s="10">
        <v>40.81</v>
      </c>
      <c r="D122" s="10">
        <v>1964</v>
      </c>
    </row>
    <row r="123" spans="1:4" ht="19.95" customHeight="1" x14ac:dyDescent="0.25">
      <c r="A123" s="9" t="s">
        <v>17</v>
      </c>
      <c r="B123" s="10" t="s">
        <v>10</v>
      </c>
      <c r="C123" s="10">
        <v>35.588000000000001</v>
      </c>
      <c r="D123" s="10">
        <v>1964</v>
      </c>
    </row>
    <row r="124" spans="1:4" ht="19.95" customHeight="1" x14ac:dyDescent="0.25">
      <c r="A124" s="9" t="s">
        <v>18</v>
      </c>
      <c r="B124" s="10" t="s">
        <v>10</v>
      </c>
      <c r="C124" s="10">
        <v>44.411999999999999</v>
      </c>
      <c r="D124" s="10">
        <v>1964</v>
      </c>
    </row>
    <row r="125" spans="1:4" ht="19.95" customHeight="1" x14ac:dyDescent="0.25">
      <c r="A125" s="9" t="s">
        <v>19</v>
      </c>
      <c r="B125" s="10" t="s">
        <v>10</v>
      </c>
      <c r="C125" s="10">
        <v>48.841000000000001</v>
      </c>
      <c r="D125" s="10">
        <v>1964</v>
      </c>
    </row>
    <row r="126" spans="1:4" ht="19.95" customHeight="1" x14ac:dyDescent="0.25">
      <c r="A126" s="9" t="s">
        <v>20</v>
      </c>
      <c r="B126" s="10" t="s">
        <v>10</v>
      </c>
      <c r="C126" s="10"/>
      <c r="D126" s="10">
        <v>1964</v>
      </c>
    </row>
    <row r="127" spans="1:4" ht="19.95" customHeight="1" x14ac:dyDescent="0.25">
      <c r="A127" s="9" t="s">
        <v>21</v>
      </c>
      <c r="B127" s="10" t="s">
        <v>10</v>
      </c>
      <c r="C127" s="10">
        <v>36.048999999999999</v>
      </c>
      <c r="D127" s="10">
        <v>1964</v>
      </c>
    </row>
    <row r="128" spans="1:4" ht="19.95" customHeight="1" x14ac:dyDescent="0.25">
      <c r="A128" s="9" t="s">
        <v>22</v>
      </c>
      <c r="B128" s="10" t="s">
        <v>10</v>
      </c>
      <c r="C128" s="10">
        <v>41.875999999999998</v>
      </c>
      <c r="D128" s="10">
        <v>1964</v>
      </c>
    </row>
    <row r="129" spans="1:4" ht="19.95" customHeight="1" x14ac:dyDescent="0.25">
      <c r="A129" s="9" t="s">
        <v>23</v>
      </c>
      <c r="B129" s="10" t="s">
        <v>10</v>
      </c>
      <c r="C129" s="10">
        <v>38.664000000000001</v>
      </c>
      <c r="D129" s="10">
        <v>1964</v>
      </c>
    </row>
    <row r="130" spans="1:4" ht="19.95" customHeight="1" x14ac:dyDescent="0.25">
      <c r="A130" s="9" t="s">
        <v>24</v>
      </c>
      <c r="B130" s="10" t="s">
        <v>10</v>
      </c>
      <c r="C130" s="10">
        <v>29.097000000000001</v>
      </c>
      <c r="D130" s="10">
        <v>1964</v>
      </c>
    </row>
    <row r="131" spans="1:4" ht="19.95" customHeight="1" x14ac:dyDescent="0.25">
      <c r="A131" s="9" t="s">
        <v>25</v>
      </c>
      <c r="B131" s="10" t="s">
        <v>10</v>
      </c>
      <c r="C131" s="10">
        <v>63.496000000000002</v>
      </c>
      <c r="D131" s="10">
        <v>1964</v>
      </c>
    </row>
    <row r="132" spans="1:4" ht="19.95" customHeight="1" x14ac:dyDescent="0.25">
      <c r="A132" s="9" t="s">
        <v>26</v>
      </c>
      <c r="B132" s="10" t="s">
        <v>10</v>
      </c>
      <c r="C132" s="10">
        <v>36.773000000000003</v>
      </c>
      <c r="D132" s="10">
        <v>1964</v>
      </c>
    </row>
    <row r="133" spans="1:4" ht="19.95" customHeight="1" x14ac:dyDescent="0.25">
      <c r="A133" s="9" t="s">
        <v>28</v>
      </c>
      <c r="B133" s="10" t="s">
        <v>10</v>
      </c>
      <c r="C133" s="10">
        <v>45.95</v>
      </c>
      <c r="D133" s="10">
        <v>1964</v>
      </c>
    </row>
    <row r="134" spans="1:4" ht="19.95" customHeight="1" x14ac:dyDescent="0.25">
      <c r="A134" s="9" t="s">
        <v>29</v>
      </c>
      <c r="B134" s="10" t="s">
        <v>10</v>
      </c>
      <c r="C134" s="10">
        <v>36.975999999999999</v>
      </c>
      <c r="D134" s="10">
        <v>1964</v>
      </c>
    </row>
    <row r="135" spans="1:4" ht="19.95" customHeight="1" x14ac:dyDescent="0.25">
      <c r="A135" s="9" t="s">
        <v>30</v>
      </c>
      <c r="B135" s="10" t="s">
        <v>10</v>
      </c>
      <c r="C135" s="10">
        <v>49.642000000000003</v>
      </c>
      <c r="D135" s="10">
        <v>1964</v>
      </c>
    </row>
    <row r="136" spans="1:4" ht="19.95" customHeight="1" x14ac:dyDescent="0.25">
      <c r="A136" s="9" t="s">
        <v>31</v>
      </c>
      <c r="B136" s="10" t="s">
        <v>10</v>
      </c>
      <c r="C136" s="10">
        <v>35.359000000000002</v>
      </c>
      <c r="D136" s="10">
        <v>1964</v>
      </c>
    </row>
    <row r="137" spans="1:4" ht="19.95" customHeight="1" x14ac:dyDescent="0.25">
      <c r="A137" s="9" t="s">
        <v>32</v>
      </c>
      <c r="B137" s="10" t="s">
        <v>10</v>
      </c>
      <c r="C137" s="10">
        <v>43.417999999999999</v>
      </c>
      <c r="D137" s="10">
        <v>1964</v>
      </c>
    </row>
    <row r="138" spans="1:4" ht="19.95" customHeight="1" x14ac:dyDescent="0.25">
      <c r="A138" s="9" t="s">
        <v>33</v>
      </c>
      <c r="B138" s="10" t="s">
        <v>10</v>
      </c>
      <c r="C138" s="10">
        <v>52.597000000000001</v>
      </c>
      <c r="D138" s="10">
        <v>1964</v>
      </c>
    </row>
    <row r="139" spans="1:4" ht="19.95" customHeight="1" x14ac:dyDescent="0.25">
      <c r="A139" s="9" t="s">
        <v>34</v>
      </c>
      <c r="B139" s="10" t="s">
        <v>10</v>
      </c>
      <c r="C139" s="10">
        <v>61.078000000000003</v>
      </c>
      <c r="D139" s="10">
        <v>1964</v>
      </c>
    </row>
    <row r="140" spans="1:4" ht="19.95" customHeight="1" x14ac:dyDescent="0.25">
      <c r="A140" s="9" t="s">
        <v>35</v>
      </c>
      <c r="B140" s="10" t="s">
        <v>10</v>
      </c>
      <c r="C140" s="10">
        <v>57.843000000000004</v>
      </c>
      <c r="D140" s="10">
        <v>1964</v>
      </c>
    </row>
    <row r="141" spans="1:4" ht="19.95" customHeight="1" x14ac:dyDescent="0.25">
      <c r="A141" s="9" t="s">
        <v>36</v>
      </c>
      <c r="B141" s="10" t="s">
        <v>10</v>
      </c>
      <c r="C141" s="10">
        <v>44.731000000000002</v>
      </c>
      <c r="D141" s="10">
        <v>1964</v>
      </c>
    </row>
    <row r="142" spans="1:4" ht="19.95" customHeight="1" x14ac:dyDescent="0.25">
      <c r="A142" s="9" t="s">
        <v>37</v>
      </c>
      <c r="B142" s="10" t="s">
        <v>10</v>
      </c>
      <c r="C142" s="10">
        <v>46.332000000000001</v>
      </c>
      <c r="D142" s="10">
        <v>1964</v>
      </c>
    </row>
    <row r="143" spans="1:4" ht="19.95" customHeight="1" x14ac:dyDescent="0.25">
      <c r="A143" s="9" t="s">
        <v>38</v>
      </c>
      <c r="B143" s="10" t="s">
        <v>10</v>
      </c>
      <c r="C143" s="10">
        <v>46.573999999999998</v>
      </c>
      <c r="D143" s="10">
        <v>1964</v>
      </c>
    </row>
    <row r="144" spans="1:4" ht="19.95" customHeight="1" x14ac:dyDescent="0.25">
      <c r="A144" s="9" t="s">
        <v>39</v>
      </c>
      <c r="B144" s="10" t="s">
        <v>10</v>
      </c>
      <c r="C144" s="10">
        <v>52.993000000000002</v>
      </c>
      <c r="D144" s="10">
        <v>1964</v>
      </c>
    </row>
    <row r="145" spans="1:4" ht="19.95" customHeight="1" x14ac:dyDescent="0.25">
      <c r="A145" s="9" t="s">
        <v>9</v>
      </c>
      <c r="B145" s="10" t="s">
        <v>10</v>
      </c>
      <c r="C145" s="10">
        <v>42.838000000000001</v>
      </c>
      <c r="D145" s="10">
        <v>1965</v>
      </c>
    </row>
    <row r="146" spans="1:4" ht="19.95" customHeight="1" x14ac:dyDescent="0.25">
      <c r="A146" s="9" t="s">
        <v>12</v>
      </c>
      <c r="B146" s="10" t="s">
        <v>10</v>
      </c>
      <c r="C146" s="10">
        <v>43.741</v>
      </c>
      <c r="D146" s="10">
        <v>1965</v>
      </c>
    </row>
    <row r="147" spans="1:4" ht="19.95" customHeight="1" x14ac:dyDescent="0.25">
      <c r="A147" s="9" t="s">
        <v>13</v>
      </c>
      <c r="B147" s="10" t="s">
        <v>10</v>
      </c>
      <c r="C147" s="10">
        <v>39.345999999999997</v>
      </c>
      <c r="D147" s="10">
        <v>1965</v>
      </c>
    </row>
    <row r="148" spans="1:4" ht="19.95" customHeight="1" x14ac:dyDescent="0.25">
      <c r="A148" s="9" t="s">
        <v>15</v>
      </c>
      <c r="B148" s="10" t="s">
        <v>10</v>
      </c>
      <c r="C148" s="10">
        <v>43.445999999999998</v>
      </c>
      <c r="D148" s="10">
        <v>1965</v>
      </c>
    </row>
    <row r="149" spans="1:4" ht="19.95" customHeight="1" x14ac:dyDescent="0.25">
      <c r="A149" s="9" t="s">
        <v>16</v>
      </c>
      <c r="B149" s="10" t="s">
        <v>10</v>
      </c>
      <c r="C149" s="10">
        <v>46.165999999999997</v>
      </c>
      <c r="D149" s="10">
        <v>1965</v>
      </c>
    </row>
    <row r="150" spans="1:4" ht="19.95" customHeight="1" x14ac:dyDescent="0.25">
      <c r="A150" s="9" t="s">
        <v>1</v>
      </c>
      <c r="B150" s="10" t="s">
        <v>10</v>
      </c>
      <c r="C150" s="10">
        <v>41.267000000000003</v>
      </c>
      <c r="D150" s="10">
        <v>1965</v>
      </c>
    </row>
    <row r="151" spans="1:4" ht="19.95" customHeight="1" x14ac:dyDescent="0.25">
      <c r="A151" s="9" t="s">
        <v>17</v>
      </c>
      <c r="B151" s="10" t="s">
        <v>10</v>
      </c>
      <c r="C151" s="10">
        <v>35.74</v>
      </c>
      <c r="D151" s="10">
        <v>1965</v>
      </c>
    </row>
    <row r="152" spans="1:4" ht="19.95" customHeight="1" x14ac:dyDescent="0.25">
      <c r="A152" s="9" t="s">
        <v>18</v>
      </c>
      <c r="B152" s="10" t="s">
        <v>10</v>
      </c>
      <c r="C152" s="10">
        <v>44.954999999999998</v>
      </c>
      <c r="D152" s="10">
        <v>1965</v>
      </c>
    </row>
    <row r="153" spans="1:4" ht="19.95" customHeight="1" x14ac:dyDescent="0.25">
      <c r="A153" s="9" t="s">
        <v>19</v>
      </c>
      <c r="B153" s="10" t="s">
        <v>10</v>
      </c>
      <c r="C153" s="10">
        <v>49.408999999999999</v>
      </c>
      <c r="D153" s="10">
        <v>1965</v>
      </c>
    </row>
    <row r="154" spans="1:4" ht="19.95" customHeight="1" x14ac:dyDescent="0.25">
      <c r="A154" s="9" t="s">
        <v>20</v>
      </c>
      <c r="B154" s="10" t="s">
        <v>10</v>
      </c>
      <c r="C154" s="10"/>
      <c r="D154" s="10">
        <v>1965</v>
      </c>
    </row>
    <row r="155" spans="1:4" ht="19.95" customHeight="1" x14ac:dyDescent="0.25">
      <c r="A155" s="9" t="s">
        <v>21</v>
      </c>
      <c r="B155" s="10" t="s">
        <v>10</v>
      </c>
      <c r="C155" s="10">
        <v>36.520000000000003</v>
      </c>
      <c r="D155" s="10">
        <v>1965</v>
      </c>
    </row>
    <row r="156" spans="1:4" ht="19.95" customHeight="1" x14ac:dyDescent="0.25">
      <c r="A156" s="9" t="s">
        <v>22</v>
      </c>
      <c r="B156" s="10" t="s">
        <v>10</v>
      </c>
      <c r="C156" s="10">
        <v>42.350999999999999</v>
      </c>
      <c r="D156" s="10">
        <v>1965</v>
      </c>
    </row>
    <row r="157" spans="1:4" ht="19.95" customHeight="1" x14ac:dyDescent="0.25">
      <c r="A157" s="9" t="s">
        <v>23</v>
      </c>
      <c r="B157" s="10" t="s">
        <v>10</v>
      </c>
      <c r="C157" s="10">
        <v>38.881</v>
      </c>
      <c r="D157" s="10">
        <v>1965</v>
      </c>
    </row>
    <row r="158" spans="1:4" ht="19.95" customHeight="1" x14ac:dyDescent="0.25">
      <c r="A158" s="9" t="s">
        <v>24</v>
      </c>
      <c r="B158" s="10" t="s">
        <v>10</v>
      </c>
      <c r="C158" s="10">
        <v>29.489000000000001</v>
      </c>
      <c r="D158" s="10">
        <v>1965</v>
      </c>
    </row>
    <row r="159" spans="1:4" ht="19.95" customHeight="1" x14ac:dyDescent="0.25">
      <c r="A159" s="9" t="s">
        <v>25</v>
      </c>
      <c r="B159" s="10" t="s">
        <v>10</v>
      </c>
      <c r="C159" s="10">
        <v>63.856000000000002</v>
      </c>
      <c r="D159" s="10">
        <v>1965</v>
      </c>
    </row>
    <row r="160" spans="1:4" ht="19.95" customHeight="1" x14ac:dyDescent="0.25">
      <c r="A160" s="9" t="s">
        <v>26</v>
      </c>
      <c r="B160" s="10" t="s">
        <v>10</v>
      </c>
      <c r="C160" s="10">
        <v>37.173999999999999</v>
      </c>
      <c r="D160" s="10">
        <v>1965</v>
      </c>
    </row>
    <row r="161" spans="1:4" ht="19.95" customHeight="1" x14ac:dyDescent="0.25">
      <c r="A161" s="9" t="s">
        <v>28</v>
      </c>
      <c r="B161" s="10" t="s">
        <v>10</v>
      </c>
      <c r="C161" s="10">
        <v>46.966999999999999</v>
      </c>
      <c r="D161" s="10">
        <v>1965</v>
      </c>
    </row>
    <row r="162" spans="1:4" ht="19.95" customHeight="1" x14ac:dyDescent="0.25">
      <c r="A162" s="9" t="s">
        <v>29</v>
      </c>
      <c r="B162" s="10" t="s">
        <v>10</v>
      </c>
      <c r="C162" s="10">
        <v>37.536999999999999</v>
      </c>
      <c r="D162" s="10">
        <v>1965</v>
      </c>
    </row>
    <row r="163" spans="1:4" ht="19.95" customHeight="1" x14ac:dyDescent="0.25">
      <c r="A163" s="9" t="s">
        <v>30</v>
      </c>
      <c r="B163" s="10" t="s">
        <v>10</v>
      </c>
      <c r="C163" s="10">
        <v>50.305999999999997</v>
      </c>
      <c r="D163" s="10">
        <v>1965</v>
      </c>
    </row>
    <row r="164" spans="1:4" ht="19.95" customHeight="1" x14ac:dyDescent="0.25">
      <c r="A164" s="9" t="s">
        <v>31</v>
      </c>
      <c r="B164" s="10" t="s">
        <v>10</v>
      </c>
      <c r="C164" s="10">
        <v>35.427999999999997</v>
      </c>
      <c r="D164" s="10">
        <v>1965</v>
      </c>
    </row>
    <row r="165" spans="1:4" ht="19.95" customHeight="1" x14ac:dyDescent="0.25">
      <c r="A165" s="9" t="s">
        <v>32</v>
      </c>
      <c r="B165" s="10" t="s">
        <v>10</v>
      </c>
      <c r="C165" s="10">
        <v>43.65</v>
      </c>
      <c r="D165" s="10">
        <v>1965</v>
      </c>
    </row>
    <row r="166" spans="1:4" ht="19.95" customHeight="1" x14ac:dyDescent="0.25">
      <c r="A166" s="9" t="s">
        <v>33</v>
      </c>
      <c r="B166" s="10" t="s">
        <v>10</v>
      </c>
      <c r="C166" s="10">
        <v>53.118000000000002</v>
      </c>
      <c r="D166" s="10">
        <v>1965</v>
      </c>
    </row>
    <row r="167" spans="1:4" ht="19.95" customHeight="1" x14ac:dyDescent="0.25">
      <c r="A167" s="9" t="s">
        <v>34</v>
      </c>
      <c r="B167" s="10" t="s">
        <v>10</v>
      </c>
      <c r="C167" s="10">
        <v>61.579000000000001</v>
      </c>
      <c r="D167" s="10">
        <v>1965</v>
      </c>
    </row>
    <row r="168" spans="1:4" ht="19.95" customHeight="1" x14ac:dyDescent="0.25">
      <c r="A168" s="9" t="s">
        <v>35</v>
      </c>
      <c r="B168" s="10" t="s">
        <v>10</v>
      </c>
      <c r="C168" s="10">
        <v>58.261000000000003</v>
      </c>
      <c r="D168" s="10">
        <v>1965</v>
      </c>
    </row>
    <row r="169" spans="1:4" ht="19.95" customHeight="1" x14ac:dyDescent="0.25">
      <c r="A169" s="9" t="s">
        <v>36</v>
      </c>
      <c r="B169" s="10" t="s">
        <v>10</v>
      </c>
      <c r="C169" s="10">
        <v>45.021999999999998</v>
      </c>
      <c r="D169" s="10">
        <v>1965</v>
      </c>
    </row>
    <row r="170" spans="1:4" ht="19.95" customHeight="1" x14ac:dyDescent="0.25">
      <c r="A170" s="9" t="s">
        <v>37</v>
      </c>
      <c r="B170" s="10" t="s">
        <v>10</v>
      </c>
      <c r="C170" s="10">
        <v>46.890999999999998</v>
      </c>
      <c r="D170" s="10">
        <v>1965</v>
      </c>
    </row>
    <row r="171" spans="1:4" ht="19.95" customHeight="1" x14ac:dyDescent="0.25">
      <c r="A171" s="9" t="s">
        <v>38</v>
      </c>
      <c r="B171" s="10" t="s">
        <v>10</v>
      </c>
      <c r="C171" s="10">
        <v>46.929000000000002</v>
      </c>
      <c r="D171" s="10">
        <v>1965</v>
      </c>
    </row>
    <row r="172" spans="1:4" ht="19.95" customHeight="1" x14ac:dyDescent="0.25">
      <c r="A172" s="9" t="s">
        <v>39</v>
      </c>
      <c r="B172" s="10" t="s">
        <v>10</v>
      </c>
      <c r="C172" s="10">
        <v>53.325000000000003</v>
      </c>
      <c r="D172" s="10">
        <v>1965</v>
      </c>
    </row>
    <row r="173" spans="1:4" ht="19.95" customHeight="1" x14ac:dyDescent="0.25">
      <c r="A173" s="9" t="s">
        <v>9</v>
      </c>
      <c r="B173" s="10" t="s">
        <v>10</v>
      </c>
      <c r="C173" s="10">
        <v>43.103000000000002</v>
      </c>
      <c r="D173" s="10">
        <v>1966</v>
      </c>
    </row>
    <row r="174" spans="1:4" ht="19.95" customHeight="1" x14ac:dyDescent="0.25">
      <c r="A174" s="9" t="s">
        <v>12</v>
      </c>
      <c r="B174" s="10" t="s">
        <v>10</v>
      </c>
      <c r="C174" s="10">
        <v>44.183999999999997</v>
      </c>
      <c r="D174" s="10">
        <v>1966</v>
      </c>
    </row>
    <row r="175" spans="1:4" ht="19.95" customHeight="1" x14ac:dyDescent="0.25">
      <c r="A175" s="9" t="s">
        <v>13</v>
      </c>
      <c r="B175" s="10" t="s">
        <v>10</v>
      </c>
      <c r="C175" s="10">
        <v>39.665999999999997</v>
      </c>
      <c r="D175" s="10">
        <v>1966</v>
      </c>
    </row>
    <row r="176" spans="1:4" ht="19.95" customHeight="1" x14ac:dyDescent="0.25">
      <c r="A176" s="9" t="s">
        <v>15</v>
      </c>
      <c r="B176" s="10" t="s">
        <v>10</v>
      </c>
      <c r="C176" s="10">
        <v>43.857999999999997</v>
      </c>
      <c r="D176" s="10">
        <v>1966</v>
      </c>
    </row>
    <row r="177" spans="1:4" ht="19.95" customHeight="1" x14ac:dyDescent="0.25">
      <c r="A177" s="9" t="s">
        <v>16</v>
      </c>
      <c r="B177" s="10" t="s">
        <v>10</v>
      </c>
      <c r="C177" s="10">
        <v>46.654000000000003</v>
      </c>
      <c r="D177" s="10">
        <v>1966</v>
      </c>
    </row>
    <row r="178" spans="1:4" ht="19.95" customHeight="1" x14ac:dyDescent="0.25">
      <c r="A178" s="9" t="s">
        <v>1</v>
      </c>
      <c r="B178" s="10" t="s">
        <v>10</v>
      </c>
      <c r="C178" s="10">
        <v>41.667999999999999</v>
      </c>
      <c r="D178" s="10">
        <v>1966</v>
      </c>
    </row>
    <row r="179" spans="1:4" ht="19.95" customHeight="1" x14ac:dyDescent="0.25">
      <c r="A179" s="9" t="s">
        <v>17</v>
      </c>
      <c r="B179" s="10" t="s">
        <v>10</v>
      </c>
      <c r="C179" s="10">
        <v>35.890999999999998</v>
      </c>
      <c r="D179" s="10">
        <v>1966</v>
      </c>
    </row>
    <row r="180" spans="1:4" ht="19.95" customHeight="1" x14ac:dyDescent="0.25">
      <c r="A180" s="9" t="s">
        <v>18</v>
      </c>
      <c r="B180" s="10" t="s">
        <v>10</v>
      </c>
      <c r="C180" s="10">
        <v>45.472000000000001</v>
      </c>
      <c r="D180" s="10">
        <v>1966</v>
      </c>
    </row>
    <row r="181" spans="1:4" ht="19.95" customHeight="1" x14ac:dyDescent="0.25">
      <c r="A181" s="9" t="s">
        <v>19</v>
      </c>
      <c r="B181" s="10" t="s">
        <v>10</v>
      </c>
      <c r="C181" s="10">
        <v>49.962000000000003</v>
      </c>
      <c r="D181" s="10">
        <v>1966</v>
      </c>
    </row>
    <row r="182" spans="1:4" ht="19.95" customHeight="1" x14ac:dyDescent="0.25">
      <c r="A182" s="9" t="s">
        <v>20</v>
      </c>
      <c r="B182" s="10" t="s">
        <v>10</v>
      </c>
      <c r="C182" s="10"/>
      <c r="D182" s="10">
        <v>1966</v>
      </c>
    </row>
    <row r="183" spans="1:4" ht="19.95" customHeight="1" x14ac:dyDescent="0.25">
      <c r="A183" s="9" t="s">
        <v>21</v>
      </c>
      <c r="B183" s="10" t="s">
        <v>10</v>
      </c>
      <c r="C183" s="10">
        <v>37.03</v>
      </c>
      <c r="D183" s="10">
        <v>1966</v>
      </c>
    </row>
    <row r="184" spans="1:4" ht="19.95" customHeight="1" x14ac:dyDescent="0.25">
      <c r="A184" s="9" t="s">
        <v>22</v>
      </c>
      <c r="B184" s="10" t="s">
        <v>10</v>
      </c>
      <c r="C184" s="10">
        <v>42.828000000000003</v>
      </c>
      <c r="D184" s="10">
        <v>1966</v>
      </c>
    </row>
    <row r="185" spans="1:4" ht="19.95" customHeight="1" x14ac:dyDescent="0.25">
      <c r="A185" s="9" t="s">
        <v>23</v>
      </c>
      <c r="B185" s="10" t="s">
        <v>10</v>
      </c>
      <c r="C185" s="10">
        <v>39.127000000000002</v>
      </c>
      <c r="D185" s="10">
        <v>1966</v>
      </c>
    </row>
    <row r="186" spans="1:4" ht="19.95" customHeight="1" x14ac:dyDescent="0.25">
      <c r="A186" s="9" t="s">
        <v>24</v>
      </c>
      <c r="B186" s="10" t="s">
        <v>10</v>
      </c>
      <c r="C186" s="10">
        <v>29.959</v>
      </c>
      <c r="D186" s="10">
        <v>1966</v>
      </c>
    </row>
    <row r="187" spans="1:4" ht="19.95" customHeight="1" x14ac:dyDescent="0.25">
      <c r="A187" s="9" t="s">
        <v>25</v>
      </c>
      <c r="B187" s="10" t="s">
        <v>10</v>
      </c>
      <c r="C187" s="10">
        <v>64.186000000000007</v>
      </c>
      <c r="D187" s="10">
        <v>1966</v>
      </c>
    </row>
    <row r="188" spans="1:4" ht="19.95" customHeight="1" x14ac:dyDescent="0.25">
      <c r="A188" s="9" t="s">
        <v>26</v>
      </c>
      <c r="B188" s="10" t="s">
        <v>10</v>
      </c>
      <c r="C188" s="10">
        <v>37.573</v>
      </c>
      <c r="D188" s="10">
        <v>1966</v>
      </c>
    </row>
    <row r="189" spans="1:4" ht="19.95" customHeight="1" x14ac:dyDescent="0.25">
      <c r="A189" s="9" t="s">
        <v>28</v>
      </c>
      <c r="B189" s="10" t="s">
        <v>10</v>
      </c>
      <c r="C189" s="10">
        <v>47.981999999999999</v>
      </c>
      <c r="D189" s="10">
        <v>1966</v>
      </c>
    </row>
    <row r="190" spans="1:4" ht="19.95" customHeight="1" x14ac:dyDescent="0.25">
      <c r="A190" s="9" t="s">
        <v>29</v>
      </c>
      <c r="B190" s="10" t="s">
        <v>10</v>
      </c>
      <c r="C190" s="10">
        <v>38.125</v>
      </c>
      <c r="D190" s="10">
        <v>1966</v>
      </c>
    </row>
    <row r="191" spans="1:4" ht="19.95" customHeight="1" x14ac:dyDescent="0.25">
      <c r="A191" s="9" t="s">
        <v>30</v>
      </c>
      <c r="B191" s="10" t="s">
        <v>10</v>
      </c>
      <c r="C191" s="10">
        <v>50.978000000000002</v>
      </c>
      <c r="D191" s="10">
        <v>1966</v>
      </c>
    </row>
    <row r="192" spans="1:4" ht="19.95" customHeight="1" x14ac:dyDescent="0.25">
      <c r="A192" s="9" t="s">
        <v>31</v>
      </c>
      <c r="B192" s="10" t="s">
        <v>10</v>
      </c>
      <c r="C192" s="10">
        <v>35.496000000000002</v>
      </c>
      <c r="D192" s="10">
        <v>1966</v>
      </c>
    </row>
    <row r="193" spans="1:4" ht="19.95" customHeight="1" x14ac:dyDescent="0.25">
      <c r="A193" s="9" t="s">
        <v>32</v>
      </c>
      <c r="B193" s="10" t="s">
        <v>10</v>
      </c>
      <c r="C193" s="10">
        <v>43.847000000000001</v>
      </c>
      <c r="D193" s="10">
        <v>1966</v>
      </c>
    </row>
    <row r="194" spans="1:4" ht="19.95" customHeight="1" x14ac:dyDescent="0.25">
      <c r="A194" s="9" t="s">
        <v>33</v>
      </c>
      <c r="B194" s="10" t="s">
        <v>10</v>
      </c>
      <c r="C194" s="10">
        <v>53.637999999999998</v>
      </c>
      <c r="D194" s="10">
        <v>1966</v>
      </c>
    </row>
    <row r="195" spans="1:4" ht="19.95" customHeight="1" x14ac:dyDescent="0.25">
      <c r="A195" s="9" t="s">
        <v>34</v>
      </c>
      <c r="B195" s="10" t="s">
        <v>10</v>
      </c>
      <c r="C195" s="10">
        <v>62.103999999999999</v>
      </c>
      <c r="D195" s="10">
        <v>1966</v>
      </c>
    </row>
    <row r="196" spans="1:4" ht="19.95" customHeight="1" x14ac:dyDescent="0.25">
      <c r="A196" s="9" t="s">
        <v>35</v>
      </c>
      <c r="B196" s="10" t="s">
        <v>10</v>
      </c>
      <c r="C196" s="10">
        <v>58.667000000000002</v>
      </c>
      <c r="D196" s="10">
        <v>1966</v>
      </c>
    </row>
    <row r="197" spans="1:4" ht="19.95" customHeight="1" x14ac:dyDescent="0.25">
      <c r="A197" s="9" t="s">
        <v>36</v>
      </c>
      <c r="B197" s="10" t="s">
        <v>10</v>
      </c>
      <c r="C197" s="10">
        <v>45.33</v>
      </c>
      <c r="D197" s="10">
        <v>1966</v>
      </c>
    </row>
    <row r="198" spans="1:4" ht="19.95" customHeight="1" x14ac:dyDescent="0.25">
      <c r="A198" s="9" t="s">
        <v>37</v>
      </c>
      <c r="B198" s="10" t="s">
        <v>10</v>
      </c>
      <c r="C198" s="10">
        <v>47.406999999999996</v>
      </c>
      <c r="D198" s="10">
        <v>1966</v>
      </c>
    </row>
    <row r="199" spans="1:4" ht="19.95" customHeight="1" x14ac:dyDescent="0.25">
      <c r="A199" s="9" t="s">
        <v>38</v>
      </c>
      <c r="B199" s="10" t="s">
        <v>10</v>
      </c>
      <c r="C199" s="10">
        <v>47.302</v>
      </c>
      <c r="D199" s="10">
        <v>1966</v>
      </c>
    </row>
    <row r="200" spans="1:4" ht="19.95" customHeight="1" x14ac:dyDescent="0.25">
      <c r="A200" s="9" t="s">
        <v>39</v>
      </c>
      <c r="B200" s="10" t="s">
        <v>10</v>
      </c>
      <c r="C200" s="10">
        <v>53.648000000000003</v>
      </c>
      <c r="D200" s="10">
        <v>1966</v>
      </c>
    </row>
    <row r="201" spans="1:4" ht="19.95" customHeight="1" x14ac:dyDescent="0.25">
      <c r="A201" s="9" t="s">
        <v>9</v>
      </c>
      <c r="B201" s="10" t="s">
        <v>10</v>
      </c>
      <c r="C201" s="10">
        <v>43.328000000000003</v>
      </c>
      <c r="D201" s="10">
        <v>1967</v>
      </c>
    </row>
    <row r="202" spans="1:4" ht="19.95" customHeight="1" x14ac:dyDescent="0.25">
      <c r="A202" s="9" t="s">
        <v>12</v>
      </c>
      <c r="B202" s="10" t="s">
        <v>10</v>
      </c>
      <c r="C202" s="10">
        <v>44.64</v>
      </c>
      <c r="D202" s="10">
        <v>1967</v>
      </c>
    </row>
    <row r="203" spans="1:4" ht="19.95" customHeight="1" x14ac:dyDescent="0.25">
      <c r="A203" s="9" t="s">
        <v>13</v>
      </c>
      <c r="B203" s="10" t="s">
        <v>10</v>
      </c>
      <c r="C203" s="10">
        <v>40.027999999999999</v>
      </c>
      <c r="D203" s="10">
        <v>1967</v>
      </c>
    </row>
    <row r="204" spans="1:4" ht="19.95" customHeight="1" x14ac:dyDescent="0.25">
      <c r="A204" s="9" t="s">
        <v>15</v>
      </c>
      <c r="B204" s="10" t="s">
        <v>10</v>
      </c>
      <c r="C204" s="10">
        <v>44.283000000000001</v>
      </c>
      <c r="D204" s="10">
        <v>1967</v>
      </c>
    </row>
    <row r="205" spans="1:4" ht="19.95" customHeight="1" x14ac:dyDescent="0.25">
      <c r="A205" s="9" t="s">
        <v>16</v>
      </c>
      <c r="B205" s="10" t="s">
        <v>10</v>
      </c>
      <c r="C205" s="10">
        <v>47.203000000000003</v>
      </c>
      <c r="D205" s="10">
        <v>1967</v>
      </c>
    </row>
    <row r="206" spans="1:4" ht="19.95" customHeight="1" x14ac:dyDescent="0.25">
      <c r="A206" s="9" t="s">
        <v>1</v>
      </c>
      <c r="B206" s="10" t="s">
        <v>10</v>
      </c>
      <c r="C206" s="10">
        <v>42.026000000000003</v>
      </c>
      <c r="D206" s="10">
        <v>1967</v>
      </c>
    </row>
    <row r="207" spans="1:4" ht="19.95" customHeight="1" x14ac:dyDescent="0.25">
      <c r="A207" s="9" t="s">
        <v>17</v>
      </c>
      <c r="B207" s="10" t="s">
        <v>10</v>
      </c>
      <c r="C207" s="10">
        <v>36.048000000000002</v>
      </c>
      <c r="D207" s="10">
        <v>1967</v>
      </c>
    </row>
    <row r="208" spans="1:4" ht="19.95" customHeight="1" x14ac:dyDescent="0.25">
      <c r="A208" s="9" t="s">
        <v>18</v>
      </c>
      <c r="B208" s="10" t="s">
        <v>10</v>
      </c>
      <c r="C208" s="10">
        <v>45.954999999999998</v>
      </c>
      <c r="D208" s="10">
        <v>1967</v>
      </c>
    </row>
    <row r="209" spans="1:4" ht="19.95" customHeight="1" x14ac:dyDescent="0.25">
      <c r="A209" s="9" t="s">
        <v>19</v>
      </c>
      <c r="B209" s="10" t="s">
        <v>10</v>
      </c>
      <c r="C209" s="10">
        <v>50.514000000000003</v>
      </c>
      <c r="D209" s="10">
        <v>1967</v>
      </c>
    </row>
    <row r="210" spans="1:4" ht="19.95" customHeight="1" x14ac:dyDescent="0.25">
      <c r="A210" s="9" t="s">
        <v>20</v>
      </c>
      <c r="B210" s="10" t="s">
        <v>10</v>
      </c>
      <c r="C210" s="10"/>
      <c r="D210" s="10">
        <v>1967</v>
      </c>
    </row>
    <row r="211" spans="1:4" ht="19.95" customHeight="1" x14ac:dyDescent="0.25">
      <c r="A211" s="9" t="s">
        <v>21</v>
      </c>
      <c r="B211" s="10" t="s">
        <v>10</v>
      </c>
      <c r="C211" s="10">
        <v>37.564</v>
      </c>
      <c r="D211" s="10">
        <v>1967</v>
      </c>
    </row>
    <row r="212" spans="1:4" ht="19.95" customHeight="1" x14ac:dyDescent="0.25">
      <c r="A212" s="9" t="s">
        <v>22</v>
      </c>
      <c r="B212" s="10" t="s">
        <v>10</v>
      </c>
      <c r="C212" s="10">
        <v>43.31</v>
      </c>
      <c r="D212" s="10">
        <v>1967</v>
      </c>
    </row>
    <row r="213" spans="1:4" ht="19.95" customHeight="1" x14ac:dyDescent="0.25">
      <c r="A213" s="9" t="s">
        <v>23</v>
      </c>
      <c r="B213" s="10" t="s">
        <v>10</v>
      </c>
      <c r="C213" s="10">
        <v>39.414999999999999</v>
      </c>
      <c r="D213" s="10">
        <v>1967</v>
      </c>
    </row>
    <row r="214" spans="1:4" ht="19.95" customHeight="1" x14ac:dyDescent="0.25">
      <c r="A214" s="9" t="s">
        <v>24</v>
      </c>
      <c r="B214" s="10" t="s">
        <v>10</v>
      </c>
      <c r="C214" s="10">
        <v>30.495999999999999</v>
      </c>
      <c r="D214" s="10">
        <v>1967</v>
      </c>
    </row>
    <row r="215" spans="1:4" ht="19.95" customHeight="1" x14ac:dyDescent="0.25">
      <c r="A215" s="9" t="s">
        <v>25</v>
      </c>
      <c r="B215" s="10" t="s">
        <v>10</v>
      </c>
      <c r="C215" s="10">
        <v>64.475999999999999</v>
      </c>
      <c r="D215" s="10">
        <v>1967</v>
      </c>
    </row>
    <row r="216" spans="1:4" ht="19.95" customHeight="1" x14ac:dyDescent="0.25">
      <c r="A216" s="9" t="s">
        <v>26</v>
      </c>
      <c r="B216" s="10" t="s">
        <v>10</v>
      </c>
      <c r="C216" s="10">
        <v>37.979999999999997</v>
      </c>
      <c r="D216" s="10">
        <v>1967</v>
      </c>
    </row>
    <row r="217" spans="1:4" ht="19.95" customHeight="1" x14ac:dyDescent="0.25">
      <c r="A217" s="9" t="s">
        <v>28</v>
      </c>
      <c r="B217" s="10" t="s">
        <v>10</v>
      </c>
      <c r="C217" s="10">
        <v>48.927</v>
      </c>
      <c r="D217" s="10">
        <v>1967</v>
      </c>
    </row>
    <row r="218" spans="1:4" ht="19.95" customHeight="1" x14ac:dyDescent="0.25">
      <c r="A218" s="9" t="s">
        <v>29</v>
      </c>
      <c r="B218" s="10" t="s">
        <v>10</v>
      </c>
      <c r="C218" s="10">
        <v>38.728999999999999</v>
      </c>
      <c r="D218" s="10">
        <v>1967</v>
      </c>
    </row>
    <row r="219" spans="1:4" ht="19.95" customHeight="1" x14ac:dyDescent="0.25">
      <c r="A219" s="9" t="s">
        <v>30</v>
      </c>
      <c r="B219" s="10" t="s">
        <v>10</v>
      </c>
      <c r="C219" s="10">
        <v>51.656999999999996</v>
      </c>
      <c r="D219" s="10">
        <v>1967</v>
      </c>
    </row>
    <row r="220" spans="1:4" ht="19.95" customHeight="1" x14ac:dyDescent="0.25">
      <c r="A220" s="9" t="s">
        <v>31</v>
      </c>
      <c r="B220" s="10" t="s">
        <v>10</v>
      </c>
      <c r="C220" s="10">
        <v>35.570999999999998</v>
      </c>
      <c r="D220" s="10">
        <v>1967</v>
      </c>
    </row>
    <row r="221" spans="1:4" ht="19.95" customHeight="1" x14ac:dyDescent="0.25">
      <c r="A221" s="9" t="s">
        <v>32</v>
      </c>
      <c r="B221" s="10" t="s">
        <v>10</v>
      </c>
      <c r="C221" s="10">
        <v>44.009</v>
      </c>
      <c r="D221" s="10">
        <v>1967</v>
      </c>
    </row>
    <row r="222" spans="1:4" ht="19.95" customHeight="1" x14ac:dyDescent="0.25">
      <c r="A222" s="9" t="s">
        <v>33</v>
      </c>
      <c r="B222" s="10" t="s">
        <v>10</v>
      </c>
      <c r="C222" s="10">
        <v>54.164999999999999</v>
      </c>
      <c r="D222" s="10">
        <v>1967</v>
      </c>
    </row>
    <row r="223" spans="1:4" ht="19.95" customHeight="1" x14ac:dyDescent="0.25">
      <c r="A223" s="9" t="s">
        <v>34</v>
      </c>
      <c r="B223" s="10" t="s">
        <v>10</v>
      </c>
      <c r="C223" s="10">
        <v>62.631</v>
      </c>
      <c r="D223" s="10">
        <v>1967</v>
      </c>
    </row>
    <row r="224" spans="1:4" ht="19.95" customHeight="1" x14ac:dyDescent="0.25">
      <c r="A224" s="9" t="s">
        <v>35</v>
      </c>
      <c r="B224" s="10" t="s">
        <v>10</v>
      </c>
      <c r="C224" s="10">
        <v>59.058999999999997</v>
      </c>
      <c r="D224" s="10">
        <v>1967</v>
      </c>
    </row>
    <row r="225" spans="1:4" ht="19.95" customHeight="1" x14ac:dyDescent="0.25">
      <c r="A225" s="9" t="s">
        <v>36</v>
      </c>
      <c r="B225" s="10" t="s">
        <v>10</v>
      </c>
      <c r="C225" s="10">
        <v>45.654000000000003</v>
      </c>
      <c r="D225" s="10">
        <v>1967</v>
      </c>
    </row>
    <row r="226" spans="1:4" ht="19.95" customHeight="1" x14ac:dyDescent="0.25">
      <c r="A226" s="9" t="s">
        <v>37</v>
      </c>
      <c r="B226" s="10" t="s">
        <v>10</v>
      </c>
      <c r="C226" s="10">
        <v>47.865000000000002</v>
      </c>
      <c r="D226" s="10">
        <v>1967</v>
      </c>
    </row>
    <row r="227" spans="1:4" ht="19.95" customHeight="1" x14ac:dyDescent="0.25">
      <c r="A227" s="9" t="s">
        <v>38</v>
      </c>
      <c r="B227" s="10" t="s">
        <v>10</v>
      </c>
      <c r="C227" s="10">
        <v>47.701000000000001</v>
      </c>
      <c r="D227" s="10">
        <v>1967</v>
      </c>
    </row>
    <row r="228" spans="1:4" ht="19.95" customHeight="1" x14ac:dyDescent="0.25">
      <c r="A228" s="9" t="s">
        <v>39</v>
      </c>
      <c r="B228" s="10" t="s">
        <v>10</v>
      </c>
      <c r="C228" s="10">
        <v>53.965000000000003</v>
      </c>
      <c r="D228" s="10">
        <v>1967</v>
      </c>
    </row>
    <row r="229" spans="1:4" ht="19.95" customHeight="1" x14ac:dyDescent="0.25">
      <c r="A229" s="9" t="s">
        <v>9</v>
      </c>
      <c r="B229" s="10" t="s">
        <v>10</v>
      </c>
      <c r="C229" s="10">
        <v>43.515000000000001</v>
      </c>
      <c r="D229" s="10">
        <v>1968</v>
      </c>
    </row>
    <row r="230" spans="1:4" ht="19.95" customHeight="1" x14ac:dyDescent="0.25">
      <c r="A230" s="9" t="s">
        <v>12</v>
      </c>
      <c r="B230" s="10" t="s">
        <v>10</v>
      </c>
      <c r="C230" s="10">
        <v>45.110999999999997</v>
      </c>
      <c r="D230" s="10">
        <v>1968</v>
      </c>
    </row>
    <row r="231" spans="1:4" ht="19.95" customHeight="1" x14ac:dyDescent="0.25">
      <c r="A231" s="9" t="s">
        <v>13</v>
      </c>
      <c r="B231" s="10" t="s">
        <v>10</v>
      </c>
      <c r="C231" s="10">
        <v>40.432000000000002</v>
      </c>
      <c r="D231" s="10">
        <v>1968</v>
      </c>
    </row>
    <row r="232" spans="1:4" ht="19.95" customHeight="1" x14ac:dyDescent="0.25">
      <c r="A232" s="9" t="s">
        <v>15</v>
      </c>
      <c r="B232" s="10" t="s">
        <v>10</v>
      </c>
      <c r="C232" s="10">
        <v>44.723999999999997</v>
      </c>
      <c r="D232" s="10">
        <v>1968</v>
      </c>
    </row>
    <row r="233" spans="1:4" ht="19.95" customHeight="1" x14ac:dyDescent="0.25">
      <c r="A233" s="9" t="s">
        <v>16</v>
      </c>
      <c r="B233" s="10" t="s">
        <v>10</v>
      </c>
      <c r="C233" s="10">
        <v>47.814</v>
      </c>
      <c r="D233" s="10">
        <v>1968</v>
      </c>
    </row>
    <row r="234" spans="1:4" ht="19.95" customHeight="1" x14ac:dyDescent="0.25">
      <c r="A234" s="9" t="s">
        <v>1</v>
      </c>
      <c r="B234" s="10" t="s">
        <v>10</v>
      </c>
      <c r="C234" s="10">
        <v>42.354999999999997</v>
      </c>
      <c r="D234" s="10">
        <v>1968</v>
      </c>
    </row>
    <row r="235" spans="1:4" ht="19.95" customHeight="1" x14ac:dyDescent="0.25">
      <c r="A235" s="9" t="s">
        <v>17</v>
      </c>
      <c r="B235" s="10" t="s">
        <v>10</v>
      </c>
      <c r="C235" s="10">
        <v>36.222000000000001</v>
      </c>
      <c r="D235" s="10">
        <v>1968</v>
      </c>
    </row>
    <row r="236" spans="1:4" ht="19.95" customHeight="1" x14ac:dyDescent="0.25">
      <c r="A236" s="9" t="s">
        <v>18</v>
      </c>
      <c r="B236" s="10" t="s">
        <v>10</v>
      </c>
      <c r="C236" s="10">
        <v>46.405000000000001</v>
      </c>
      <c r="D236" s="10">
        <v>1968</v>
      </c>
    </row>
    <row r="237" spans="1:4" ht="19.95" customHeight="1" x14ac:dyDescent="0.25">
      <c r="A237" s="9" t="s">
        <v>19</v>
      </c>
      <c r="B237" s="10" t="s">
        <v>10</v>
      </c>
      <c r="C237" s="10">
        <v>51.073999999999998</v>
      </c>
      <c r="D237" s="10">
        <v>1968</v>
      </c>
    </row>
    <row r="238" spans="1:4" ht="19.95" customHeight="1" x14ac:dyDescent="0.25">
      <c r="A238" s="9" t="s">
        <v>20</v>
      </c>
      <c r="B238" s="10" t="s">
        <v>10</v>
      </c>
      <c r="C238" s="10"/>
      <c r="D238" s="10">
        <v>1968</v>
      </c>
    </row>
    <row r="239" spans="1:4" ht="19.95" customHeight="1" x14ac:dyDescent="0.25">
      <c r="A239" s="9" t="s">
        <v>21</v>
      </c>
      <c r="B239" s="10" t="s">
        <v>10</v>
      </c>
      <c r="C239" s="10">
        <v>38.113</v>
      </c>
      <c r="D239" s="10">
        <v>1968</v>
      </c>
    </row>
    <row r="240" spans="1:4" ht="19.95" customHeight="1" x14ac:dyDescent="0.25">
      <c r="A240" s="9" t="s">
        <v>22</v>
      </c>
      <c r="B240" s="10" t="s">
        <v>10</v>
      </c>
      <c r="C240" s="10">
        <v>43.795999999999999</v>
      </c>
      <c r="D240" s="10">
        <v>1968</v>
      </c>
    </row>
    <row r="241" spans="1:4" ht="19.95" customHeight="1" x14ac:dyDescent="0.25">
      <c r="A241" s="9" t="s">
        <v>23</v>
      </c>
      <c r="B241" s="10" t="s">
        <v>10</v>
      </c>
      <c r="C241" s="10">
        <v>39.75</v>
      </c>
      <c r="D241" s="10">
        <v>1968</v>
      </c>
    </row>
    <row r="242" spans="1:4" ht="19.95" customHeight="1" x14ac:dyDescent="0.25">
      <c r="A242" s="9" t="s">
        <v>24</v>
      </c>
      <c r="B242" s="10" t="s">
        <v>10</v>
      </c>
      <c r="C242" s="10">
        <v>31.085999999999999</v>
      </c>
      <c r="D242" s="10">
        <v>1968</v>
      </c>
    </row>
    <row r="243" spans="1:4" ht="19.95" customHeight="1" x14ac:dyDescent="0.25">
      <c r="A243" s="9" t="s">
        <v>25</v>
      </c>
      <c r="B243" s="10" t="s">
        <v>10</v>
      </c>
      <c r="C243" s="10">
        <v>64.718000000000004</v>
      </c>
      <c r="D243" s="10">
        <v>1968</v>
      </c>
    </row>
    <row r="244" spans="1:4" ht="19.95" customHeight="1" x14ac:dyDescent="0.25">
      <c r="A244" s="9" t="s">
        <v>26</v>
      </c>
      <c r="B244" s="10" t="s">
        <v>10</v>
      </c>
      <c r="C244" s="10">
        <v>38.396999999999998</v>
      </c>
      <c r="D244" s="10">
        <v>1968</v>
      </c>
    </row>
    <row r="245" spans="1:4" ht="19.95" customHeight="1" x14ac:dyDescent="0.25">
      <c r="A245" s="9" t="s">
        <v>28</v>
      </c>
      <c r="B245" s="10" t="s">
        <v>10</v>
      </c>
      <c r="C245" s="10">
        <v>49.750999999999998</v>
      </c>
      <c r="D245" s="10">
        <v>1968</v>
      </c>
    </row>
    <row r="246" spans="1:4" ht="19.95" customHeight="1" x14ac:dyDescent="0.25">
      <c r="A246" s="9" t="s">
        <v>29</v>
      </c>
      <c r="B246" s="10" t="s">
        <v>10</v>
      </c>
      <c r="C246" s="10">
        <v>39.338999999999999</v>
      </c>
      <c r="D246" s="10">
        <v>1968</v>
      </c>
    </row>
    <row r="247" spans="1:4" ht="19.95" customHeight="1" x14ac:dyDescent="0.25">
      <c r="A247" s="9" t="s">
        <v>30</v>
      </c>
      <c r="B247" s="10" t="s">
        <v>10</v>
      </c>
      <c r="C247" s="10">
        <v>52.338999999999999</v>
      </c>
      <c r="D247" s="10">
        <v>1968</v>
      </c>
    </row>
    <row r="248" spans="1:4" ht="19.95" customHeight="1" x14ac:dyDescent="0.25">
      <c r="A248" s="9" t="s">
        <v>31</v>
      </c>
      <c r="B248" s="10" t="s">
        <v>10</v>
      </c>
      <c r="C248" s="10">
        <v>35.656999999999996</v>
      </c>
      <c r="D248" s="10">
        <v>1968</v>
      </c>
    </row>
    <row r="249" spans="1:4" ht="19.95" customHeight="1" x14ac:dyDescent="0.25">
      <c r="A249" s="9" t="s">
        <v>32</v>
      </c>
      <c r="B249" s="10" t="s">
        <v>10</v>
      </c>
      <c r="C249" s="10">
        <v>44.140999999999998</v>
      </c>
      <c r="D249" s="10">
        <v>1968</v>
      </c>
    </row>
    <row r="250" spans="1:4" ht="19.95" customHeight="1" x14ac:dyDescent="0.25">
      <c r="A250" s="9" t="s">
        <v>33</v>
      </c>
      <c r="B250" s="10" t="s">
        <v>10</v>
      </c>
      <c r="C250" s="10">
        <v>54.709000000000003</v>
      </c>
      <c r="D250" s="10">
        <v>1968</v>
      </c>
    </row>
    <row r="251" spans="1:4" ht="19.95" customHeight="1" x14ac:dyDescent="0.25">
      <c r="A251" s="9" t="s">
        <v>34</v>
      </c>
      <c r="B251" s="10" t="s">
        <v>10</v>
      </c>
      <c r="C251" s="10">
        <v>63.143999999999998</v>
      </c>
      <c r="D251" s="10">
        <v>1968</v>
      </c>
    </row>
    <row r="252" spans="1:4" ht="19.95" customHeight="1" x14ac:dyDescent="0.25">
      <c r="A252" s="9" t="s">
        <v>35</v>
      </c>
      <c r="B252" s="10" t="s">
        <v>10</v>
      </c>
      <c r="C252" s="10">
        <v>59.432000000000002</v>
      </c>
      <c r="D252" s="10">
        <v>1968</v>
      </c>
    </row>
    <row r="253" spans="1:4" ht="19.95" customHeight="1" x14ac:dyDescent="0.25">
      <c r="A253" s="9" t="s">
        <v>36</v>
      </c>
      <c r="B253" s="10" t="s">
        <v>10</v>
      </c>
      <c r="C253" s="10">
        <v>45.993000000000002</v>
      </c>
      <c r="D253" s="10">
        <v>1968</v>
      </c>
    </row>
    <row r="254" spans="1:4" ht="19.95" customHeight="1" x14ac:dyDescent="0.25">
      <c r="A254" s="9" t="s">
        <v>37</v>
      </c>
      <c r="B254" s="10" t="s">
        <v>10</v>
      </c>
      <c r="C254" s="10">
        <v>48.258000000000003</v>
      </c>
      <c r="D254" s="10">
        <v>1968</v>
      </c>
    </row>
    <row r="255" spans="1:4" ht="19.95" customHeight="1" x14ac:dyDescent="0.25">
      <c r="A255" s="9" t="s">
        <v>38</v>
      </c>
      <c r="B255" s="10" t="s">
        <v>10</v>
      </c>
      <c r="C255" s="10">
        <v>48.127000000000002</v>
      </c>
      <c r="D255" s="10">
        <v>1968</v>
      </c>
    </row>
    <row r="256" spans="1:4" ht="19.95" customHeight="1" x14ac:dyDescent="0.25">
      <c r="A256" s="9" t="s">
        <v>39</v>
      </c>
      <c r="B256" s="10" t="s">
        <v>10</v>
      </c>
      <c r="C256" s="10">
        <v>54.28</v>
      </c>
      <c r="D256" s="10">
        <v>1968</v>
      </c>
    </row>
    <row r="257" spans="1:4" ht="19.95" customHeight="1" x14ac:dyDescent="0.25">
      <c r="A257" s="9" t="s">
        <v>9</v>
      </c>
      <c r="B257" s="10" t="s">
        <v>10</v>
      </c>
      <c r="C257" s="10">
        <v>43.674999999999997</v>
      </c>
      <c r="D257" s="10">
        <v>1969</v>
      </c>
    </row>
    <row r="258" spans="1:4" ht="19.95" customHeight="1" x14ac:dyDescent="0.25">
      <c r="A258" s="9" t="s">
        <v>12</v>
      </c>
      <c r="B258" s="10" t="s">
        <v>10</v>
      </c>
      <c r="C258" s="10">
        <v>45.597999999999999</v>
      </c>
      <c r="D258" s="10">
        <v>1969</v>
      </c>
    </row>
    <row r="259" spans="1:4" ht="19.95" customHeight="1" x14ac:dyDescent="0.25">
      <c r="A259" s="9" t="s">
        <v>13</v>
      </c>
      <c r="B259" s="10" t="s">
        <v>10</v>
      </c>
      <c r="C259" s="10">
        <v>40.872</v>
      </c>
      <c r="D259" s="10">
        <v>1969</v>
      </c>
    </row>
    <row r="260" spans="1:4" ht="19.95" customHeight="1" x14ac:dyDescent="0.25">
      <c r="A260" s="9" t="s">
        <v>15</v>
      </c>
      <c r="B260" s="10" t="s">
        <v>10</v>
      </c>
      <c r="C260" s="10">
        <v>45.179000000000002</v>
      </c>
      <c r="D260" s="10">
        <v>1969</v>
      </c>
    </row>
    <row r="261" spans="1:4" ht="19.95" customHeight="1" x14ac:dyDescent="0.25">
      <c r="A261" s="9" t="s">
        <v>16</v>
      </c>
      <c r="B261" s="10" t="s">
        <v>10</v>
      </c>
      <c r="C261" s="10">
        <v>48.475999999999999</v>
      </c>
      <c r="D261" s="10">
        <v>1969</v>
      </c>
    </row>
    <row r="262" spans="1:4" ht="19.95" customHeight="1" x14ac:dyDescent="0.25">
      <c r="A262" s="9" t="s">
        <v>1</v>
      </c>
      <c r="B262" s="10" t="s">
        <v>10</v>
      </c>
      <c r="C262" s="10">
        <v>42.658999999999999</v>
      </c>
      <c r="D262" s="10">
        <v>1969</v>
      </c>
    </row>
    <row r="263" spans="1:4" ht="19.95" customHeight="1" x14ac:dyDescent="0.25">
      <c r="A263" s="9" t="s">
        <v>17</v>
      </c>
      <c r="B263" s="10" t="s">
        <v>10</v>
      </c>
      <c r="C263" s="10">
        <v>36.420999999999999</v>
      </c>
      <c r="D263" s="10">
        <v>1969</v>
      </c>
    </row>
    <row r="264" spans="1:4" ht="19.95" customHeight="1" x14ac:dyDescent="0.25">
      <c r="A264" s="9" t="s">
        <v>18</v>
      </c>
      <c r="B264" s="10" t="s">
        <v>10</v>
      </c>
      <c r="C264" s="10">
        <v>46.823</v>
      </c>
      <c r="D264" s="10">
        <v>1969</v>
      </c>
    </row>
    <row r="265" spans="1:4" ht="19.95" customHeight="1" x14ac:dyDescent="0.25">
      <c r="A265" s="9" t="s">
        <v>19</v>
      </c>
      <c r="B265" s="10" t="s">
        <v>10</v>
      </c>
      <c r="C265" s="10">
        <v>51.643999999999998</v>
      </c>
      <c r="D265" s="10">
        <v>1969</v>
      </c>
    </row>
    <row r="266" spans="1:4" ht="19.95" customHeight="1" x14ac:dyDescent="0.25">
      <c r="A266" s="9" t="s">
        <v>20</v>
      </c>
      <c r="B266" s="10" t="s">
        <v>10</v>
      </c>
      <c r="C266" s="10"/>
      <c r="D266" s="10">
        <v>1969</v>
      </c>
    </row>
    <row r="267" spans="1:4" ht="19.95" customHeight="1" x14ac:dyDescent="0.25">
      <c r="A267" s="9" t="s">
        <v>21</v>
      </c>
      <c r="B267" s="10" t="s">
        <v>10</v>
      </c>
      <c r="C267" s="10">
        <v>38.673999999999999</v>
      </c>
      <c r="D267" s="10">
        <v>1969</v>
      </c>
    </row>
    <row r="268" spans="1:4" ht="19.95" customHeight="1" x14ac:dyDescent="0.25">
      <c r="A268" s="9" t="s">
        <v>22</v>
      </c>
      <c r="B268" s="10" t="s">
        <v>10</v>
      </c>
      <c r="C268" s="10">
        <v>44.283000000000001</v>
      </c>
      <c r="D268" s="10">
        <v>1969</v>
      </c>
    </row>
    <row r="269" spans="1:4" ht="19.95" customHeight="1" x14ac:dyDescent="0.25">
      <c r="A269" s="9" t="s">
        <v>23</v>
      </c>
      <c r="B269" s="10" t="s">
        <v>10</v>
      </c>
      <c r="C269" s="10">
        <v>40.134</v>
      </c>
      <c r="D269" s="10">
        <v>1969</v>
      </c>
    </row>
    <row r="270" spans="1:4" ht="19.95" customHeight="1" x14ac:dyDescent="0.25">
      <c r="A270" s="9" t="s">
        <v>24</v>
      </c>
      <c r="B270" s="10" t="s">
        <v>10</v>
      </c>
      <c r="C270" s="10">
        <v>31.72</v>
      </c>
      <c r="D270" s="10">
        <v>1969</v>
      </c>
    </row>
    <row r="271" spans="1:4" ht="19.95" customHeight="1" x14ac:dyDescent="0.25">
      <c r="A271" s="9" t="s">
        <v>25</v>
      </c>
      <c r="B271" s="10" t="s">
        <v>10</v>
      </c>
      <c r="C271" s="10">
        <v>64.908000000000001</v>
      </c>
      <c r="D271" s="10">
        <v>1969</v>
      </c>
    </row>
    <row r="272" spans="1:4" ht="19.95" customHeight="1" x14ac:dyDescent="0.25">
      <c r="A272" s="9" t="s">
        <v>26</v>
      </c>
      <c r="B272" s="10" t="s">
        <v>10</v>
      </c>
      <c r="C272" s="10">
        <v>38.826000000000001</v>
      </c>
      <c r="D272" s="10">
        <v>1969</v>
      </c>
    </row>
    <row r="273" spans="1:4" ht="19.95" customHeight="1" x14ac:dyDescent="0.25">
      <c r="A273" s="9" t="s">
        <v>28</v>
      </c>
      <c r="B273" s="10" t="s">
        <v>10</v>
      </c>
      <c r="C273" s="10">
        <v>50.436999999999998</v>
      </c>
      <c r="D273" s="10">
        <v>1969</v>
      </c>
    </row>
    <row r="274" spans="1:4" ht="19.95" customHeight="1" x14ac:dyDescent="0.25">
      <c r="A274" s="9" t="s">
        <v>29</v>
      </c>
      <c r="B274" s="10" t="s">
        <v>10</v>
      </c>
      <c r="C274" s="10">
        <v>39.945999999999998</v>
      </c>
      <c r="D274" s="10">
        <v>1969</v>
      </c>
    </row>
    <row r="275" spans="1:4" ht="19.95" customHeight="1" x14ac:dyDescent="0.25">
      <c r="A275" s="9" t="s">
        <v>30</v>
      </c>
      <c r="B275" s="10" t="s">
        <v>10</v>
      </c>
      <c r="C275" s="10">
        <v>53.018999999999998</v>
      </c>
      <c r="D275" s="10">
        <v>1969</v>
      </c>
    </row>
    <row r="276" spans="1:4" ht="19.95" customHeight="1" x14ac:dyDescent="0.25">
      <c r="A276" s="9" t="s">
        <v>31</v>
      </c>
      <c r="B276" s="10" t="s">
        <v>10</v>
      </c>
      <c r="C276" s="10">
        <v>35.76</v>
      </c>
      <c r="D276" s="10">
        <v>1969</v>
      </c>
    </row>
    <row r="277" spans="1:4" ht="19.95" customHeight="1" x14ac:dyDescent="0.25">
      <c r="A277" s="9" t="s">
        <v>32</v>
      </c>
      <c r="B277" s="10" t="s">
        <v>10</v>
      </c>
      <c r="C277" s="10">
        <v>44.249000000000002</v>
      </c>
      <c r="D277" s="10">
        <v>1969</v>
      </c>
    </row>
    <row r="278" spans="1:4" ht="19.95" customHeight="1" x14ac:dyDescent="0.25">
      <c r="A278" s="9" t="s">
        <v>33</v>
      </c>
      <c r="B278" s="10" t="s">
        <v>10</v>
      </c>
      <c r="C278" s="10">
        <v>55.271999999999998</v>
      </c>
      <c r="D278" s="10">
        <v>1969</v>
      </c>
    </row>
    <row r="279" spans="1:4" ht="19.95" customHeight="1" x14ac:dyDescent="0.25">
      <c r="A279" s="9" t="s">
        <v>34</v>
      </c>
      <c r="B279" s="10" t="s">
        <v>10</v>
      </c>
      <c r="C279" s="10">
        <v>63.634</v>
      </c>
      <c r="D279" s="10">
        <v>1969</v>
      </c>
    </row>
    <row r="280" spans="1:4" ht="19.95" customHeight="1" x14ac:dyDescent="0.25">
      <c r="A280" s="9" t="s">
        <v>35</v>
      </c>
      <c r="B280" s="10" t="s">
        <v>10</v>
      </c>
      <c r="C280" s="10">
        <v>59.783999999999999</v>
      </c>
      <c r="D280" s="10">
        <v>1969</v>
      </c>
    </row>
    <row r="281" spans="1:4" ht="19.95" customHeight="1" x14ac:dyDescent="0.25">
      <c r="A281" s="9" t="s">
        <v>36</v>
      </c>
      <c r="B281" s="10" t="s">
        <v>10</v>
      </c>
      <c r="C281" s="10">
        <v>46.344999999999999</v>
      </c>
      <c r="D281" s="10">
        <v>1969</v>
      </c>
    </row>
    <row r="282" spans="1:4" ht="19.95" customHeight="1" x14ac:dyDescent="0.25">
      <c r="A282" s="9" t="s">
        <v>37</v>
      </c>
      <c r="B282" s="10" t="s">
        <v>10</v>
      </c>
      <c r="C282" s="10">
        <v>48.578000000000003</v>
      </c>
      <c r="D282" s="10">
        <v>1969</v>
      </c>
    </row>
    <row r="283" spans="1:4" ht="19.95" customHeight="1" x14ac:dyDescent="0.25">
      <c r="A283" s="9" t="s">
        <v>38</v>
      </c>
      <c r="B283" s="10" t="s">
        <v>10</v>
      </c>
      <c r="C283" s="10">
        <v>48.575000000000003</v>
      </c>
      <c r="D283" s="10">
        <v>1969</v>
      </c>
    </row>
    <row r="284" spans="1:4" ht="19.95" customHeight="1" x14ac:dyDescent="0.25">
      <c r="A284" s="9" t="s">
        <v>39</v>
      </c>
      <c r="B284" s="10" t="s">
        <v>10</v>
      </c>
      <c r="C284" s="10">
        <v>54.597000000000001</v>
      </c>
      <c r="D284" s="10">
        <v>1969</v>
      </c>
    </row>
    <row r="285" spans="1:4" ht="19.95" customHeight="1" x14ac:dyDescent="0.25">
      <c r="A285" s="9" t="s">
        <v>9</v>
      </c>
      <c r="B285" s="10" t="s">
        <v>10</v>
      </c>
      <c r="C285" s="10">
        <v>43.829000000000001</v>
      </c>
      <c r="D285" s="10">
        <v>1970</v>
      </c>
    </row>
    <row r="286" spans="1:4" ht="19.95" customHeight="1" x14ac:dyDescent="0.25">
      <c r="A286" s="9" t="s">
        <v>12</v>
      </c>
      <c r="B286" s="10" t="s">
        <v>10</v>
      </c>
      <c r="C286" s="10">
        <v>46.103999999999999</v>
      </c>
      <c r="D286" s="10">
        <v>1970</v>
      </c>
    </row>
    <row r="287" spans="1:4" ht="19.95" customHeight="1" x14ac:dyDescent="0.25">
      <c r="A287" s="9" t="s">
        <v>13</v>
      </c>
      <c r="B287" s="10" t="s">
        <v>10</v>
      </c>
      <c r="C287" s="10">
        <v>41.332000000000001</v>
      </c>
      <c r="D287" s="10">
        <v>1970</v>
      </c>
    </row>
    <row r="288" spans="1:4" ht="19.95" customHeight="1" x14ac:dyDescent="0.25">
      <c r="A288" s="9" t="s">
        <v>15</v>
      </c>
      <c r="B288" s="10" t="s">
        <v>10</v>
      </c>
      <c r="C288" s="10">
        <v>45.642000000000003</v>
      </c>
      <c r="D288" s="10">
        <v>1970</v>
      </c>
    </row>
    <row r="289" spans="1:4" ht="19.95" customHeight="1" x14ac:dyDescent="0.25">
      <c r="A289" s="9" t="s">
        <v>16</v>
      </c>
      <c r="B289" s="10" t="s">
        <v>10</v>
      </c>
      <c r="C289" s="10">
        <v>49.16</v>
      </c>
      <c r="D289" s="10">
        <v>1970</v>
      </c>
    </row>
    <row r="290" spans="1:4" ht="19.95" customHeight="1" x14ac:dyDescent="0.25">
      <c r="A290" s="9" t="s">
        <v>1</v>
      </c>
      <c r="B290" s="10" t="s">
        <v>10</v>
      </c>
      <c r="C290" s="10">
        <v>42.944000000000003</v>
      </c>
      <c r="D290" s="10">
        <v>1970</v>
      </c>
    </row>
    <row r="291" spans="1:4" ht="19.95" customHeight="1" x14ac:dyDescent="0.25">
      <c r="A291" s="9" t="s">
        <v>17</v>
      </c>
      <c r="B291" s="10" t="s">
        <v>10</v>
      </c>
      <c r="C291" s="10">
        <v>36.655999999999999</v>
      </c>
      <c r="D291" s="10">
        <v>1970</v>
      </c>
    </row>
    <row r="292" spans="1:4" ht="19.95" customHeight="1" x14ac:dyDescent="0.25">
      <c r="A292" s="9" t="s">
        <v>18</v>
      </c>
      <c r="B292" s="10" t="s">
        <v>10</v>
      </c>
      <c r="C292" s="10">
        <v>47.215000000000003</v>
      </c>
      <c r="D292" s="10">
        <v>1970</v>
      </c>
    </row>
    <row r="293" spans="1:4" ht="19.95" customHeight="1" x14ac:dyDescent="0.25">
      <c r="A293" s="9" t="s">
        <v>19</v>
      </c>
      <c r="B293" s="10" t="s">
        <v>10</v>
      </c>
      <c r="C293" s="10">
        <v>52.222000000000001</v>
      </c>
      <c r="D293" s="10">
        <v>1970</v>
      </c>
    </row>
    <row r="294" spans="1:4" ht="19.95" customHeight="1" x14ac:dyDescent="0.25">
      <c r="A294" s="9" t="s">
        <v>20</v>
      </c>
      <c r="B294" s="10" t="s">
        <v>10</v>
      </c>
      <c r="C294" s="10"/>
      <c r="D294" s="10">
        <v>1970</v>
      </c>
    </row>
    <row r="295" spans="1:4" ht="19.95" customHeight="1" x14ac:dyDescent="0.25">
      <c r="A295" s="9" t="s">
        <v>21</v>
      </c>
      <c r="B295" s="10" t="s">
        <v>10</v>
      </c>
      <c r="C295" s="10">
        <v>39.253999999999998</v>
      </c>
      <c r="D295" s="10">
        <v>1970</v>
      </c>
    </row>
    <row r="296" spans="1:4" ht="19.95" customHeight="1" x14ac:dyDescent="0.25">
      <c r="A296" s="9" t="s">
        <v>22</v>
      </c>
      <c r="B296" s="10" t="s">
        <v>10</v>
      </c>
      <c r="C296" s="10">
        <v>44.771000000000001</v>
      </c>
      <c r="D296" s="10">
        <v>1970</v>
      </c>
    </row>
    <row r="297" spans="1:4" ht="19.95" customHeight="1" x14ac:dyDescent="0.25">
      <c r="A297" s="9" t="s">
        <v>23</v>
      </c>
      <c r="B297" s="10" t="s">
        <v>10</v>
      </c>
      <c r="C297" s="10">
        <v>40.558</v>
      </c>
      <c r="D297" s="10">
        <v>1970</v>
      </c>
    </row>
    <row r="298" spans="1:4" ht="19.95" customHeight="1" x14ac:dyDescent="0.25">
      <c r="A298" s="9" t="s">
        <v>24</v>
      </c>
      <c r="B298" s="10" t="s">
        <v>10</v>
      </c>
      <c r="C298" s="10">
        <v>32.387999999999998</v>
      </c>
      <c r="D298" s="10">
        <v>1970</v>
      </c>
    </row>
    <row r="299" spans="1:4" ht="19.95" customHeight="1" x14ac:dyDescent="0.25">
      <c r="A299" s="9" t="s">
        <v>25</v>
      </c>
      <c r="B299" s="10" t="s">
        <v>10</v>
      </c>
      <c r="C299" s="10">
        <v>65.045000000000002</v>
      </c>
      <c r="D299" s="10">
        <v>1970</v>
      </c>
    </row>
    <row r="300" spans="1:4" ht="19.95" customHeight="1" x14ac:dyDescent="0.25">
      <c r="A300" s="9" t="s">
        <v>26</v>
      </c>
      <c r="B300" s="10" t="s">
        <v>10</v>
      </c>
      <c r="C300" s="10">
        <v>39.271000000000001</v>
      </c>
      <c r="D300" s="10">
        <v>1970</v>
      </c>
    </row>
    <row r="301" spans="1:4" ht="19.95" customHeight="1" x14ac:dyDescent="0.25">
      <c r="A301" s="9" t="s">
        <v>28</v>
      </c>
      <c r="B301" s="10" t="s">
        <v>10</v>
      </c>
      <c r="C301" s="10">
        <v>50.988999999999997</v>
      </c>
      <c r="D301" s="10">
        <v>1970</v>
      </c>
    </row>
    <row r="302" spans="1:4" ht="19.95" customHeight="1" x14ac:dyDescent="0.25">
      <c r="A302" s="9" t="s">
        <v>29</v>
      </c>
      <c r="B302" s="10" t="s">
        <v>10</v>
      </c>
      <c r="C302" s="10">
        <v>40.543999999999997</v>
      </c>
      <c r="D302" s="10">
        <v>1970</v>
      </c>
    </row>
    <row r="303" spans="1:4" ht="19.95" customHeight="1" x14ac:dyDescent="0.25">
      <c r="A303" s="9" t="s">
        <v>30</v>
      </c>
      <c r="B303" s="10" t="s">
        <v>10</v>
      </c>
      <c r="C303" s="10">
        <v>53.685000000000002</v>
      </c>
      <c r="D303" s="10">
        <v>1970</v>
      </c>
    </row>
    <row r="304" spans="1:4" ht="19.95" customHeight="1" x14ac:dyDescent="0.25">
      <c r="A304" s="9" t="s">
        <v>31</v>
      </c>
      <c r="B304" s="10" t="s">
        <v>10</v>
      </c>
      <c r="C304" s="10">
        <v>35.884</v>
      </c>
      <c r="D304" s="10">
        <v>1970</v>
      </c>
    </row>
    <row r="305" spans="1:4" ht="19.95" customHeight="1" x14ac:dyDescent="0.25">
      <c r="A305" s="9" t="s">
        <v>32</v>
      </c>
      <c r="B305" s="10" t="s">
        <v>10</v>
      </c>
      <c r="C305" s="10">
        <v>44.338000000000001</v>
      </c>
      <c r="D305" s="10">
        <v>1970</v>
      </c>
    </row>
    <row r="306" spans="1:4" ht="19.95" customHeight="1" x14ac:dyDescent="0.25">
      <c r="A306" s="9" t="s">
        <v>33</v>
      </c>
      <c r="B306" s="10" t="s">
        <v>10</v>
      </c>
      <c r="C306" s="10">
        <v>55.859000000000002</v>
      </c>
      <c r="D306" s="10">
        <v>1970</v>
      </c>
    </row>
    <row r="307" spans="1:4" ht="19.95" customHeight="1" x14ac:dyDescent="0.25">
      <c r="A307" s="9" t="s">
        <v>34</v>
      </c>
      <c r="B307" s="10" t="s">
        <v>10</v>
      </c>
      <c r="C307" s="10">
        <v>64.096999999999994</v>
      </c>
      <c r="D307" s="10">
        <v>1970</v>
      </c>
    </row>
    <row r="308" spans="1:4" ht="19.95" customHeight="1" x14ac:dyDescent="0.25">
      <c r="A308" s="9" t="s">
        <v>35</v>
      </c>
      <c r="B308" s="10" t="s">
        <v>10</v>
      </c>
      <c r="C308" s="10">
        <v>60.113999999999997</v>
      </c>
      <c r="D308" s="10">
        <v>1970</v>
      </c>
    </row>
    <row r="309" spans="1:4" ht="19.95" customHeight="1" x14ac:dyDescent="0.25">
      <c r="A309" s="9" t="s">
        <v>36</v>
      </c>
      <c r="B309" s="10" t="s">
        <v>10</v>
      </c>
      <c r="C309" s="10">
        <v>46.718000000000004</v>
      </c>
      <c r="D309" s="10">
        <v>1970</v>
      </c>
    </row>
    <row r="310" spans="1:4" ht="19.95" customHeight="1" x14ac:dyDescent="0.25">
      <c r="A310" s="9" t="s">
        <v>37</v>
      </c>
      <c r="B310" s="10" t="s">
        <v>10</v>
      </c>
      <c r="C310" s="10">
        <v>48.826999999999998</v>
      </c>
      <c r="D310" s="10">
        <v>1970</v>
      </c>
    </row>
    <row r="311" spans="1:4" ht="19.95" customHeight="1" x14ac:dyDescent="0.25">
      <c r="A311" s="9" t="s">
        <v>38</v>
      </c>
      <c r="B311" s="10" t="s">
        <v>10</v>
      </c>
      <c r="C311" s="10">
        <v>49.039000000000001</v>
      </c>
      <c r="D311" s="10">
        <v>1970</v>
      </c>
    </row>
    <row r="312" spans="1:4" ht="19.95" customHeight="1" x14ac:dyDescent="0.25">
      <c r="A312" s="9" t="s">
        <v>39</v>
      </c>
      <c r="B312" s="10" t="s">
        <v>10</v>
      </c>
      <c r="C312" s="10">
        <v>54.92</v>
      </c>
      <c r="D312" s="10">
        <v>1970</v>
      </c>
    </row>
    <row r="313" spans="1:4" ht="19.95" customHeight="1" x14ac:dyDescent="0.25">
      <c r="A313" s="9" t="s">
        <v>9</v>
      </c>
      <c r="B313" s="10" t="s">
        <v>10</v>
      </c>
      <c r="C313" s="10">
        <v>44.006</v>
      </c>
      <c r="D313" s="10">
        <v>1971</v>
      </c>
    </row>
    <row r="314" spans="1:4" ht="19.95" customHeight="1" x14ac:dyDescent="0.25">
      <c r="A314" s="9" t="s">
        <v>12</v>
      </c>
      <c r="B314" s="10" t="s">
        <v>10</v>
      </c>
      <c r="C314" s="10">
        <v>46.627000000000002</v>
      </c>
      <c r="D314" s="10">
        <v>1971</v>
      </c>
    </row>
    <row r="315" spans="1:4" ht="19.95" customHeight="1" x14ac:dyDescent="0.25">
      <c r="A315" s="9" t="s">
        <v>13</v>
      </c>
      <c r="B315" s="10" t="s">
        <v>10</v>
      </c>
      <c r="C315" s="10">
        <v>41.792000000000002</v>
      </c>
      <c r="D315" s="10">
        <v>1971</v>
      </c>
    </row>
    <row r="316" spans="1:4" ht="19.95" customHeight="1" x14ac:dyDescent="0.25">
      <c r="A316" s="9" t="s">
        <v>15</v>
      </c>
      <c r="B316" s="10" t="s">
        <v>10</v>
      </c>
      <c r="C316" s="10">
        <v>46.103000000000002</v>
      </c>
      <c r="D316" s="10">
        <v>1971</v>
      </c>
    </row>
    <row r="317" spans="1:4" ht="19.95" customHeight="1" x14ac:dyDescent="0.25">
      <c r="A317" s="9" t="s">
        <v>16</v>
      </c>
      <c r="B317" s="10" t="s">
        <v>10</v>
      </c>
      <c r="C317" s="10">
        <v>49.826999999999998</v>
      </c>
      <c r="D317" s="10">
        <v>1971</v>
      </c>
    </row>
    <row r="318" spans="1:4" ht="19.95" customHeight="1" x14ac:dyDescent="0.25">
      <c r="A318" s="9" t="s">
        <v>1</v>
      </c>
      <c r="B318" s="10" t="s">
        <v>10</v>
      </c>
      <c r="C318" s="10">
        <v>43.213000000000001</v>
      </c>
      <c r="D318" s="10">
        <v>1971</v>
      </c>
    </row>
    <row r="319" spans="1:4" ht="19.95" customHeight="1" x14ac:dyDescent="0.25">
      <c r="A319" s="9" t="s">
        <v>17</v>
      </c>
      <c r="B319" s="10" t="s">
        <v>10</v>
      </c>
      <c r="C319" s="10">
        <v>36.933</v>
      </c>
      <c r="D319" s="10">
        <v>1971</v>
      </c>
    </row>
    <row r="320" spans="1:4" ht="19.95" customHeight="1" x14ac:dyDescent="0.25">
      <c r="A320" s="9" t="s">
        <v>18</v>
      </c>
      <c r="B320" s="10" t="s">
        <v>10</v>
      </c>
      <c r="C320" s="10">
        <v>47.591999999999999</v>
      </c>
      <c r="D320" s="10">
        <v>1971</v>
      </c>
    </row>
    <row r="321" spans="1:4" ht="19.95" customHeight="1" x14ac:dyDescent="0.25">
      <c r="A321" s="9" t="s">
        <v>19</v>
      </c>
      <c r="B321" s="10" t="s">
        <v>10</v>
      </c>
      <c r="C321" s="10">
        <v>52.802999999999997</v>
      </c>
      <c r="D321" s="10">
        <v>1971</v>
      </c>
    </row>
    <row r="322" spans="1:4" ht="19.95" customHeight="1" x14ac:dyDescent="0.25">
      <c r="A322" s="9" t="s">
        <v>20</v>
      </c>
      <c r="B322" s="10" t="s">
        <v>10</v>
      </c>
      <c r="C322" s="10"/>
      <c r="D322" s="10">
        <v>1971</v>
      </c>
    </row>
    <row r="323" spans="1:4" ht="19.95" customHeight="1" x14ac:dyDescent="0.25">
      <c r="A323" s="9" t="s">
        <v>21</v>
      </c>
      <c r="B323" s="10" t="s">
        <v>10</v>
      </c>
      <c r="C323" s="10">
        <v>39.866999999999997</v>
      </c>
      <c r="D323" s="10">
        <v>1971</v>
      </c>
    </row>
    <row r="324" spans="1:4" ht="19.95" customHeight="1" x14ac:dyDescent="0.25">
      <c r="A324" s="9" t="s">
        <v>22</v>
      </c>
      <c r="B324" s="10" t="s">
        <v>10</v>
      </c>
      <c r="C324" s="10">
        <v>45.256999999999998</v>
      </c>
      <c r="D324" s="10">
        <v>1971</v>
      </c>
    </row>
    <row r="325" spans="1:4" ht="19.95" customHeight="1" x14ac:dyDescent="0.25">
      <c r="A325" s="9" t="s">
        <v>23</v>
      </c>
      <c r="B325" s="10" t="s">
        <v>10</v>
      </c>
      <c r="C325" s="10">
        <v>41.011000000000003</v>
      </c>
      <c r="D325" s="10">
        <v>1971</v>
      </c>
    </row>
    <row r="326" spans="1:4" ht="19.95" customHeight="1" x14ac:dyDescent="0.25">
      <c r="A326" s="9" t="s">
        <v>24</v>
      </c>
      <c r="B326" s="10" t="s">
        <v>10</v>
      </c>
      <c r="C326" s="10">
        <v>33.078000000000003</v>
      </c>
      <c r="D326" s="10">
        <v>1971</v>
      </c>
    </row>
    <row r="327" spans="1:4" ht="19.95" customHeight="1" x14ac:dyDescent="0.25">
      <c r="A327" s="9" t="s">
        <v>25</v>
      </c>
      <c r="B327" s="10" t="s">
        <v>10</v>
      </c>
      <c r="C327" s="10">
        <v>65.134</v>
      </c>
      <c r="D327" s="10">
        <v>1971</v>
      </c>
    </row>
    <row r="328" spans="1:4" ht="19.95" customHeight="1" x14ac:dyDescent="0.25">
      <c r="A328" s="9" t="s">
        <v>26</v>
      </c>
      <c r="B328" s="10" t="s">
        <v>10</v>
      </c>
      <c r="C328" s="10">
        <v>39.734999999999999</v>
      </c>
      <c r="D328" s="10">
        <v>1971</v>
      </c>
    </row>
    <row r="329" spans="1:4" ht="19.95" customHeight="1" x14ac:dyDescent="0.25">
      <c r="A329" s="9" t="s">
        <v>28</v>
      </c>
      <c r="B329" s="10" t="s">
        <v>10</v>
      </c>
      <c r="C329" s="10">
        <v>51.433</v>
      </c>
      <c r="D329" s="10">
        <v>1971</v>
      </c>
    </row>
    <row r="330" spans="1:4" ht="19.95" customHeight="1" x14ac:dyDescent="0.25">
      <c r="A330" s="9" t="s">
        <v>29</v>
      </c>
      <c r="B330" s="10" t="s">
        <v>10</v>
      </c>
      <c r="C330" s="10">
        <v>41.128999999999998</v>
      </c>
      <c r="D330" s="10">
        <v>1971</v>
      </c>
    </row>
    <row r="331" spans="1:4" ht="19.95" customHeight="1" x14ac:dyDescent="0.25">
      <c r="A331" s="9" t="s">
        <v>30</v>
      </c>
      <c r="B331" s="10" t="s">
        <v>10</v>
      </c>
      <c r="C331" s="10">
        <v>54.328000000000003</v>
      </c>
      <c r="D331" s="10">
        <v>1971</v>
      </c>
    </row>
    <row r="332" spans="1:4" ht="19.95" customHeight="1" x14ac:dyDescent="0.25">
      <c r="A332" s="9" t="s">
        <v>31</v>
      </c>
      <c r="B332" s="10" t="s">
        <v>10</v>
      </c>
      <c r="C332" s="10">
        <v>36.031999999999996</v>
      </c>
      <c r="D332" s="10">
        <v>1971</v>
      </c>
    </row>
    <row r="333" spans="1:4" ht="19.95" customHeight="1" x14ac:dyDescent="0.25">
      <c r="A333" s="9" t="s">
        <v>32</v>
      </c>
      <c r="B333" s="10" t="s">
        <v>10</v>
      </c>
      <c r="C333" s="10">
        <v>44.411999999999999</v>
      </c>
      <c r="D333" s="10">
        <v>1971</v>
      </c>
    </row>
    <row r="334" spans="1:4" ht="19.95" customHeight="1" x14ac:dyDescent="0.25">
      <c r="A334" s="9" t="s">
        <v>33</v>
      </c>
      <c r="B334" s="10" t="s">
        <v>10</v>
      </c>
      <c r="C334" s="10">
        <v>56.475999999999999</v>
      </c>
      <c r="D334" s="10">
        <v>1971</v>
      </c>
    </row>
    <row r="335" spans="1:4" ht="19.95" customHeight="1" x14ac:dyDescent="0.25">
      <c r="A335" s="9" t="s">
        <v>34</v>
      </c>
      <c r="B335" s="10" t="s">
        <v>10</v>
      </c>
      <c r="C335" s="10">
        <v>64.528000000000006</v>
      </c>
      <c r="D335" s="10">
        <v>1971</v>
      </c>
    </row>
    <row r="336" spans="1:4" ht="19.95" customHeight="1" x14ac:dyDescent="0.25">
      <c r="A336" s="9" t="s">
        <v>35</v>
      </c>
      <c r="B336" s="10" t="s">
        <v>10</v>
      </c>
      <c r="C336" s="10">
        <v>60.421999999999997</v>
      </c>
      <c r="D336" s="10">
        <v>1971</v>
      </c>
    </row>
    <row r="337" spans="1:4" ht="19.95" customHeight="1" x14ac:dyDescent="0.25">
      <c r="A337" s="9" t="s">
        <v>36</v>
      </c>
      <c r="B337" s="10" t="s">
        <v>10</v>
      </c>
      <c r="C337" s="10">
        <v>47.119</v>
      </c>
      <c r="D337" s="10">
        <v>1971</v>
      </c>
    </row>
    <row r="338" spans="1:4" ht="19.95" customHeight="1" x14ac:dyDescent="0.25">
      <c r="A338" s="9" t="s">
        <v>37</v>
      </c>
      <c r="B338" s="10" t="s">
        <v>10</v>
      </c>
      <c r="C338" s="10">
        <v>49.01</v>
      </c>
      <c r="D338" s="10">
        <v>1971</v>
      </c>
    </row>
    <row r="339" spans="1:4" ht="19.95" customHeight="1" x14ac:dyDescent="0.25">
      <c r="A339" s="9" t="s">
        <v>38</v>
      </c>
      <c r="B339" s="10" t="s">
        <v>10</v>
      </c>
      <c r="C339" s="10">
        <v>49.51</v>
      </c>
      <c r="D339" s="10">
        <v>1971</v>
      </c>
    </row>
    <row r="340" spans="1:4" ht="19.95" customHeight="1" x14ac:dyDescent="0.25">
      <c r="A340" s="9" t="s">
        <v>39</v>
      </c>
      <c r="B340" s="10" t="s">
        <v>10</v>
      </c>
      <c r="C340" s="10">
        <v>55.25</v>
      </c>
      <c r="D340" s="10">
        <v>1971</v>
      </c>
    </row>
    <row r="341" spans="1:4" ht="19.95" customHeight="1" x14ac:dyDescent="0.25">
      <c r="A341" s="9" t="s">
        <v>9</v>
      </c>
      <c r="B341" s="10" t="s">
        <v>10</v>
      </c>
      <c r="C341" s="10">
        <v>44.231999999999999</v>
      </c>
      <c r="D341" s="10">
        <v>1972</v>
      </c>
    </row>
    <row r="342" spans="1:4" ht="19.95" customHeight="1" x14ac:dyDescent="0.25">
      <c r="A342" s="9" t="s">
        <v>12</v>
      </c>
      <c r="B342" s="10" t="s">
        <v>10</v>
      </c>
      <c r="C342" s="10">
        <v>47.162999999999997</v>
      </c>
      <c r="D342" s="10">
        <v>1972</v>
      </c>
    </row>
    <row r="343" spans="1:4" ht="19.95" customHeight="1" x14ac:dyDescent="0.25">
      <c r="A343" s="9" t="s">
        <v>13</v>
      </c>
      <c r="B343" s="10" t="s">
        <v>10</v>
      </c>
      <c r="C343" s="10">
        <v>42.232999999999997</v>
      </c>
      <c r="D343" s="10">
        <v>1972</v>
      </c>
    </row>
    <row r="344" spans="1:4" ht="19.95" customHeight="1" x14ac:dyDescent="0.25">
      <c r="A344" s="9" t="s">
        <v>15</v>
      </c>
      <c r="B344" s="10" t="s">
        <v>10</v>
      </c>
      <c r="C344" s="10">
        <v>46.557000000000002</v>
      </c>
      <c r="D344" s="10">
        <v>1972</v>
      </c>
    </row>
    <row r="345" spans="1:4" ht="19.95" customHeight="1" x14ac:dyDescent="0.25">
      <c r="A345" s="9" t="s">
        <v>16</v>
      </c>
      <c r="B345" s="10" t="s">
        <v>10</v>
      </c>
      <c r="C345" s="10">
        <v>50.442</v>
      </c>
      <c r="D345" s="10">
        <v>1972</v>
      </c>
    </row>
    <row r="346" spans="1:4" ht="19.95" customHeight="1" x14ac:dyDescent="0.25">
      <c r="A346" s="9" t="s">
        <v>1</v>
      </c>
      <c r="B346" s="10" t="s">
        <v>10</v>
      </c>
      <c r="C346" s="10">
        <v>43.465000000000003</v>
      </c>
      <c r="D346" s="10">
        <v>1972</v>
      </c>
    </row>
    <row r="347" spans="1:4" ht="19.95" customHeight="1" x14ac:dyDescent="0.25">
      <c r="A347" s="9" t="s">
        <v>17</v>
      </c>
      <c r="B347" s="10" t="s">
        <v>10</v>
      </c>
      <c r="C347" s="10">
        <v>37.255000000000003</v>
      </c>
      <c r="D347" s="10">
        <v>1972</v>
      </c>
    </row>
    <row r="348" spans="1:4" ht="19.95" customHeight="1" x14ac:dyDescent="0.25">
      <c r="A348" s="9" t="s">
        <v>18</v>
      </c>
      <c r="B348" s="10" t="s">
        <v>10</v>
      </c>
      <c r="C348" s="10">
        <v>47.965000000000003</v>
      </c>
      <c r="D348" s="10">
        <v>1972</v>
      </c>
    </row>
    <row r="349" spans="1:4" ht="19.95" customHeight="1" x14ac:dyDescent="0.25">
      <c r="A349" s="9" t="s">
        <v>19</v>
      </c>
      <c r="B349" s="10" t="s">
        <v>10</v>
      </c>
      <c r="C349" s="10">
        <v>53.378999999999998</v>
      </c>
      <c r="D349" s="10">
        <v>1972</v>
      </c>
    </row>
    <row r="350" spans="1:4" ht="19.95" customHeight="1" x14ac:dyDescent="0.25">
      <c r="A350" s="9" t="s">
        <v>20</v>
      </c>
      <c r="B350" s="10" t="s">
        <v>10</v>
      </c>
      <c r="C350" s="10"/>
      <c r="D350" s="10">
        <v>1972</v>
      </c>
    </row>
    <row r="351" spans="1:4" ht="19.95" customHeight="1" x14ac:dyDescent="0.25">
      <c r="A351" s="9" t="s">
        <v>21</v>
      </c>
      <c r="B351" s="10" t="s">
        <v>10</v>
      </c>
      <c r="C351" s="10">
        <v>40.521999999999998</v>
      </c>
      <c r="D351" s="10">
        <v>1972</v>
      </c>
    </row>
    <row r="352" spans="1:4" ht="19.95" customHeight="1" x14ac:dyDescent="0.25">
      <c r="A352" s="9" t="s">
        <v>22</v>
      </c>
      <c r="B352" s="10" t="s">
        <v>10</v>
      </c>
      <c r="C352" s="10">
        <v>45.734999999999999</v>
      </c>
      <c r="D352" s="10">
        <v>1972</v>
      </c>
    </row>
    <row r="353" spans="1:4" ht="19.95" customHeight="1" x14ac:dyDescent="0.25">
      <c r="A353" s="9" t="s">
        <v>23</v>
      </c>
      <c r="B353" s="10" t="s">
        <v>10</v>
      </c>
      <c r="C353" s="10">
        <v>41.475000000000001</v>
      </c>
      <c r="D353" s="10">
        <v>1972</v>
      </c>
    </row>
    <row r="354" spans="1:4" ht="19.95" customHeight="1" x14ac:dyDescent="0.25">
      <c r="A354" s="9" t="s">
        <v>24</v>
      </c>
      <c r="B354" s="10" t="s">
        <v>10</v>
      </c>
      <c r="C354" s="10">
        <v>33.781999999999996</v>
      </c>
      <c r="D354" s="10">
        <v>1972</v>
      </c>
    </row>
    <row r="355" spans="1:4" ht="19.95" customHeight="1" x14ac:dyDescent="0.25">
      <c r="A355" s="9" t="s">
        <v>25</v>
      </c>
      <c r="B355" s="10" t="s">
        <v>10</v>
      </c>
      <c r="C355" s="10">
        <v>65.186000000000007</v>
      </c>
      <c r="D355" s="10">
        <v>1972</v>
      </c>
    </row>
    <row r="356" spans="1:4" ht="19.95" customHeight="1" x14ac:dyDescent="0.25">
      <c r="A356" s="9" t="s">
        <v>26</v>
      </c>
      <c r="B356" s="10" t="s">
        <v>10</v>
      </c>
      <c r="C356" s="10">
        <v>40.21</v>
      </c>
      <c r="D356" s="10">
        <v>1972</v>
      </c>
    </row>
    <row r="357" spans="1:4" ht="19.95" customHeight="1" x14ac:dyDescent="0.25">
      <c r="A357" s="9" t="s">
        <v>28</v>
      </c>
      <c r="B357" s="10" t="s">
        <v>10</v>
      </c>
      <c r="C357" s="10">
        <v>51.817999999999998</v>
      </c>
      <c r="D357" s="10">
        <v>1972</v>
      </c>
    </row>
    <row r="358" spans="1:4" ht="19.95" customHeight="1" x14ac:dyDescent="0.25">
      <c r="A358" s="9" t="s">
        <v>29</v>
      </c>
      <c r="B358" s="10" t="s">
        <v>10</v>
      </c>
      <c r="C358" s="10">
        <v>41.706000000000003</v>
      </c>
      <c r="D358" s="10">
        <v>1972</v>
      </c>
    </row>
    <row r="359" spans="1:4" ht="19.95" customHeight="1" x14ac:dyDescent="0.25">
      <c r="A359" s="9" t="s">
        <v>30</v>
      </c>
      <c r="B359" s="10" t="s">
        <v>10</v>
      </c>
      <c r="C359" s="10">
        <v>54.941000000000003</v>
      </c>
      <c r="D359" s="10">
        <v>1972</v>
      </c>
    </row>
    <row r="360" spans="1:4" ht="19.95" customHeight="1" x14ac:dyDescent="0.25">
      <c r="A360" s="9" t="s">
        <v>31</v>
      </c>
      <c r="B360" s="10" t="s">
        <v>10</v>
      </c>
      <c r="C360" s="10">
        <v>36.204000000000001</v>
      </c>
      <c r="D360" s="10">
        <v>1972</v>
      </c>
    </row>
    <row r="361" spans="1:4" ht="19.95" customHeight="1" x14ac:dyDescent="0.25">
      <c r="A361" s="9" t="s">
        <v>32</v>
      </c>
      <c r="B361" s="10" t="s">
        <v>10</v>
      </c>
      <c r="C361" s="10">
        <v>44.484999999999999</v>
      </c>
      <c r="D361" s="10">
        <v>1972</v>
      </c>
    </row>
    <row r="362" spans="1:4" ht="19.95" customHeight="1" x14ac:dyDescent="0.25">
      <c r="A362" s="9" t="s">
        <v>33</v>
      </c>
      <c r="B362" s="10" t="s">
        <v>10</v>
      </c>
      <c r="C362" s="10">
        <v>57.113999999999997</v>
      </c>
      <c r="D362" s="10">
        <v>1972</v>
      </c>
    </row>
    <row r="363" spans="1:4" ht="19.95" customHeight="1" x14ac:dyDescent="0.25">
      <c r="A363" s="9" t="s">
        <v>34</v>
      </c>
      <c r="B363" s="10" t="s">
        <v>10</v>
      </c>
      <c r="C363" s="10">
        <v>64.933999999999997</v>
      </c>
      <c r="D363" s="10">
        <v>1972</v>
      </c>
    </row>
    <row r="364" spans="1:4" ht="19.95" customHeight="1" x14ac:dyDescent="0.25">
      <c r="A364" s="9" t="s">
        <v>35</v>
      </c>
      <c r="B364" s="10" t="s">
        <v>10</v>
      </c>
      <c r="C364" s="10">
        <v>60.710999999999999</v>
      </c>
      <c r="D364" s="10">
        <v>1972</v>
      </c>
    </row>
    <row r="365" spans="1:4" ht="19.95" customHeight="1" x14ac:dyDescent="0.25">
      <c r="A365" s="9" t="s">
        <v>36</v>
      </c>
      <c r="B365" s="10" t="s">
        <v>10</v>
      </c>
      <c r="C365" s="10">
        <v>47.545999999999999</v>
      </c>
      <c r="D365" s="10">
        <v>1972</v>
      </c>
    </row>
    <row r="366" spans="1:4" ht="19.95" customHeight="1" x14ac:dyDescent="0.25">
      <c r="A366" s="9" t="s">
        <v>37</v>
      </c>
      <c r="B366" s="10" t="s">
        <v>10</v>
      </c>
      <c r="C366" s="10">
        <v>49.142000000000003</v>
      </c>
      <c r="D366" s="10">
        <v>1972</v>
      </c>
    </row>
    <row r="367" spans="1:4" ht="19.95" customHeight="1" x14ac:dyDescent="0.25">
      <c r="A367" s="9" t="s">
        <v>38</v>
      </c>
      <c r="B367" s="10" t="s">
        <v>10</v>
      </c>
      <c r="C367" s="10">
        <v>49.970999999999997</v>
      </c>
      <c r="D367" s="10">
        <v>1972</v>
      </c>
    </row>
    <row r="368" spans="1:4" ht="19.95" customHeight="1" x14ac:dyDescent="0.25">
      <c r="A368" s="9" t="s">
        <v>39</v>
      </c>
      <c r="B368" s="10" t="s">
        <v>10</v>
      </c>
      <c r="C368" s="10">
        <v>55.591999999999999</v>
      </c>
      <c r="D368" s="10">
        <v>1972</v>
      </c>
    </row>
    <row r="369" spans="1:4" ht="19.95" customHeight="1" x14ac:dyDescent="0.25">
      <c r="A369" s="9" t="s">
        <v>9</v>
      </c>
      <c r="B369" s="10" t="s">
        <v>10</v>
      </c>
      <c r="C369" s="10">
        <v>44.517000000000003</v>
      </c>
      <c r="D369" s="10">
        <v>1973</v>
      </c>
    </row>
    <row r="370" spans="1:4" ht="19.95" customHeight="1" x14ac:dyDescent="0.25">
      <c r="A370" s="9" t="s">
        <v>12</v>
      </c>
      <c r="B370" s="10" t="s">
        <v>10</v>
      </c>
      <c r="C370" s="10">
        <v>47.704999999999998</v>
      </c>
      <c r="D370" s="10">
        <v>1973</v>
      </c>
    </row>
    <row r="371" spans="1:4" ht="19.95" customHeight="1" x14ac:dyDescent="0.25">
      <c r="A371" s="9" t="s">
        <v>13</v>
      </c>
      <c r="B371" s="10" t="s">
        <v>10</v>
      </c>
      <c r="C371" s="10">
        <v>42.637999999999998</v>
      </c>
      <c r="D371" s="10">
        <v>1973</v>
      </c>
    </row>
    <row r="372" spans="1:4" ht="19.95" customHeight="1" x14ac:dyDescent="0.25">
      <c r="A372" s="9" t="s">
        <v>15</v>
      </c>
      <c r="B372" s="10" t="s">
        <v>10</v>
      </c>
      <c r="C372" s="10">
        <v>47.000999999999998</v>
      </c>
      <c r="D372" s="10">
        <v>1973</v>
      </c>
    </row>
    <row r="373" spans="1:4" ht="19.95" customHeight="1" x14ac:dyDescent="0.25">
      <c r="A373" s="9" t="s">
        <v>16</v>
      </c>
      <c r="B373" s="10" t="s">
        <v>10</v>
      </c>
      <c r="C373" s="10">
        <v>50.981999999999999</v>
      </c>
      <c r="D373" s="10">
        <v>1973</v>
      </c>
    </row>
    <row r="374" spans="1:4" ht="19.95" customHeight="1" x14ac:dyDescent="0.25">
      <c r="A374" s="9" t="s">
        <v>1</v>
      </c>
      <c r="B374" s="10" t="s">
        <v>10</v>
      </c>
      <c r="C374" s="10">
        <v>43.692999999999998</v>
      </c>
      <c r="D374" s="10">
        <v>1973</v>
      </c>
    </row>
    <row r="375" spans="1:4" ht="19.95" customHeight="1" x14ac:dyDescent="0.25">
      <c r="A375" s="9" t="s">
        <v>17</v>
      </c>
      <c r="B375" s="10" t="s">
        <v>10</v>
      </c>
      <c r="C375" s="10">
        <v>37.622999999999998</v>
      </c>
      <c r="D375" s="10">
        <v>1973</v>
      </c>
    </row>
    <row r="376" spans="1:4" ht="19.95" customHeight="1" x14ac:dyDescent="0.25">
      <c r="A376" s="9" t="s">
        <v>18</v>
      </c>
      <c r="B376" s="10" t="s">
        <v>10</v>
      </c>
      <c r="C376" s="10">
        <v>48.341000000000001</v>
      </c>
      <c r="D376" s="10">
        <v>1973</v>
      </c>
    </row>
    <row r="377" spans="1:4" ht="19.95" customHeight="1" x14ac:dyDescent="0.25">
      <c r="A377" s="9" t="s">
        <v>19</v>
      </c>
      <c r="B377" s="10" t="s">
        <v>10</v>
      </c>
      <c r="C377" s="10">
        <v>53.945</v>
      </c>
      <c r="D377" s="10">
        <v>1973</v>
      </c>
    </row>
    <row r="378" spans="1:4" ht="19.95" customHeight="1" x14ac:dyDescent="0.25">
      <c r="A378" s="9" t="s">
        <v>20</v>
      </c>
      <c r="B378" s="10" t="s">
        <v>10</v>
      </c>
      <c r="C378" s="10"/>
      <c r="D378" s="10">
        <v>1973</v>
      </c>
    </row>
    <row r="379" spans="1:4" ht="19.95" customHeight="1" x14ac:dyDescent="0.25">
      <c r="A379" s="9" t="s">
        <v>21</v>
      </c>
      <c r="B379" s="10" t="s">
        <v>10</v>
      </c>
      <c r="C379" s="10">
        <v>41.216999999999999</v>
      </c>
      <c r="D379" s="10">
        <v>1973</v>
      </c>
    </row>
    <row r="380" spans="1:4" ht="19.95" customHeight="1" x14ac:dyDescent="0.25">
      <c r="A380" s="9" t="s">
        <v>22</v>
      </c>
      <c r="B380" s="10" t="s">
        <v>10</v>
      </c>
      <c r="C380" s="10">
        <v>46.203000000000003</v>
      </c>
      <c r="D380" s="10">
        <v>1973</v>
      </c>
    </row>
    <row r="381" spans="1:4" ht="19.95" customHeight="1" x14ac:dyDescent="0.25">
      <c r="A381" s="9" t="s">
        <v>23</v>
      </c>
      <c r="B381" s="10" t="s">
        <v>10</v>
      </c>
      <c r="C381" s="10">
        <v>41.932000000000002</v>
      </c>
      <c r="D381" s="10">
        <v>1973</v>
      </c>
    </row>
    <row r="382" spans="1:4" ht="19.95" customHeight="1" x14ac:dyDescent="0.25">
      <c r="A382" s="9" t="s">
        <v>24</v>
      </c>
      <c r="B382" s="10" t="s">
        <v>10</v>
      </c>
      <c r="C382" s="10">
        <v>34.493000000000002</v>
      </c>
      <c r="D382" s="10">
        <v>1973</v>
      </c>
    </row>
    <row r="383" spans="1:4" ht="19.95" customHeight="1" x14ac:dyDescent="0.25">
      <c r="A383" s="9" t="s">
        <v>25</v>
      </c>
      <c r="B383" s="10" t="s">
        <v>10</v>
      </c>
      <c r="C383" s="10">
        <v>65.212999999999994</v>
      </c>
      <c r="D383" s="10">
        <v>1973</v>
      </c>
    </row>
    <row r="384" spans="1:4" ht="19.95" customHeight="1" x14ac:dyDescent="0.25">
      <c r="A384" s="9" t="s">
        <v>26</v>
      </c>
      <c r="B384" s="10" t="s">
        <v>10</v>
      </c>
      <c r="C384" s="10">
        <v>40.679000000000002</v>
      </c>
      <c r="D384" s="10">
        <v>1973</v>
      </c>
    </row>
    <row r="385" spans="1:4" ht="19.95" customHeight="1" x14ac:dyDescent="0.25">
      <c r="A385" s="9" t="s">
        <v>28</v>
      </c>
      <c r="B385" s="10" t="s">
        <v>10</v>
      </c>
      <c r="C385" s="10">
        <v>52.189</v>
      </c>
      <c r="D385" s="10">
        <v>1973</v>
      </c>
    </row>
    <row r="386" spans="1:4" ht="19.95" customHeight="1" x14ac:dyDescent="0.25">
      <c r="A386" s="9" t="s">
        <v>29</v>
      </c>
      <c r="B386" s="10" t="s">
        <v>10</v>
      </c>
      <c r="C386" s="10">
        <v>42.28</v>
      </c>
      <c r="D386" s="10">
        <v>1973</v>
      </c>
    </row>
    <row r="387" spans="1:4" ht="19.95" customHeight="1" x14ac:dyDescent="0.25">
      <c r="A387" s="9" t="s">
        <v>30</v>
      </c>
      <c r="B387" s="10" t="s">
        <v>10</v>
      </c>
      <c r="C387" s="10">
        <v>55.517000000000003</v>
      </c>
      <c r="D387" s="10">
        <v>1973</v>
      </c>
    </row>
    <row r="388" spans="1:4" ht="19.95" customHeight="1" x14ac:dyDescent="0.25">
      <c r="A388" s="9" t="s">
        <v>31</v>
      </c>
      <c r="B388" s="10" t="s">
        <v>10</v>
      </c>
      <c r="C388" s="10">
        <v>36.402999999999999</v>
      </c>
      <c r="D388" s="10">
        <v>1973</v>
      </c>
    </row>
    <row r="389" spans="1:4" ht="19.95" customHeight="1" x14ac:dyDescent="0.25">
      <c r="A389" s="9" t="s">
        <v>32</v>
      </c>
      <c r="B389" s="10" t="s">
        <v>10</v>
      </c>
      <c r="C389" s="10">
        <v>44.576999999999998</v>
      </c>
      <c r="D389" s="10">
        <v>1973</v>
      </c>
    </row>
    <row r="390" spans="1:4" ht="19.95" customHeight="1" x14ac:dyDescent="0.25">
      <c r="A390" s="9" t="s">
        <v>33</v>
      </c>
      <c r="B390" s="10" t="s">
        <v>10</v>
      </c>
      <c r="C390" s="10">
        <v>57.758000000000003</v>
      </c>
      <c r="D390" s="10">
        <v>1973</v>
      </c>
    </row>
    <row r="391" spans="1:4" ht="19.95" customHeight="1" x14ac:dyDescent="0.25">
      <c r="A391" s="9" t="s">
        <v>34</v>
      </c>
      <c r="B391" s="10" t="s">
        <v>10</v>
      </c>
      <c r="C391" s="10">
        <v>65.320999999999998</v>
      </c>
      <c r="D391" s="10">
        <v>1973</v>
      </c>
    </row>
    <row r="392" spans="1:4" ht="19.95" customHeight="1" x14ac:dyDescent="0.25">
      <c r="A392" s="9" t="s">
        <v>35</v>
      </c>
      <c r="B392" s="10" t="s">
        <v>10</v>
      </c>
      <c r="C392" s="10">
        <v>60.985999999999997</v>
      </c>
      <c r="D392" s="10">
        <v>1973</v>
      </c>
    </row>
    <row r="393" spans="1:4" ht="19.95" customHeight="1" x14ac:dyDescent="0.25">
      <c r="A393" s="9" t="s">
        <v>36</v>
      </c>
      <c r="B393" s="10" t="s">
        <v>10</v>
      </c>
      <c r="C393" s="10">
        <v>47.991999999999997</v>
      </c>
      <c r="D393" s="10">
        <v>1973</v>
      </c>
    </row>
    <row r="394" spans="1:4" ht="19.95" customHeight="1" x14ac:dyDescent="0.25">
      <c r="A394" s="9" t="s">
        <v>37</v>
      </c>
      <c r="B394" s="10" t="s">
        <v>10</v>
      </c>
      <c r="C394" s="10">
        <v>49.235999999999997</v>
      </c>
      <c r="D394" s="10">
        <v>1973</v>
      </c>
    </row>
    <row r="395" spans="1:4" ht="19.95" customHeight="1" x14ac:dyDescent="0.25">
      <c r="A395" s="9" t="s">
        <v>38</v>
      </c>
      <c r="B395" s="10" t="s">
        <v>10</v>
      </c>
      <c r="C395" s="10">
        <v>50.401000000000003</v>
      </c>
      <c r="D395" s="10">
        <v>1973</v>
      </c>
    </row>
    <row r="396" spans="1:4" ht="19.95" customHeight="1" x14ac:dyDescent="0.25">
      <c r="A396" s="9" t="s">
        <v>39</v>
      </c>
      <c r="B396" s="10" t="s">
        <v>10</v>
      </c>
      <c r="C396" s="10">
        <v>55.948</v>
      </c>
      <c r="D396" s="10">
        <v>1973</v>
      </c>
    </row>
    <row r="397" spans="1:4" ht="19.95" customHeight="1" x14ac:dyDescent="0.25">
      <c r="A397" s="9" t="s">
        <v>9</v>
      </c>
      <c r="B397" s="10" t="s">
        <v>10</v>
      </c>
      <c r="C397" s="10">
        <v>44.865000000000002</v>
      </c>
      <c r="D397" s="10">
        <v>1974</v>
      </c>
    </row>
    <row r="398" spans="1:4" ht="19.95" customHeight="1" x14ac:dyDescent="0.25">
      <c r="A398" s="9" t="s">
        <v>12</v>
      </c>
      <c r="B398" s="10" t="s">
        <v>10</v>
      </c>
      <c r="C398" s="10">
        <v>48.247</v>
      </c>
      <c r="D398" s="10">
        <v>1974</v>
      </c>
    </row>
    <row r="399" spans="1:4" ht="19.95" customHeight="1" x14ac:dyDescent="0.25">
      <c r="A399" s="9" t="s">
        <v>13</v>
      </c>
      <c r="B399" s="10" t="s">
        <v>10</v>
      </c>
      <c r="C399" s="10">
        <v>43.003</v>
      </c>
      <c r="D399" s="10">
        <v>1974</v>
      </c>
    </row>
    <row r="400" spans="1:4" ht="19.95" customHeight="1" x14ac:dyDescent="0.25">
      <c r="A400" s="9" t="s">
        <v>15</v>
      </c>
      <c r="B400" s="10" t="s">
        <v>10</v>
      </c>
      <c r="C400" s="10">
        <v>47.441000000000003</v>
      </c>
      <c r="D400" s="10">
        <v>1974</v>
      </c>
    </row>
    <row r="401" spans="1:4" ht="19.95" customHeight="1" x14ac:dyDescent="0.25">
      <c r="A401" s="9" t="s">
        <v>16</v>
      </c>
      <c r="B401" s="10" t="s">
        <v>10</v>
      </c>
      <c r="C401" s="10">
        <v>51.442</v>
      </c>
      <c r="D401" s="10">
        <v>1974</v>
      </c>
    </row>
    <row r="402" spans="1:4" ht="19.95" customHeight="1" x14ac:dyDescent="0.25">
      <c r="A402" s="9" t="s">
        <v>1</v>
      </c>
      <c r="B402" s="10" t="s">
        <v>10</v>
      </c>
      <c r="C402" s="10">
        <v>43.893999999999998</v>
      </c>
      <c r="D402" s="10">
        <v>1974</v>
      </c>
    </row>
    <row r="403" spans="1:4" ht="19.95" customHeight="1" x14ac:dyDescent="0.25">
      <c r="A403" s="9" t="s">
        <v>17</v>
      </c>
      <c r="B403" s="10" t="s">
        <v>10</v>
      </c>
      <c r="C403" s="10">
        <v>38.039000000000001</v>
      </c>
      <c r="D403" s="10">
        <v>1974</v>
      </c>
    </row>
    <row r="404" spans="1:4" ht="19.95" customHeight="1" x14ac:dyDescent="0.25">
      <c r="A404" s="9" t="s">
        <v>18</v>
      </c>
      <c r="B404" s="10" t="s">
        <v>10</v>
      </c>
      <c r="C404" s="10">
        <v>48.722999999999999</v>
      </c>
      <c r="D404" s="10">
        <v>1974</v>
      </c>
    </row>
    <row r="405" spans="1:4" ht="19.95" customHeight="1" x14ac:dyDescent="0.25">
      <c r="A405" s="9" t="s">
        <v>19</v>
      </c>
      <c r="B405" s="10" t="s">
        <v>10</v>
      </c>
      <c r="C405" s="10">
        <v>54.497</v>
      </c>
      <c r="D405" s="10">
        <v>1974</v>
      </c>
    </row>
    <row r="406" spans="1:4" ht="19.95" customHeight="1" x14ac:dyDescent="0.25">
      <c r="A406" s="9" t="s">
        <v>20</v>
      </c>
      <c r="B406" s="10" t="s">
        <v>10</v>
      </c>
      <c r="C406" s="10"/>
      <c r="D406" s="10">
        <v>1974</v>
      </c>
    </row>
    <row r="407" spans="1:4" ht="19.95" customHeight="1" x14ac:dyDescent="0.25">
      <c r="A407" s="9" t="s">
        <v>21</v>
      </c>
      <c r="B407" s="10" t="s">
        <v>10</v>
      </c>
      <c r="C407" s="10">
        <v>41.942999999999998</v>
      </c>
      <c r="D407" s="10">
        <v>1974</v>
      </c>
    </row>
    <row r="408" spans="1:4" ht="19.95" customHeight="1" x14ac:dyDescent="0.25">
      <c r="A408" s="9" t="s">
        <v>22</v>
      </c>
      <c r="B408" s="10" t="s">
        <v>10</v>
      </c>
      <c r="C408" s="10">
        <v>46.655999999999999</v>
      </c>
      <c r="D408" s="10">
        <v>1974</v>
      </c>
    </row>
    <row r="409" spans="1:4" ht="19.95" customHeight="1" x14ac:dyDescent="0.25">
      <c r="A409" s="9" t="s">
        <v>23</v>
      </c>
      <c r="B409" s="10" t="s">
        <v>10</v>
      </c>
      <c r="C409" s="10">
        <v>42.375999999999998</v>
      </c>
      <c r="D409" s="10">
        <v>1974</v>
      </c>
    </row>
    <row r="410" spans="1:4" ht="19.95" customHeight="1" x14ac:dyDescent="0.25">
      <c r="A410" s="9" t="s">
        <v>24</v>
      </c>
      <c r="B410" s="10" t="s">
        <v>10</v>
      </c>
      <c r="C410" s="10">
        <v>35.204999999999998</v>
      </c>
      <c r="D410" s="10">
        <v>1974</v>
      </c>
    </row>
    <row r="411" spans="1:4" ht="19.95" customHeight="1" x14ac:dyDescent="0.25">
      <c r="A411" s="9" t="s">
        <v>25</v>
      </c>
      <c r="B411" s="10" t="s">
        <v>10</v>
      </c>
      <c r="C411" s="10">
        <v>65.221000000000004</v>
      </c>
      <c r="D411" s="10">
        <v>1974</v>
      </c>
    </row>
    <row r="412" spans="1:4" ht="19.95" customHeight="1" x14ac:dyDescent="0.25">
      <c r="A412" s="9" t="s">
        <v>26</v>
      </c>
      <c r="B412" s="10" t="s">
        <v>10</v>
      </c>
      <c r="C412" s="10">
        <v>41.125</v>
      </c>
      <c r="D412" s="10">
        <v>1974</v>
      </c>
    </row>
    <row r="413" spans="1:4" ht="19.95" customHeight="1" x14ac:dyDescent="0.25">
      <c r="A413" s="9" t="s">
        <v>28</v>
      </c>
      <c r="B413" s="10" t="s">
        <v>10</v>
      </c>
      <c r="C413" s="10">
        <v>52.564</v>
      </c>
      <c r="D413" s="10">
        <v>1974</v>
      </c>
    </row>
    <row r="414" spans="1:4" ht="19.95" customHeight="1" x14ac:dyDescent="0.25">
      <c r="A414" s="9" t="s">
        <v>29</v>
      </c>
      <c r="B414" s="10" t="s">
        <v>10</v>
      </c>
      <c r="C414" s="10">
        <v>42.854999999999997</v>
      </c>
      <c r="D414" s="10">
        <v>1974</v>
      </c>
    </row>
    <row r="415" spans="1:4" ht="19.95" customHeight="1" x14ac:dyDescent="0.25">
      <c r="A415" s="9" t="s">
        <v>30</v>
      </c>
      <c r="B415" s="10" t="s">
        <v>10</v>
      </c>
      <c r="C415" s="10">
        <v>56.052999999999997</v>
      </c>
      <c r="D415" s="10">
        <v>1974</v>
      </c>
    </row>
    <row r="416" spans="1:4" ht="19.95" customHeight="1" x14ac:dyDescent="0.25">
      <c r="A416" s="9" t="s">
        <v>31</v>
      </c>
      <c r="B416" s="10" t="s">
        <v>10</v>
      </c>
      <c r="C416" s="10">
        <v>36.634</v>
      </c>
      <c r="D416" s="10">
        <v>1974</v>
      </c>
    </row>
    <row r="417" spans="1:4" ht="19.95" customHeight="1" x14ac:dyDescent="0.25">
      <c r="A417" s="9" t="s">
        <v>32</v>
      </c>
      <c r="B417" s="10" t="s">
        <v>10</v>
      </c>
      <c r="C417" s="10">
        <v>44.709000000000003</v>
      </c>
      <c r="D417" s="10">
        <v>1974</v>
      </c>
    </row>
    <row r="418" spans="1:4" ht="19.95" customHeight="1" x14ac:dyDescent="0.25">
      <c r="A418" s="9" t="s">
        <v>33</v>
      </c>
      <c r="B418" s="10" t="s">
        <v>10</v>
      </c>
      <c r="C418" s="10">
        <v>58.389000000000003</v>
      </c>
      <c r="D418" s="10">
        <v>1974</v>
      </c>
    </row>
    <row r="419" spans="1:4" ht="19.95" customHeight="1" x14ac:dyDescent="0.25">
      <c r="A419" s="9" t="s">
        <v>34</v>
      </c>
      <c r="B419" s="10" t="s">
        <v>10</v>
      </c>
      <c r="C419" s="10">
        <v>65.694000000000003</v>
      </c>
      <c r="D419" s="10">
        <v>1974</v>
      </c>
    </row>
    <row r="420" spans="1:4" ht="19.95" customHeight="1" x14ac:dyDescent="0.25">
      <c r="A420" s="9" t="s">
        <v>35</v>
      </c>
      <c r="B420" s="10" t="s">
        <v>10</v>
      </c>
      <c r="C420" s="10">
        <v>61.247</v>
      </c>
      <c r="D420" s="10">
        <v>1974</v>
      </c>
    </row>
    <row r="421" spans="1:4" ht="19.95" customHeight="1" x14ac:dyDescent="0.25">
      <c r="A421" s="9" t="s">
        <v>36</v>
      </c>
      <c r="B421" s="10" t="s">
        <v>10</v>
      </c>
      <c r="C421" s="10">
        <v>48.447000000000003</v>
      </c>
      <c r="D421" s="10">
        <v>1974</v>
      </c>
    </row>
    <row r="422" spans="1:4" ht="19.95" customHeight="1" x14ac:dyDescent="0.25">
      <c r="A422" s="9" t="s">
        <v>37</v>
      </c>
      <c r="B422" s="10" t="s">
        <v>10</v>
      </c>
      <c r="C422" s="10">
        <v>49.301000000000002</v>
      </c>
      <c r="D422" s="10">
        <v>1974</v>
      </c>
    </row>
    <row r="423" spans="1:4" ht="19.95" customHeight="1" x14ac:dyDescent="0.25">
      <c r="A423" s="9" t="s">
        <v>38</v>
      </c>
      <c r="B423" s="10" t="s">
        <v>10</v>
      </c>
      <c r="C423" s="10">
        <v>50.78</v>
      </c>
      <c r="D423" s="10">
        <v>1974</v>
      </c>
    </row>
    <row r="424" spans="1:4" ht="19.95" customHeight="1" x14ac:dyDescent="0.25">
      <c r="A424" s="9" t="s">
        <v>39</v>
      </c>
      <c r="B424" s="10" t="s">
        <v>10</v>
      </c>
      <c r="C424" s="10">
        <v>56.323999999999998</v>
      </c>
      <c r="D424" s="10">
        <v>1974</v>
      </c>
    </row>
    <row r="425" spans="1:4" ht="19.95" customHeight="1" x14ac:dyDescent="0.25">
      <c r="A425" s="9" t="s">
        <v>9</v>
      </c>
      <c r="B425" s="10" t="s">
        <v>10</v>
      </c>
      <c r="C425" s="10">
        <v>45.265999999999998</v>
      </c>
      <c r="D425" s="10">
        <v>1975</v>
      </c>
    </row>
    <row r="426" spans="1:4" ht="19.95" customHeight="1" x14ac:dyDescent="0.25">
      <c r="A426" s="9" t="s">
        <v>12</v>
      </c>
      <c r="B426" s="10" t="s">
        <v>10</v>
      </c>
      <c r="C426" s="10">
        <v>48.783999999999999</v>
      </c>
      <c r="D426" s="10">
        <v>1975</v>
      </c>
    </row>
    <row r="427" spans="1:4" ht="19.95" customHeight="1" x14ac:dyDescent="0.25">
      <c r="A427" s="9" t="s">
        <v>13</v>
      </c>
      <c r="B427" s="10" t="s">
        <v>10</v>
      </c>
      <c r="C427" s="10">
        <v>43.326999999999998</v>
      </c>
      <c r="D427" s="10">
        <v>1975</v>
      </c>
    </row>
    <row r="428" spans="1:4" ht="19.95" customHeight="1" x14ac:dyDescent="0.25">
      <c r="A428" s="9" t="s">
        <v>15</v>
      </c>
      <c r="B428" s="10" t="s">
        <v>10</v>
      </c>
      <c r="C428" s="10">
        <v>47.887</v>
      </c>
      <c r="D428" s="10">
        <v>1975</v>
      </c>
    </row>
    <row r="429" spans="1:4" ht="19.95" customHeight="1" x14ac:dyDescent="0.25">
      <c r="A429" s="9" t="s">
        <v>16</v>
      </c>
      <c r="B429" s="10" t="s">
        <v>10</v>
      </c>
      <c r="C429" s="10">
        <v>51.832000000000001</v>
      </c>
      <c r="D429" s="10">
        <v>1975</v>
      </c>
    </row>
    <row r="430" spans="1:4" ht="19.95" customHeight="1" x14ac:dyDescent="0.25">
      <c r="A430" s="9" t="s">
        <v>1</v>
      </c>
      <c r="B430" s="10" t="s">
        <v>10</v>
      </c>
      <c r="C430" s="10">
        <v>44.045000000000002</v>
      </c>
      <c r="D430" s="10">
        <v>1975</v>
      </c>
    </row>
    <row r="431" spans="1:4" ht="19.95" customHeight="1" x14ac:dyDescent="0.25">
      <c r="A431" s="9" t="s">
        <v>17</v>
      </c>
      <c r="B431" s="10" t="s">
        <v>10</v>
      </c>
      <c r="C431" s="10">
        <v>38.497999999999998</v>
      </c>
      <c r="D431" s="10">
        <v>1975</v>
      </c>
    </row>
    <row r="432" spans="1:4" ht="19.95" customHeight="1" x14ac:dyDescent="0.25">
      <c r="A432" s="9" t="s">
        <v>18</v>
      </c>
      <c r="B432" s="10" t="s">
        <v>10</v>
      </c>
      <c r="C432" s="10">
        <v>49.106999999999999</v>
      </c>
      <c r="D432" s="10">
        <v>1975</v>
      </c>
    </row>
    <row r="433" spans="1:4" ht="19.95" customHeight="1" x14ac:dyDescent="0.25">
      <c r="A433" s="9" t="s">
        <v>19</v>
      </c>
      <c r="B433" s="10" t="s">
        <v>10</v>
      </c>
      <c r="C433" s="10">
        <v>55.042000000000002</v>
      </c>
      <c r="D433" s="10">
        <v>1975</v>
      </c>
    </row>
    <row r="434" spans="1:4" ht="19.95" customHeight="1" x14ac:dyDescent="0.25">
      <c r="A434" s="9" t="s">
        <v>20</v>
      </c>
      <c r="B434" s="10" t="s">
        <v>10</v>
      </c>
      <c r="C434" s="10"/>
      <c r="D434" s="10">
        <v>1975</v>
      </c>
    </row>
    <row r="435" spans="1:4" ht="19.95" customHeight="1" x14ac:dyDescent="0.25">
      <c r="A435" s="9" t="s">
        <v>21</v>
      </c>
      <c r="B435" s="10" t="s">
        <v>10</v>
      </c>
      <c r="C435" s="10">
        <v>42.686</v>
      </c>
      <c r="D435" s="10">
        <v>1975</v>
      </c>
    </row>
    <row r="436" spans="1:4" ht="19.95" customHeight="1" x14ac:dyDescent="0.25">
      <c r="A436" s="9" t="s">
        <v>22</v>
      </c>
      <c r="B436" s="10" t="s">
        <v>10</v>
      </c>
      <c r="C436" s="10">
        <v>47.094000000000001</v>
      </c>
      <c r="D436" s="10">
        <v>1975</v>
      </c>
    </row>
    <row r="437" spans="1:4" ht="19.95" customHeight="1" x14ac:dyDescent="0.25">
      <c r="A437" s="9" t="s">
        <v>23</v>
      </c>
      <c r="B437" s="10" t="s">
        <v>10</v>
      </c>
      <c r="C437" s="10">
        <v>42.802</v>
      </c>
      <c r="D437" s="10">
        <v>1975</v>
      </c>
    </row>
    <row r="438" spans="1:4" ht="19.95" customHeight="1" x14ac:dyDescent="0.25">
      <c r="A438" s="9" t="s">
        <v>24</v>
      </c>
      <c r="B438" s="10" t="s">
        <v>10</v>
      </c>
      <c r="C438" s="10">
        <v>35.920999999999999</v>
      </c>
      <c r="D438" s="10">
        <v>1975</v>
      </c>
    </row>
    <row r="439" spans="1:4" ht="19.95" customHeight="1" x14ac:dyDescent="0.25">
      <c r="A439" s="9" t="s">
        <v>25</v>
      </c>
      <c r="B439" s="10" t="s">
        <v>10</v>
      </c>
      <c r="C439" s="10">
        <v>65.209000000000003</v>
      </c>
      <c r="D439" s="10">
        <v>1975</v>
      </c>
    </row>
    <row r="440" spans="1:4" ht="19.95" customHeight="1" x14ac:dyDescent="0.25">
      <c r="A440" s="9" t="s">
        <v>26</v>
      </c>
      <c r="B440" s="10" t="s">
        <v>10</v>
      </c>
      <c r="C440" s="10">
        <v>41.512</v>
      </c>
      <c r="D440" s="10">
        <v>1975</v>
      </c>
    </row>
    <row r="441" spans="1:4" ht="19.95" customHeight="1" x14ac:dyDescent="0.25">
      <c r="A441" s="9" t="s">
        <v>28</v>
      </c>
      <c r="B441" s="10" t="s">
        <v>10</v>
      </c>
      <c r="C441" s="10">
        <v>52.954000000000001</v>
      </c>
      <c r="D441" s="10">
        <v>1975</v>
      </c>
    </row>
    <row r="442" spans="1:4" ht="19.95" customHeight="1" x14ac:dyDescent="0.25">
      <c r="A442" s="9" t="s">
        <v>29</v>
      </c>
      <c r="B442" s="10" t="s">
        <v>10</v>
      </c>
      <c r="C442" s="10">
        <v>43.433999999999997</v>
      </c>
      <c r="D442" s="10">
        <v>1975</v>
      </c>
    </row>
    <row r="443" spans="1:4" ht="19.95" customHeight="1" x14ac:dyDescent="0.25">
      <c r="A443" s="9" t="s">
        <v>30</v>
      </c>
      <c r="B443" s="10" t="s">
        <v>10</v>
      </c>
      <c r="C443" s="10">
        <v>56.545000000000002</v>
      </c>
      <c r="D443" s="10">
        <v>1975</v>
      </c>
    </row>
    <row r="444" spans="1:4" ht="19.95" customHeight="1" x14ac:dyDescent="0.25">
      <c r="A444" s="9" t="s">
        <v>31</v>
      </c>
      <c r="B444" s="10" t="s">
        <v>10</v>
      </c>
      <c r="C444" s="10">
        <v>36.905000000000001</v>
      </c>
      <c r="D444" s="10">
        <v>1975</v>
      </c>
    </row>
    <row r="445" spans="1:4" ht="19.95" customHeight="1" x14ac:dyDescent="0.25">
      <c r="A445" s="9" t="s">
        <v>32</v>
      </c>
      <c r="B445" s="10" t="s">
        <v>10</v>
      </c>
      <c r="C445" s="10">
        <v>44.932000000000002</v>
      </c>
      <c r="D445" s="10">
        <v>1975</v>
      </c>
    </row>
    <row r="446" spans="1:4" ht="19.95" customHeight="1" x14ac:dyDescent="0.25">
      <c r="A446" s="9" t="s">
        <v>33</v>
      </c>
      <c r="B446" s="10" t="s">
        <v>10</v>
      </c>
      <c r="C446" s="10">
        <v>58.976999999999997</v>
      </c>
      <c r="D446" s="10">
        <v>1975</v>
      </c>
    </row>
    <row r="447" spans="1:4" ht="19.95" customHeight="1" x14ac:dyDescent="0.25">
      <c r="A447" s="9" t="s">
        <v>34</v>
      </c>
      <c r="B447" s="10" t="s">
        <v>10</v>
      </c>
      <c r="C447" s="10">
        <v>66.066999999999993</v>
      </c>
      <c r="D447" s="10">
        <v>1975</v>
      </c>
    </row>
    <row r="448" spans="1:4" ht="19.95" customHeight="1" x14ac:dyDescent="0.25">
      <c r="A448" s="9" t="s">
        <v>35</v>
      </c>
      <c r="B448" s="10" t="s">
        <v>10</v>
      </c>
      <c r="C448" s="10">
        <v>61.499000000000002</v>
      </c>
      <c r="D448" s="10">
        <v>1975</v>
      </c>
    </row>
    <row r="449" spans="1:4" ht="19.95" customHeight="1" x14ac:dyDescent="0.25">
      <c r="A449" s="9" t="s">
        <v>36</v>
      </c>
      <c r="B449" s="10" t="s">
        <v>10</v>
      </c>
      <c r="C449" s="10">
        <v>48.890999999999998</v>
      </c>
      <c r="D449" s="10">
        <v>1975</v>
      </c>
    </row>
    <row r="450" spans="1:4" ht="19.95" customHeight="1" x14ac:dyDescent="0.25">
      <c r="A450" s="9" t="s">
        <v>37</v>
      </c>
      <c r="B450" s="10" t="s">
        <v>10</v>
      </c>
      <c r="C450" s="10">
        <v>49.347000000000001</v>
      </c>
      <c r="D450" s="10">
        <v>1975</v>
      </c>
    </row>
    <row r="451" spans="1:4" ht="19.95" customHeight="1" x14ac:dyDescent="0.25">
      <c r="A451" s="9" t="s">
        <v>38</v>
      </c>
      <c r="B451" s="10" t="s">
        <v>10</v>
      </c>
      <c r="C451" s="10">
        <v>51.088999999999999</v>
      </c>
      <c r="D451" s="10">
        <v>1975</v>
      </c>
    </row>
    <row r="452" spans="1:4" ht="19.95" customHeight="1" x14ac:dyDescent="0.25">
      <c r="A452" s="9" t="s">
        <v>39</v>
      </c>
      <c r="B452" s="10" t="s">
        <v>10</v>
      </c>
      <c r="C452" s="10">
        <v>56.732999999999997</v>
      </c>
      <c r="D452" s="10">
        <v>1975</v>
      </c>
    </row>
    <row r="453" spans="1:4" ht="19.95" customHeight="1" x14ac:dyDescent="0.25">
      <c r="A453" s="9" t="s">
        <v>9</v>
      </c>
      <c r="B453" s="10" t="s">
        <v>10</v>
      </c>
      <c r="C453" s="10">
        <v>45.701000000000001</v>
      </c>
      <c r="D453" s="10">
        <v>1976</v>
      </c>
    </row>
    <row r="454" spans="1:4" ht="19.95" customHeight="1" x14ac:dyDescent="0.25">
      <c r="A454" s="9" t="s">
        <v>12</v>
      </c>
      <c r="B454" s="10" t="s">
        <v>10</v>
      </c>
      <c r="C454" s="10">
        <v>49.311</v>
      </c>
      <c r="D454" s="10">
        <v>1976</v>
      </c>
    </row>
    <row r="455" spans="1:4" ht="19.95" customHeight="1" x14ac:dyDescent="0.25">
      <c r="A455" s="9" t="s">
        <v>13</v>
      </c>
      <c r="B455" s="10" t="s">
        <v>10</v>
      </c>
      <c r="C455" s="10">
        <v>43.619</v>
      </c>
      <c r="D455" s="10">
        <v>1976</v>
      </c>
    </row>
    <row r="456" spans="1:4" ht="19.95" customHeight="1" x14ac:dyDescent="0.25">
      <c r="A456" s="9" t="s">
        <v>15</v>
      </c>
      <c r="B456" s="10" t="s">
        <v>10</v>
      </c>
      <c r="C456" s="10">
        <v>48.356000000000002</v>
      </c>
      <c r="D456" s="10">
        <v>1976</v>
      </c>
    </row>
    <row r="457" spans="1:4" ht="19.95" customHeight="1" x14ac:dyDescent="0.25">
      <c r="A457" s="9" t="s">
        <v>16</v>
      </c>
      <c r="B457" s="10" t="s">
        <v>10</v>
      </c>
      <c r="C457" s="10">
        <v>52.177</v>
      </c>
      <c r="D457" s="10">
        <v>1976</v>
      </c>
    </row>
    <row r="458" spans="1:4" ht="19.95" customHeight="1" x14ac:dyDescent="0.25">
      <c r="A458" s="9" t="s">
        <v>1</v>
      </c>
      <c r="B458" s="10" t="s">
        <v>10</v>
      </c>
      <c r="C458" s="10">
        <v>44.116</v>
      </c>
      <c r="D458" s="10">
        <v>1976</v>
      </c>
    </row>
    <row r="459" spans="1:4" ht="19.95" customHeight="1" x14ac:dyDescent="0.25">
      <c r="A459" s="9" t="s">
        <v>17</v>
      </c>
      <c r="B459" s="10" t="s">
        <v>10</v>
      </c>
      <c r="C459" s="10">
        <v>38.993000000000002</v>
      </c>
      <c r="D459" s="10">
        <v>1976</v>
      </c>
    </row>
    <row r="460" spans="1:4" ht="19.95" customHeight="1" x14ac:dyDescent="0.25">
      <c r="A460" s="9" t="s">
        <v>18</v>
      </c>
      <c r="B460" s="10" t="s">
        <v>10</v>
      </c>
      <c r="C460" s="10">
        <v>49.484999999999999</v>
      </c>
      <c r="D460" s="10">
        <v>1976</v>
      </c>
    </row>
    <row r="461" spans="1:4" ht="19.95" customHeight="1" x14ac:dyDescent="0.25">
      <c r="A461" s="9" t="s">
        <v>19</v>
      </c>
      <c r="B461" s="10" t="s">
        <v>10</v>
      </c>
      <c r="C461" s="10">
        <v>55.591999999999999</v>
      </c>
      <c r="D461" s="10">
        <v>1976</v>
      </c>
    </row>
    <row r="462" spans="1:4" ht="19.95" customHeight="1" x14ac:dyDescent="0.25">
      <c r="A462" s="9" t="s">
        <v>20</v>
      </c>
      <c r="B462" s="10" t="s">
        <v>10</v>
      </c>
      <c r="C462" s="10"/>
      <c r="D462" s="10">
        <v>1976</v>
      </c>
    </row>
    <row r="463" spans="1:4" ht="19.95" customHeight="1" x14ac:dyDescent="0.25">
      <c r="A463" s="9" t="s">
        <v>21</v>
      </c>
      <c r="B463" s="10" t="s">
        <v>10</v>
      </c>
      <c r="C463" s="10">
        <v>43.430999999999997</v>
      </c>
      <c r="D463" s="10">
        <v>1976</v>
      </c>
    </row>
    <row r="464" spans="1:4" ht="19.95" customHeight="1" x14ac:dyDescent="0.25">
      <c r="A464" s="9" t="s">
        <v>22</v>
      </c>
      <c r="B464" s="10" t="s">
        <v>10</v>
      </c>
      <c r="C464" s="10">
        <v>47.517000000000003</v>
      </c>
      <c r="D464" s="10">
        <v>1976</v>
      </c>
    </row>
    <row r="465" spans="1:4" ht="19.95" customHeight="1" x14ac:dyDescent="0.25">
      <c r="A465" s="9" t="s">
        <v>23</v>
      </c>
      <c r="B465" s="10" t="s">
        <v>10</v>
      </c>
      <c r="C465" s="10">
        <v>43.215000000000003</v>
      </c>
      <c r="D465" s="10">
        <v>1976</v>
      </c>
    </row>
    <row r="466" spans="1:4" ht="19.95" customHeight="1" x14ac:dyDescent="0.25">
      <c r="A466" s="9" t="s">
        <v>24</v>
      </c>
      <c r="B466" s="10" t="s">
        <v>10</v>
      </c>
      <c r="C466" s="10">
        <v>36.645000000000003</v>
      </c>
      <c r="D466" s="10">
        <v>1976</v>
      </c>
    </row>
    <row r="467" spans="1:4" ht="19.95" customHeight="1" x14ac:dyDescent="0.25">
      <c r="A467" s="9" t="s">
        <v>25</v>
      </c>
      <c r="B467" s="10" t="s">
        <v>10</v>
      </c>
      <c r="C467" s="10">
        <v>65.171999999999997</v>
      </c>
      <c r="D467" s="10">
        <v>1976</v>
      </c>
    </row>
    <row r="468" spans="1:4" ht="19.95" customHeight="1" x14ac:dyDescent="0.25">
      <c r="A468" s="9" t="s">
        <v>26</v>
      </c>
      <c r="B468" s="10" t="s">
        <v>10</v>
      </c>
      <c r="C468" s="10">
        <v>41.804000000000002</v>
      </c>
      <c r="D468" s="10">
        <v>1976</v>
      </c>
    </row>
    <row r="469" spans="1:4" ht="19.95" customHeight="1" x14ac:dyDescent="0.25">
      <c r="A469" s="9" t="s">
        <v>28</v>
      </c>
      <c r="B469" s="10" t="s">
        <v>10</v>
      </c>
      <c r="C469" s="10">
        <v>53.360999999999997</v>
      </c>
      <c r="D469" s="10">
        <v>1976</v>
      </c>
    </row>
    <row r="470" spans="1:4" ht="19.95" customHeight="1" x14ac:dyDescent="0.25">
      <c r="A470" s="9" t="s">
        <v>29</v>
      </c>
      <c r="B470" s="10" t="s">
        <v>10</v>
      </c>
      <c r="C470" s="10">
        <v>44.023000000000003</v>
      </c>
      <c r="D470" s="10">
        <v>1976</v>
      </c>
    </row>
    <row r="471" spans="1:4" ht="19.95" customHeight="1" x14ac:dyDescent="0.25">
      <c r="A471" s="9" t="s">
        <v>30</v>
      </c>
      <c r="B471" s="10" t="s">
        <v>10</v>
      </c>
      <c r="C471" s="10">
        <v>56.991</v>
      </c>
      <c r="D471" s="10">
        <v>1976</v>
      </c>
    </row>
    <row r="472" spans="1:4" ht="19.95" customHeight="1" x14ac:dyDescent="0.25">
      <c r="A472" s="9" t="s">
        <v>31</v>
      </c>
      <c r="B472" s="10" t="s">
        <v>10</v>
      </c>
      <c r="C472" s="10">
        <v>37.226999999999997</v>
      </c>
      <c r="D472" s="10">
        <v>1976</v>
      </c>
    </row>
    <row r="473" spans="1:4" ht="19.95" customHeight="1" x14ac:dyDescent="0.25">
      <c r="A473" s="9" t="s">
        <v>32</v>
      </c>
      <c r="B473" s="10" t="s">
        <v>10</v>
      </c>
      <c r="C473" s="10">
        <v>45.3</v>
      </c>
      <c r="D473" s="10">
        <v>1976</v>
      </c>
    </row>
    <row r="474" spans="1:4" ht="19.95" customHeight="1" x14ac:dyDescent="0.25">
      <c r="A474" s="9" t="s">
        <v>33</v>
      </c>
      <c r="B474" s="10" t="s">
        <v>10</v>
      </c>
      <c r="C474" s="10">
        <v>59.487000000000002</v>
      </c>
      <c r="D474" s="10">
        <v>1976</v>
      </c>
    </row>
    <row r="475" spans="1:4" ht="19.95" customHeight="1" x14ac:dyDescent="0.25">
      <c r="A475" s="9" t="s">
        <v>34</v>
      </c>
      <c r="B475" s="10" t="s">
        <v>10</v>
      </c>
      <c r="C475" s="10">
        <v>66.459000000000003</v>
      </c>
      <c r="D475" s="10">
        <v>1976</v>
      </c>
    </row>
    <row r="476" spans="1:4" ht="19.95" customHeight="1" x14ac:dyDescent="0.25">
      <c r="A476" s="9" t="s">
        <v>35</v>
      </c>
      <c r="B476" s="10" t="s">
        <v>10</v>
      </c>
      <c r="C476" s="10">
        <v>61.743000000000002</v>
      </c>
      <c r="D476" s="10">
        <v>1976</v>
      </c>
    </row>
    <row r="477" spans="1:4" ht="19.95" customHeight="1" x14ac:dyDescent="0.25">
      <c r="A477" s="9" t="s">
        <v>36</v>
      </c>
      <c r="B477" s="10" t="s">
        <v>10</v>
      </c>
      <c r="C477" s="10">
        <v>49.305999999999997</v>
      </c>
      <c r="D477" s="10">
        <v>1976</v>
      </c>
    </row>
    <row r="478" spans="1:4" ht="19.95" customHeight="1" x14ac:dyDescent="0.25">
      <c r="A478" s="9" t="s">
        <v>37</v>
      </c>
      <c r="B478" s="10" t="s">
        <v>10</v>
      </c>
      <c r="C478" s="10">
        <v>49.384</v>
      </c>
      <c r="D478" s="10">
        <v>1976</v>
      </c>
    </row>
    <row r="479" spans="1:4" ht="19.95" customHeight="1" x14ac:dyDescent="0.25">
      <c r="A479" s="9" t="s">
        <v>38</v>
      </c>
      <c r="B479" s="10" t="s">
        <v>10</v>
      </c>
      <c r="C479" s="10">
        <v>51.317</v>
      </c>
      <c r="D479" s="10">
        <v>1976</v>
      </c>
    </row>
    <row r="480" spans="1:4" ht="19.95" customHeight="1" x14ac:dyDescent="0.25">
      <c r="A480" s="9" t="s">
        <v>39</v>
      </c>
      <c r="B480" s="10" t="s">
        <v>10</v>
      </c>
      <c r="C480" s="10">
        <v>57.194000000000003</v>
      </c>
      <c r="D480" s="10">
        <v>1976</v>
      </c>
    </row>
    <row r="481" spans="1:4" ht="19.95" customHeight="1" x14ac:dyDescent="0.25">
      <c r="A481" s="9" t="s">
        <v>9</v>
      </c>
      <c r="B481" s="10" t="s">
        <v>10</v>
      </c>
      <c r="C481" s="10">
        <v>46.140999999999998</v>
      </c>
      <c r="D481" s="10">
        <v>1977</v>
      </c>
    </row>
    <row r="482" spans="1:4" ht="19.95" customHeight="1" x14ac:dyDescent="0.25">
      <c r="A482" s="9" t="s">
        <v>12</v>
      </c>
      <c r="B482" s="10" t="s">
        <v>10</v>
      </c>
      <c r="C482" s="10">
        <v>49.825000000000003</v>
      </c>
      <c r="D482" s="10">
        <v>1977</v>
      </c>
    </row>
    <row r="483" spans="1:4" ht="19.95" customHeight="1" x14ac:dyDescent="0.25">
      <c r="A483" s="9" t="s">
        <v>13</v>
      </c>
      <c r="B483" s="10" t="s">
        <v>10</v>
      </c>
      <c r="C483" s="10">
        <v>43.892000000000003</v>
      </c>
      <c r="D483" s="10">
        <v>1977</v>
      </c>
    </row>
    <row r="484" spans="1:4" ht="19.95" customHeight="1" x14ac:dyDescent="0.25">
      <c r="A484" s="9" t="s">
        <v>15</v>
      </c>
      <c r="B484" s="10" t="s">
        <v>10</v>
      </c>
      <c r="C484" s="10">
        <v>48.86</v>
      </c>
      <c r="D484" s="10">
        <v>1977</v>
      </c>
    </row>
    <row r="485" spans="1:4" ht="19.95" customHeight="1" x14ac:dyDescent="0.25">
      <c r="A485" s="9" t="s">
        <v>16</v>
      </c>
      <c r="B485" s="10" t="s">
        <v>10</v>
      </c>
      <c r="C485" s="10">
        <v>52.512999999999998</v>
      </c>
      <c r="D485" s="10">
        <v>1977</v>
      </c>
    </row>
    <row r="486" spans="1:4" ht="19.95" customHeight="1" x14ac:dyDescent="0.25">
      <c r="A486" s="9" t="s">
        <v>1</v>
      </c>
      <c r="B486" s="10" t="s">
        <v>10</v>
      </c>
      <c r="C486" s="10">
        <v>44.103000000000002</v>
      </c>
      <c r="D486" s="10">
        <v>1977</v>
      </c>
    </row>
    <row r="487" spans="1:4" ht="19.95" customHeight="1" x14ac:dyDescent="0.25">
      <c r="A487" s="9" t="s">
        <v>17</v>
      </c>
      <c r="B487" s="10" t="s">
        <v>10</v>
      </c>
      <c r="C487" s="10">
        <v>39.517000000000003</v>
      </c>
      <c r="D487" s="10">
        <v>1977</v>
      </c>
    </row>
    <row r="488" spans="1:4" ht="19.95" customHeight="1" x14ac:dyDescent="0.25">
      <c r="A488" s="9" t="s">
        <v>18</v>
      </c>
      <c r="B488" s="10" t="s">
        <v>10</v>
      </c>
      <c r="C488" s="10">
        <v>49.848999999999997</v>
      </c>
      <c r="D488" s="10">
        <v>1977</v>
      </c>
    </row>
    <row r="489" spans="1:4" ht="19.95" customHeight="1" x14ac:dyDescent="0.25">
      <c r="A489" s="9" t="s">
        <v>19</v>
      </c>
      <c r="B489" s="10" t="s">
        <v>10</v>
      </c>
      <c r="C489" s="10">
        <v>56.148000000000003</v>
      </c>
      <c r="D489" s="10">
        <v>1977</v>
      </c>
    </row>
    <row r="490" spans="1:4" ht="19.95" customHeight="1" x14ac:dyDescent="0.25">
      <c r="A490" s="9" t="s">
        <v>20</v>
      </c>
      <c r="B490" s="10" t="s">
        <v>10</v>
      </c>
      <c r="C490" s="10"/>
      <c r="D490" s="10">
        <v>1977</v>
      </c>
    </row>
    <row r="491" spans="1:4" ht="19.95" customHeight="1" x14ac:dyDescent="0.25">
      <c r="A491" s="9" t="s">
        <v>21</v>
      </c>
      <c r="B491" s="10" t="s">
        <v>10</v>
      </c>
      <c r="C491" s="10">
        <v>44.155999999999999</v>
      </c>
      <c r="D491" s="10">
        <v>1977</v>
      </c>
    </row>
    <row r="492" spans="1:4" ht="19.95" customHeight="1" x14ac:dyDescent="0.25">
      <c r="A492" s="9" t="s">
        <v>22</v>
      </c>
      <c r="B492" s="10" t="s">
        <v>10</v>
      </c>
      <c r="C492" s="10">
        <v>47.926000000000002</v>
      </c>
      <c r="D492" s="10">
        <v>1977</v>
      </c>
    </row>
    <row r="493" spans="1:4" ht="19.95" customHeight="1" x14ac:dyDescent="0.25">
      <c r="A493" s="9" t="s">
        <v>23</v>
      </c>
      <c r="B493" s="10" t="s">
        <v>10</v>
      </c>
      <c r="C493" s="10">
        <v>43.621000000000002</v>
      </c>
      <c r="D493" s="10">
        <v>1977</v>
      </c>
    </row>
    <row r="494" spans="1:4" ht="19.95" customHeight="1" x14ac:dyDescent="0.25">
      <c r="A494" s="9" t="s">
        <v>24</v>
      </c>
      <c r="B494" s="10" t="s">
        <v>10</v>
      </c>
      <c r="C494" s="10">
        <v>37.384999999999998</v>
      </c>
      <c r="D494" s="10">
        <v>1977</v>
      </c>
    </row>
    <row r="495" spans="1:4" ht="19.95" customHeight="1" x14ac:dyDescent="0.25">
      <c r="A495" s="9" t="s">
        <v>25</v>
      </c>
      <c r="B495" s="10" t="s">
        <v>10</v>
      </c>
      <c r="C495" s="10">
        <v>65.111000000000004</v>
      </c>
      <c r="D495" s="10">
        <v>1977</v>
      </c>
    </row>
    <row r="496" spans="1:4" ht="19.95" customHeight="1" x14ac:dyDescent="0.25">
      <c r="A496" s="9" t="s">
        <v>26</v>
      </c>
      <c r="B496" s="10" t="s">
        <v>10</v>
      </c>
      <c r="C496" s="10">
        <v>41.982999999999997</v>
      </c>
      <c r="D496" s="10">
        <v>1977</v>
      </c>
    </row>
    <row r="497" spans="1:4" ht="19.95" customHeight="1" x14ac:dyDescent="0.25">
      <c r="A497" s="9" t="s">
        <v>28</v>
      </c>
      <c r="B497" s="10" t="s">
        <v>10</v>
      </c>
      <c r="C497" s="10">
        <v>53.771999999999998</v>
      </c>
      <c r="D497" s="10">
        <v>1977</v>
      </c>
    </row>
    <row r="498" spans="1:4" ht="19.95" customHeight="1" x14ac:dyDescent="0.25">
      <c r="A498" s="9" t="s">
        <v>29</v>
      </c>
      <c r="B498" s="10" t="s">
        <v>10</v>
      </c>
      <c r="C498" s="10">
        <v>44.627000000000002</v>
      </c>
      <c r="D498" s="10">
        <v>1977</v>
      </c>
    </row>
    <row r="499" spans="1:4" ht="19.95" customHeight="1" x14ac:dyDescent="0.25">
      <c r="A499" s="9" t="s">
        <v>30</v>
      </c>
      <c r="B499" s="10" t="s">
        <v>10</v>
      </c>
      <c r="C499" s="10">
        <v>57.398000000000003</v>
      </c>
      <c r="D499" s="10">
        <v>1977</v>
      </c>
    </row>
    <row r="500" spans="1:4" ht="19.95" customHeight="1" x14ac:dyDescent="0.25">
      <c r="A500" s="9" t="s">
        <v>31</v>
      </c>
      <c r="B500" s="10" t="s">
        <v>10</v>
      </c>
      <c r="C500" s="10">
        <v>37.6</v>
      </c>
      <c r="D500" s="10">
        <v>1977</v>
      </c>
    </row>
    <row r="501" spans="1:4" ht="19.95" customHeight="1" x14ac:dyDescent="0.25">
      <c r="A501" s="9" t="s">
        <v>32</v>
      </c>
      <c r="B501" s="10" t="s">
        <v>10</v>
      </c>
      <c r="C501" s="10">
        <v>45.823999999999998</v>
      </c>
      <c r="D501" s="10">
        <v>1977</v>
      </c>
    </row>
    <row r="502" spans="1:4" ht="19.95" customHeight="1" x14ac:dyDescent="0.25">
      <c r="A502" s="9" t="s">
        <v>33</v>
      </c>
      <c r="B502" s="10" t="s">
        <v>10</v>
      </c>
      <c r="C502" s="10">
        <v>59.902000000000001</v>
      </c>
      <c r="D502" s="10">
        <v>1977</v>
      </c>
    </row>
    <row r="503" spans="1:4" ht="19.95" customHeight="1" x14ac:dyDescent="0.25">
      <c r="A503" s="9" t="s">
        <v>34</v>
      </c>
      <c r="B503" s="10" t="s">
        <v>10</v>
      </c>
      <c r="C503" s="10">
        <v>66.873999999999995</v>
      </c>
      <c r="D503" s="10">
        <v>1977</v>
      </c>
    </row>
    <row r="504" spans="1:4" ht="19.95" customHeight="1" x14ac:dyDescent="0.25">
      <c r="A504" s="9" t="s">
        <v>35</v>
      </c>
      <c r="B504" s="10" t="s">
        <v>10</v>
      </c>
      <c r="C504" s="10">
        <v>61.981999999999999</v>
      </c>
      <c r="D504" s="10">
        <v>1977</v>
      </c>
    </row>
    <row r="505" spans="1:4" ht="19.95" customHeight="1" x14ac:dyDescent="0.25">
      <c r="A505" s="9" t="s">
        <v>36</v>
      </c>
      <c r="B505" s="10" t="s">
        <v>10</v>
      </c>
      <c r="C505" s="10">
        <v>49.674999999999997</v>
      </c>
      <c r="D505" s="10">
        <v>1977</v>
      </c>
    </row>
    <row r="506" spans="1:4" ht="19.95" customHeight="1" x14ac:dyDescent="0.25">
      <c r="A506" s="9" t="s">
        <v>37</v>
      </c>
      <c r="B506" s="10" t="s">
        <v>10</v>
      </c>
      <c r="C506" s="10">
        <v>49.411999999999999</v>
      </c>
      <c r="D506" s="10">
        <v>1977</v>
      </c>
    </row>
    <row r="507" spans="1:4" ht="19.95" customHeight="1" x14ac:dyDescent="0.25">
      <c r="A507" s="9" t="s">
        <v>38</v>
      </c>
      <c r="B507" s="10" t="s">
        <v>10</v>
      </c>
      <c r="C507" s="10">
        <v>51.456000000000003</v>
      </c>
      <c r="D507" s="10">
        <v>1977</v>
      </c>
    </row>
    <row r="508" spans="1:4" ht="19.95" customHeight="1" x14ac:dyDescent="0.25">
      <c r="A508" s="9" t="s">
        <v>39</v>
      </c>
      <c r="B508" s="10" t="s">
        <v>10</v>
      </c>
      <c r="C508" s="10">
        <v>57.707999999999998</v>
      </c>
      <c r="D508" s="10">
        <v>1977</v>
      </c>
    </row>
    <row r="509" spans="1:4" ht="19.95" customHeight="1" x14ac:dyDescent="0.25">
      <c r="A509" s="9" t="s">
        <v>9</v>
      </c>
      <c r="B509" s="10" t="s">
        <v>10</v>
      </c>
      <c r="C509" s="10">
        <v>46.561999999999998</v>
      </c>
      <c r="D509" s="10">
        <v>1978</v>
      </c>
    </row>
    <row r="510" spans="1:4" ht="19.95" customHeight="1" x14ac:dyDescent="0.25">
      <c r="A510" s="9" t="s">
        <v>12</v>
      </c>
      <c r="B510" s="10" t="s">
        <v>10</v>
      </c>
      <c r="C510" s="10">
        <v>50.317999999999998</v>
      </c>
      <c r="D510" s="10">
        <v>1978</v>
      </c>
    </row>
    <row r="511" spans="1:4" ht="19.95" customHeight="1" x14ac:dyDescent="0.25">
      <c r="A511" s="9" t="s">
        <v>13</v>
      </c>
      <c r="B511" s="10" t="s">
        <v>10</v>
      </c>
      <c r="C511" s="10">
        <v>44.161000000000001</v>
      </c>
      <c r="D511" s="10">
        <v>1978</v>
      </c>
    </row>
    <row r="512" spans="1:4" ht="19.95" customHeight="1" x14ac:dyDescent="0.25">
      <c r="A512" s="9" t="s">
        <v>15</v>
      </c>
      <c r="B512" s="10" t="s">
        <v>10</v>
      </c>
      <c r="C512" s="10">
        <v>49.405999999999999</v>
      </c>
      <c r="D512" s="10">
        <v>1978</v>
      </c>
    </row>
    <row r="513" spans="1:4" ht="19.95" customHeight="1" x14ac:dyDescent="0.25">
      <c r="A513" s="9" t="s">
        <v>16</v>
      </c>
      <c r="B513" s="10" t="s">
        <v>10</v>
      </c>
      <c r="C513" s="10">
        <v>52.865000000000002</v>
      </c>
      <c r="D513" s="10">
        <v>1978</v>
      </c>
    </row>
    <row r="514" spans="1:4" ht="19.95" customHeight="1" x14ac:dyDescent="0.25">
      <c r="A514" s="9" t="s">
        <v>1</v>
      </c>
      <c r="B514" s="10" t="s">
        <v>10</v>
      </c>
      <c r="C514" s="10">
        <v>44.015999999999998</v>
      </c>
      <c r="D514" s="10">
        <v>1978</v>
      </c>
    </row>
    <row r="515" spans="1:4" ht="19.95" customHeight="1" x14ac:dyDescent="0.25">
      <c r="A515" s="9" t="s">
        <v>17</v>
      </c>
      <c r="B515" s="10" t="s">
        <v>10</v>
      </c>
      <c r="C515" s="10">
        <v>40.067999999999998</v>
      </c>
      <c r="D515" s="10">
        <v>1978</v>
      </c>
    </row>
    <row r="516" spans="1:4" ht="19.95" customHeight="1" x14ac:dyDescent="0.25">
      <c r="A516" s="9" t="s">
        <v>18</v>
      </c>
      <c r="B516" s="10" t="s">
        <v>10</v>
      </c>
      <c r="C516" s="10">
        <v>50.195999999999998</v>
      </c>
      <c r="D516" s="10">
        <v>1978</v>
      </c>
    </row>
    <row r="517" spans="1:4" ht="19.95" customHeight="1" x14ac:dyDescent="0.25">
      <c r="A517" s="9" t="s">
        <v>19</v>
      </c>
      <c r="B517" s="10" t="s">
        <v>10</v>
      </c>
      <c r="C517" s="10">
        <v>56.704999999999998</v>
      </c>
      <c r="D517" s="10">
        <v>1978</v>
      </c>
    </row>
    <row r="518" spans="1:4" ht="19.95" customHeight="1" x14ac:dyDescent="0.25">
      <c r="A518" s="9" t="s">
        <v>20</v>
      </c>
      <c r="B518" s="10" t="s">
        <v>10</v>
      </c>
      <c r="C518" s="10"/>
      <c r="D518" s="10">
        <v>1978</v>
      </c>
    </row>
    <row r="519" spans="1:4" ht="19.95" customHeight="1" x14ac:dyDescent="0.25">
      <c r="A519" s="9" t="s">
        <v>21</v>
      </c>
      <c r="B519" s="10" t="s">
        <v>10</v>
      </c>
      <c r="C519" s="10">
        <v>44.838000000000001</v>
      </c>
      <c r="D519" s="10">
        <v>1978</v>
      </c>
    </row>
    <row r="520" spans="1:4" ht="19.95" customHeight="1" x14ac:dyDescent="0.25">
      <c r="A520" s="9" t="s">
        <v>22</v>
      </c>
      <c r="B520" s="10" t="s">
        <v>10</v>
      </c>
      <c r="C520" s="10">
        <v>48.317</v>
      </c>
      <c r="D520" s="10">
        <v>1978</v>
      </c>
    </row>
    <row r="521" spans="1:4" ht="19.95" customHeight="1" x14ac:dyDescent="0.25">
      <c r="A521" s="9" t="s">
        <v>23</v>
      </c>
      <c r="B521" s="10" t="s">
        <v>10</v>
      </c>
      <c r="C521" s="10">
        <v>44.02</v>
      </c>
      <c r="D521" s="10">
        <v>1978</v>
      </c>
    </row>
    <row r="522" spans="1:4" ht="19.95" customHeight="1" x14ac:dyDescent="0.25">
      <c r="A522" s="9" t="s">
        <v>24</v>
      </c>
      <c r="B522" s="10" t="s">
        <v>10</v>
      </c>
      <c r="C522" s="10">
        <v>38.142000000000003</v>
      </c>
      <c r="D522" s="10">
        <v>1978</v>
      </c>
    </row>
    <row r="523" spans="1:4" ht="19.95" customHeight="1" x14ac:dyDescent="0.25">
      <c r="A523" s="9" t="s">
        <v>25</v>
      </c>
      <c r="B523" s="10" t="s">
        <v>10</v>
      </c>
      <c r="C523" s="10">
        <v>65.037000000000006</v>
      </c>
      <c r="D523" s="10">
        <v>1978</v>
      </c>
    </row>
    <row r="524" spans="1:4" ht="19.95" customHeight="1" x14ac:dyDescent="0.25">
      <c r="A524" s="9" t="s">
        <v>26</v>
      </c>
      <c r="B524" s="10" t="s">
        <v>10</v>
      </c>
      <c r="C524" s="10">
        <v>42.05</v>
      </c>
      <c r="D524" s="10">
        <v>1978</v>
      </c>
    </row>
    <row r="525" spans="1:4" ht="19.95" customHeight="1" x14ac:dyDescent="0.25">
      <c r="A525" s="9" t="s">
        <v>28</v>
      </c>
      <c r="B525" s="10" t="s">
        <v>10</v>
      </c>
      <c r="C525" s="10">
        <v>54.179000000000002</v>
      </c>
      <c r="D525" s="10">
        <v>1978</v>
      </c>
    </row>
    <row r="526" spans="1:4" ht="19.95" customHeight="1" x14ac:dyDescent="0.25">
      <c r="A526" s="9" t="s">
        <v>29</v>
      </c>
      <c r="B526" s="10" t="s">
        <v>10</v>
      </c>
      <c r="C526" s="10">
        <v>45.25</v>
      </c>
      <c r="D526" s="10">
        <v>1978</v>
      </c>
    </row>
    <row r="527" spans="1:4" ht="19.95" customHeight="1" x14ac:dyDescent="0.25">
      <c r="A527" s="9" t="s">
        <v>30</v>
      </c>
      <c r="B527" s="10" t="s">
        <v>10</v>
      </c>
      <c r="C527" s="10">
        <v>57.779000000000003</v>
      </c>
      <c r="D527" s="10">
        <v>1978</v>
      </c>
    </row>
    <row r="528" spans="1:4" ht="19.95" customHeight="1" x14ac:dyDescent="0.25">
      <c r="A528" s="9" t="s">
        <v>31</v>
      </c>
      <c r="B528" s="10" t="s">
        <v>10</v>
      </c>
      <c r="C528" s="10">
        <v>38.020000000000003</v>
      </c>
      <c r="D528" s="10">
        <v>1978</v>
      </c>
    </row>
    <row r="529" spans="1:4" ht="19.95" customHeight="1" x14ac:dyDescent="0.25">
      <c r="A529" s="9" t="s">
        <v>32</v>
      </c>
      <c r="B529" s="10" t="s">
        <v>10</v>
      </c>
      <c r="C529" s="10">
        <v>46.484999999999999</v>
      </c>
      <c r="D529" s="10">
        <v>1978</v>
      </c>
    </row>
    <row r="530" spans="1:4" ht="19.95" customHeight="1" x14ac:dyDescent="0.25">
      <c r="A530" s="9" t="s">
        <v>33</v>
      </c>
      <c r="B530" s="10" t="s">
        <v>10</v>
      </c>
      <c r="C530" s="10">
        <v>60.213000000000001</v>
      </c>
      <c r="D530" s="10">
        <v>1978</v>
      </c>
    </row>
    <row r="531" spans="1:4" ht="19.95" customHeight="1" x14ac:dyDescent="0.25">
      <c r="A531" s="9" t="s">
        <v>34</v>
      </c>
      <c r="B531" s="10" t="s">
        <v>10</v>
      </c>
      <c r="C531" s="10">
        <v>67.308000000000007</v>
      </c>
      <c r="D531" s="10">
        <v>1978</v>
      </c>
    </row>
    <row r="532" spans="1:4" ht="19.95" customHeight="1" x14ac:dyDescent="0.25">
      <c r="A532" s="9" t="s">
        <v>35</v>
      </c>
      <c r="B532" s="10" t="s">
        <v>10</v>
      </c>
      <c r="C532" s="10">
        <v>62.216000000000001</v>
      </c>
      <c r="D532" s="10">
        <v>1978</v>
      </c>
    </row>
    <row r="533" spans="1:4" ht="19.95" customHeight="1" x14ac:dyDescent="0.25">
      <c r="A533" s="9" t="s">
        <v>36</v>
      </c>
      <c r="B533" s="10" t="s">
        <v>10</v>
      </c>
      <c r="C533" s="10">
        <v>49.987000000000002</v>
      </c>
      <c r="D533" s="10">
        <v>1978</v>
      </c>
    </row>
    <row r="534" spans="1:4" ht="19.95" customHeight="1" x14ac:dyDescent="0.25">
      <c r="A534" s="9" t="s">
        <v>37</v>
      </c>
      <c r="B534" s="10" t="s">
        <v>10</v>
      </c>
      <c r="C534" s="10">
        <v>49.426000000000002</v>
      </c>
      <c r="D534" s="10">
        <v>1978</v>
      </c>
    </row>
    <row r="535" spans="1:4" ht="19.95" customHeight="1" x14ac:dyDescent="0.25">
      <c r="A535" s="9" t="s">
        <v>38</v>
      </c>
      <c r="B535" s="10" t="s">
        <v>10</v>
      </c>
      <c r="C535" s="10">
        <v>51.500999999999998</v>
      </c>
      <c r="D535" s="10">
        <v>1978</v>
      </c>
    </row>
    <row r="536" spans="1:4" ht="19.95" customHeight="1" x14ac:dyDescent="0.25">
      <c r="A536" s="9" t="s">
        <v>39</v>
      </c>
      <c r="B536" s="10" t="s">
        <v>10</v>
      </c>
      <c r="C536" s="10">
        <v>58.259</v>
      </c>
      <c r="D536" s="10">
        <v>1978</v>
      </c>
    </row>
    <row r="537" spans="1:4" ht="19.95" customHeight="1" x14ac:dyDescent="0.25">
      <c r="A537" s="9" t="s">
        <v>9</v>
      </c>
      <c r="B537" s="10" t="s">
        <v>10</v>
      </c>
      <c r="C537" s="10">
        <v>46.953000000000003</v>
      </c>
      <c r="D537" s="10">
        <v>1979</v>
      </c>
    </row>
    <row r="538" spans="1:4" ht="19.95" customHeight="1" x14ac:dyDescent="0.25">
      <c r="A538" s="9" t="s">
        <v>12</v>
      </c>
      <c r="B538" s="10" t="s">
        <v>10</v>
      </c>
      <c r="C538" s="10">
        <v>50.780999999999999</v>
      </c>
      <c r="D538" s="10">
        <v>1979</v>
      </c>
    </row>
    <row r="539" spans="1:4" ht="19.95" customHeight="1" x14ac:dyDescent="0.25">
      <c r="A539" s="9" t="s">
        <v>13</v>
      </c>
      <c r="B539" s="10" t="s">
        <v>10</v>
      </c>
      <c r="C539" s="10">
        <v>44.43</v>
      </c>
      <c r="D539" s="10">
        <v>1979</v>
      </c>
    </row>
    <row r="540" spans="1:4" ht="19.95" customHeight="1" x14ac:dyDescent="0.25">
      <c r="A540" s="9" t="s">
        <v>15</v>
      </c>
      <c r="B540" s="10" t="s">
        <v>10</v>
      </c>
      <c r="C540" s="10">
        <v>49.991999999999997</v>
      </c>
      <c r="D540" s="10">
        <v>1979</v>
      </c>
    </row>
    <row r="541" spans="1:4" ht="19.95" customHeight="1" x14ac:dyDescent="0.25">
      <c r="A541" s="9" t="s">
        <v>16</v>
      </c>
      <c r="B541" s="10" t="s">
        <v>10</v>
      </c>
      <c r="C541" s="10">
        <v>53.241</v>
      </c>
      <c r="D541" s="10">
        <v>1979</v>
      </c>
    </row>
    <row r="542" spans="1:4" ht="19.95" customHeight="1" x14ac:dyDescent="0.25">
      <c r="A542" s="9" t="s">
        <v>1</v>
      </c>
      <c r="B542" s="10" t="s">
        <v>10</v>
      </c>
      <c r="C542" s="10">
        <v>43.88</v>
      </c>
      <c r="D542" s="10">
        <v>1979</v>
      </c>
    </row>
    <row r="543" spans="1:4" ht="19.95" customHeight="1" x14ac:dyDescent="0.25">
      <c r="A543" s="9" t="s">
        <v>17</v>
      </c>
      <c r="B543" s="10" t="s">
        <v>10</v>
      </c>
      <c r="C543" s="10">
        <v>40.65</v>
      </c>
      <c r="D543" s="10">
        <v>1979</v>
      </c>
    </row>
    <row r="544" spans="1:4" ht="19.95" customHeight="1" x14ac:dyDescent="0.25">
      <c r="A544" s="9" t="s">
        <v>18</v>
      </c>
      <c r="B544" s="10" t="s">
        <v>10</v>
      </c>
      <c r="C544" s="10">
        <v>50.527000000000001</v>
      </c>
      <c r="D544" s="10">
        <v>1979</v>
      </c>
    </row>
    <row r="545" spans="1:4" ht="19.95" customHeight="1" x14ac:dyDescent="0.25">
      <c r="A545" s="9" t="s">
        <v>19</v>
      </c>
      <c r="B545" s="10" t="s">
        <v>10</v>
      </c>
      <c r="C545" s="10">
        <v>57.247</v>
      </c>
      <c r="D545" s="10">
        <v>1979</v>
      </c>
    </row>
    <row r="546" spans="1:4" ht="19.95" customHeight="1" x14ac:dyDescent="0.25">
      <c r="A546" s="9" t="s">
        <v>20</v>
      </c>
      <c r="B546" s="10" t="s">
        <v>10</v>
      </c>
      <c r="C546" s="10"/>
      <c r="D546" s="10">
        <v>1979</v>
      </c>
    </row>
    <row r="547" spans="1:4" ht="19.95" customHeight="1" x14ac:dyDescent="0.25">
      <c r="A547" s="9" t="s">
        <v>21</v>
      </c>
      <c r="B547" s="10" t="s">
        <v>10</v>
      </c>
      <c r="C547" s="10">
        <v>45.457999999999998</v>
      </c>
      <c r="D547" s="10">
        <v>1979</v>
      </c>
    </row>
    <row r="548" spans="1:4" ht="19.95" customHeight="1" x14ac:dyDescent="0.25">
      <c r="A548" s="9" t="s">
        <v>22</v>
      </c>
      <c r="B548" s="10" t="s">
        <v>10</v>
      </c>
      <c r="C548" s="10">
        <v>48.683</v>
      </c>
      <c r="D548" s="10">
        <v>1979</v>
      </c>
    </row>
    <row r="549" spans="1:4" ht="19.95" customHeight="1" x14ac:dyDescent="0.25">
      <c r="A549" s="9" t="s">
        <v>23</v>
      </c>
      <c r="B549" s="10" t="s">
        <v>10</v>
      </c>
      <c r="C549" s="10">
        <v>44.408000000000001</v>
      </c>
      <c r="D549" s="10">
        <v>1979</v>
      </c>
    </row>
    <row r="550" spans="1:4" ht="19.95" customHeight="1" x14ac:dyDescent="0.25">
      <c r="A550" s="9" t="s">
        <v>24</v>
      </c>
      <c r="B550" s="10" t="s">
        <v>10</v>
      </c>
      <c r="C550" s="10">
        <v>38.908999999999999</v>
      </c>
      <c r="D550" s="10">
        <v>1979</v>
      </c>
    </row>
    <row r="551" spans="1:4" ht="19.95" customHeight="1" x14ac:dyDescent="0.25">
      <c r="A551" s="9" t="s">
        <v>25</v>
      </c>
      <c r="B551" s="10" t="s">
        <v>10</v>
      </c>
      <c r="C551" s="10">
        <v>64.971000000000004</v>
      </c>
      <c r="D551" s="10">
        <v>1979</v>
      </c>
    </row>
    <row r="552" spans="1:4" ht="19.95" customHeight="1" x14ac:dyDescent="0.25">
      <c r="A552" s="9" t="s">
        <v>26</v>
      </c>
      <c r="B552" s="10" t="s">
        <v>10</v>
      </c>
      <c r="C552" s="10">
        <v>42.017000000000003</v>
      </c>
      <c r="D552" s="10">
        <v>1979</v>
      </c>
    </row>
    <row r="553" spans="1:4" ht="19.95" customHeight="1" x14ac:dyDescent="0.25">
      <c r="A553" s="9" t="s">
        <v>28</v>
      </c>
      <c r="B553" s="10" t="s">
        <v>10</v>
      </c>
      <c r="C553" s="10">
        <v>54.581000000000003</v>
      </c>
      <c r="D553" s="10">
        <v>1979</v>
      </c>
    </row>
    <row r="554" spans="1:4" ht="19.95" customHeight="1" x14ac:dyDescent="0.25">
      <c r="A554" s="9" t="s">
        <v>29</v>
      </c>
      <c r="B554" s="10" t="s">
        <v>10</v>
      </c>
      <c r="C554" s="10">
        <v>45.895000000000003</v>
      </c>
      <c r="D554" s="10">
        <v>1979</v>
      </c>
    </row>
    <row r="555" spans="1:4" ht="19.95" customHeight="1" x14ac:dyDescent="0.25">
      <c r="A555" s="9" t="s">
        <v>30</v>
      </c>
      <c r="B555" s="10" t="s">
        <v>10</v>
      </c>
      <c r="C555" s="10">
        <v>58.146000000000001</v>
      </c>
      <c r="D555" s="10">
        <v>1979</v>
      </c>
    </row>
    <row r="556" spans="1:4" ht="19.95" customHeight="1" x14ac:dyDescent="0.25">
      <c r="A556" s="9" t="s">
        <v>31</v>
      </c>
      <c r="B556" s="10" t="s">
        <v>10</v>
      </c>
      <c r="C556" s="10">
        <v>38.479999999999997</v>
      </c>
      <c r="D556" s="10">
        <v>1979</v>
      </c>
    </row>
    <row r="557" spans="1:4" ht="19.95" customHeight="1" x14ac:dyDescent="0.25">
      <c r="A557" s="9" t="s">
        <v>32</v>
      </c>
      <c r="B557" s="10" t="s">
        <v>10</v>
      </c>
      <c r="C557" s="10">
        <v>47.241</v>
      </c>
      <c r="D557" s="10">
        <v>1979</v>
      </c>
    </row>
    <row r="558" spans="1:4" ht="19.95" customHeight="1" x14ac:dyDescent="0.25">
      <c r="A558" s="9" t="s">
        <v>33</v>
      </c>
      <c r="B558" s="10" t="s">
        <v>10</v>
      </c>
      <c r="C558" s="10">
        <v>60.424999999999997</v>
      </c>
      <c r="D558" s="10">
        <v>1979</v>
      </c>
    </row>
    <row r="559" spans="1:4" ht="19.95" customHeight="1" x14ac:dyDescent="0.25">
      <c r="A559" s="9" t="s">
        <v>34</v>
      </c>
      <c r="B559" s="10" t="s">
        <v>10</v>
      </c>
      <c r="C559" s="10">
        <v>67.751000000000005</v>
      </c>
      <c r="D559" s="10">
        <v>1979</v>
      </c>
    </row>
    <row r="560" spans="1:4" ht="19.95" customHeight="1" x14ac:dyDescent="0.25">
      <c r="A560" s="9" t="s">
        <v>35</v>
      </c>
      <c r="B560" s="10" t="s">
        <v>10</v>
      </c>
      <c r="C560" s="10">
        <v>62.445</v>
      </c>
      <c r="D560" s="10">
        <v>1979</v>
      </c>
    </row>
    <row r="561" spans="1:4" ht="19.95" customHeight="1" x14ac:dyDescent="0.25">
      <c r="A561" s="9" t="s">
        <v>36</v>
      </c>
      <c r="B561" s="10" t="s">
        <v>10</v>
      </c>
      <c r="C561" s="10">
        <v>50.237000000000002</v>
      </c>
      <c r="D561" s="10">
        <v>1979</v>
      </c>
    </row>
    <row r="562" spans="1:4" ht="19.95" customHeight="1" x14ac:dyDescent="0.25">
      <c r="A562" s="9" t="s">
        <v>37</v>
      </c>
      <c r="B562" s="10" t="s">
        <v>10</v>
      </c>
      <c r="C562" s="10">
        <v>49.418999999999997</v>
      </c>
      <c r="D562" s="10">
        <v>1979</v>
      </c>
    </row>
    <row r="563" spans="1:4" ht="19.95" customHeight="1" x14ac:dyDescent="0.25">
      <c r="A563" s="9" t="s">
        <v>38</v>
      </c>
      <c r="B563" s="10" t="s">
        <v>10</v>
      </c>
      <c r="C563" s="10">
        <v>51.442</v>
      </c>
      <c r="D563" s="10">
        <v>1979</v>
      </c>
    </row>
    <row r="564" spans="1:4" ht="19.95" customHeight="1" x14ac:dyDescent="0.25">
      <c r="A564" s="9" t="s">
        <v>39</v>
      </c>
      <c r="B564" s="10" t="s">
        <v>10</v>
      </c>
      <c r="C564" s="10">
        <v>58.828000000000003</v>
      </c>
      <c r="D564" s="10">
        <v>1979</v>
      </c>
    </row>
    <row r="565" spans="1:4" ht="19.95" customHeight="1" x14ac:dyDescent="0.25">
      <c r="A565" s="9" t="s">
        <v>9</v>
      </c>
      <c r="B565" s="10" t="s">
        <v>10</v>
      </c>
      <c r="C565" s="10">
        <v>47.314</v>
      </c>
      <c r="D565" s="10">
        <v>1980</v>
      </c>
    </row>
    <row r="566" spans="1:4" ht="19.95" customHeight="1" x14ac:dyDescent="0.25">
      <c r="A566" s="9" t="s">
        <v>12</v>
      </c>
      <c r="B566" s="10" t="s">
        <v>10</v>
      </c>
      <c r="C566" s="10">
        <v>51.210999999999999</v>
      </c>
      <c r="D566" s="10">
        <v>1980</v>
      </c>
    </row>
    <row r="567" spans="1:4" ht="19.95" customHeight="1" x14ac:dyDescent="0.25">
      <c r="A567" s="9" t="s">
        <v>13</v>
      </c>
      <c r="B567" s="10" t="s">
        <v>10</v>
      </c>
      <c r="C567" s="10">
        <v>44.704000000000001</v>
      </c>
      <c r="D567" s="10">
        <v>1980</v>
      </c>
    </row>
    <row r="568" spans="1:4" ht="19.95" customHeight="1" x14ac:dyDescent="0.25">
      <c r="A568" s="9" t="s">
        <v>15</v>
      </c>
      <c r="B568" s="10" t="s">
        <v>10</v>
      </c>
      <c r="C568" s="10">
        <v>50.615000000000002</v>
      </c>
      <c r="D568" s="10">
        <v>1980</v>
      </c>
    </row>
    <row r="569" spans="1:4" ht="19.95" customHeight="1" x14ac:dyDescent="0.25">
      <c r="A569" s="9" t="s">
        <v>16</v>
      </c>
      <c r="B569" s="10" t="s">
        <v>10</v>
      </c>
      <c r="C569" s="10">
        <v>53.639000000000003</v>
      </c>
      <c r="D569" s="10">
        <v>1980</v>
      </c>
    </row>
    <row r="570" spans="1:4" ht="19.95" customHeight="1" x14ac:dyDescent="0.25">
      <c r="A570" s="9" t="s">
        <v>1</v>
      </c>
      <c r="B570" s="10" t="s">
        <v>10</v>
      </c>
      <c r="C570" s="10">
        <v>43.746000000000002</v>
      </c>
      <c r="D570" s="10">
        <v>1980</v>
      </c>
    </row>
    <row r="571" spans="1:4" ht="19.95" customHeight="1" x14ac:dyDescent="0.25">
      <c r="A571" s="9" t="s">
        <v>17</v>
      </c>
      <c r="B571" s="10" t="s">
        <v>10</v>
      </c>
      <c r="C571" s="10">
        <v>41.279000000000003</v>
      </c>
      <c r="D571" s="10">
        <v>1980</v>
      </c>
    </row>
    <row r="572" spans="1:4" ht="19.95" customHeight="1" x14ac:dyDescent="0.25">
      <c r="A572" s="9" t="s">
        <v>18</v>
      </c>
      <c r="B572" s="10" t="s">
        <v>10</v>
      </c>
      <c r="C572" s="10">
        <v>50.851999999999997</v>
      </c>
      <c r="D572" s="10">
        <v>1980</v>
      </c>
    </row>
    <row r="573" spans="1:4" ht="19.95" customHeight="1" x14ac:dyDescent="0.25">
      <c r="A573" s="9" t="s">
        <v>19</v>
      </c>
      <c r="B573" s="10" t="s">
        <v>10</v>
      </c>
      <c r="C573" s="10">
        <v>57.756999999999998</v>
      </c>
      <c r="D573" s="10">
        <v>1980</v>
      </c>
    </row>
    <row r="574" spans="1:4" ht="19.95" customHeight="1" x14ac:dyDescent="0.25">
      <c r="A574" s="9" t="s">
        <v>20</v>
      </c>
      <c r="B574" s="10" t="s">
        <v>10</v>
      </c>
      <c r="C574" s="10"/>
      <c r="D574" s="10">
        <v>1980</v>
      </c>
    </row>
    <row r="575" spans="1:4" ht="19.95" customHeight="1" x14ac:dyDescent="0.25">
      <c r="A575" s="9" t="s">
        <v>21</v>
      </c>
      <c r="B575" s="10" t="s">
        <v>10</v>
      </c>
      <c r="C575" s="10">
        <v>45.996000000000002</v>
      </c>
      <c r="D575" s="10">
        <v>1980</v>
      </c>
    </row>
    <row r="576" spans="1:4" ht="19.95" customHeight="1" x14ac:dyDescent="0.25">
      <c r="A576" s="9" t="s">
        <v>22</v>
      </c>
      <c r="B576" s="10" t="s">
        <v>10</v>
      </c>
      <c r="C576" s="10">
        <v>49.005000000000003</v>
      </c>
      <c r="D576" s="10">
        <v>1980</v>
      </c>
    </row>
    <row r="577" spans="1:4" ht="19.95" customHeight="1" x14ac:dyDescent="0.25">
      <c r="A577" s="9" t="s">
        <v>23</v>
      </c>
      <c r="B577" s="10" t="s">
        <v>10</v>
      </c>
      <c r="C577" s="10">
        <v>44.776000000000003</v>
      </c>
      <c r="D577" s="10">
        <v>1980</v>
      </c>
    </row>
    <row r="578" spans="1:4" ht="19.95" customHeight="1" x14ac:dyDescent="0.25">
      <c r="A578" s="9" t="s">
        <v>24</v>
      </c>
      <c r="B578" s="10" t="s">
        <v>10</v>
      </c>
      <c r="C578" s="10">
        <v>39.677</v>
      </c>
      <c r="D578" s="10">
        <v>1980</v>
      </c>
    </row>
    <row r="579" spans="1:4" ht="19.95" customHeight="1" x14ac:dyDescent="0.25">
      <c r="A579" s="9" t="s">
        <v>25</v>
      </c>
      <c r="B579" s="10" t="s">
        <v>10</v>
      </c>
      <c r="C579" s="10">
        <v>64.950999999999993</v>
      </c>
      <c r="D579" s="10">
        <v>1980</v>
      </c>
    </row>
    <row r="580" spans="1:4" ht="19.95" customHeight="1" x14ac:dyDescent="0.25">
      <c r="A580" s="9" t="s">
        <v>26</v>
      </c>
      <c r="B580" s="10" t="s">
        <v>10</v>
      </c>
      <c r="C580" s="10">
        <v>41.912999999999997</v>
      </c>
      <c r="D580" s="10">
        <v>1980</v>
      </c>
    </row>
    <row r="581" spans="1:4" ht="19.95" customHeight="1" x14ac:dyDescent="0.25">
      <c r="A581" s="9" t="s">
        <v>28</v>
      </c>
      <c r="B581" s="10" t="s">
        <v>10</v>
      </c>
      <c r="C581" s="10">
        <v>54.978000000000002</v>
      </c>
      <c r="D581" s="10">
        <v>1980</v>
      </c>
    </row>
    <row r="582" spans="1:4" ht="19.95" customHeight="1" x14ac:dyDescent="0.25">
      <c r="A582" s="9" t="s">
        <v>29</v>
      </c>
      <c r="B582" s="10" t="s">
        <v>10</v>
      </c>
      <c r="C582" s="10">
        <v>46.561999999999998</v>
      </c>
      <c r="D582" s="10">
        <v>1980</v>
      </c>
    </row>
    <row r="583" spans="1:4" ht="19.95" customHeight="1" x14ac:dyDescent="0.25">
      <c r="A583" s="9" t="s">
        <v>30</v>
      </c>
      <c r="B583" s="10" t="s">
        <v>10</v>
      </c>
      <c r="C583" s="10">
        <v>58.509</v>
      </c>
      <c r="D583" s="10">
        <v>1980</v>
      </c>
    </row>
    <row r="584" spans="1:4" ht="19.95" customHeight="1" x14ac:dyDescent="0.25">
      <c r="A584" s="9" t="s">
        <v>31</v>
      </c>
      <c r="B584" s="10" t="s">
        <v>10</v>
      </c>
      <c r="C584" s="10">
        <v>38.962000000000003</v>
      </c>
      <c r="D584" s="10">
        <v>1980</v>
      </c>
    </row>
    <row r="585" spans="1:4" ht="19.95" customHeight="1" x14ac:dyDescent="0.25">
      <c r="A585" s="9" t="s">
        <v>32</v>
      </c>
      <c r="B585" s="10" t="s">
        <v>10</v>
      </c>
      <c r="C585" s="10">
        <v>48.085000000000001</v>
      </c>
      <c r="D585" s="10">
        <v>1980</v>
      </c>
    </row>
    <row r="586" spans="1:4" ht="19.95" customHeight="1" x14ac:dyDescent="0.25">
      <c r="A586" s="9" t="s">
        <v>33</v>
      </c>
      <c r="B586" s="10" t="s">
        <v>10</v>
      </c>
      <c r="C586" s="10">
        <v>60.554000000000002</v>
      </c>
      <c r="D586" s="10">
        <v>1980</v>
      </c>
    </row>
    <row r="587" spans="1:4" ht="19.95" customHeight="1" x14ac:dyDescent="0.25">
      <c r="A587" s="9" t="s">
        <v>34</v>
      </c>
      <c r="B587" s="10" t="s">
        <v>10</v>
      </c>
      <c r="C587" s="10">
        <v>68.171000000000006</v>
      </c>
      <c r="D587" s="10">
        <v>1980</v>
      </c>
    </row>
    <row r="588" spans="1:4" ht="19.95" customHeight="1" x14ac:dyDescent="0.25">
      <c r="A588" s="9" t="s">
        <v>35</v>
      </c>
      <c r="B588" s="10" t="s">
        <v>10</v>
      </c>
      <c r="C588" s="10">
        <v>62.679000000000002</v>
      </c>
      <c r="D588" s="10">
        <v>1980</v>
      </c>
    </row>
    <row r="589" spans="1:4" ht="19.95" customHeight="1" x14ac:dyDescent="0.25">
      <c r="A589" s="9" t="s">
        <v>36</v>
      </c>
      <c r="B589" s="10" t="s">
        <v>10</v>
      </c>
      <c r="C589" s="10">
        <v>50.429000000000002</v>
      </c>
      <c r="D589" s="10">
        <v>1980</v>
      </c>
    </row>
    <row r="590" spans="1:4" ht="19.95" customHeight="1" x14ac:dyDescent="0.25">
      <c r="A590" s="9" t="s">
        <v>37</v>
      </c>
      <c r="B590" s="10" t="s">
        <v>10</v>
      </c>
      <c r="C590" s="10">
        <v>49.374000000000002</v>
      </c>
      <c r="D590" s="10">
        <v>1980</v>
      </c>
    </row>
    <row r="591" spans="1:4" ht="19.95" customHeight="1" x14ac:dyDescent="0.25">
      <c r="A591" s="9" t="s">
        <v>38</v>
      </c>
      <c r="B591" s="10" t="s">
        <v>10</v>
      </c>
      <c r="C591" s="10">
        <v>51.265000000000001</v>
      </c>
      <c r="D591" s="10">
        <v>1980</v>
      </c>
    </row>
    <row r="592" spans="1:4" ht="19.95" customHeight="1" x14ac:dyDescent="0.25">
      <c r="A592" s="9" t="s">
        <v>39</v>
      </c>
      <c r="B592" s="10" t="s">
        <v>10</v>
      </c>
      <c r="C592" s="10">
        <v>59.39</v>
      </c>
      <c r="D592" s="10">
        <v>1980</v>
      </c>
    </row>
    <row r="593" spans="1:4" ht="19.95" customHeight="1" x14ac:dyDescent="0.25">
      <c r="A593" s="9" t="s">
        <v>9</v>
      </c>
      <c r="B593" s="10" t="s">
        <v>10</v>
      </c>
      <c r="C593" s="10">
        <v>47.656999999999996</v>
      </c>
      <c r="D593" s="10">
        <v>1981</v>
      </c>
    </row>
    <row r="594" spans="1:4" ht="19.95" customHeight="1" x14ac:dyDescent="0.25">
      <c r="A594" s="9" t="s">
        <v>12</v>
      </c>
      <c r="B594" s="10" t="s">
        <v>10</v>
      </c>
      <c r="C594" s="10">
        <v>51.603999999999999</v>
      </c>
      <c r="D594" s="10">
        <v>1981</v>
      </c>
    </row>
    <row r="595" spans="1:4" ht="19.95" customHeight="1" x14ac:dyDescent="0.25">
      <c r="A595" s="9" t="s">
        <v>13</v>
      </c>
      <c r="B595" s="10" t="s">
        <v>10</v>
      </c>
      <c r="C595" s="10">
        <v>44.985999999999997</v>
      </c>
      <c r="D595" s="10">
        <v>1981</v>
      </c>
    </row>
    <row r="596" spans="1:4" ht="19.95" customHeight="1" x14ac:dyDescent="0.25">
      <c r="A596" s="9" t="s">
        <v>15</v>
      </c>
      <c r="B596" s="10" t="s">
        <v>10</v>
      </c>
      <c r="C596" s="10">
        <v>51.265000000000001</v>
      </c>
      <c r="D596" s="10">
        <v>1981</v>
      </c>
    </row>
    <row r="597" spans="1:4" ht="19.95" customHeight="1" x14ac:dyDescent="0.25">
      <c r="A597" s="9" t="s">
        <v>16</v>
      </c>
      <c r="B597" s="10" t="s">
        <v>10</v>
      </c>
      <c r="C597" s="10">
        <v>54.048999999999999</v>
      </c>
      <c r="D597" s="10">
        <v>1981</v>
      </c>
    </row>
    <row r="598" spans="1:4" ht="19.95" customHeight="1" x14ac:dyDescent="0.25">
      <c r="A598" s="9" t="s">
        <v>1</v>
      </c>
      <c r="B598" s="10" t="s">
        <v>10</v>
      </c>
      <c r="C598" s="10">
        <v>43.673999999999999</v>
      </c>
      <c r="D598" s="10">
        <v>1981</v>
      </c>
    </row>
    <row r="599" spans="1:4" ht="19.95" customHeight="1" x14ac:dyDescent="0.25">
      <c r="A599" s="9" t="s">
        <v>17</v>
      </c>
      <c r="B599" s="10" t="s">
        <v>10</v>
      </c>
      <c r="C599" s="10">
        <v>41.976999999999997</v>
      </c>
      <c r="D599" s="10">
        <v>1981</v>
      </c>
    </row>
    <row r="600" spans="1:4" ht="19.95" customHeight="1" x14ac:dyDescent="0.25">
      <c r="A600" s="9" t="s">
        <v>18</v>
      </c>
      <c r="B600" s="10" t="s">
        <v>10</v>
      </c>
      <c r="C600" s="10">
        <v>51.182000000000002</v>
      </c>
      <c r="D600" s="10">
        <v>1981</v>
      </c>
    </row>
    <row r="601" spans="1:4" ht="19.95" customHeight="1" x14ac:dyDescent="0.25">
      <c r="A601" s="9" t="s">
        <v>19</v>
      </c>
      <c r="B601" s="10" t="s">
        <v>10</v>
      </c>
      <c r="C601" s="10">
        <v>58.210999999999999</v>
      </c>
      <c r="D601" s="10">
        <v>1981</v>
      </c>
    </row>
    <row r="602" spans="1:4" ht="19.95" customHeight="1" x14ac:dyDescent="0.25">
      <c r="A602" s="9" t="s">
        <v>20</v>
      </c>
      <c r="B602" s="10" t="s">
        <v>10</v>
      </c>
      <c r="C602" s="10">
        <v>65.897560975609807</v>
      </c>
      <c r="D602" s="10">
        <v>1981</v>
      </c>
    </row>
    <row r="603" spans="1:4" ht="19.95" customHeight="1" x14ac:dyDescent="0.25">
      <c r="A603" s="9" t="s">
        <v>21</v>
      </c>
      <c r="B603" s="10" t="s">
        <v>10</v>
      </c>
      <c r="C603" s="10">
        <v>46.435000000000002</v>
      </c>
      <c r="D603" s="10">
        <v>1981</v>
      </c>
    </row>
    <row r="604" spans="1:4" ht="19.95" customHeight="1" x14ac:dyDescent="0.25">
      <c r="A604" s="9" t="s">
        <v>22</v>
      </c>
      <c r="B604" s="10" t="s">
        <v>10</v>
      </c>
      <c r="C604" s="10">
        <v>49.26</v>
      </c>
      <c r="D604" s="10">
        <v>1981</v>
      </c>
    </row>
    <row r="605" spans="1:4" ht="19.95" customHeight="1" x14ac:dyDescent="0.25">
      <c r="A605" s="9" t="s">
        <v>23</v>
      </c>
      <c r="B605" s="10" t="s">
        <v>10</v>
      </c>
      <c r="C605" s="10">
        <v>45.112000000000002</v>
      </c>
      <c r="D605" s="10">
        <v>1981</v>
      </c>
    </row>
    <row r="606" spans="1:4" ht="19.95" customHeight="1" x14ac:dyDescent="0.25">
      <c r="A606" s="9" t="s">
        <v>24</v>
      </c>
      <c r="B606" s="10" t="s">
        <v>10</v>
      </c>
      <c r="C606" s="10">
        <v>40.435000000000002</v>
      </c>
      <c r="D606" s="10">
        <v>1981</v>
      </c>
    </row>
    <row r="607" spans="1:4" ht="19.95" customHeight="1" x14ac:dyDescent="0.25">
      <c r="A607" s="9" t="s">
        <v>25</v>
      </c>
      <c r="B607" s="10" t="s">
        <v>10</v>
      </c>
      <c r="C607" s="10">
        <v>65.022000000000006</v>
      </c>
      <c r="D607" s="10">
        <v>1981</v>
      </c>
    </row>
    <row r="608" spans="1:4" ht="19.95" customHeight="1" x14ac:dyDescent="0.25">
      <c r="A608" s="9" t="s">
        <v>26</v>
      </c>
      <c r="B608" s="10" t="s">
        <v>10</v>
      </c>
      <c r="C608" s="10">
        <v>41.777999999999999</v>
      </c>
      <c r="D608" s="10">
        <v>1981</v>
      </c>
    </row>
    <row r="609" spans="1:4" ht="19.95" customHeight="1" x14ac:dyDescent="0.25">
      <c r="A609" s="9" t="s">
        <v>28</v>
      </c>
      <c r="B609" s="10" t="s">
        <v>10</v>
      </c>
      <c r="C609" s="10">
        <v>55.371000000000002</v>
      </c>
      <c r="D609" s="10">
        <v>1981</v>
      </c>
    </row>
    <row r="610" spans="1:4" ht="19.95" customHeight="1" x14ac:dyDescent="0.25">
      <c r="A610" s="9" t="s">
        <v>29</v>
      </c>
      <c r="B610" s="10" t="s">
        <v>10</v>
      </c>
      <c r="C610" s="10">
        <v>47.249000000000002</v>
      </c>
      <c r="D610" s="10">
        <v>1981</v>
      </c>
    </row>
    <row r="611" spans="1:4" ht="19.95" customHeight="1" x14ac:dyDescent="0.25">
      <c r="A611" s="9" t="s">
        <v>30</v>
      </c>
      <c r="B611" s="10" t="s">
        <v>10</v>
      </c>
      <c r="C611" s="10">
        <v>58.88</v>
      </c>
      <c r="D611" s="10">
        <v>1981</v>
      </c>
    </row>
    <row r="612" spans="1:4" ht="19.95" customHeight="1" x14ac:dyDescent="0.25">
      <c r="A612" s="9" t="s">
        <v>31</v>
      </c>
      <c r="B612" s="10" t="s">
        <v>10</v>
      </c>
      <c r="C612" s="10">
        <v>39.450000000000003</v>
      </c>
      <c r="D612" s="10">
        <v>1981</v>
      </c>
    </row>
    <row r="613" spans="1:4" ht="19.95" customHeight="1" x14ac:dyDescent="0.25">
      <c r="A613" s="9" t="s">
        <v>32</v>
      </c>
      <c r="B613" s="10" t="s">
        <v>10</v>
      </c>
      <c r="C613" s="10">
        <v>49.012999999999998</v>
      </c>
      <c r="D613" s="10">
        <v>1981</v>
      </c>
    </row>
    <row r="614" spans="1:4" ht="19.95" customHeight="1" x14ac:dyDescent="0.25">
      <c r="A614" s="9" t="s">
        <v>33</v>
      </c>
      <c r="B614" s="10" t="s">
        <v>10</v>
      </c>
      <c r="C614" s="10">
        <v>60.628</v>
      </c>
      <c r="D614" s="10">
        <v>1981</v>
      </c>
    </row>
    <row r="615" spans="1:4" ht="19.95" customHeight="1" x14ac:dyDescent="0.25">
      <c r="A615" s="9" t="s">
        <v>34</v>
      </c>
      <c r="B615" s="10" t="s">
        <v>10</v>
      </c>
      <c r="C615" s="10">
        <v>68.528999999999996</v>
      </c>
      <c r="D615" s="10">
        <v>1981</v>
      </c>
    </row>
    <row r="616" spans="1:4" ht="19.95" customHeight="1" x14ac:dyDescent="0.25">
      <c r="A616" s="9" t="s">
        <v>35</v>
      </c>
      <c r="B616" s="10" t="s">
        <v>10</v>
      </c>
      <c r="C616" s="10">
        <v>62.926000000000002</v>
      </c>
      <c r="D616" s="10">
        <v>1981</v>
      </c>
    </row>
    <row r="617" spans="1:4" ht="19.95" customHeight="1" x14ac:dyDescent="0.25">
      <c r="A617" s="9" t="s">
        <v>36</v>
      </c>
      <c r="B617" s="10" t="s">
        <v>10</v>
      </c>
      <c r="C617" s="10">
        <v>50.576000000000001</v>
      </c>
      <c r="D617" s="10">
        <v>1981</v>
      </c>
    </row>
    <row r="618" spans="1:4" ht="19.95" customHeight="1" x14ac:dyDescent="0.25">
      <c r="A618" s="9" t="s">
        <v>37</v>
      </c>
      <c r="B618" s="10" t="s">
        <v>10</v>
      </c>
      <c r="C618" s="10">
        <v>49.271999999999998</v>
      </c>
      <c r="D618" s="10">
        <v>1981</v>
      </c>
    </row>
    <row r="619" spans="1:4" ht="19.95" customHeight="1" x14ac:dyDescent="0.25">
      <c r="A619" s="9" t="s">
        <v>38</v>
      </c>
      <c r="B619" s="10" t="s">
        <v>10</v>
      </c>
      <c r="C619" s="10">
        <v>50.957000000000001</v>
      </c>
      <c r="D619" s="10">
        <v>1981</v>
      </c>
    </row>
    <row r="620" spans="1:4" ht="19.95" customHeight="1" x14ac:dyDescent="0.25">
      <c r="A620" s="9" t="s">
        <v>39</v>
      </c>
      <c r="B620" s="10" t="s">
        <v>10</v>
      </c>
      <c r="C620" s="10">
        <v>59.920999999999999</v>
      </c>
      <c r="D620" s="10">
        <v>1981</v>
      </c>
    </row>
    <row r="621" spans="1:4" ht="19.95" customHeight="1" x14ac:dyDescent="0.25">
      <c r="A621" s="9" t="s">
        <v>9</v>
      </c>
      <c r="B621" s="10" t="s">
        <v>10</v>
      </c>
      <c r="C621" s="10">
        <v>47.991999999999997</v>
      </c>
      <c r="D621" s="10">
        <v>1982</v>
      </c>
    </row>
    <row r="622" spans="1:4" ht="19.95" customHeight="1" x14ac:dyDescent="0.25">
      <c r="A622" s="9" t="s">
        <v>12</v>
      </c>
      <c r="B622" s="10" t="s">
        <v>10</v>
      </c>
      <c r="C622" s="10">
        <v>51.957999999999998</v>
      </c>
      <c r="D622" s="10">
        <v>1982</v>
      </c>
    </row>
    <row r="623" spans="1:4" ht="19.95" customHeight="1" x14ac:dyDescent="0.25">
      <c r="A623" s="9" t="s">
        <v>13</v>
      </c>
      <c r="B623" s="10" t="s">
        <v>10</v>
      </c>
      <c r="C623" s="10">
        <v>45.268999999999998</v>
      </c>
      <c r="D623" s="10">
        <v>1982</v>
      </c>
    </row>
    <row r="624" spans="1:4" ht="19.95" customHeight="1" x14ac:dyDescent="0.25">
      <c r="A624" s="9" t="s">
        <v>15</v>
      </c>
      <c r="B624" s="10" t="s">
        <v>10</v>
      </c>
      <c r="C624" s="10">
        <v>51.924999999999997</v>
      </c>
      <c r="D624" s="10">
        <v>1982</v>
      </c>
    </row>
    <row r="625" spans="1:4" ht="19.95" customHeight="1" x14ac:dyDescent="0.25">
      <c r="A625" s="9" t="s">
        <v>16</v>
      </c>
      <c r="B625" s="10" t="s">
        <v>10</v>
      </c>
      <c r="C625" s="10">
        <v>54.451000000000001</v>
      </c>
      <c r="D625" s="10">
        <v>1982</v>
      </c>
    </row>
    <row r="626" spans="1:4" ht="19.95" customHeight="1" x14ac:dyDescent="0.25">
      <c r="A626" s="9" t="s">
        <v>1</v>
      </c>
      <c r="B626" s="10" t="s">
        <v>10</v>
      </c>
      <c r="C626" s="10">
        <v>43.710999999999999</v>
      </c>
      <c r="D626" s="10">
        <v>1982</v>
      </c>
    </row>
    <row r="627" spans="1:4" ht="19.95" customHeight="1" x14ac:dyDescent="0.25">
      <c r="A627" s="9" t="s">
        <v>17</v>
      </c>
      <c r="B627" s="10" t="s">
        <v>10</v>
      </c>
      <c r="C627" s="10">
        <v>42.753</v>
      </c>
      <c r="D627" s="10">
        <v>1982</v>
      </c>
    </row>
    <row r="628" spans="1:4" ht="19.95" customHeight="1" x14ac:dyDescent="0.25">
      <c r="A628" s="9" t="s">
        <v>18</v>
      </c>
      <c r="B628" s="10" t="s">
        <v>10</v>
      </c>
      <c r="C628" s="10">
        <v>51.527000000000001</v>
      </c>
      <c r="D628" s="10">
        <v>1982</v>
      </c>
    </row>
    <row r="629" spans="1:4" ht="19.95" customHeight="1" x14ac:dyDescent="0.25">
      <c r="A629" s="9" t="s">
        <v>19</v>
      </c>
      <c r="B629" s="10" t="s">
        <v>10</v>
      </c>
      <c r="C629" s="10">
        <v>58.588000000000001</v>
      </c>
      <c r="D629" s="10">
        <v>1982</v>
      </c>
    </row>
    <row r="630" spans="1:4" ht="19.95" customHeight="1" x14ac:dyDescent="0.25">
      <c r="A630" s="9" t="s">
        <v>20</v>
      </c>
      <c r="B630" s="10" t="s">
        <v>10</v>
      </c>
      <c r="C630" s="10">
        <v>66.197560975609804</v>
      </c>
      <c r="D630" s="10">
        <v>1982</v>
      </c>
    </row>
    <row r="631" spans="1:4" ht="19.95" customHeight="1" x14ac:dyDescent="0.25">
      <c r="A631" s="9" t="s">
        <v>21</v>
      </c>
      <c r="B631" s="10" t="s">
        <v>10</v>
      </c>
      <c r="C631" s="10">
        <v>46.777999999999999</v>
      </c>
      <c r="D631" s="10">
        <v>1982</v>
      </c>
    </row>
    <row r="632" spans="1:4" ht="19.95" customHeight="1" x14ac:dyDescent="0.25">
      <c r="A632" s="9" t="s">
        <v>22</v>
      </c>
      <c r="B632" s="10" t="s">
        <v>10</v>
      </c>
      <c r="C632" s="10">
        <v>49.442</v>
      </c>
      <c r="D632" s="10">
        <v>1982</v>
      </c>
    </row>
    <row r="633" spans="1:4" ht="19.95" customHeight="1" x14ac:dyDescent="0.25">
      <c r="A633" s="9" t="s">
        <v>23</v>
      </c>
      <c r="B633" s="10" t="s">
        <v>10</v>
      </c>
      <c r="C633" s="10">
        <v>45.411000000000001</v>
      </c>
      <c r="D633" s="10">
        <v>1982</v>
      </c>
    </row>
    <row r="634" spans="1:4" ht="19.95" customHeight="1" x14ac:dyDescent="0.25">
      <c r="A634" s="9" t="s">
        <v>24</v>
      </c>
      <c r="B634" s="10" t="s">
        <v>10</v>
      </c>
      <c r="C634" s="10">
        <v>41.173000000000002</v>
      </c>
      <c r="D634" s="10">
        <v>1982</v>
      </c>
    </row>
    <row r="635" spans="1:4" ht="19.95" customHeight="1" x14ac:dyDescent="0.25">
      <c r="A635" s="9" t="s">
        <v>25</v>
      </c>
      <c r="B635" s="10" t="s">
        <v>10</v>
      </c>
      <c r="C635" s="10">
        <v>65.204999999999998</v>
      </c>
      <c r="D635" s="10">
        <v>1982</v>
      </c>
    </row>
    <row r="636" spans="1:4" ht="19.95" customHeight="1" x14ac:dyDescent="0.25">
      <c r="A636" s="9" t="s">
        <v>26</v>
      </c>
      <c r="B636" s="10" t="s">
        <v>10</v>
      </c>
      <c r="C636" s="10">
        <v>41.66</v>
      </c>
      <c r="D636" s="10">
        <v>1982</v>
      </c>
    </row>
    <row r="637" spans="1:4" ht="19.95" customHeight="1" x14ac:dyDescent="0.25">
      <c r="A637" s="9" t="s">
        <v>28</v>
      </c>
      <c r="B637" s="10" t="s">
        <v>10</v>
      </c>
      <c r="C637" s="10">
        <v>55.761000000000003</v>
      </c>
      <c r="D637" s="10">
        <v>1982</v>
      </c>
    </row>
    <row r="638" spans="1:4" ht="19.95" customHeight="1" x14ac:dyDescent="0.25">
      <c r="A638" s="9" t="s">
        <v>29</v>
      </c>
      <c r="B638" s="10" t="s">
        <v>10</v>
      </c>
      <c r="C638" s="10">
        <v>47.954000000000001</v>
      </c>
      <c r="D638" s="10">
        <v>1982</v>
      </c>
    </row>
    <row r="639" spans="1:4" ht="19.95" customHeight="1" x14ac:dyDescent="0.25">
      <c r="A639" s="9" t="s">
        <v>30</v>
      </c>
      <c r="B639" s="10" t="s">
        <v>10</v>
      </c>
      <c r="C639" s="10">
        <v>59.271000000000001</v>
      </c>
      <c r="D639" s="10">
        <v>1982</v>
      </c>
    </row>
    <row r="640" spans="1:4" ht="19.95" customHeight="1" x14ac:dyDescent="0.25">
      <c r="A640" s="9" t="s">
        <v>31</v>
      </c>
      <c r="B640" s="10" t="s">
        <v>10</v>
      </c>
      <c r="C640" s="10">
        <v>39.927</v>
      </c>
      <c r="D640" s="10">
        <v>1982</v>
      </c>
    </row>
    <row r="641" spans="1:4" ht="19.95" customHeight="1" x14ac:dyDescent="0.25">
      <c r="A641" s="9" t="s">
        <v>32</v>
      </c>
      <c r="B641" s="10" t="s">
        <v>10</v>
      </c>
      <c r="C641" s="10">
        <v>49.933999999999997</v>
      </c>
      <c r="D641" s="10">
        <v>1982</v>
      </c>
    </row>
    <row r="642" spans="1:4" ht="19.95" customHeight="1" x14ac:dyDescent="0.25">
      <c r="A642" s="9" t="s">
        <v>33</v>
      </c>
      <c r="B642" s="10" t="s">
        <v>10</v>
      </c>
      <c r="C642" s="10">
        <v>60.683</v>
      </c>
      <c r="D642" s="10">
        <v>1982</v>
      </c>
    </row>
    <row r="643" spans="1:4" ht="19.95" customHeight="1" x14ac:dyDescent="0.25">
      <c r="A643" s="9" t="s">
        <v>34</v>
      </c>
      <c r="B643" s="10" t="s">
        <v>10</v>
      </c>
      <c r="C643" s="10">
        <v>68.801000000000002</v>
      </c>
      <c r="D643" s="10">
        <v>1982</v>
      </c>
    </row>
    <row r="644" spans="1:4" ht="19.95" customHeight="1" x14ac:dyDescent="0.25">
      <c r="A644" s="9" t="s">
        <v>35</v>
      </c>
      <c r="B644" s="10" t="s">
        <v>10</v>
      </c>
      <c r="C644" s="10">
        <v>63.183999999999997</v>
      </c>
      <c r="D644" s="10">
        <v>1982</v>
      </c>
    </row>
    <row r="645" spans="1:4" ht="19.95" customHeight="1" x14ac:dyDescent="0.25">
      <c r="A645" s="9" t="s">
        <v>36</v>
      </c>
      <c r="B645" s="10" t="s">
        <v>10</v>
      </c>
      <c r="C645" s="10">
        <v>50.692</v>
      </c>
      <c r="D645" s="10">
        <v>1982</v>
      </c>
    </row>
    <row r="646" spans="1:4" ht="19.95" customHeight="1" x14ac:dyDescent="0.25">
      <c r="A646" s="9" t="s">
        <v>37</v>
      </c>
      <c r="B646" s="10" t="s">
        <v>10</v>
      </c>
      <c r="C646" s="10">
        <v>49.095999999999997</v>
      </c>
      <c r="D646" s="10">
        <v>1982</v>
      </c>
    </row>
    <row r="647" spans="1:4" ht="19.95" customHeight="1" x14ac:dyDescent="0.25">
      <c r="A647" s="9" t="s">
        <v>38</v>
      </c>
      <c r="B647" s="10" t="s">
        <v>10</v>
      </c>
      <c r="C647" s="10">
        <v>50.524999999999999</v>
      </c>
      <c r="D647" s="10">
        <v>1982</v>
      </c>
    </row>
    <row r="648" spans="1:4" ht="19.95" customHeight="1" x14ac:dyDescent="0.25">
      <c r="A648" s="9" t="s">
        <v>39</v>
      </c>
      <c r="B648" s="10" t="s">
        <v>10</v>
      </c>
      <c r="C648" s="10">
        <v>60.386000000000003</v>
      </c>
      <c r="D648" s="10">
        <v>1982</v>
      </c>
    </row>
    <row r="649" spans="1:4" ht="19.95" customHeight="1" x14ac:dyDescent="0.25">
      <c r="A649" s="9" t="s">
        <v>9</v>
      </c>
      <c r="B649" s="10" t="s">
        <v>10</v>
      </c>
      <c r="C649" s="10">
        <v>48.317</v>
      </c>
      <c r="D649" s="10">
        <v>1983</v>
      </c>
    </row>
    <row r="650" spans="1:4" ht="19.95" customHeight="1" x14ac:dyDescent="0.25">
      <c r="A650" s="9" t="s">
        <v>12</v>
      </c>
      <c r="B650" s="10" t="s">
        <v>10</v>
      </c>
      <c r="C650" s="10">
        <v>52.265999999999998</v>
      </c>
      <c r="D650" s="10">
        <v>1983</v>
      </c>
    </row>
    <row r="651" spans="1:4" ht="19.95" customHeight="1" x14ac:dyDescent="0.25">
      <c r="A651" s="9" t="s">
        <v>13</v>
      </c>
      <c r="B651" s="10" t="s">
        <v>10</v>
      </c>
      <c r="C651" s="10">
        <v>45.55</v>
      </c>
      <c r="D651" s="10">
        <v>1983</v>
      </c>
    </row>
    <row r="652" spans="1:4" ht="19.95" customHeight="1" x14ac:dyDescent="0.25">
      <c r="A652" s="9" t="s">
        <v>15</v>
      </c>
      <c r="B652" s="10" t="s">
        <v>10</v>
      </c>
      <c r="C652" s="10">
        <v>52.58</v>
      </c>
      <c r="D652" s="10">
        <v>1983</v>
      </c>
    </row>
    <row r="653" spans="1:4" ht="19.95" customHeight="1" x14ac:dyDescent="0.25">
      <c r="A653" s="9" t="s">
        <v>16</v>
      </c>
      <c r="B653" s="10" t="s">
        <v>10</v>
      </c>
      <c r="C653" s="10">
        <v>54.828000000000003</v>
      </c>
      <c r="D653" s="10">
        <v>1983</v>
      </c>
    </row>
    <row r="654" spans="1:4" ht="19.95" customHeight="1" x14ac:dyDescent="0.25">
      <c r="A654" s="9" t="s">
        <v>1</v>
      </c>
      <c r="B654" s="10" t="s">
        <v>10</v>
      </c>
      <c r="C654" s="10">
        <v>43.884</v>
      </c>
      <c r="D654" s="10">
        <v>1983</v>
      </c>
    </row>
    <row r="655" spans="1:4" ht="19.95" customHeight="1" x14ac:dyDescent="0.25">
      <c r="A655" s="9" t="s">
        <v>17</v>
      </c>
      <c r="B655" s="10" t="s">
        <v>10</v>
      </c>
      <c r="C655" s="10">
        <v>43.606999999999999</v>
      </c>
      <c r="D655" s="10">
        <v>1983</v>
      </c>
    </row>
    <row r="656" spans="1:4" ht="19.95" customHeight="1" x14ac:dyDescent="0.25">
      <c r="A656" s="9" t="s">
        <v>18</v>
      </c>
      <c r="B656" s="10" t="s">
        <v>10</v>
      </c>
      <c r="C656" s="10">
        <v>51.892000000000003</v>
      </c>
      <c r="D656" s="10">
        <v>1983</v>
      </c>
    </row>
    <row r="657" spans="1:4" ht="19.95" customHeight="1" x14ac:dyDescent="0.25">
      <c r="A657" s="9" t="s">
        <v>19</v>
      </c>
      <c r="B657" s="10" t="s">
        <v>10</v>
      </c>
      <c r="C657" s="10">
        <v>58.869</v>
      </c>
      <c r="D657" s="10">
        <v>1983</v>
      </c>
    </row>
    <row r="658" spans="1:4" ht="19.95" customHeight="1" x14ac:dyDescent="0.25">
      <c r="A658" s="9" t="s">
        <v>20</v>
      </c>
      <c r="B658" s="10" t="s">
        <v>10</v>
      </c>
      <c r="C658" s="10">
        <v>66.397560975609807</v>
      </c>
      <c r="D658" s="10">
        <v>1983</v>
      </c>
    </row>
    <row r="659" spans="1:4" ht="19.95" customHeight="1" x14ac:dyDescent="0.25">
      <c r="A659" s="9" t="s">
        <v>21</v>
      </c>
      <c r="B659" s="10" t="s">
        <v>10</v>
      </c>
      <c r="C659" s="10">
        <v>47.031999999999996</v>
      </c>
      <c r="D659" s="10">
        <v>1983</v>
      </c>
    </row>
    <row r="660" spans="1:4" ht="19.95" customHeight="1" x14ac:dyDescent="0.25">
      <c r="A660" s="9" t="s">
        <v>22</v>
      </c>
      <c r="B660" s="10" t="s">
        <v>10</v>
      </c>
      <c r="C660" s="10">
        <v>49.56</v>
      </c>
      <c r="D660" s="10">
        <v>1983</v>
      </c>
    </row>
    <row r="661" spans="1:4" ht="19.95" customHeight="1" x14ac:dyDescent="0.25">
      <c r="A661" s="9" t="s">
        <v>23</v>
      </c>
      <c r="B661" s="10" t="s">
        <v>10</v>
      </c>
      <c r="C661" s="10">
        <v>45.667999999999999</v>
      </c>
      <c r="D661" s="10">
        <v>1983</v>
      </c>
    </row>
    <row r="662" spans="1:4" ht="19.95" customHeight="1" x14ac:dyDescent="0.25">
      <c r="A662" s="9" t="s">
        <v>24</v>
      </c>
      <c r="B662" s="10" t="s">
        <v>10</v>
      </c>
      <c r="C662" s="10">
        <v>41.878999999999998</v>
      </c>
      <c r="D662" s="10">
        <v>1983</v>
      </c>
    </row>
    <row r="663" spans="1:4" ht="19.95" customHeight="1" x14ac:dyDescent="0.25">
      <c r="A663" s="9" t="s">
        <v>25</v>
      </c>
      <c r="B663" s="10" t="s">
        <v>10</v>
      </c>
      <c r="C663" s="10">
        <v>65.498999999999995</v>
      </c>
      <c r="D663" s="10">
        <v>1983</v>
      </c>
    </row>
    <row r="664" spans="1:4" ht="19.95" customHeight="1" x14ac:dyDescent="0.25">
      <c r="A664" s="9" t="s">
        <v>26</v>
      </c>
      <c r="B664" s="10" t="s">
        <v>10</v>
      </c>
      <c r="C664" s="10">
        <v>41.597000000000001</v>
      </c>
      <c r="D664" s="10">
        <v>1983</v>
      </c>
    </row>
    <row r="665" spans="1:4" ht="19.95" customHeight="1" x14ac:dyDescent="0.25">
      <c r="A665" s="9" t="s">
        <v>28</v>
      </c>
      <c r="B665" s="10" t="s">
        <v>10</v>
      </c>
      <c r="C665" s="10">
        <v>56.145000000000003</v>
      </c>
      <c r="D665" s="10">
        <v>1983</v>
      </c>
    </row>
    <row r="666" spans="1:4" ht="19.95" customHeight="1" x14ac:dyDescent="0.25">
      <c r="A666" s="9" t="s">
        <v>29</v>
      </c>
      <c r="B666" s="10" t="s">
        <v>10</v>
      </c>
      <c r="C666" s="10">
        <v>48.673000000000002</v>
      </c>
      <c r="D666" s="10">
        <v>1983</v>
      </c>
    </row>
    <row r="667" spans="1:4" ht="19.95" customHeight="1" x14ac:dyDescent="0.25">
      <c r="A667" s="9" t="s">
        <v>30</v>
      </c>
      <c r="B667" s="10" t="s">
        <v>10</v>
      </c>
      <c r="C667" s="10">
        <v>59.691000000000003</v>
      </c>
      <c r="D667" s="10">
        <v>1983</v>
      </c>
    </row>
    <row r="668" spans="1:4" ht="19.95" customHeight="1" x14ac:dyDescent="0.25">
      <c r="A668" s="9" t="s">
        <v>31</v>
      </c>
      <c r="B668" s="10" t="s">
        <v>10</v>
      </c>
      <c r="C668" s="10">
        <v>40.384999999999998</v>
      </c>
      <c r="D668" s="10">
        <v>1983</v>
      </c>
    </row>
    <row r="669" spans="1:4" ht="19.95" customHeight="1" x14ac:dyDescent="0.25">
      <c r="A669" s="9" t="s">
        <v>32</v>
      </c>
      <c r="B669" s="10" t="s">
        <v>10</v>
      </c>
      <c r="C669" s="10">
        <v>50.707999999999998</v>
      </c>
      <c r="D669" s="10">
        <v>1983</v>
      </c>
    </row>
    <row r="670" spans="1:4" ht="19.95" customHeight="1" x14ac:dyDescent="0.25">
      <c r="A670" s="9" t="s">
        <v>33</v>
      </c>
      <c r="B670" s="10" t="s">
        <v>10</v>
      </c>
      <c r="C670" s="10">
        <v>60.75</v>
      </c>
      <c r="D670" s="10">
        <v>1983</v>
      </c>
    </row>
    <row r="671" spans="1:4" ht="19.95" customHeight="1" x14ac:dyDescent="0.25">
      <c r="A671" s="9" t="s">
        <v>34</v>
      </c>
      <c r="B671" s="10" t="s">
        <v>10</v>
      </c>
      <c r="C671" s="10">
        <v>68.974999999999994</v>
      </c>
      <c r="D671" s="10">
        <v>1983</v>
      </c>
    </row>
    <row r="672" spans="1:4" ht="19.95" customHeight="1" x14ac:dyDescent="0.25">
      <c r="A672" s="9" t="s">
        <v>35</v>
      </c>
      <c r="B672" s="10" t="s">
        <v>10</v>
      </c>
      <c r="C672" s="10">
        <v>63.442</v>
      </c>
      <c r="D672" s="10">
        <v>1983</v>
      </c>
    </row>
    <row r="673" spans="1:4" ht="19.95" customHeight="1" x14ac:dyDescent="0.25">
      <c r="A673" s="9" t="s">
        <v>36</v>
      </c>
      <c r="B673" s="10" t="s">
        <v>10</v>
      </c>
      <c r="C673" s="10">
        <v>50.787999999999997</v>
      </c>
      <c r="D673" s="10">
        <v>1983</v>
      </c>
    </row>
    <row r="674" spans="1:4" ht="19.95" customHeight="1" x14ac:dyDescent="0.25">
      <c r="A674" s="9" t="s">
        <v>37</v>
      </c>
      <c r="B674" s="10" t="s">
        <v>10</v>
      </c>
      <c r="C674" s="10">
        <v>48.841999999999999</v>
      </c>
      <c r="D674" s="10">
        <v>1983</v>
      </c>
    </row>
    <row r="675" spans="1:4" ht="19.95" customHeight="1" x14ac:dyDescent="0.25">
      <c r="A675" s="9" t="s">
        <v>38</v>
      </c>
      <c r="B675" s="10" t="s">
        <v>10</v>
      </c>
      <c r="C675" s="10">
        <v>49.985999999999997</v>
      </c>
      <c r="D675" s="10">
        <v>1983</v>
      </c>
    </row>
    <row r="676" spans="1:4" ht="19.95" customHeight="1" x14ac:dyDescent="0.25">
      <c r="A676" s="9" t="s">
        <v>39</v>
      </c>
      <c r="B676" s="10" t="s">
        <v>10</v>
      </c>
      <c r="C676" s="10">
        <v>60.746000000000002</v>
      </c>
      <c r="D676" s="10">
        <v>1983</v>
      </c>
    </row>
    <row r="677" spans="1:4" ht="19.95" customHeight="1" x14ac:dyDescent="0.25">
      <c r="A677" s="9" t="s">
        <v>9</v>
      </c>
      <c r="B677" s="10" t="s">
        <v>10</v>
      </c>
      <c r="C677" s="10">
        <v>48.618000000000002</v>
      </c>
      <c r="D677" s="10">
        <v>1984</v>
      </c>
    </row>
    <row r="678" spans="1:4" ht="19.95" customHeight="1" x14ac:dyDescent="0.25">
      <c r="A678" s="9" t="s">
        <v>12</v>
      </c>
      <c r="B678" s="10" t="s">
        <v>10</v>
      </c>
      <c r="C678" s="10">
        <v>52.518000000000001</v>
      </c>
      <c r="D678" s="10">
        <v>1984</v>
      </c>
    </row>
    <row r="679" spans="1:4" ht="19.95" customHeight="1" x14ac:dyDescent="0.25">
      <c r="A679" s="9" t="s">
        <v>13</v>
      </c>
      <c r="B679" s="10" t="s">
        <v>10</v>
      </c>
      <c r="C679" s="10">
        <v>45.823999999999998</v>
      </c>
      <c r="D679" s="10">
        <v>1984</v>
      </c>
    </row>
    <row r="680" spans="1:4" ht="19.95" customHeight="1" x14ac:dyDescent="0.25">
      <c r="A680" s="9" t="s">
        <v>15</v>
      </c>
      <c r="B680" s="10" t="s">
        <v>10</v>
      </c>
      <c r="C680" s="10">
        <v>53.220999999999997</v>
      </c>
      <c r="D680" s="10">
        <v>1984</v>
      </c>
    </row>
    <row r="681" spans="1:4" ht="19.95" customHeight="1" x14ac:dyDescent="0.25">
      <c r="A681" s="9" t="s">
        <v>16</v>
      </c>
      <c r="B681" s="10" t="s">
        <v>10</v>
      </c>
      <c r="C681" s="10">
        <v>55.173999999999999</v>
      </c>
      <c r="D681" s="10">
        <v>1984</v>
      </c>
    </row>
    <row r="682" spans="1:4" ht="19.95" customHeight="1" x14ac:dyDescent="0.25">
      <c r="A682" s="9" t="s">
        <v>1</v>
      </c>
      <c r="B682" s="10" t="s">
        <v>10</v>
      </c>
      <c r="C682" s="10">
        <v>44.198</v>
      </c>
      <c r="D682" s="10">
        <v>1984</v>
      </c>
    </row>
    <row r="683" spans="1:4" ht="19.95" customHeight="1" x14ac:dyDescent="0.25">
      <c r="A683" s="9" t="s">
        <v>17</v>
      </c>
      <c r="B683" s="10" t="s">
        <v>10</v>
      </c>
      <c r="C683" s="10">
        <v>44.521999999999998</v>
      </c>
      <c r="D683" s="10">
        <v>1984</v>
      </c>
    </row>
    <row r="684" spans="1:4" ht="19.95" customHeight="1" x14ac:dyDescent="0.25">
      <c r="A684" s="9" t="s">
        <v>18</v>
      </c>
      <c r="B684" s="10" t="s">
        <v>10</v>
      </c>
      <c r="C684" s="10">
        <v>52.279000000000003</v>
      </c>
      <c r="D684" s="10">
        <v>1984</v>
      </c>
    </row>
    <row r="685" spans="1:4" ht="19.95" customHeight="1" x14ac:dyDescent="0.25">
      <c r="A685" s="9" t="s">
        <v>19</v>
      </c>
      <c r="B685" s="10" t="s">
        <v>10</v>
      </c>
      <c r="C685" s="10">
        <v>59.039000000000001</v>
      </c>
      <c r="D685" s="10">
        <v>1984</v>
      </c>
    </row>
    <row r="686" spans="1:4" ht="19.95" customHeight="1" x14ac:dyDescent="0.25">
      <c r="A686" s="9" t="s">
        <v>20</v>
      </c>
      <c r="B686" s="10" t="s">
        <v>10</v>
      </c>
      <c r="C686" s="10">
        <v>66.597560975609795</v>
      </c>
      <c r="D686" s="10">
        <v>1984</v>
      </c>
    </row>
    <row r="687" spans="1:4" ht="19.95" customHeight="1" x14ac:dyDescent="0.25">
      <c r="A687" s="9" t="s">
        <v>21</v>
      </c>
      <c r="B687" s="10" t="s">
        <v>10</v>
      </c>
      <c r="C687" s="10">
        <v>47.206000000000003</v>
      </c>
      <c r="D687" s="10">
        <v>1984</v>
      </c>
    </row>
    <row r="688" spans="1:4" ht="19.95" customHeight="1" x14ac:dyDescent="0.25">
      <c r="A688" s="9" t="s">
        <v>22</v>
      </c>
      <c r="B688" s="10" t="s">
        <v>10</v>
      </c>
      <c r="C688" s="10">
        <v>49.634</v>
      </c>
      <c r="D688" s="10">
        <v>1984</v>
      </c>
    </row>
    <row r="689" spans="1:4" ht="19.95" customHeight="1" x14ac:dyDescent="0.25">
      <c r="A689" s="9" t="s">
        <v>23</v>
      </c>
      <c r="B689" s="10" t="s">
        <v>10</v>
      </c>
      <c r="C689" s="10">
        <v>45.881999999999998</v>
      </c>
      <c r="D689" s="10">
        <v>1984</v>
      </c>
    </row>
    <row r="690" spans="1:4" ht="19.95" customHeight="1" x14ac:dyDescent="0.25">
      <c r="A690" s="9" t="s">
        <v>24</v>
      </c>
      <c r="B690" s="10" t="s">
        <v>10</v>
      </c>
      <c r="C690" s="10">
        <v>42.545000000000002</v>
      </c>
      <c r="D690" s="10">
        <v>1984</v>
      </c>
    </row>
    <row r="691" spans="1:4" ht="19.95" customHeight="1" x14ac:dyDescent="0.25">
      <c r="A691" s="9" t="s">
        <v>25</v>
      </c>
      <c r="B691" s="10" t="s">
        <v>10</v>
      </c>
      <c r="C691" s="10">
        <v>65.887</v>
      </c>
      <c r="D691" s="10">
        <v>1984</v>
      </c>
    </row>
    <row r="692" spans="1:4" ht="19.95" customHeight="1" x14ac:dyDescent="0.25">
      <c r="A692" s="9" t="s">
        <v>26</v>
      </c>
      <c r="B692" s="10" t="s">
        <v>10</v>
      </c>
      <c r="C692" s="10">
        <v>41.61</v>
      </c>
      <c r="D692" s="10">
        <v>1984</v>
      </c>
    </row>
    <row r="693" spans="1:4" ht="19.95" customHeight="1" x14ac:dyDescent="0.25">
      <c r="A693" s="9" t="s">
        <v>28</v>
      </c>
      <c r="B693" s="10" t="s">
        <v>10</v>
      </c>
      <c r="C693" s="10">
        <v>56.526000000000003</v>
      </c>
      <c r="D693" s="10">
        <v>1984</v>
      </c>
    </row>
    <row r="694" spans="1:4" ht="19.95" customHeight="1" x14ac:dyDescent="0.25">
      <c r="A694" s="9" t="s">
        <v>29</v>
      </c>
      <c r="B694" s="10" t="s">
        <v>10</v>
      </c>
      <c r="C694" s="10">
        <v>49.408000000000001</v>
      </c>
      <c r="D694" s="10">
        <v>1984</v>
      </c>
    </row>
    <row r="695" spans="1:4" ht="19.95" customHeight="1" x14ac:dyDescent="0.25">
      <c r="A695" s="9" t="s">
        <v>30</v>
      </c>
      <c r="B695" s="10" t="s">
        <v>10</v>
      </c>
      <c r="C695" s="10">
        <v>60.151000000000003</v>
      </c>
      <c r="D695" s="10">
        <v>1984</v>
      </c>
    </row>
    <row r="696" spans="1:4" ht="19.95" customHeight="1" x14ac:dyDescent="0.25">
      <c r="A696" s="9" t="s">
        <v>31</v>
      </c>
      <c r="B696" s="10" t="s">
        <v>10</v>
      </c>
      <c r="C696" s="10">
        <v>40.820999999999998</v>
      </c>
      <c r="D696" s="10">
        <v>1984</v>
      </c>
    </row>
    <row r="697" spans="1:4" ht="19.95" customHeight="1" x14ac:dyDescent="0.25">
      <c r="A697" s="9" t="s">
        <v>32</v>
      </c>
      <c r="B697" s="10" t="s">
        <v>10</v>
      </c>
      <c r="C697" s="10">
        <v>51.177</v>
      </c>
      <c r="D697" s="10">
        <v>1984</v>
      </c>
    </row>
    <row r="698" spans="1:4" ht="19.95" customHeight="1" x14ac:dyDescent="0.25">
      <c r="A698" s="9" t="s">
        <v>33</v>
      </c>
      <c r="B698" s="10" t="s">
        <v>10</v>
      </c>
      <c r="C698" s="10">
        <v>60.841999999999999</v>
      </c>
      <c r="D698" s="10">
        <v>1984</v>
      </c>
    </row>
    <row r="699" spans="1:4" ht="19.95" customHeight="1" x14ac:dyDescent="0.25">
      <c r="A699" s="9" t="s">
        <v>34</v>
      </c>
      <c r="B699" s="10" t="s">
        <v>10</v>
      </c>
      <c r="C699" s="10">
        <v>69.058000000000007</v>
      </c>
      <c r="D699" s="10">
        <v>1984</v>
      </c>
    </row>
    <row r="700" spans="1:4" ht="19.95" customHeight="1" x14ac:dyDescent="0.25">
      <c r="A700" s="9" t="s">
        <v>35</v>
      </c>
      <c r="B700" s="10" t="s">
        <v>10</v>
      </c>
      <c r="C700" s="10">
        <v>63.683999999999997</v>
      </c>
      <c r="D700" s="10">
        <v>1984</v>
      </c>
    </row>
    <row r="701" spans="1:4" ht="19.95" customHeight="1" x14ac:dyDescent="0.25">
      <c r="A701" s="9" t="s">
        <v>36</v>
      </c>
      <c r="B701" s="10" t="s">
        <v>10</v>
      </c>
      <c r="C701" s="10">
        <v>50.863</v>
      </c>
      <c r="D701" s="10">
        <v>1984</v>
      </c>
    </row>
    <row r="702" spans="1:4" ht="19.95" customHeight="1" x14ac:dyDescent="0.25">
      <c r="A702" s="9" t="s">
        <v>37</v>
      </c>
      <c r="B702" s="10" t="s">
        <v>10</v>
      </c>
      <c r="C702" s="10">
        <v>48.512</v>
      </c>
      <c r="D702" s="10">
        <v>1984</v>
      </c>
    </row>
    <row r="703" spans="1:4" ht="19.95" customHeight="1" x14ac:dyDescent="0.25">
      <c r="A703" s="9" t="s">
        <v>38</v>
      </c>
      <c r="B703" s="10" t="s">
        <v>10</v>
      </c>
      <c r="C703" s="10">
        <v>49.359000000000002</v>
      </c>
      <c r="D703" s="10">
        <v>1984</v>
      </c>
    </row>
    <row r="704" spans="1:4" ht="19.95" customHeight="1" x14ac:dyDescent="0.25">
      <c r="A704" s="9" t="s">
        <v>39</v>
      </c>
      <c r="B704" s="10" t="s">
        <v>10</v>
      </c>
      <c r="C704" s="10">
        <v>60.965000000000003</v>
      </c>
      <c r="D704" s="10">
        <v>1984</v>
      </c>
    </row>
    <row r="705" spans="1:4" ht="19.95" customHeight="1" x14ac:dyDescent="0.25">
      <c r="A705" s="9" t="s">
        <v>9</v>
      </c>
      <c r="B705" s="10" t="s">
        <v>10</v>
      </c>
      <c r="C705" s="10">
        <v>48.844999999999999</v>
      </c>
      <c r="D705" s="10">
        <v>1985</v>
      </c>
    </row>
    <row r="706" spans="1:4" ht="19.95" customHeight="1" x14ac:dyDescent="0.25">
      <c r="A706" s="9" t="s">
        <v>12</v>
      </c>
      <c r="B706" s="10" t="s">
        <v>10</v>
      </c>
      <c r="C706" s="10">
        <v>52.698</v>
      </c>
      <c r="D706" s="10">
        <v>1985</v>
      </c>
    </row>
    <row r="707" spans="1:4" ht="19.95" customHeight="1" x14ac:dyDescent="0.25">
      <c r="A707" s="9" t="s">
        <v>13</v>
      </c>
      <c r="B707" s="10" t="s">
        <v>10</v>
      </c>
      <c r="C707" s="10">
        <v>46.082000000000001</v>
      </c>
      <c r="D707" s="10">
        <v>1985</v>
      </c>
    </row>
    <row r="708" spans="1:4" ht="19.95" customHeight="1" x14ac:dyDescent="0.25">
      <c r="A708" s="9" t="s">
        <v>15</v>
      </c>
      <c r="B708" s="10" t="s">
        <v>10</v>
      </c>
      <c r="C708" s="10">
        <v>53.843000000000004</v>
      </c>
      <c r="D708" s="10">
        <v>1985</v>
      </c>
    </row>
    <row r="709" spans="1:4" ht="19.95" customHeight="1" x14ac:dyDescent="0.25">
      <c r="A709" s="9" t="s">
        <v>16</v>
      </c>
      <c r="B709" s="10" t="s">
        <v>10</v>
      </c>
      <c r="C709" s="10">
        <v>55.488</v>
      </c>
      <c r="D709" s="10">
        <v>1985</v>
      </c>
    </row>
    <row r="710" spans="1:4" ht="19.95" customHeight="1" x14ac:dyDescent="0.25">
      <c r="A710" s="9" t="s">
        <v>1</v>
      </c>
      <c r="B710" s="10" t="s">
        <v>10</v>
      </c>
      <c r="C710" s="10">
        <v>44.633000000000003</v>
      </c>
      <c r="D710" s="10">
        <v>1985</v>
      </c>
    </row>
    <row r="711" spans="1:4" ht="19.95" customHeight="1" x14ac:dyDescent="0.25">
      <c r="A711" s="9" t="s">
        <v>17</v>
      </c>
      <c r="B711" s="10" t="s">
        <v>10</v>
      </c>
      <c r="C711" s="10">
        <v>45.481999999999999</v>
      </c>
      <c r="D711" s="10">
        <v>1985</v>
      </c>
    </row>
    <row r="712" spans="1:4" ht="19.95" customHeight="1" x14ac:dyDescent="0.25">
      <c r="A712" s="9" t="s">
        <v>18</v>
      </c>
      <c r="B712" s="10" t="s">
        <v>10</v>
      </c>
      <c r="C712" s="10">
        <v>52.68</v>
      </c>
      <c r="D712" s="10">
        <v>1985</v>
      </c>
    </row>
    <row r="713" spans="1:4" ht="19.95" customHeight="1" x14ac:dyDescent="0.25">
      <c r="A713" s="9" t="s">
        <v>19</v>
      </c>
      <c r="B713" s="10" t="s">
        <v>10</v>
      </c>
      <c r="C713" s="10">
        <v>59.082000000000001</v>
      </c>
      <c r="D713" s="10">
        <v>1985</v>
      </c>
    </row>
    <row r="714" spans="1:4" ht="19.95" customHeight="1" x14ac:dyDescent="0.25">
      <c r="A714" s="9" t="s">
        <v>20</v>
      </c>
      <c r="B714" s="10" t="s">
        <v>10</v>
      </c>
      <c r="C714" s="10">
        <v>66.797560975609798</v>
      </c>
      <c r="D714" s="10">
        <v>1985</v>
      </c>
    </row>
    <row r="715" spans="1:4" ht="19.95" customHeight="1" x14ac:dyDescent="0.25">
      <c r="A715" s="9" t="s">
        <v>21</v>
      </c>
      <c r="B715" s="10" t="s">
        <v>10</v>
      </c>
      <c r="C715" s="10">
        <v>47.298000000000002</v>
      </c>
      <c r="D715" s="10">
        <v>1985</v>
      </c>
    </row>
    <row r="716" spans="1:4" ht="19.95" customHeight="1" x14ac:dyDescent="0.25">
      <c r="A716" s="9" t="s">
        <v>22</v>
      </c>
      <c r="B716" s="10" t="s">
        <v>10</v>
      </c>
      <c r="C716" s="10">
        <v>49.694000000000003</v>
      </c>
      <c r="D716" s="10">
        <v>1985</v>
      </c>
    </row>
    <row r="717" spans="1:4" ht="19.95" customHeight="1" x14ac:dyDescent="0.25">
      <c r="A717" s="9" t="s">
        <v>23</v>
      </c>
      <c r="B717" s="10" t="s">
        <v>10</v>
      </c>
      <c r="C717" s="10">
        <v>46.055</v>
      </c>
      <c r="D717" s="10">
        <v>1985</v>
      </c>
    </row>
    <row r="718" spans="1:4" ht="19.95" customHeight="1" x14ac:dyDescent="0.25">
      <c r="A718" s="9" t="s">
        <v>24</v>
      </c>
      <c r="B718" s="10" t="s">
        <v>10</v>
      </c>
      <c r="C718" s="10">
        <v>43.17</v>
      </c>
      <c r="D718" s="10">
        <v>1985</v>
      </c>
    </row>
    <row r="719" spans="1:4" ht="19.95" customHeight="1" x14ac:dyDescent="0.25">
      <c r="A719" s="9" t="s">
        <v>25</v>
      </c>
      <c r="B719" s="10" t="s">
        <v>10</v>
      </c>
      <c r="C719" s="10">
        <v>66.33</v>
      </c>
      <c r="D719" s="10">
        <v>1985</v>
      </c>
    </row>
    <row r="720" spans="1:4" ht="19.95" customHeight="1" x14ac:dyDescent="0.25">
      <c r="A720" s="9" t="s">
        <v>26</v>
      </c>
      <c r="B720" s="10" t="s">
        <v>10</v>
      </c>
      <c r="C720" s="10">
        <v>41.704999999999998</v>
      </c>
      <c r="D720" s="10">
        <v>1985</v>
      </c>
    </row>
    <row r="721" spans="1:4" ht="19.95" customHeight="1" x14ac:dyDescent="0.25">
      <c r="A721" s="9" t="s">
        <v>28</v>
      </c>
      <c r="B721" s="10" t="s">
        <v>10</v>
      </c>
      <c r="C721" s="10">
        <v>56.904000000000003</v>
      </c>
      <c r="D721" s="10">
        <v>1985</v>
      </c>
    </row>
    <row r="722" spans="1:4" ht="19.95" customHeight="1" x14ac:dyDescent="0.25">
      <c r="A722" s="9" t="s">
        <v>29</v>
      </c>
      <c r="B722" s="10" t="s">
        <v>10</v>
      </c>
      <c r="C722" s="10">
        <v>50.161999999999999</v>
      </c>
      <c r="D722" s="10">
        <v>1985</v>
      </c>
    </row>
    <row r="723" spans="1:4" ht="19.95" customHeight="1" x14ac:dyDescent="0.25">
      <c r="A723" s="9" t="s">
        <v>30</v>
      </c>
      <c r="B723" s="10" t="s">
        <v>10</v>
      </c>
      <c r="C723" s="10">
        <v>60.67</v>
      </c>
      <c r="D723" s="10">
        <v>1985</v>
      </c>
    </row>
    <row r="724" spans="1:4" ht="19.95" customHeight="1" x14ac:dyDescent="0.25">
      <c r="A724" s="9" t="s">
        <v>31</v>
      </c>
      <c r="B724" s="10" t="s">
        <v>10</v>
      </c>
      <c r="C724" s="10">
        <v>41.24</v>
      </c>
      <c r="D724" s="10">
        <v>1985</v>
      </c>
    </row>
    <row r="725" spans="1:4" ht="19.95" customHeight="1" x14ac:dyDescent="0.25">
      <c r="A725" s="9" t="s">
        <v>32</v>
      </c>
      <c r="B725" s="10" t="s">
        <v>10</v>
      </c>
      <c r="C725" s="10">
        <v>50.948</v>
      </c>
      <c r="D725" s="10">
        <v>1985</v>
      </c>
    </row>
    <row r="726" spans="1:4" ht="19.95" customHeight="1" x14ac:dyDescent="0.25">
      <c r="A726" s="9" t="s">
        <v>33</v>
      </c>
      <c r="B726" s="10" t="s">
        <v>10</v>
      </c>
      <c r="C726" s="10">
        <v>60.969000000000001</v>
      </c>
      <c r="D726" s="10">
        <v>1985</v>
      </c>
    </row>
    <row r="727" spans="1:4" ht="19.95" customHeight="1" x14ac:dyDescent="0.25">
      <c r="A727" s="9" t="s">
        <v>34</v>
      </c>
      <c r="B727" s="10" t="s">
        <v>10</v>
      </c>
      <c r="C727" s="10">
        <v>69.078999999999994</v>
      </c>
      <c r="D727" s="10">
        <v>1985</v>
      </c>
    </row>
    <row r="728" spans="1:4" ht="19.95" customHeight="1" x14ac:dyDescent="0.25">
      <c r="A728" s="9" t="s">
        <v>35</v>
      </c>
      <c r="B728" s="10" t="s">
        <v>10</v>
      </c>
      <c r="C728" s="10">
        <v>63.869</v>
      </c>
      <c r="D728" s="10">
        <v>1985</v>
      </c>
    </row>
    <row r="729" spans="1:4" ht="19.95" customHeight="1" x14ac:dyDescent="0.25">
      <c r="A729" s="9" t="s">
        <v>36</v>
      </c>
      <c r="B729" s="10" t="s">
        <v>10</v>
      </c>
      <c r="C729" s="10">
        <v>50.904000000000003</v>
      </c>
      <c r="D729" s="10">
        <v>1985</v>
      </c>
    </row>
    <row r="730" spans="1:4" ht="19.95" customHeight="1" x14ac:dyDescent="0.25">
      <c r="A730" s="9" t="s">
        <v>37</v>
      </c>
      <c r="B730" s="10" t="s">
        <v>10</v>
      </c>
      <c r="C730" s="10">
        <v>48.103999999999999</v>
      </c>
      <c r="D730" s="10">
        <v>1985</v>
      </c>
    </row>
    <row r="731" spans="1:4" ht="19.95" customHeight="1" x14ac:dyDescent="0.25">
      <c r="A731" s="9" t="s">
        <v>38</v>
      </c>
      <c r="B731" s="10" t="s">
        <v>10</v>
      </c>
      <c r="C731" s="10">
        <v>48.661000000000001</v>
      </c>
      <c r="D731" s="10">
        <v>1985</v>
      </c>
    </row>
    <row r="732" spans="1:4" ht="19.95" customHeight="1" x14ac:dyDescent="0.25">
      <c r="A732" s="9" t="s">
        <v>39</v>
      </c>
      <c r="B732" s="10" t="s">
        <v>10</v>
      </c>
      <c r="C732" s="10">
        <v>60.999000000000002</v>
      </c>
      <c r="D732" s="10">
        <v>1985</v>
      </c>
    </row>
    <row r="733" spans="1:4" ht="19.95" customHeight="1" x14ac:dyDescent="0.25">
      <c r="A733" s="9" t="s">
        <v>9</v>
      </c>
      <c r="B733" s="10" t="s">
        <v>10</v>
      </c>
      <c r="C733" s="10">
        <v>48.941000000000003</v>
      </c>
      <c r="D733" s="10">
        <v>1986</v>
      </c>
    </row>
    <row r="734" spans="1:4" ht="19.95" customHeight="1" x14ac:dyDescent="0.25">
      <c r="A734" s="9" t="s">
        <v>12</v>
      </c>
      <c r="B734" s="10" t="s">
        <v>10</v>
      </c>
      <c r="C734" s="10">
        <v>52.786999999999999</v>
      </c>
      <c r="D734" s="10">
        <v>1986</v>
      </c>
    </row>
    <row r="735" spans="1:4" ht="19.95" customHeight="1" x14ac:dyDescent="0.25">
      <c r="A735" s="9" t="s">
        <v>13</v>
      </c>
      <c r="B735" s="10" t="s">
        <v>10</v>
      </c>
      <c r="C735" s="10">
        <v>46.314999999999998</v>
      </c>
      <c r="D735" s="10">
        <v>1986</v>
      </c>
    </row>
    <row r="736" spans="1:4" ht="19.95" customHeight="1" x14ac:dyDescent="0.25">
      <c r="A736" s="9" t="s">
        <v>15</v>
      </c>
      <c r="B736" s="10" t="s">
        <v>10</v>
      </c>
      <c r="C736" s="10">
        <v>54.445999999999998</v>
      </c>
      <c r="D736" s="10">
        <v>1986</v>
      </c>
    </row>
    <row r="737" spans="1:4" ht="19.95" customHeight="1" x14ac:dyDescent="0.25">
      <c r="A737" s="9" t="s">
        <v>16</v>
      </c>
      <c r="B737" s="10" t="s">
        <v>10</v>
      </c>
      <c r="C737" s="10">
        <v>55.771999999999998</v>
      </c>
      <c r="D737" s="10">
        <v>1986</v>
      </c>
    </row>
    <row r="738" spans="1:4" ht="19.95" customHeight="1" x14ac:dyDescent="0.25">
      <c r="A738" s="9" t="s">
        <v>1</v>
      </c>
      <c r="B738" s="10" t="s">
        <v>10</v>
      </c>
      <c r="C738" s="10">
        <v>45.146000000000001</v>
      </c>
      <c r="D738" s="10">
        <v>1986</v>
      </c>
    </row>
    <row r="739" spans="1:4" ht="19.95" customHeight="1" x14ac:dyDescent="0.25">
      <c r="A739" s="9" t="s">
        <v>17</v>
      </c>
      <c r="B739" s="10" t="s">
        <v>10</v>
      </c>
      <c r="C739" s="10">
        <v>46.463000000000001</v>
      </c>
      <c r="D739" s="10">
        <v>1986</v>
      </c>
    </row>
    <row r="740" spans="1:4" ht="19.95" customHeight="1" x14ac:dyDescent="0.25">
      <c r="A740" s="9" t="s">
        <v>18</v>
      </c>
      <c r="B740" s="10" t="s">
        <v>10</v>
      </c>
      <c r="C740" s="10">
        <v>53.088000000000001</v>
      </c>
      <c r="D740" s="10">
        <v>1986</v>
      </c>
    </row>
    <row r="741" spans="1:4" ht="19.95" customHeight="1" x14ac:dyDescent="0.25">
      <c r="A741" s="9" t="s">
        <v>19</v>
      </c>
      <c r="B741" s="10" t="s">
        <v>10</v>
      </c>
      <c r="C741" s="10">
        <v>58.994</v>
      </c>
      <c r="D741" s="10">
        <v>1986</v>
      </c>
    </row>
    <row r="742" spans="1:4" ht="19.95" customHeight="1" x14ac:dyDescent="0.25">
      <c r="A742" s="9" t="s">
        <v>20</v>
      </c>
      <c r="B742" s="10" t="s">
        <v>10</v>
      </c>
      <c r="C742" s="10">
        <v>66.997560975609801</v>
      </c>
      <c r="D742" s="10">
        <v>1986</v>
      </c>
    </row>
    <row r="743" spans="1:4" ht="19.95" customHeight="1" x14ac:dyDescent="0.25">
      <c r="A743" s="9" t="s">
        <v>21</v>
      </c>
      <c r="B743" s="10" t="s">
        <v>10</v>
      </c>
      <c r="C743" s="10">
        <v>47.308999999999997</v>
      </c>
      <c r="D743" s="10">
        <v>1986</v>
      </c>
    </row>
    <row r="744" spans="1:4" ht="19.95" customHeight="1" x14ac:dyDescent="0.25">
      <c r="A744" s="9" t="s">
        <v>22</v>
      </c>
      <c r="B744" s="10" t="s">
        <v>10</v>
      </c>
      <c r="C744" s="10">
        <v>49.780999999999999</v>
      </c>
      <c r="D744" s="10">
        <v>1986</v>
      </c>
    </row>
    <row r="745" spans="1:4" ht="19.95" customHeight="1" x14ac:dyDescent="0.25">
      <c r="A745" s="9" t="s">
        <v>23</v>
      </c>
      <c r="B745" s="10" t="s">
        <v>10</v>
      </c>
      <c r="C745" s="10">
        <v>46.195999999999998</v>
      </c>
      <c r="D745" s="10">
        <v>1986</v>
      </c>
    </row>
    <row r="746" spans="1:4" ht="19.95" customHeight="1" x14ac:dyDescent="0.25">
      <c r="A746" s="9" t="s">
        <v>24</v>
      </c>
      <c r="B746" s="10" t="s">
        <v>10</v>
      </c>
      <c r="C746" s="10">
        <v>43.759</v>
      </c>
      <c r="D746" s="10">
        <v>1986</v>
      </c>
    </row>
    <row r="747" spans="1:4" ht="19.95" customHeight="1" x14ac:dyDescent="0.25">
      <c r="A747" s="9" t="s">
        <v>25</v>
      </c>
      <c r="B747" s="10" t="s">
        <v>10</v>
      </c>
      <c r="C747" s="10">
        <v>66.772000000000006</v>
      </c>
      <c r="D747" s="10">
        <v>1986</v>
      </c>
    </row>
    <row r="748" spans="1:4" ht="19.95" customHeight="1" x14ac:dyDescent="0.25">
      <c r="A748" s="9" t="s">
        <v>26</v>
      </c>
      <c r="B748" s="10" t="s">
        <v>10</v>
      </c>
      <c r="C748" s="10">
        <v>41.872</v>
      </c>
      <c r="D748" s="10">
        <v>1986</v>
      </c>
    </row>
    <row r="749" spans="1:4" ht="19.95" customHeight="1" x14ac:dyDescent="0.25">
      <c r="A749" s="9" t="s">
        <v>28</v>
      </c>
      <c r="B749" s="10" t="s">
        <v>10</v>
      </c>
      <c r="C749" s="10">
        <v>57.277999999999999</v>
      </c>
      <c r="D749" s="10">
        <v>1986</v>
      </c>
    </row>
    <row r="750" spans="1:4" ht="19.95" customHeight="1" x14ac:dyDescent="0.25">
      <c r="A750" s="9" t="s">
        <v>29</v>
      </c>
      <c r="B750" s="10" t="s">
        <v>10</v>
      </c>
      <c r="C750" s="10">
        <v>50.938000000000002</v>
      </c>
      <c r="D750" s="10">
        <v>1986</v>
      </c>
    </row>
    <row r="751" spans="1:4" ht="19.95" customHeight="1" x14ac:dyDescent="0.25">
      <c r="A751" s="9" t="s">
        <v>30</v>
      </c>
      <c r="B751" s="10" t="s">
        <v>10</v>
      </c>
      <c r="C751" s="10">
        <v>61.261000000000003</v>
      </c>
      <c r="D751" s="10">
        <v>1986</v>
      </c>
    </row>
    <row r="752" spans="1:4" ht="19.95" customHeight="1" x14ac:dyDescent="0.25">
      <c r="A752" s="9" t="s">
        <v>31</v>
      </c>
      <c r="B752" s="10" t="s">
        <v>10</v>
      </c>
      <c r="C752" s="10">
        <v>41.654000000000003</v>
      </c>
      <c r="D752" s="10">
        <v>1986</v>
      </c>
    </row>
    <row r="753" spans="1:4" ht="19.95" customHeight="1" x14ac:dyDescent="0.25">
      <c r="A753" s="9" t="s">
        <v>32</v>
      </c>
      <c r="B753" s="10" t="s">
        <v>10</v>
      </c>
      <c r="C753" s="10">
        <v>49.579000000000001</v>
      </c>
      <c r="D753" s="10">
        <v>1986</v>
      </c>
    </row>
    <row r="754" spans="1:4" ht="19.95" customHeight="1" x14ac:dyDescent="0.25">
      <c r="A754" s="9" t="s">
        <v>33</v>
      </c>
      <c r="B754" s="10" t="s">
        <v>10</v>
      </c>
      <c r="C754" s="10">
        <v>61.125999999999998</v>
      </c>
      <c r="D754" s="10">
        <v>1986</v>
      </c>
    </row>
    <row r="755" spans="1:4" ht="19.95" customHeight="1" x14ac:dyDescent="0.25">
      <c r="A755" s="9" t="s">
        <v>34</v>
      </c>
      <c r="B755" s="10" t="s">
        <v>10</v>
      </c>
      <c r="C755" s="10">
        <v>69.085999999999999</v>
      </c>
      <c r="D755" s="10">
        <v>1986</v>
      </c>
    </row>
    <row r="756" spans="1:4" ht="19.95" customHeight="1" x14ac:dyDescent="0.25">
      <c r="A756" s="9" t="s">
        <v>35</v>
      </c>
      <c r="B756" s="10" t="s">
        <v>10</v>
      </c>
      <c r="C756" s="10">
        <v>63.945999999999998</v>
      </c>
      <c r="D756" s="10">
        <v>1986</v>
      </c>
    </row>
    <row r="757" spans="1:4" ht="19.95" customHeight="1" x14ac:dyDescent="0.25">
      <c r="A757" s="9" t="s">
        <v>36</v>
      </c>
      <c r="B757" s="10" t="s">
        <v>10</v>
      </c>
      <c r="C757" s="10">
        <v>50.887999999999998</v>
      </c>
      <c r="D757" s="10">
        <v>1986</v>
      </c>
    </row>
    <row r="758" spans="1:4" ht="19.95" customHeight="1" x14ac:dyDescent="0.25">
      <c r="A758" s="9" t="s">
        <v>37</v>
      </c>
      <c r="B758" s="10" t="s">
        <v>10</v>
      </c>
      <c r="C758" s="10">
        <v>47.625</v>
      </c>
      <c r="D758" s="10">
        <v>1986</v>
      </c>
    </row>
    <row r="759" spans="1:4" ht="19.95" customHeight="1" x14ac:dyDescent="0.25">
      <c r="A759" s="9" t="s">
        <v>38</v>
      </c>
      <c r="B759" s="10" t="s">
        <v>10</v>
      </c>
      <c r="C759" s="10">
        <v>47.912999999999997</v>
      </c>
      <c r="D759" s="10">
        <v>1986</v>
      </c>
    </row>
    <row r="760" spans="1:4" ht="19.95" customHeight="1" x14ac:dyDescent="0.25">
      <c r="A760" s="9" t="s">
        <v>39</v>
      </c>
      <c r="B760" s="10" t="s">
        <v>10</v>
      </c>
      <c r="C760" s="10">
        <v>60.816000000000003</v>
      </c>
      <c r="D760" s="10">
        <v>1986</v>
      </c>
    </row>
    <row r="761" spans="1:4" ht="19.95" customHeight="1" x14ac:dyDescent="0.25">
      <c r="A761" s="9" t="s">
        <v>9</v>
      </c>
      <c r="B761" s="10" t="s">
        <v>10</v>
      </c>
      <c r="C761" s="10">
        <v>48.884</v>
      </c>
      <c r="D761" s="10">
        <v>1987</v>
      </c>
    </row>
    <row r="762" spans="1:4" ht="19.95" customHeight="1" x14ac:dyDescent="0.25">
      <c r="A762" s="9" t="s">
        <v>12</v>
      </c>
      <c r="B762" s="10" t="s">
        <v>10</v>
      </c>
      <c r="C762" s="10">
        <v>52.780999999999999</v>
      </c>
      <c r="D762" s="10">
        <v>1987</v>
      </c>
    </row>
    <row r="763" spans="1:4" ht="19.95" customHeight="1" x14ac:dyDescent="0.25">
      <c r="A763" s="9" t="s">
        <v>13</v>
      </c>
      <c r="B763" s="10" t="s">
        <v>10</v>
      </c>
      <c r="C763" s="10">
        <v>46.52</v>
      </c>
      <c r="D763" s="10">
        <v>1987</v>
      </c>
    </row>
    <row r="764" spans="1:4" ht="19.95" customHeight="1" x14ac:dyDescent="0.25">
      <c r="A764" s="9" t="s">
        <v>15</v>
      </c>
      <c r="B764" s="10" t="s">
        <v>10</v>
      </c>
      <c r="C764" s="10">
        <v>55.033000000000001</v>
      </c>
      <c r="D764" s="10">
        <v>1987</v>
      </c>
    </row>
    <row r="765" spans="1:4" ht="19.95" customHeight="1" x14ac:dyDescent="0.25">
      <c r="A765" s="9" t="s">
        <v>16</v>
      </c>
      <c r="B765" s="10" t="s">
        <v>10</v>
      </c>
      <c r="C765" s="10">
        <v>56.031999999999996</v>
      </c>
      <c r="D765" s="10">
        <v>1987</v>
      </c>
    </row>
    <row r="766" spans="1:4" ht="19.95" customHeight="1" x14ac:dyDescent="0.25">
      <c r="A766" s="9" t="s">
        <v>1</v>
      </c>
      <c r="B766" s="10" t="s">
        <v>10</v>
      </c>
      <c r="C766" s="10">
        <v>45.682000000000002</v>
      </c>
      <c r="D766" s="10">
        <v>1987</v>
      </c>
    </row>
    <row r="767" spans="1:4" ht="19.95" customHeight="1" x14ac:dyDescent="0.25">
      <c r="A767" s="9" t="s">
        <v>17</v>
      </c>
      <c r="B767" s="10" t="s">
        <v>10</v>
      </c>
      <c r="C767" s="10">
        <v>47.433999999999997</v>
      </c>
      <c r="D767" s="10">
        <v>1987</v>
      </c>
    </row>
    <row r="768" spans="1:4" ht="19.95" customHeight="1" x14ac:dyDescent="0.25">
      <c r="A768" s="9" t="s">
        <v>18</v>
      </c>
      <c r="B768" s="10" t="s">
        <v>10</v>
      </c>
      <c r="C768" s="10">
        <v>53.491999999999997</v>
      </c>
      <c r="D768" s="10">
        <v>1987</v>
      </c>
    </row>
    <row r="769" spans="1:4" ht="19.95" customHeight="1" x14ac:dyDescent="0.25">
      <c r="A769" s="9" t="s">
        <v>19</v>
      </c>
      <c r="B769" s="10" t="s">
        <v>10</v>
      </c>
      <c r="C769" s="10">
        <v>58.783000000000001</v>
      </c>
      <c r="D769" s="10">
        <v>1987</v>
      </c>
    </row>
    <row r="770" spans="1:4" ht="19.95" customHeight="1" x14ac:dyDescent="0.25">
      <c r="A770" s="9" t="s">
        <v>20</v>
      </c>
      <c r="B770" s="10" t="s">
        <v>10</v>
      </c>
      <c r="C770" s="10">
        <v>67.197560975609804</v>
      </c>
      <c r="D770" s="10">
        <v>1987</v>
      </c>
    </row>
    <row r="771" spans="1:4" ht="19.95" customHeight="1" x14ac:dyDescent="0.25">
      <c r="A771" s="9" t="s">
        <v>21</v>
      </c>
      <c r="B771" s="10" t="s">
        <v>10</v>
      </c>
      <c r="C771" s="10">
        <v>47.26</v>
      </c>
      <c r="D771" s="10">
        <v>1987</v>
      </c>
    </row>
    <row r="772" spans="1:4" ht="19.95" customHeight="1" x14ac:dyDescent="0.25">
      <c r="A772" s="9" t="s">
        <v>22</v>
      </c>
      <c r="B772" s="10" t="s">
        <v>10</v>
      </c>
      <c r="C772" s="10">
        <v>49.932000000000002</v>
      </c>
      <c r="D772" s="10">
        <v>1987</v>
      </c>
    </row>
    <row r="773" spans="1:4" ht="19.95" customHeight="1" x14ac:dyDescent="0.25">
      <c r="A773" s="9" t="s">
        <v>23</v>
      </c>
      <c r="B773" s="10" t="s">
        <v>10</v>
      </c>
      <c r="C773" s="10">
        <v>46.313000000000002</v>
      </c>
      <c r="D773" s="10">
        <v>1987</v>
      </c>
    </row>
    <row r="774" spans="1:4" ht="19.95" customHeight="1" x14ac:dyDescent="0.25">
      <c r="A774" s="9" t="s">
        <v>24</v>
      </c>
      <c r="B774" s="10" t="s">
        <v>10</v>
      </c>
      <c r="C774" s="10">
        <v>44.314999999999998</v>
      </c>
      <c r="D774" s="10">
        <v>1987</v>
      </c>
    </row>
    <row r="775" spans="1:4" ht="19.95" customHeight="1" x14ac:dyDescent="0.25">
      <c r="A775" s="9" t="s">
        <v>25</v>
      </c>
      <c r="B775" s="10" t="s">
        <v>10</v>
      </c>
      <c r="C775" s="10">
        <v>67.156000000000006</v>
      </c>
      <c r="D775" s="10">
        <v>1987</v>
      </c>
    </row>
    <row r="776" spans="1:4" ht="19.95" customHeight="1" x14ac:dyDescent="0.25">
      <c r="A776" s="9" t="s">
        <v>26</v>
      </c>
      <c r="B776" s="10" t="s">
        <v>10</v>
      </c>
      <c r="C776" s="10">
        <v>42.085000000000001</v>
      </c>
      <c r="D776" s="10">
        <v>1987</v>
      </c>
    </row>
    <row r="777" spans="1:4" ht="19.95" customHeight="1" x14ac:dyDescent="0.25">
      <c r="A777" s="9" t="s">
        <v>28</v>
      </c>
      <c r="B777" s="10" t="s">
        <v>10</v>
      </c>
      <c r="C777" s="10">
        <v>57.65</v>
      </c>
      <c r="D777" s="10">
        <v>1987</v>
      </c>
    </row>
    <row r="778" spans="1:4" ht="19.95" customHeight="1" x14ac:dyDescent="0.25">
      <c r="A778" s="9" t="s">
        <v>29</v>
      </c>
      <c r="B778" s="10" t="s">
        <v>10</v>
      </c>
      <c r="C778" s="10">
        <v>51.738</v>
      </c>
      <c r="D778" s="10">
        <v>1987</v>
      </c>
    </row>
    <row r="779" spans="1:4" ht="19.95" customHeight="1" x14ac:dyDescent="0.25">
      <c r="A779" s="9" t="s">
        <v>30</v>
      </c>
      <c r="B779" s="10" t="s">
        <v>10</v>
      </c>
      <c r="C779" s="10">
        <v>61.92</v>
      </c>
      <c r="D779" s="10">
        <v>1987</v>
      </c>
    </row>
    <row r="780" spans="1:4" ht="19.95" customHeight="1" x14ac:dyDescent="0.25">
      <c r="A780" s="9" t="s">
        <v>31</v>
      </c>
      <c r="B780" s="10" t="s">
        <v>10</v>
      </c>
      <c r="C780" s="10">
        <v>42.079000000000001</v>
      </c>
      <c r="D780" s="10">
        <v>1987</v>
      </c>
    </row>
    <row r="781" spans="1:4" ht="19.95" customHeight="1" x14ac:dyDescent="0.25">
      <c r="A781" s="9" t="s">
        <v>32</v>
      </c>
      <c r="B781" s="10" t="s">
        <v>10</v>
      </c>
      <c r="C781" s="10">
        <v>46.969000000000001</v>
      </c>
      <c r="D781" s="10">
        <v>1987</v>
      </c>
    </row>
    <row r="782" spans="1:4" ht="19.95" customHeight="1" x14ac:dyDescent="0.25">
      <c r="A782" s="9" t="s">
        <v>33</v>
      </c>
      <c r="B782" s="10" t="s">
        <v>10</v>
      </c>
      <c r="C782" s="10">
        <v>61.296999999999997</v>
      </c>
      <c r="D782" s="10">
        <v>1987</v>
      </c>
    </row>
    <row r="783" spans="1:4" ht="19.95" customHeight="1" x14ac:dyDescent="0.25">
      <c r="A783" s="9" t="s">
        <v>34</v>
      </c>
      <c r="B783" s="10" t="s">
        <v>10</v>
      </c>
      <c r="C783" s="10">
        <v>69.120999999999995</v>
      </c>
      <c r="D783" s="10">
        <v>1987</v>
      </c>
    </row>
    <row r="784" spans="1:4" ht="19.95" customHeight="1" x14ac:dyDescent="0.25">
      <c r="A784" s="9" t="s">
        <v>35</v>
      </c>
      <c r="B784" s="10" t="s">
        <v>10</v>
      </c>
      <c r="C784" s="10">
        <v>63.896000000000001</v>
      </c>
      <c r="D784" s="10">
        <v>1987</v>
      </c>
    </row>
    <row r="785" spans="1:4" ht="19.95" customHeight="1" x14ac:dyDescent="0.25">
      <c r="A785" s="9" t="s">
        <v>36</v>
      </c>
      <c r="B785" s="10" t="s">
        <v>10</v>
      </c>
      <c r="C785" s="10">
        <v>50.802999999999997</v>
      </c>
      <c r="D785" s="10">
        <v>1987</v>
      </c>
    </row>
    <row r="786" spans="1:4" ht="19.95" customHeight="1" x14ac:dyDescent="0.25">
      <c r="A786" s="9" t="s">
        <v>37</v>
      </c>
      <c r="B786" s="10" t="s">
        <v>10</v>
      </c>
      <c r="C786" s="10">
        <v>47.097000000000001</v>
      </c>
      <c r="D786" s="10">
        <v>1987</v>
      </c>
    </row>
    <row r="787" spans="1:4" ht="19.95" customHeight="1" x14ac:dyDescent="0.25">
      <c r="A787" s="9" t="s">
        <v>38</v>
      </c>
      <c r="B787" s="10" t="s">
        <v>10</v>
      </c>
      <c r="C787" s="10">
        <v>47.142000000000003</v>
      </c>
      <c r="D787" s="10">
        <v>1987</v>
      </c>
    </row>
    <row r="788" spans="1:4" ht="19.95" customHeight="1" x14ac:dyDescent="0.25">
      <c r="A788" s="9" t="s">
        <v>39</v>
      </c>
      <c r="B788" s="10" t="s">
        <v>10</v>
      </c>
      <c r="C788" s="10">
        <v>60.411000000000001</v>
      </c>
      <c r="D788" s="10">
        <v>1987</v>
      </c>
    </row>
    <row r="789" spans="1:4" ht="19.95" customHeight="1" x14ac:dyDescent="0.25">
      <c r="A789" s="9" t="s">
        <v>9</v>
      </c>
      <c r="B789" s="10" t="s">
        <v>10</v>
      </c>
      <c r="C789" s="10">
        <v>48.683999999999997</v>
      </c>
      <c r="D789" s="10">
        <v>1988</v>
      </c>
    </row>
    <row r="790" spans="1:4" ht="19.95" customHeight="1" x14ac:dyDescent="0.25">
      <c r="A790" s="9" t="s">
        <v>12</v>
      </c>
      <c r="B790" s="10" t="s">
        <v>10</v>
      </c>
      <c r="C790" s="10">
        <v>52.68</v>
      </c>
      <c r="D790" s="10">
        <v>1988</v>
      </c>
    </row>
    <row r="791" spans="1:4" ht="19.95" customHeight="1" x14ac:dyDescent="0.25">
      <c r="A791" s="9" t="s">
        <v>13</v>
      </c>
      <c r="B791" s="10" t="s">
        <v>10</v>
      </c>
      <c r="C791" s="10">
        <v>46.692</v>
      </c>
      <c r="D791" s="10">
        <v>1988</v>
      </c>
    </row>
    <row r="792" spans="1:4" ht="19.95" customHeight="1" x14ac:dyDescent="0.25">
      <c r="A792" s="9" t="s">
        <v>15</v>
      </c>
      <c r="B792" s="10" t="s">
        <v>10</v>
      </c>
      <c r="C792" s="10">
        <v>55.604999999999997</v>
      </c>
      <c r="D792" s="10">
        <v>1988</v>
      </c>
    </row>
    <row r="793" spans="1:4" ht="19.95" customHeight="1" x14ac:dyDescent="0.25">
      <c r="A793" s="9" t="s">
        <v>16</v>
      </c>
      <c r="B793" s="10" t="s">
        <v>10</v>
      </c>
      <c r="C793" s="10">
        <v>56.271000000000001</v>
      </c>
      <c r="D793" s="10">
        <v>1988</v>
      </c>
    </row>
    <row r="794" spans="1:4" ht="19.95" customHeight="1" x14ac:dyDescent="0.25">
      <c r="A794" s="9" t="s">
        <v>1</v>
      </c>
      <c r="B794" s="10" t="s">
        <v>10</v>
      </c>
      <c r="C794" s="10">
        <v>46.194000000000003</v>
      </c>
      <c r="D794" s="10">
        <v>1988</v>
      </c>
    </row>
    <row r="795" spans="1:4" ht="19.95" customHeight="1" x14ac:dyDescent="0.25">
      <c r="A795" s="9" t="s">
        <v>17</v>
      </c>
      <c r="B795" s="10" t="s">
        <v>10</v>
      </c>
      <c r="C795" s="10">
        <v>48.359000000000002</v>
      </c>
      <c r="D795" s="10">
        <v>1988</v>
      </c>
    </row>
    <row r="796" spans="1:4" ht="19.95" customHeight="1" x14ac:dyDescent="0.25">
      <c r="A796" s="9" t="s">
        <v>18</v>
      </c>
      <c r="B796" s="10" t="s">
        <v>10</v>
      </c>
      <c r="C796" s="10">
        <v>53.881</v>
      </c>
      <c r="D796" s="10">
        <v>1988</v>
      </c>
    </row>
    <row r="797" spans="1:4" ht="19.95" customHeight="1" x14ac:dyDescent="0.25">
      <c r="A797" s="9" t="s">
        <v>19</v>
      </c>
      <c r="B797" s="10" t="s">
        <v>10</v>
      </c>
      <c r="C797" s="10">
        <v>58.465000000000003</v>
      </c>
      <c r="D797" s="10">
        <v>1988</v>
      </c>
    </row>
    <row r="798" spans="1:4" ht="19.95" customHeight="1" x14ac:dyDescent="0.25">
      <c r="A798" s="9" t="s">
        <v>20</v>
      </c>
      <c r="B798" s="10" t="s">
        <v>10</v>
      </c>
      <c r="C798" s="10">
        <v>67.397560975609807</v>
      </c>
      <c r="D798" s="10">
        <v>1988</v>
      </c>
    </row>
    <row r="799" spans="1:4" ht="19.95" customHeight="1" x14ac:dyDescent="0.25">
      <c r="A799" s="9" t="s">
        <v>21</v>
      </c>
      <c r="B799" s="10" t="s">
        <v>10</v>
      </c>
      <c r="C799" s="10">
        <v>47.189</v>
      </c>
      <c r="D799" s="10">
        <v>1988</v>
      </c>
    </row>
    <row r="800" spans="1:4" ht="19.95" customHeight="1" x14ac:dyDescent="0.25">
      <c r="A800" s="9" t="s">
        <v>22</v>
      </c>
      <c r="B800" s="10" t="s">
        <v>10</v>
      </c>
      <c r="C800" s="10">
        <v>50.176000000000002</v>
      </c>
      <c r="D800" s="10">
        <v>1988</v>
      </c>
    </row>
    <row r="801" spans="1:4" ht="19.95" customHeight="1" x14ac:dyDescent="0.25">
      <c r="A801" s="9" t="s">
        <v>23</v>
      </c>
      <c r="B801" s="10" t="s">
        <v>10</v>
      </c>
      <c r="C801" s="10">
        <v>46.414000000000001</v>
      </c>
      <c r="D801" s="10">
        <v>1988</v>
      </c>
    </row>
    <row r="802" spans="1:4" ht="19.95" customHeight="1" x14ac:dyDescent="0.25">
      <c r="A802" s="9" t="s">
        <v>24</v>
      </c>
      <c r="B802" s="10" t="s">
        <v>10</v>
      </c>
      <c r="C802" s="10">
        <v>44.838000000000001</v>
      </c>
      <c r="D802" s="10">
        <v>1988</v>
      </c>
    </row>
    <row r="803" spans="1:4" ht="19.95" customHeight="1" x14ac:dyDescent="0.25">
      <c r="A803" s="9" t="s">
        <v>25</v>
      </c>
      <c r="B803" s="10" t="s">
        <v>10</v>
      </c>
      <c r="C803" s="10">
        <v>67.44</v>
      </c>
      <c r="D803" s="10">
        <v>1988</v>
      </c>
    </row>
    <row r="804" spans="1:4" ht="19.95" customHeight="1" x14ac:dyDescent="0.25">
      <c r="A804" s="9" t="s">
        <v>26</v>
      </c>
      <c r="B804" s="10" t="s">
        <v>10</v>
      </c>
      <c r="C804" s="10">
        <v>42.326999999999998</v>
      </c>
      <c r="D804" s="10">
        <v>1988</v>
      </c>
    </row>
    <row r="805" spans="1:4" ht="19.95" customHeight="1" x14ac:dyDescent="0.25">
      <c r="A805" s="9" t="s">
        <v>28</v>
      </c>
      <c r="B805" s="10" t="s">
        <v>10</v>
      </c>
      <c r="C805" s="10">
        <v>58.018000000000001</v>
      </c>
      <c r="D805" s="10">
        <v>1988</v>
      </c>
    </row>
    <row r="806" spans="1:4" ht="19.95" customHeight="1" x14ac:dyDescent="0.25">
      <c r="A806" s="9" t="s">
        <v>29</v>
      </c>
      <c r="B806" s="10" t="s">
        <v>10</v>
      </c>
      <c r="C806" s="10">
        <v>52.561</v>
      </c>
      <c r="D806" s="10">
        <v>1988</v>
      </c>
    </row>
    <row r="807" spans="1:4" ht="19.95" customHeight="1" x14ac:dyDescent="0.25">
      <c r="A807" s="9" t="s">
        <v>30</v>
      </c>
      <c r="B807" s="10" t="s">
        <v>10</v>
      </c>
      <c r="C807" s="10">
        <v>62.637</v>
      </c>
      <c r="D807" s="10">
        <v>1988</v>
      </c>
    </row>
    <row r="808" spans="1:4" ht="19.95" customHeight="1" x14ac:dyDescent="0.25">
      <c r="A808" s="9" t="s">
        <v>31</v>
      </c>
      <c r="B808" s="10" t="s">
        <v>10</v>
      </c>
      <c r="C808" s="10">
        <v>42.530999999999999</v>
      </c>
      <c r="D808" s="10">
        <v>1988</v>
      </c>
    </row>
    <row r="809" spans="1:4" ht="19.95" customHeight="1" x14ac:dyDescent="0.25">
      <c r="A809" s="9" t="s">
        <v>32</v>
      </c>
      <c r="B809" s="10" t="s">
        <v>10</v>
      </c>
      <c r="C809" s="10">
        <v>43.264000000000003</v>
      </c>
      <c r="D809" s="10">
        <v>1988</v>
      </c>
    </row>
    <row r="810" spans="1:4" ht="19.95" customHeight="1" x14ac:dyDescent="0.25">
      <c r="A810" s="9" t="s">
        <v>33</v>
      </c>
      <c r="B810" s="10" t="s">
        <v>10</v>
      </c>
      <c r="C810" s="10">
        <v>61.47</v>
      </c>
      <c r="D810" s="10">
        <v>1988</v>
      </c>
    </row>
    <row r="811" spans="1:4" ht="19.95" customHeight="1" x14ac:dyDescent="0.25">
      <c r="A811" s="9" t="s">
        <v>34</v>
      </c>
      <c r="B811" s="10" t="s">
        <v>10</v>
      </c>
      <c r="C811" s="10">
        <v>69.209000000000003</v>
      </c>
      <c r="D811" s="10">
        <v>1988</v>
      </c>
    </row>
    <row r="812" spans="1:4" ht="19.95" customHeight="1" x14ac:dyDescent="0.25">
      <c r="A812" s="9" t="s">
        <v>35</v>
      </c>
      <c r="B812" s="10" t="s">
        <v>10</v>
      </c>
      <c r="C812" s="10">
        <v>63.723999999999997</v>
      </c>
      <c r="D812" s="10">
        <v>1988</v>
      </c>
    </row>
    <row r="813" spans="1:4" ht="19.95" customHeight="1" x14ac:dyDescent="0.25">
      <c r="A813" s="9" t="s">
        <v>36</v>
      </c>
      <c r="B813" s="10" t="s">
        <v>10</v>
      </c>
      <c r="C813" s="10">
        <v>50.651000000000003</v>
      </c>
      <c r="D813" s="10">
        <v>1988</v>
      </c>
    </row>
    <row r="814" spans="1:4" ht="19.95" customHeight="1" x14ac:dyDescent="0.25">
      <c r="A814" s="9" t="s">
        <v>37</v>
      </c>
      <c r="B814" s="10" t="s">
        <v>10</v>
      </c>
      <c r="C814" s="10">
        <v>46.548999999999999</v>
      </c>
      <c r="D814" s="10">
        <v>1988</v>
      </c>
    </row>
    <row r="815" spans="1:4" ht="19.95" customHeight="1" x14ac:dyDescent="0.25">
      <c r="A815" s="9" t="s">
        <v>38</v>
      </c>
      <c r="B815" s="10" t="s">
        <v>10</v>
      </c>
      <c r="C815" s="10">
        <v>46.378999999999998</v>
      </c>
      <c r="D815" s="10">
        <v>1988</v>
      </c>
    </row>
    <row r="816" spans="1:4" ht="19.95" customHeight="1" x14ac:dyDescent="0.25">
      <c r="A816" s="9" t="s">
        <v>39</v>
      </c>
      <c r="B816" s="10" t="s">
        <v>10</v>
      </c>
      <c r="C816" s="10">
        <v>59.793999999999997</v>
      </c>
      <c r="D816" s="10">
        <v>1988</v>
      </c>
    </row>
    <row r="817" spans="1:4" ht="19.95" customHeight="1" x14ac:dyDescent="0.25">
      <c r="A817" s="9" t="s">
        <v>9</v>
      </c>
      <c r="B817" s="10" t="s">
        <v>10</v>
      </c>
      <c r="C817" s="10">
        <v>48.378999999999998</v>
      </c>
      <c r="D817" s="10">
        <v>1989</v>
      </c>
    </row>
    <row r="818" spans="1:4" ht="19.95" customHeight="1" x14ac:dyDescent="0.25">
      <c r="A818" s="9" t="s">
        <v>12</v>
      </c>
      <c r="B818" s="10" t="s">
        <v>10</v>
      </c>
      <c r="C818" s="10">
        <v>52.49</v>
      </c>
      <c r="D818" s="10">
        <v>1989</v>
      </c>
    </row>
    <row r="819" spans="1:4" ht="19.95" customHeight="1" x14ac:dyDescent="0.25">
      <c r="A819" s="9" t="s">
        <v>13</v>
      </c>
      <c r="B819" s="10" t="s">
        <v>10</v>
      </c>
      <c r="C819" s="10">
        <v>46.835000000000001</v>
      </c>
      <c r="D819" s="10">
        <v>1989</v>
      </c>
    </row>
    <row r="820" spans="1:4" ht="19.95" customHeight="1" x14ac:dyDescent="0.25">
      <c r="A820" s="9" t="s">
        <v>15</v>
      </c>
      <c r="B820" s="10" t="s">
        <v>10</v>
      </c>
      <c r="C820" s="10">
        <v>56.154000000000003</v>
      </c>
      <c r="D820" s="10">
        <v>1989</v>
      </c>
    </row>
    <row r="821" spans="1:4" ht="19.95" customHeight="1" x14ac:dyDescent="0.25">
      <c r="A821" s="9" t="s">
        <v>16</v>
      </c>
      <c r="B821" s="10" t="s">
        <v>10</v>
      </c>
      <c r="C821" s="10">
        <v>56.488</v>
      </c>
      <c r="D821" s="10">
        <v>1989</v>
      </c>
    </row>
    <row r="822" spans="1:4" ht="19.95" customHeight="1" x14ac:dyDescent="0.25">
      <c r="A822" s="9" t="s">
        <v>1</v>
      </c>
      <c r="B822" s="10" t="s">
        <v>10</v>
      </c>
      <c r="C822" s="10">
        <v>46.667999999999999</v>
      </c>
      <c r="D822" s="10">
        <v>1989</v>
      </c>
    </row>
    <row r="823" spans="1:4" ht="19.95" customHeight="1" x14ac:dyDescent="0.25">
      <c r="A823" s="9" t="s">
        <v>17</v>
      </c>
      <c r="B823" s="10" t="s">
        <v>10</v>
      </c>
      <c r="C823" s="10">
        <v>49.207999999999998</v>
      </c>
      <c r="D823" s="10">
        <v>1989</v>
      </c>
    </row>
    <row r="824" spans="1:4" ht="19.95" customHeight="1" x14ac:dyDescent="0.25">
      <c r="A824" s="9" t="s">
        <v>18</v>
      </c>
      <c r="B824" s="10" t="s">
        <v>10</v>
      </c>
      <c r="C824" s="10">
        <v>54.253</v>
      </c>
      <c r="D824" s="10">
        <v>1989</v>
      </c>
    </row>
    <row r="825" spans="1:4" ht="19.95" customHeight="1" x14ac:dyDescent="0.25">
      <c r="A825" s="9" t="s">
        <v>19</v>
      </c>
      <c r="B825" s="10" t="s">
        <v>10</v>
      </c>
      <c r="C825" s="10">
        <v>58.05</v>
      </c>
      <c r="D825" s="10">
        <v>1989</v>
      </c>
    </row>
    <row r="826" spans="1:4" ht="19.95" customHeight="1" x14ac:dyDescent="0.25">
      <c r="A826" s="9" t="s">
        <v>20</v>
      </c>
      <c r="B826" s="10" t="s">
        <v>10</v>
      </c>
      <c r="C826" s="10">
        <v>67.548780487804905</v>
      </c>
      <c r="D826" s="10">
        <v>1989</v>
      </c>
    </row>
    <row r="827" spans="1:4" ht="19.95" customHeight="1" x14ac:dyDescent="0.25">
      <c r="A827" s="9" t="s">
        <v>21</v>
      </c>
      <c r="B827" s="10" t="s">
        <v>10</v>
      </c>
      <c r="C827" s="10">
        <v>47.137999999999998</v>
      </c>
      <c r="D827" s="10">
        <v>1989</v>
      </c>
    </row>
    <row r="828" spans="1:4" ht="19.95" customHeight="1" x14ac:dyDescent="0.25">
      <c r="A828" s="9" t="s">
        <v>22</v>
      </c>
      <c r="B828" s="10" t="s">
        <v>10</v>
      </c>
      <c r="C828" s="10">
        <v>50.53</v>
      </c>
      <c r="D828" s="10">
        <v>1989</v>
      </c>
    </row>
    <row r="829" spans="1:4" ht="19.95" customHeight="1" x14ac:dyDescent="0.25">
      <c r="A829" s="9" t="s">
        <v>23</v>
      </c>
      <c r="B829" s="10" t="s">
        <v>10</v>
      </c>
      <c r="C829" s="10">
        <v>46.503</v>
      </c>
      <c r="D829" s="10">
        <v>1989</v>
      </c>
    </row>
    <row r="830" spans="1:4" ht="19.95" customHeight="1" x14ac:dyDescent="0.25">
      <c r="A830" s="9" t="s">
        <v>24</v>
      </c>
      <c r="B830" s="10" t="s">
        <v>10</v>
      </c>
      <c r="C830" s="10">
        <v>45.323</v>
      </c>
      <c r="D830" s="10">
        <v>1989</v>
      </c>
    </row>
    <row r="831" spans="1:4" ht="19.95" customHeight="1" x14ac:dyDescent="0.25">
      <c r="A831" s="9" t="s">
        <v>25</v>
      </c>
      <c r="B831" s="10" t="s">
        <v>10</v>
      </c>
      <c r="C831" s="10">
        <v>67.605000000000004</v>
      </c>
      <c r="D831" s="10">
        <v>1989</v>
      </c>
    </row>
    <row r="832" spans="1:4" ht="19.95" customHeight="1" x14ac:dyDescent="0.25">
      <c r="A832" s="9" t="s">
        <v>26</v>
      </c>
      <c r="B832" s="10" t="s">
        <v>10</v>
      </c>
      <c r="C832" s="10">
        <v>42.6</v>
      </c>
      <c r="D832" s="10">
        <v>1989</v>
      </c>
    </row>
    <row r="833" spans="1:4" ht="19.95" customHeight="1" x14ac:dyDescent="0.25">
      <c r="A833" s="9" t="s">
        <v>28</v>
      </c>
      <c r="B833" s="10" t="s">
        <v>10</v>
      </c>
      <c r="C833" s="10">
        <v>58.383000000000003</v>
      </c>
      <c r="D833" s="10">
        <v>1989</v>
      </c>
    </row>
    <row r="834" spans="1:4" ht="19.95" customHeight="1" x14ac:dyDescent="0.25">
      <c r="A834" s="9" t="s">
        <v>29</v>
      </c>
      <c r="B834" s="10" t="s">
        <v>10</v>
      </c>
      <c r="C834" s="10">
        <v>53.402999999999999</v>
      </c>
      <c r="D834" s="10">
        <v>1989</v>
      </c>
    </row>
    <row r="835" spans="1:4" ht="19.95" customHeight="1" x14ac:dyDescent="0.25">
      <c r="A835" s="9" t="s">
        <v>30</v>
      </c>
      <c r="B835" s="10" t="s">
        <v>10</v>
      </c>
      <c r="C835" s="10">
        <v>63.396000000000001</v>
      </c>
      <c r="D835" s="10">
        <v>1989</v>
      </c>
    </row>
    <row r="836" spans="1:4" ht="19.95" customHeight="1" x14ac:dyDescent="0.25">
      <c r="A836" s="9" t="s">
        <v>31</v>
      </c>
      <c r="B836" s="10" t="s">
        <v>10</v>
      </c>
      <c r="C836" s="10">
        <v>43.015000000000001</v>
      </c>
      <c r="D836" s="10">
        <v>1989</v>
      </c>
    </row>
    <row r="837" spans="1:4" ht="19.95" customHeight="1" x14ac:dyDescent="0.25">
      <c r="A837" s="9" t="s">
        <v>32</v>
      </c>
      <c r="B837" s="10" t="s">
        <v>10</v>
      </c>
      <c r="C837" s="10">
        <v>38.781999999999996</v>
      </c>
      <c r="D837" s="10">
        <v>1989</v>
      </c>
    </row>
    <row r="838" spans="1:4" ht="19.95" customHeight="1" x14ac:dyDescent="0.25">
      <c r="A838" s="9" t="s">
        <v>33</v>
      </c>
      <c r="B838" s="10" t="s">
        <v>10</v>
      </c>
      <c r="C838" s="10">
        <v>61.640999999999998</v>
      </c>
      <c r="D838" s="10">
        <v>1989</v>
      </c>
    </row>
    <row r="839" spans="1:4" ht="19.95" customHeight="1" x14ac:dyDescent="0.25">
      <c r="A839" s="9" t="s">
        <v>34</v>
      </c>
      <c r="B839" s="10" t="s">
        <v>10</v>
      </c>
      <c r="C839" s="10">
        <v>69.350999999999999</v>
      </c>
      <c r="D839" s="10">
        <v>1989</v>
      </c>
    </row>
    <row r="840" spans="1:4" ht="19.95" customHeight="1" x14ac:dyDescent="0.25">
      <c r="A840" s="9" t="s">
        <v>35</v>
      </c>
      <c r="B840" s="10" t="s">
        <v>10</v>
      </c>
      <c r="C840" s="10">
        <v>63.454999999999998</v>
      </c>
      <c r="D840" s="10">
        <v>1989</v>
      </c>
    </row>
    <row r="841" spans="1:4" ht="19.95" customHeight="1" x14ac:dyDescent="0.25">
      <c r="A841" s="9" t="s">
        <v>36</v>
      </c>
      <c r="B841" s="10" t="s">
        <v>10</v>
      </c>
      <c r="C841" s="10">
        <v>50.447000000000003</v>
      </c>
      <c r="D841" s="10">
        <v>1989</v>
      </c>
    </row>
    <row r="842" spans="1:4" ht="19.95" customHeight="1" x14ac:dyDescent="0.25">
      <c r="A842" s="9" t="s">
        <v>37</v>
      </c>
      <c r="B842" s="10" t="s">
        <v>10</v>
      </c>
      <c r="C842" s="10">
        <v>46.012</v>
      </c>
      <c r="D842" s="10">
        <v>1989</v>
      </c>
    </row>
    <row r="843" spans="1:4" ht="19.95" customHeight="1" x14ac:dyDescent="0.25">
      <c r="A843" s="9" t="s">
        <v>38</v>
      </c>
      <c r="B843" s="10" t="s">
        <v>10</v>
      </c>
      <c r="C843" s="10">
        <v>45.658000000000001</v>
      </c>
      <c r="D843" s="10">
        <v>1989</v>
      </c>
    </row>
    <row r="844" spans="1:4" ht="19.95" customHeight="1" x14ac:dyDescent="0.25">
      <c r="A844" s="9" t="s">
        <v>39</v>
      </c>
      <c r="B844" s="10" t="s">
        <v>10</v>
      </c>
      <c r="C844" s="10">
        <v>58.970999999999997</v>
      </c>
      <c r="D844" s="10">
        <v>1989</v>
      </c>
    </row>
    <row r="845" spans="1:4" ht="19.95" customHeight="1" x14ac:dyDescent="0.25">
      <c r="A845" s="9" t="s">
        <v>9</v>
      </c>
      <c r="B845" s="10" t="s">
        <v>10</v>
      </c>
      <c r="C845" s="10">
        <v>48.052999999999997</v>
      </c>
      <c r="D845" s="10">
        <v>1990</v>
      </c>
    </row>
    <row r="846" spans="1:4" ht="19.95" customHeight="1" x14ac:dyDescent="0.25">
      <c r="A846" s="9" t="s">
        <v>12</v>
      </c>
      <c r="B846" s="10" t="s">
        <v>10</v>
      </c>
      <c r="C846" s="10">
        <v>52.209000000000003</v>
      </c>
      <c r="D846" s="10">
        <v>1990</v>
      </c>
    </row>
    <row r="847" spans="1:4" ht="19.95" customHeight="1" x14ac:dyDescent="0.25">
      <c r="A847" s="9" t="s">
        <v>13</v>
      </c>
      <c r="B847" s="10" t="s">
        <v>10</v>
      </c>
      <c r="C847" s="10">
        <v>46.951999999999998</v>
      </c>
      <c r="D847" s="10">
        <v>1990</v>
      </c>
    </row>
    <row r="848" spans="1:4" ht="19.95" customHeight="1" x14ac:dyDescent="0.25">
      <c r="A848" s="9" t="s">
        <v>15</v>
      </c>
      <c r="B848" s="10" t="s">
        <v>10</v>
      </c>
      <c r="C848" s="10">
        <v>56.677</v>
      </c>
      <c r="D848" s="10">
        <v>1990</v>
      </c>
    </row>
    <row r="849" spans="1:4" ht="19.95" customHeight="1" x14ac:dyDescent="0.25">
      <c r="A849" s="9" t="s">
        <v>16</v>
      </c>
      <c r="B849" s="10" t="s">
        <v>10</v>
      </c>
      <c r="C849" s="10">
        <v>56.677999999999997</v>
      </c>
      <c r="D849" s="10">
        <v>1990</v>
      </c>
    </row>
    <row r="850" spans="1:4" ht="19.95" customHeight="1" x14ac:dyDescent="0.25">
      <c r="A850" s="9" t="s">
        <v>1</v>
      </c>
      <c r="B850" s="10" t="s">
        <v>10</v>
      </c>
      <c r="C850" s="10">
        <v>47.1</v>
      </c>
      <c r="D850" s="10">
        <v>1990</v>
      </c>
    </row>
    <row r="851" spans="1:4" ht="19.95" customHeight="1" x14ac:dyDescent="0.25">
      <c r="A851" s="9" t="s">
        <v>17</v>
      </c>
      <c r="B851" s="10" t="s">
        <v>10</v>
      </c>
      <c r="C851" s="10">
        <v>49.948999999999998</v>
      </c>
      <c r="D851" s="10">
        <v>1990</v>
      </c>
    </row>
    <row r="852" spans="1:4" ht="19.95" customHeight="1" x14ac:dyDescent="0.25">
      <c r="A852" s="9" t="s">
        <v>18</v>
      </c>
      <c r="B852" s="10" t="s">
        <v>10</v>
      </c>
      <c r="C852" s="10">
        <v>54.609000000000002</v>
      </c>
      <c r="D852" s="10">
        <v>1990</v>
      </c>
    </row>
    <row r="853" spans="1:4" ht="19.95" customHeight="1" x14ac:dyDescent="0.25">
      <c r="A853" s="9" t="s">
        <v>19</v>
      </c>
      <c r="B853" s="10" t="s">
        <v>10</v>
      </c>
      <c r="C853" s="10">
        <v>57.536000000000001</v>
      </c>
      <c r="D853" s="10">
        <v>1990</v>
      </c>
    </row>
    <row r="854" spans="1:4" ht="19.95" customHeight="1" x14ac:dyDescent="0.25">
      <c r="A854" s="9" t="s">
        <v>20</v>
      </c>
      <c r="B854" s="10" t="s">
        <v>10</v>
      </c>
      <c r="C854" s="10">
        <v>67.748780487804893</v>
      </c>
      <c r="D854" s="10">
        <v>1990</v>
      </c>
    </row>
    <row r="855" spans="1:4" ht="19.95" customHeight="1" x14ac:dyDescent="0.25">
      <c r="A855" s="9" t="s">
        <v>21</v>
      </c>
      <c r="B855" s="10" t="s">
        <v>10</v>
      </c>
      <c r="C855" s="10">
        <v>47.183</v>
      </c>
      <c r="D855" s="10">
        <v>1990</v>
      </c>
    </row>
    <row r="856" spans="1:4" ht="19.95" customHeight="1" x14ac:dyDescent="0.25">
      <c r="A856" s="9" t="s">
        <v>22</v>
      </c>
      <c r="B856" s="10" t="s">
        <v>10</v>
      </c>
      <c r="C856" s="10">
        <v>51.003</v>
      </c>
      <c r="D856" s="10">
        <v>1990</v>
      </c>
    </row>
    <row r="857" spans="1:4" ht="19.95" customHeight="1" x14ac:dyDescent="0.25">
      <c r="A857" s="9" t="s">
        <v>23</v>
      </c>
      <c r="B857" s="10" t="s">
        <v>10</v>
      </c>
      <c r="C857" s="10">
        <v>46.576000000000001</v>
      </c>
      <c r="D857" s="10">
        <v>1990</v>
      </c>
    </row>
    <row r="858" spans="1:4" ht="19.95" customHeight="1" x14ac:dyDescent="0.25">
      <c r="A858" s="9" t="s">
        <v>24</v>
      </c>
      <c r="B858" s="10" t="s">
        <v>10</v>
      </c>
      <c r="C858" s="10">
        <v>45.746000000000002</v>
      </c>
      <c r="D858" s="10">
        <v>1990</v>
      </c>
    </row>
    <row r="859" spans="1:4" ht="19.95" customHeight="1" x14ac:dyDescent="0.25">
      <c r="A859" s="9" t="s">
        <v>25</v>
      </c>
      <c r="B859" s="10" t="s">
        <v>10</v>
      </c>
      <c r="C859" s="10">
        <v>67.643000000000001</v>
      </c>
      <c r="D859" s="10">
        <v>1990</v>
      </c>
    </row>
    <row r="860" spans="1:4" ht="19.95" customHeight="1" x14ac:dyDescent="0.25">
      <c r="A860" s="9" t="s">
        <v>26</v>
      </c>
      <c r="B860" s="10" t="s">
        <v>10</v>
      </c>
      <c r="C860" s="10">
        <v>42.914999999999999</v>
      </c>
      <c r="D860" s="10">
        <v>1990</v>
      </c>
    </row>
    <row r="861" spans="1:4" ht="19.95" customHeight="1" x14ac:dyDescent="0.25">
      <c r="A861" s="9" t="s">
        <v>28</v>
      </c>
      <c r="B861" s="10" t="s">
        <v>10</v>
      </c>
      <c r="C861" s="10">
        <v>58.743000000000002</v>
      </c>
      <c r="D861" s="10">
        <v>1990</v>
      </c>
    </row>
    <row r="862" spans="1:4" ht="19.95" customHeight="1" x14ac:dyDescent="0.25">
      <c r="A862" s="9" t="s">
        <v>29</v>
      </c>
      <c r="B862" s="10" t="s">
        <v>10</v>
      </c>
      <c r="C862" s="10">
        <v>54.26</v>
      </c>
      <c r="D862" s="10">
        <v>1990</v>
      </c>
    </row>
    <row r="863" spans="1:4" ht="19.95" customHeight="1" x14ac:dyDescent="0.25">
      <c r="A863" s="9" t="s">
        <v>30</v>
      </c>
      <c r="B863" s="10" t="s">
        <v>10</v>
      </c>
      <c r="C863" s="10">
        <v>64.168999999999997</v>
      </c>
      <c r="D863" s="10">
        <v>1990</v>
      </c>
    </row>
    <row r="864" spans="1:4" ht="19.95" customHeight="1" x14ac:dyDescent="0.25">
      <c r="A864" s="9" t="s">
        <v>31</v>
      </c>
      <c r="B864" s="10" t="s">
        <v>10</v>
      </c>
      <c r="C864" s="10">
        <v>43.54</v>
      </c>
      <c r="D864" s="10">
        <v>1990</v>
      </c>
    </row>
    <row r="865" spans="1:4" ht="19.95" customHeight="1" x14ac:dyDescent="0.25">
      <c r="A865" s="9" t="s">
        <v>32</v>
      </c>
      <c r="B865" s="10" t="s">
        <v>10</v>
      </c>
      <c r="C865" s="10">
        <v>34.216999999999999</v>
      </c>
      <c r="D865" s="10">
        <v>1990</v>
      </c>
    </row>
    <row r="866" spans="1:4" ht="19.95" customHeight="1" x14ac:dyDescent="0.25">
      <c r="A866" s="9" t="s">
        <v>33</v>
      </c>
      <c r="B866" s="10" t="s">
        <v>10</v>
      </c>
      <c r="C866" s="10">
        <v>61.808</v>
      </c>
      <c r="D866" s="10">
        <v>1990</v>
      </c>
    </row>
    <row r="867" spans="1:4" ht="19.95" customHeight="1" x14ac:dyDescent="0.25">
      <c r="A867" s="9" t="s">
        <v>34</v>
      </c>
      <c r="B867" s="10" t="s">
        <v>10</v>
      </c>
      <c r="C867" s="10">
        <v>69.510999999999996</v>
      </c>
      <c r="D867" s="10">
        <v>1990</v>
      </c>
    </row>
    <row r="868" spans="1:4" ht="19.95" customHeight="1" x14ac:dyDescent="0.25">
      <c r="A868" s="9" t="s">
        <v>35</v>
      </c>
      <c r="B868" s="10" t="s">
        <v>10</v>
      </c>
      <c r="C868" s="10">
        <v>63.149000000000001</v>
      </c>
      <c r="D868" s="10">
        <v>1990</v>
      </c>
    </row>
    <row r="869" spans="1:4" ht="19.95" customHeight="1" x14ac:dyDescent="0.25">
      <c r="A869" s="9" t="s">
        <v>36</v>
      </c>
      <c r="B869" s="10" t="s">
        <v>10</v>
      </c>
      <c r="C869" s="10">
        <v>50.206000000000003</v>
      </c>
      <c r="D869" s="10">
        <v>1990</v>
      </c>
    </row>
    <row r="870" spans="1:4" ht="19.95" customHeight="1" x14ac:dyDescent="0.25">
      <c r="A870" s="9" t="s">
        <v>37</v>
      </c>
      <c r="B870" s="10" t="s">
        <v>10</v>
      </c>
      <c r="C870" s="10">
        <v>45.509</v>
      </c>
      <c r="D870" s="10">
        <v>1990</v>
      </c>
    </row>
    <row r="871" spans="1:4" ht="19.95" customHeight="1" x14ac:dyDescent="0.25">
      <c r="A871" s="9" t="s">
        <v>38</v>
      </c>
      <c r="B871" s="10" t="s">
        <v>10</v>
      </c>
      <c r="C871" s="10">
        <v>45.003</v>
      </c>
      <c r="D871" s="10">
        <v>1990</v>
      </c>
    </row>
    <row r="872" spans="1:4" ht="19.95" customHeight="1" x14ac:dyDescent="0.25">
      <c r="A872" s="9" t="s">
        <v>39</v>
      </c>
      <c r="B872" s="10" t="s">
        <v>10</v>
      </c>
      <c r="C872" s="10">
        <v>57.944000000000003</v>
      </c>
      <c r="D872" s="10">
        <v>1990</v>
      </c>
    </row>
    <row r="873" spans="1:4" ht="19.95" customHeight="1" x14ac:dyDescent="0.25">
      <c r="A873" s="9" t="s">
        <v>9</v>
      </c>
      <c r="B873" s="10" t="s">
        <v>10</v>
      </c>
      <c r="C873" s="10">
        <v>47.816000000000003</v>
      </c>
      <c r="D873" s="10">
        <v>1991</v>
      </c>
    </row>
    <row r="874" spans="1:4" ht="19.95" customHeight="1" x14ac:dyDescent="0.25">
      <c r="A874" s="9" t="s">
        <v>12</v>
      </c>
      <c r="B874" s="10" t="s">
        <v>10</v>
      </c>
      <c r="C874" s="10">
        <v>51.835000000000001</v>
      </c>
      <c r="D874" s="10">
        <v>1991</v>
      </c>
    </row>
    <row r="875" spans="1:4" ht="19.95" customHeight="1" x14ac:dyDescent="0.25">
      <c r="A875" s="9" t="s">
        <v>13</v>
      </c>
      <c r="B875" s="10" t="s">
        <v>10</v>
      </c>
      <c r="C875" s="10">
        <v>47.052999999999997</v>
      </c>
      <c r="D875" s="10">
        <v>1991</v>
      </c>
    </row>
    <row r="876" spans="1:4" ht="19.95" customHeight="1" x14ac:dyDescent="0.25">
      <c r="A876" s="9" t="s">
        <v>15</v>
      </c>
      <c r="B876" s="10" t="s">
        <v>10</v>
      </c>
      <c r="C876" s="10">
        <v>57.167999999999999</v>
      </c>
      <c r="D876" s="10">
        <v>1991</v>
      </c>
    </row>
    <row r="877" spans="1:4" ht="19.95" customHeight="1" x14ac:dyDescent="0.25">
      <c r="A877" s="9" t="s">
        <v>16</v>
      </c>
      <c r="B877" s="10" t="s">
        <v>10</v>
      </c>
      <c r="C877" s="10">
        <v>56.831000000000003</v>
      </c>
      <c r="D877" s="10">
        <v>1991</v>
      </c>
    </row>
    <row r="878" spans="1:4" ht="19.95" customHeight="1" x14ac:dyDescent="0.25">
      <c r="A878" s="9" t="s">
        <v>1</v>
      </c>
      <c r="B878" s="10" t="s">
        <v>10</v>
      </c>
      <c r="C878" s="10">
        <v>47.505000000000003</v>
      </c>
      <c r="D878" s="10">
        <v>1991</v>
      </c>
    </row>
    <row r="879" spans="1:4" ht="19.95" customHeight="1" x14ac:dyDescent="0.25">
      <c r="A879" s="9" t="s">
        <v>17</v>
      </c>
      <c r="B879" s="10" t="s">
        <v>10</v>
      </c>
      <c r="C879" s="10">
        <v>50.557000000000002</v>
      </c>
      <c r="D879" s="10">
        <v>1991</v>
      </c>
    </row>
    <row r="880" spans="1:4" ht="19.95" customHeight="1" x14ac:dyDescent="0.25">
      <c r="A880" s="9" t="s">
        <v>18</v>
      </c>
      <c r="B880" s="10" t="s">
        <v>10</v>
      </c>
      <c r="C880" s="10">
        <v>54.954000000000001</v>
      </c>
      <c r="D880" s="10">
        <v>1991</v>
      </c>
    </row>
    <row r="881" spans="1:4" ht="19.95" customHeight="1" x14ac:dyDescent="0.25">
      <c r="A881" s="9" t="s">
        <v>19</v>
      </c>
      <c r="B881" s="10" t="s">
        <v>10</v>
      </c>
      <c r="C881" s="10">
        <v>56.917999999999999</v>
      </c>
      <c r="D881" s="10">
        <v>1991</v>
      </c>
    </row>
    <row r="882" spans="1:4" ht="19.95" customHeight="1" x14ac:dyDescent="0.25">
      <c r="A882" s="9" t="s">
        <v>20</v>
      </c>
      <c r="B882" s="10" t="s">
        <v>10</v>
      </c>
      <c r="C882" s="10">
        <v>67.948780487804896</v>
      </c>
      <c r="D882" s="10">
        <v>1991</v>
      </c>
    </row>
    <row r="883" spans="1:4" ht="19.95" customHeight="1" x14ac:dyDescent="0.25">
      <c r="A883" s="9" t="s">
        <v>21</v>
      </c>
      <c r="B883" s="10" t="s">
        <v>10</v>
      </c>
      <c r="C883" s="10">
        <v>47.405999999999999</v>
      </c>
      <c r="D883" s="10">
        <v>1991</v>
      </c>
    </row>
    <row r="884" spans="1:4" ht="19.95" customHeight="1" x14ac:dyDescent="0.25">
      <c r="A884" s="9" t="s">
        <v>22</v>
      </c>
      <c r="B884" s="10" t="s">
        <v>10</v>
      </c>
      <c r="C884" s="10">
        <v>51.594999999999999</v>
      </c>
      <c r="D884" s="10">
        <v>1991</v>
      </c>
    </row>
    <row r="885" spans="1:4" ht="19.95" customHeight="1" x14ac:dyDescent="0.25">
      <c r="A885" s="9" t="s">
        <v>23</v>
      </c>
      <c r="B885" s="10" t="s">
        <v>10</v>
      </c>
      <c r="C885" s="10">
        <v>46.627000000000002</v>
      </c>
      <c r="D885" s="10">
        <v>1991</v>
      </c>
    </row>
    <row r="886" spans="1:4" ht="19.95" customHeight="1" x14ac:dyDescent="0.25">
      <c r="A886" s="9" t="s">
        <v>24</v>
      </c>
      <c r="B886" s="10" t="s">
        <v>10</v>
      </c>
      <c r="C886" s="10">
        <v>46.076000000000001</v>
      </c>
      <c r="D886" s="10">
        <v>1991</v>
      </c>
    </row>
    <row r="887" spans="1:4" ht="19.95" customHeight="1" x14ac:dyDescent="0.25">
      <c r="A887" s="9" t="s">
        <v>25</v>
      </c>
      <c r="B887" s="10" t="s">
        <v>10</v>
      </c>
      <c r="C887" s="10">
        <v>67.563000000000002</v>
      </c>
      <c r="D887" s="10">
        <v>1991</v>
      </c>
    </row>
    <row r="888" spans="1:4" ht="19.95" customHeight="1" x14ac:dyDescent="0.25">
      <c r="A888" s="9" t="s">
        <v>26</v>
      </c>
      <c r="B888" s="10" t="s">
        <v>10</v>
      </c>
      <c r="C888" s="10">
        <v>43.292999999999999</v>
      </c>
      <c r="D888" s="10">
        <v>1991</v>
      </c>
    </row>
    <row r="889" spans="1:4" ht="19.95" customHeight="1" x14ac:dyDescent="0.25">
      <c r="A889" s="9" t="s">
        <v>28</v>
      </c>
      <c r="B889" s="10" t="s">
        <v>10</v>
      </c>
      <c r="C889" s="10">
        <v>59.098999999999997</v>
      </c>
      <c r="D889" s="10">
        <v>1991</v>
      </c>
    </row>
    <row r="890" spans="1:4" ht="19.95" customHeight="1" x14ac:dyDescent="0.25">
      <c r="A890" s="9" t="s">
        <v>29</v>
      </c>
      <c r="B890" s="10" t="s">
        <v>10</v>
      </c>
      <c r="C890" s="10">
        <v>55.125</v>
      </c>
      <c r="D890" s="10">
        <v>1991</v>
      </c>
    </row>
    <row r="891" spans="1:4" ht="19.95" customHeight="1" x14ac:dyDescent="0.25">
      <c r="A891" s="9" t="s">
        <v>30</v>
      </c>
      <c r="B891" s="10" t="s">
        <v>10</v>
      </c>
      <c r="C891" s="10">
        <v>64.927000000000007</v>
      </c>
      <c r="D891" s="10">
        <v>1991</v>
      </c>
    </row>
    <row r="892" spans="1:4" ht="19.95" customHeight="1" x14ac:dyDescent="0.25">
      <c r="A892" s="9" t="s">
        <v>31</v>
      </c>
      <c r="B892" s="10" t="s">
        <v>10</v>
      </c>
      <c r="C892" s="10">
        <v>44.107999999999997</v>
      </c>
      <c r="D892" s="10">
        <v>1991</v>
      </c>
    </row>
    <row r="893" spans="1:4" ht="19.95" customHeight="1" x14ac:dyDescent="0.25">
      <c r="A893" s="9" t="s">
        <v>32</v>
      </c>
      <c r="B893" s="10" t="s">
        <v>10</v>
      </c>
      <c r="C893" s="10">
        <v>30.434000000000001</v>
      </c>
      <c r="D893" s="10">
        <v>1991</v>
      </c>
    </row>
    <row r="894" spans="1:4" ht="19.95" customHeight="1" x14ac:dyDescent="0.25">
      <c r="A894" s="9" t="s">
        <v>33</v>
      </c>
      <c r="B894" s="10" t="s">
        <v>10</v>
      </c>
      <c r="C894" s="10">
        <v>61.972000000000001</v>
      </c>
      <c r="D894" s="10">
        <v>1991</v>
      </c>
    </row>
    <row r="895" spans="1:4" ht="19.95" customHeight="1" x14ac:dyDescent="0.25">
      <c r="A895" s="9" t="s">
        <v>34</v>
      </c>
      <c r="B895" s="10" t="s">
        <v>10</v>
      </c>
      <c r="C895" s="10">
        <v>69.628</v>
      </c>
      <c r="D895" s="10">
        <v>1991</v>
      </c>
    </row>
    <row r="896" spans="1:4" ht="19.95" customHeight="1" x14ac:dyDescent="0.25">
      <c r="A896" s="9" t="s">
        <v>35</v>
      </c>
      <c r="B896" s="10" t="s">
        <v>10</v>
      </c>
      <c r="C896" s="10">
        <v>62.88</v>
      </c>
      <c r="D896" s="10">
        <v>1991</v>
      </c>
    </row>
    <row r="897" spans="1:4" ht="19.95" customHeight="1" x14ac:dyDescent="0.25">
      <c r="A897" s="9" t="s">
        <v>36</v>
      </c>
      <c r="B897" s="10" t="s">
        <v>10</v>
      </c>
      <c r="C897" s="10">
        <v>49.953000000000003</v>
      </c>
      <c r="D897" s="10">
        <v>1991</v>
      </c>
    </row>
    <row r="898" spans="1:4" ht="19.95" customHeight="1" x14ac:dyDescent="0.25">
      <c r="A898" s="9" t="s">
        <v>37</v>
      </c>
      <c r="B898" s="10" t="s">
        <v>10</v>
      </c>
      <c r="C898" s="10">
        <v>45.058</v>
      </c>
      <c r="D898" s="10">
        <v>1991</v>
      </c>
    </row>
    <row r="899" spans="1:4" ht="19.95" customHeight="1" x14ac:dyDescent="0.25">
      <c r="A899" s="9" t="s">
        <v>38</v>
      </c>
      <c r="B899" s="10" t="s">
        <v>10</v>
      </c>
      <c r="C899" s="10">
        <v>44.430999999999997</v>
      </c>
      <c r="D899" s="10">
        <v>1991</v>
      </c>
    </row>
    <row r="900" spans="1:4" ht="19.95" customHeight="1" x14ac:dyDescent="0.25">
      <c r="A900" s="9" t="s">
        <v>39</v>
      </c>
      <c r="B900" s="10" t="s">
        <v>10</v>
      </c>
      <c r="C900" s="10">
        <v>56.72</v>
      </c>
      <c r="D900" s="10">
        <v>1991</v>
      </c>
    </row>
    <row r="901" spans="1:4" ht="19.95" customHeight="1" x14ac:dyDescent="0.25">
      <c r="A901" s="9" t="s">
        <v>9</v>
      </c>
      <c r="B901" s="10" t="s">
        <v>10</v>
      </c>
      <c r="C901" s="10">
        <v>47.752000000000002</v>
      </c>
      <c r="D901" s="10">
        <v>1992</v>
      </c>
    </row>
    <row r="902" spans="1:4" ht="19.95" customHeight="1" x14ac:dyDescent="0.25">
      <c r="A902" s="9" t="s">
        <v>12</v>
      </c>
      <c r="B902" s="10" t="s">
        <v>10</v>
      </c>
      <c r="C902" s="10">
        <v>51.39</v>
      </c>
      <c r="D902" s="10">
        <v>1992</v>
      </c>
    </row>
    <row r="903" spans="1:4" ht="19.95" customHeight="1" x14ac:dyDescent="0.25">
      <c r="A903" s="9" t="s">
        <v>13</v>
      </c>
      <c r="B903" s="10" t="s">
        <v>10</v>
      </c>
      <c r="C903" s="10">
        <v>47.148000000000003</v>
      </c>
      <c r="D903" s="10">
        <v>1992</v>
      </c>
    </row>
    <row r="904" spans="1:4" ht="19.95" customHeight="1" x14ac:dyDescent="0.25">
      <c r="A904" s="9" t="s">
        <v>15</v>
      </c>
      <c r="B904" s="10" t="s">
        <v>10</v>
      </c>
      <c r="C904" s="10">
        <v>57.622999999999998</v>
      </c>
      <c r="D904" s="10">
        <v>1992</v>
      </c>
    </row>
    <row r="905" spans="1:4" ht="19.95" customHeight="1" x14ac:dyDescent="0.25">
      <c r="A905" s="9" t="s">
        <v>16</v>
      </c>
      <c r="B905" s="10" t="s">
        <v>10</v>
      </c>
      <c r="C905" s="10">
        <v>56.942999999999998</v>
      </c>
      <c r="D905" s="10">
        <v>1992</v>
      </c>
    </row>
    <row r="906" spans="1:4" ht="19.95" customHeight="1" x14ac:dyDescent="0.25">
      <c r="A906" s="9" t="s">
        <v>1</v>
      </c>
      <c r="B906" s="10" t="s">
        <v>10</v>
      </c>
      <c r="C906" s="10">
        <v>47.911999999999999</v>
      </c>
      <c r="D906" s="10">
        <v>1992</v>
      </c>
    </row>
    <row r="907" spans="1:4" ht="19.95" customHeight="1" x14ac:dyDescent="0.25">
      <c r="A907" s="9" t="s">
        <v>17</v>
      </c>
      <c r="B907" s="10" t="s">
        <v>10</v>
      </c>
      <c r="C907" s="10">
        <v>51.031999999999996</v>
      </c>
      <c r="D907" s="10">
        <v>1992</v>
      </c>
    </row>
    <row r="908" spans="1:4" ht="19.95" customHeight="1" x14ac:dyDescent="0.25">
      <c r="A908" s="9" t="s">
        <v>18</v>
      </c>
      <c r="B908" s="10" t="s">
        <v>10</v>
      </c>
      <c r="C908" s="10">
        <v>55.295999999999999</v>
      </c>
      <c r="D908" s="10">
        <v>1992</v>
      </c>
    </row>
    <row r="909" spans="1:4" ht="19.95" customHeight="1" x14ac:dyDescent="0.25">
      <c r="A909" s="9" t="s">
        <v>19</v>
      </c>
      <c r="B909" s="10" t="s">
        <v>10</v>
      </c>
      <c r="C909" s="10">
        <v>56.212000000000003</v>
      </c>
      <c r="D909" s="10">
        <v>1992</v>
      </c>
    </row>
    <row r="910" spans="1:4" ht="19.95" customHeight="1" x14ac:dyDescent="0.25">
      <c r="A910" s="9" t="s">
        <v>20</v>
      </c>
      <c r="B910" s="10" t="s">
        <v>10</v>
      </c>
      <c r="C910" s="10">
        <v>68.099999999999994</v>
      </c>
      <c r="D910" s="10">
        <v>1992</v>
      </c>
    </row>
    <row r="911" spans="1:4" ht="19.95" customHeight="1" x14ac:dyDescent="0.25">
      <c r="A911" s="9" t="s">
        <v>21</v>
      </c>
      <c r="B911" s="10" t="s">
        <v>10</v>
      </c>
      <c r="C911" s="10">
        <v>47.838999999999999</v>
      </c>
      <c r="D911" s="10">
        <v>1992</v>
      </c>
    </row>
    <row r="912" spans="1:4" ht="19.95" customHeight="1" x14ac:dyDescent="0.25">
      <c r="A912" s="9" t="s">
        <v>22</v>
      </c>
      <c r="B912" s="10" t="s">
        <v>10</v>
      </c>
      <c r="C912" s="10">
        <v>52.277999999999999</v>
      </c>
      <c r="D912" s="10">
        <v>1992</v>
      </c>
    </row>
    <row r="913" spans="1:4" ht="19.95" customHeight="1" x14ac:dyDescent="0.25">
      <c r="A913" s="9" t="s">
        <v>23</v>
      </c>
      <c r="B913" s="10" t="s">
        <v>10</v>
      </c>
      <c r="C913" s="10">
        <v>46.65</v>
      </c>
      <c r="D913" s="10">
        <v>1992</v>
      </c>
    </row>
    <row r="914" spans="1:4" ht="19.95" customHeight="1" x14ac:dyDescent="0.25">
      <c r="A914" s="9" t="s">
        <v>24</v>
      </c>
      <c r="B914" s="10" t="s">
        <v>10</v>
      </c>
      <c r="C914" s="10">
        <v>46.305</v>
      </c>
      <c r="D914" s="10">
        <v>1992</v>
      </c>
    </row>
    <row r="915" spans="1:4" ht="19.95" customHeight="1" x14ac:dyDescent="0.25">
      <c r="A915" s="9" t="s">
        <v>25</v>
      </c>
      <c r="B915" s="10" t="s">
        <v>10</v>
      </c>
      <c r="C915" s="10">
        <v>67.408000000000001</v>
      </c>
      <c r="D915" s="10">
        <v>1992</v>
      </c>
    </row>
    <row r="916" spans="1:4" ht="19.95" customHeight="1" x14ac:dyDescent="0.25">
      <c r="A916" s="9" t="s">
        <v>26</v>
      </c>
      <c r="B916" s="10" t="s">
        <v>10</v>
      </c>
      <c r="C916" s="10">
        <v>43.744999999999997</v>
      </c>
      <c r="D916" s="10">
        <v>1992</v>
      </c>
    </row>
    <row r="917" spans="1:4" ht="19.95" customHeight="1" x14ac:dyDescent="0.25">
      <c r="A917" s="9" t="s">
        <v>28</v>
      </c>
      <c r="B917" s="10" t="s">
        <v>10</v>
      </c>
      <c r="C917" s="10">
        <v>59.448</v>
      </c>
      <c r="D917" s="10">
        <v>1992</v>
      </c>
    </row>
    <row r="918" spans="1:4" ht="19.95" customHeight="1" x14ac:dyDescent="0.25">
      <c r="A918" s="9" t="s">
        <v>29</v>
      </c>
      <c r="B918" s="10" t="s">
        <v>10</v>
      </c>
      <c r="C918" s="10">
        <v>55.991999999999997</v>
      </c>
      <c r="D918" s="10">
        <v>1992</v>
      </c>
    </row>
    <row r="919" spans="1:4" ht="19.95" customHeight="1" x14ac:dyDescent="0.25">
      <c r="A919" s="9" t="s">
        <v>30</v>
      </c>
      <c r="B919" s="10" t="s">
        <v>10</v>
      </c>
      <c r="C919" s="10">
        <v>65.641999999999996</v>
      </c>
      <c r="D919" s="10">
        <v>1992</v>
      </c>
    </row>
    <row r="920" spans="1:4" ht="19.95" customHeight="1" x14ac:dyDescent="0.25">
      <c r="A920" s="9" t="s">
        <v>31</v>
      </c>
      <c r="B920" s="10" t="s">
        <v>10</v>
      </c>
      <c r="C920" s="10">
        <v>44.710999999999999</v>
      </c>
      <c r="D920" s="10">
        <v>1992</v>
      </c>
    </row>
    <row r="921" spans="1:4" ht="19.95" customHeight="1" x14ac:dyDescent="0.25">
      <c r="A921" s="9" t="s">
        <v>32</v>
      </c>
      <c r="B921" s="10" t="s">
        <v>10</v>
      </c>
      <c r="C921" s="10">
        <v>28.102</v>
      </c>
      <c r="D921" s="10">
        <v>1992</v>
      </c>
    </row>
    <row r="922" spans="1:4" ht="19.95" customHeight="1" x14ac:dyDescent="0.25">
      <c r="A922" s="9" t="s">
        <v>33</v>
      </c>
      <c r="B922" s="10" t="s">
        <v>10</v>
      </c>
      <c r="C922" s="10">
        <v>62.133000000000003</v>
      </c>
      <c r="D922" s="10">
        <v>1992</v>
      </c>
    </row>
    <row r="923" spans="1:4" ht="19.95" customHeight="1" x14ac:dyDescent="0.25">
      <c r="A923" s="9" t="s">
        <v>34</v>
      </c>
      <c r="B923" s="10" t="s">
        <v>10</v>
      </c>
      <c r="C923" s="10">
        <v>69.66</v>
      </c>
      <c r="D923" s="10">
        <v>1992</v>
      </c>
    </row>
    <row r="924" spans="1:4" ht="19.95" customHeight="1" x14ac:dyDescent="0.25">
      <c r="A924" s="9" t="s">
        <v>35</v>
      </c>
      <c r="B924" s="10" t="s">
        <v>10</v>
      </c>
      <c r="C924" s="10">
        <v>62.719000000000001</v>
      </c>
      <c r="D924" s="10">
        <v>1992</v>
      </c>
    </row>
    <row r="925" spans="1:4" ht="19.95" customHeight="1" x14ac:dyDescent="0.25">
      <c r="A925" s="9" t="s">
        <v>36</v>
      </c>
      <c r="B925" s="10" t="s">
        <v>10</v>
      </c>
      <c r="C925" s="10">
        <v>49.719000000000001</v>
      </c>
      <c r="D925" s="10">
        <v>1992</v>
      </c>
    </row>
    <row r="926" spans="1:4" ht="19.95" customHeight="1" x14ac:dyDescent="0.25">
      <c r="A926" s="9" t="s">
        <v>37</v>
      </c>
      <c r="B926" s="10" t="s">
        <v>10</v>
      </c>
      <c r="C926" s="10">
        <v>44.676000000000002</v>
      </c>
      <c r="D926" s="10">
        <v>1992</v>
      </c>
    </row>
    <row r="927" spans="1:4" ht="19.95" customHeight="1" x14ac:dyDescent="0.25">
      <c r="A927" s="9" t="s">
        <v>38</v>
      </c>
      <c r="B927" s="10" t="s">
        <v>10</v>
      </c>
      <c r="C927" s="10">
        <v>43.948</v>
      </c>
      <c r="D927" s="10">
        <v>1992</v>
      </c>
    </row>
    <row r="928" spans="1:4" ht="19.95" customHeight="1" x14ac:dyDescent="0.25">
      <c r="A928" s="9" t="s">
        <v>39</v>
      </c>
      <c r="B928" s="10" t="s">
        <v>10</v>
      </c>
      <c r="C928" s="10">
        <v>55.337000000000003</v>
      </c>
      <c r="D928" s="10">
        <v>1992</v>
      </c>
    </row>
    <row r="929" spans="1:4" ht="19.95" customHeight="1" x14ac:dyDescent="0.25">
      <c r="A929" s="9" t="s">
        <v>9</v>
      </c>
      <c r="B929" s="10" t="s">
        <v>10</v>
      </c>
      <c r="C929" s="10">
        <v>47.911000000000001</v>
      </c>
      <c r="D929" s="10">
        <v>1993</v>
      </c>
    </row>
    <row r="930" spans="1:4" ht="19.95" customHeight="1" x14ac:dyDescent="0.25">
      <c r="A930" s="9" t="s">
        <v>12</v>
      </c>
      <c r="B930" s="10" t="s">
        <v>10</v>
      </c>
      <c r="C930" s="10">
        <v>50.91</v>
      </c>
      <c r="D930" s="10">
        <v>1993</v>
      </c>
    </row>
    <row r="931" spans="1:4" ht="19.95" customHeight="1" x14ac:dyDescent="0.25">
      <c r="A931" s="9" t="s">
        <v>13</v>
      </c>
      <c r="B931" s="10" t="s">
        <v>10</v>
      </c>
      <c r="C931" s="10">
        <v>47.243000000000002</v>
      </c>
      <c r="D931" s="10">
        <v>1993</v>
      </c>
    </row>
    <row r="932" spans="1:4" ht="19.95" customHeight="1" x14ac:dyDescent="0.25">
      <c r="A932" s="9" t="s">
        <v>15</v>
      </c>
      <c r="B932" s="10" t="s">
        <v>10</v>
      </c>
      <c r="C932" s="10">
        <v>58.037999999999997</v>
      </c>
      <c r="D932" s="10">
        <v>1993</v>
      </c>
    </row>
    <row r="933" spans="1:4" ht="19.95" customHeight="1" x14ac:dyDescent="0.25">
      <c r="A933" s="9" t="s">
        <v>16</v>
      </c>
      <c r="B933" s="10" t="s">
        <v>10</v>
      </c>
      <c r="C933" s="10">
        <v>57.017000000000003</v>
      </c>
      <c r="D933" s="10">
        <v>1993</v>
      </c>
    </row>
    <row r="934" spans="1:4" ht="19.95" customHeight="1" x14ac:dyDescent="0.25">
      <c r="A934" s="9" t="s">
        <v>1</v>
      </c>
      <c r="B934" s="10" t="s">
        <v>10</v>
      </c>
      <c r="C934" s="10">
        <v>48.345999999999997</v>
      </c>
      <c r="D934" s="10">
        <v>1993</v>
      </c>
    </row>
    <row r="935" spans="1:4" ht="19.95" customHeight="1" x14ac:dyDescent="0.25">
      <c r="A935" s="9" t="s">
        <v>17</v>
      </c>
      <c r="B935" s="10" t="s">
        <v>10</v>
      </c>
      <c r="C935" s="10">
        <v>51.381</v>
      </c>
      <c r="D935" s="10">
        <v>1993</v>
      </c>
    </row>
    <row r="936" spans="1:4" ht="19.95" customHeight="1" x14ac:dyDescent="0.25">
      <c r="A936" s="9" t="s">
        <v>18</v>
      </c>
      <c r="B936" s="10" t="s">
        <v>10</v>
      </c>
      <c r="C936" s="10">
        <v>55.639000000000003</v>
      </c>
      <c r="D936" s="10">
        <v>1993</v>
      </c>
    </row>
    <row r="937" spans="1:4" ht="19.95" customHeight="1" x14ac:dyDescent="0.25">
      <c r="A937" s="9" t="s">
        <v>19</v>
      </c>
      <c r="B937" s="10" t="s">
        <v>10</v>
      </c>
      <c r="C937" s="10">
        <v>55.448999999999998</v>
      </c>
      <c r="D937" s="10">
        <v>1993</v>
      </c>
    </row>
    <row r="938" spans="1:4" ht="19.95" customHeight="1" x14ac:dyDescent="0.25">
      <c r="A938" s="9" t="s">
        <v>20</v>
      </c>
      <c r="B938" s="10" t="s">
        <v>10</v>
      </c>
      <c r="C938" s="10">
        <v>68.248780487804893</v>
      </c>
      <c r="D938" s="10">
        <v>1993</v>
      </c>
    </row>
    <row r="939" spans="1:4" ht="19.95" customHeight="1" x14ac:dyDescent="0.25">
      <c r="A939" s="9" t="s">
        <v>21</v>
      </c>
      <c r="B939" s="10" t="s">
        <v>10</v>
      </c>
      <c r="C939" s="10">
        <v>48.475000000000001</v>
      </c>
      <c r="D939" s="10">
        <v>1993</v>
      </c>
    </row>
    <row r="940" spans="1:4" ht="19.95" customHeight="1" x14ac:dyDescent="0.25">
      <c r="A940" s="9" t="s">
        <v>22</v>
      </c>
      <c r="B940" s="10" t="s">
        <v>10</v>
      </c>
      <c r="C940" s="10">
        <v>53.021999999999998</v>
      </c>
      <c r="D940" s="10">
        <v>1993</v>
      </c>
    </row>
    <row r="941" spans="1:4" ht="19.95" customHeight="1" x14ac:dyDescent="0.25">
      <c r="A941" s="9" t="s">
        <v>23</v>
      </c>
      <c r="B941" s="10" t="s">
        <v>10</v>
      </c>
      <c r="C941" s="10">
        <v>46.646999999999998</v>
      </c>
      <c r="D941" s="10">
        <v>1993</v>
      </c>
    </row>
    <row r="942" spans="1:4" ht="19.95" customHeight="1" x14ac:dyDescent="0.25">
      <c r="A942" s="9" t="s">
        <v>24</v>
      </c>
      <c r="B942" s="10" t="s">
        <v>10</v>
      </c>
      <c r="C942" s="10">
        <v>46.445</v>
      </c>
      <c r="D942" s="10">
        <v>1993</v>
      </c>
    </row>
    <row r="943" spans="1:4" ht="19.95" customHeight="1" x14ac:dyDescent="0.25">
      <c r="A943" s="9" t="s">
        <v>25</v>
      </c>
      <c r="B943" s="10" t="s">
        <v>10</v>
      </c>
      <c r="C943" s="10">
        <v>67.221000000000004</v>
      </c>
      <c r="D943" s="10">
        <v>1993</v>
      </c>
    </row>
    <row r="944" spans="1:4" ht="19.95" customHeight="1" x14ac:dyDescent="0.25">
      <c r="A944" s="9" t="s">
        <v>26</v>
      </c>
      <c r="B944" s="10" t="s">
        <v>10</v>
      </c>
      <c r="C944" s="10">
        <v>44.271999999999998</v>
      </c>
      <c r="D944" s="10">
        <v>1993</v>
      </c>
    </row>
    <row r="945" spans="1:4" ht="19.95" customHeight="1" x14ac:dyDescent="0.25">
      <c r="A945" s="9" t="s">
        <v>28</v>
      </c>
      <c r="B945" s="10" t="s">
        <v>10</v>
      </c>
      <c r="C945" s="10">
        <v>59.790999999999997</v>
      </c>
      <c r="D945" s="10">
        <v>1993</v>
      </c>
    </row>
    <row r="946" spans="1:4" ht="19.95" customHeight="1" x14ac:dyDescent="0.25">
      <c r="A946" s="9" t="s">
        <v>29</v>
      </c>
      <c r="B946" s="10" t="s">
        <v>10</v>
      </c>
      <c r="C946" s="10">
        <v>56.851999999999997</v>
      </c>
      <c r="D946" s="10">
        <v>1993</v>
      </c>
    </row>
    <row r="947" spans="1:4" ht="19.95" customHeight="1" x14ac:dyDescent="0.25">
      <c r="A947" s="9" t="s">
        <v>30</v>
      </c>
      <c r="B947" s="10" t="s">
        <v>10</v>
      </c>
      <c r="C947" s="10">
        <v>66.296999999999997</v>
      </c>
      <c r="D947" s="10">
        <v>1993</v>
      </c>
    </row>
    <row r="948" spans="1:4" ht="19.95" customHeight="1" x14ac:dyDescent="0.25">
      <c r="A948" s="9" t="s">
        <v>31</v>
      </c>
      <c r="B948" s="10" t="s">
        <v>10</v>
      </c>
      <c r="C948" s="10">
        <v>45.343000000000004</v>
      </c>
      <c r="D948" s="10">
        <v>1993</v>
      </c>
    </row>
    <row r="949" spans="1:4" ht="19.95" customHeight="1" x14ac:dyDescent="0.25">
      <c r="A949" s="9" t="s">
        <v>32</v>
      </c>
      <c r="B949" s="10" t="s">
        <v>10</v>
      </c>
      <c r="C949" s="10">
        <v>27.61</v>
      </c>
      <c r="D949" s="10">
        <v>1993</v>
      </c>
    </row>
    <row r="950" spans="1:4" ht="19.95" customHeight="1" x14ac:dyDescent="0.25">
      <c r="A950" s="9" t="s">
        <v>33</v>
      </c>
      <c r="B950" s="10" t="s">
        <v>10</v>
      </c>
      <c r="C950" s="10">
        <v>62.293999999999997</v>
      </c>
      <c r="D950" s="10">
        <v>1993</v>
      </c>
    </row>
    <row r="951" spans="1:4" ht="19.95" customHeight="1" x14ac:dyDescent="0.25">
      <c r="A951" s="9" t="s">
        <v>34</v>
      </c>
      <c r="B951" s="10" t="s">
        <v>10</v>
      </c>
      <c r="C951" s="10">
        <v>69.593000000000004</v>
      </c>
      <c r="D951" s="10">
        <v>1993</v>
      </c>
    </row>
    <row r="952" spans="1:4" ht="19.95" customHeight="1" x14ac:dyDescent="0.25">
      <c r="A952" s="9" t="s">
        <v>35</v>
      </c>
      <c r="B952" s="10" t="s">
        <v>10</v>
      </c>
      <c r="C952" s="10">
        <v>62.71</v>
      </c>
      <c r="D952" s="10">
        <v>1993</v>
      </c>
    </row>
    <row r="953" spans="1:4" ht="19.95" customHeight="1" x14ac:dyDescent="0.25">
      <c r="A953" s="9" t="s">
        <v>36</v>
      </c>
      <c r="B953" s="10" t="s">
        <v>10</v>
      </c>
      <c r="C953" s="10">
        <v>49.54</v>
      </c>
      <c r="D953" s="10">
        <v>1993</v>
      </c>
    </row>
    <row r="954" spans="1:4" ht="19.95" customHeight="1" x14ac:dyDescent="0.25">
      <c r="A954" s="9" t="s">
        <v>37</v>
      </c>
      <c r="B954" s="10" t="s">
        <v>10</v>
      </c>
      <c r="C954" s="10">
        <v>44.387999999999998</v>
      </c>
      <c r="D954" s="10">
        <v>1993</v>
      </c>
    </row>
    <row r="955" spans="1:4" ht="19.95" customHeight="1" x14ac:dyDescent="0.25">
      <c r="A955" s="9" t="s">
        <v>38</v>
      </c>
      <c r="B955" s="10" t="s">
        <v>10</v>
      </c>
      <c r="C955" s="10">
        <v>43.564</v>
      </c>
      <c r="D955" s="10">
        <v>1993</v>
      </c>
    </row>
    <row r="956" spans="1:4" ht="19.95" customHeight="1" x14ac:dyDescent="0.25">
      <c r="A956" s="9" t="s">
        <v>39</v>
      </c>
      <c r="B956" s="10" t="s">
        <v>10</v>
      </c>
      <c r="C956" s="10">
        <v>53.853999999999999</v>
      </c>
      <c r="D956" s="10">
        <v>1993</v>
      </c>
    </row>
    <row r="957" spans="1:4" ht="19.95" customHeight="1" x14ac:dyDescent="0.25">
      <c r="A957" s="9" t="s">
        <v>9</v>
      </c>
      <c r="B957" s="10" t="s">
        <v>10</v>
      </c>
      <c r="C957" s="10">
        <v>48.295000000000002</v>
      </c>
      <c r="D957" s="10">
        <v>1994</v>
      </c>
    </row>
    <row r="958" spans="1:4" ht="19.95" customHeight="1" x14ac:dyDescent="0.25">
      <c r="A958" s="9" t="s">
        <v>12</v>
      </c>
      <c r="B958" s="10" t="s">
        <v>10</v>
      </c>
      <c r="C958" s="10">
        <v>50.433</v>
      </c>
      <c r="D958" s="10">
        <v>1994</v>
      </c>
    </row>
    <row r="959" spans="1:4" ht="19.95" customHeight="1" x14ac:dyDescent="0.25">
      <c r="A959" s="9" t="s">
        <v>13</v>
      </c>
      <c r="B959" s="10" t="s">
        <v>10</v>
      </c>
      <c r="C959" s="10">
        <v>47.338999999999999</v>
      </c>
      <c r="D959" s="10">
        <v>1994</v>
      </c>
    </row>
    <row r="960" spans="1:4" ht="19.95" customHeight="1" x14ac:dyDescent="0.25">
      <c r="A960" s="9" t="s">
        <v>15</v>
      </c>
      <c r="B960" s="10" t="s">
        <v>10</v>
      </c>
      <c r="C960" s="10">
        <v>58.406999999999996</v>
      </c>
      <c r="D960" s="10">
        <v>1994</v>
      </c>
    </row>
    <row r="961" spans="1:4" ht="19.95" customHeight="1" x14ac:dyDescent="0.25">
      <c r="A961" s="9" t="s">
        <v>16</v>
      </c>
      <c r="B961" s="10" t="s">
        <v>10</v>
      </c>
      <c r="C961" s="10">
        <v>57.055999999999997</v>
      </c>
      <c r="D961" s="10">
        <v>1994</v>
      </c>
    </row>
    <row r="962" spans="1:4" ht="19.95" customHeight="1" x14ac:dyDescent="0.25">
      <c r="A962" s="9" t="s">
        <v>1</v>
      </c>
      <c r="B962" s="10" t="s">
        <v>10</v>
      </c>
      <c r="C962" s="10">
        <v>48.811999999999998</v>
      </c>
      <c r="D962" s="10">
        <v>1994</v>
      </c>
    </row>
    <row r="963" spans="1:4" ht="19.95" customHeight="1" x14ac:dyDescent="0.25">
      <c r="A963" s="9" t="s">
        <v>17</v>
      </c>
      <c r="B963" s="10" t="s">
        <v>10</v>
      </c>
      <c r="C963" s="10">
        <v>51.61</v>
      </c>
      <c r="D963" s="10">
        <v>1994</v>
      </c>
    </row>
    <row r="964" spans="1:4" ht="19.95" customHeight="1" x14ac:dyDescent="0.25">
      <c r="A964" s="9" t="s">
        <v>18</v>
      </c>
      <c r="B964" s="10" t="s">
        <v>10</v>
      </c>
      <c r="C964" s="10">
        <v>55.981000000000002</v>
      </c>
      <c r="D964" s="10">
        <v>1994</v>
      </c>
    </row>
    <row r="965" spans="1:4" ht="19.95" customHeight="1" x14ac:dyDescent="0.25">
      <c r="A965" s="9" t="s">
        <v>19</v>
      </c>
      <c r="B965" s="10" t="s">
        <v>10</v>
      </c>
      <c r="C965" s="10">
        <v>54.668999999999997</v>
      </c>
      <c r="D965" s="10">
        <v>1994</v>
      </c>
    </row>
    <row r="966" spans="1:4" ht="19.95" customHeight="1" x14ac:dyDescent="0.25">
      <c r="A966" s="9" t="s">
        <v>20</v>
      </c>
      <c r="B966" s="10" t="s">
        <v>10</v>
      </c>
      <c r="C966" s="10">
        <v>68.400000000000006</v>
      </c>
      <c r="D966" s="10">
        <v>1994</v>
      </c>
    </row>
    <row r="967" spans="1:4" ht="19.95" customHeight="1" x14ac:dyDescent="0.25">
      <c r="A967" s="9" t="s">
        <v>21</v>
      </c>
      <c r="B967" s="10" t="s">
        <v>10</v>
      </c>
      <c r="C967" s="10">
        <v>49.283000000000001</v>
      </c>
      <c r="D967" s="10">
        <v>1994</v>
      </c>
    </row>
    <row r="968" spans="1:4" ht="19.95" customHeight="1" x14ac:dyDescent="0.25">
      <c r="A968" s="9" t="s">
        <v>22</v>
      </c>
      <c r="B968" s="10" t="s">
        <v>10</v>
      </c>
      <c r="C968" s="10">
        <v>53.808</v>
      </c>
      <c r="D968" s="10">
        <v>1994</v>
      </c>
    </row>
    <row r="969" spans="1:4" ht="19.95" customHeight="1" x14ac:dyDescent="0.25">
      <c r="A969" s="9" t="s">
        <v>23</v>
      </c>
      <c r="B969" s="10" t="s">
        <v>10</v>
      </c>
      <c r="C969" s="10">
        <v>46.627000000000002</v>
      </c>
      <c r="D969" s="10">
        <v>1994</v>
      </c>
    </row>
    <row r="970" spans="1:4" ht="19.95" customHeight="1" x14ac:dyDescent="0.25">
      <c r="A970" s="9" t="s">
        <v>24</v>
      </c>
      <c r="B970" s="10" t="s">
        <v>10</v>
      </c>
      <c r="C970" s="10">
        <v>46.52</v>
      </c>
      <c r="D970" s="10">
        <v>1994</v>
      </c>
    </row>
    <row r="971" spans="1:4" ht="19.95" customHeight="1" x14ac:dyDescent="0.25">
      <c r="A971" s="9" t="s">
        <v>25</v>
      </c>
      <c r="B971" s="10" t="s">
        <v>10</v>
      </c>
      <c r="C971" s="10">
        <v>67.03</v>
      </c>
      <c r="D971" s="10">
        <v>1994</v>
      </c>
    </row>
    <row r="972" spans="1:4" ht="19.95" customHeight="1" x14ac:dyDescent="0.25">
      <c r="A972" s="9" t="s">
        <v>26</v>
      </c>
      <c r="B972" s="10" t="s">
        <v>10</v>
      </c>
      <c r="C972" s="10">
        <v>44.862000000000002</v>
      </c>
      <c r="D972" s="10">
        <v>1994</v>
      </c>
    </row>
    <row r="973" spans="1:4" ht="19.95" customHeight="1" x14ac:dyDescent="0.25">
      <c r="A973" s="9" t="s">
        <v>28</v>
      </c>
      <c r="B973" s="10" t="s">
        <v>10</v>
      </c>
      <c r="C973" s="10">
        <v>60.128</v>
      </c>
      <c r="D973" s="10">
        <v>1994</v>
      </c>
    </row>
    <row r="974" spans="1:4" ht="19.95" customHeight="1" x14ac:dyDescent="0.25">
      <c r="A974" s="9" t="s">
        <v>29</v>
      </c>
      <c r="B974" s="10" t="s">
        <v>10</v>
      </c>
      <c r="C974" s="10">
        <v>57.698999999999998</v>
      </c>
      <c r="D974" s="10">
        <v>1994</v>
      </c>
    </row>
    <row r="975" spans="1:4" ht="19.95" customHeight="1" x14ac:dyDescent="0.25">
      <c r="A975" s="9" t="s">
        <v>30</v>
      </c>
      <c r="B975" s="10" t="s">
        <v>10</v>
      </c>
      <c r="C975" s="10">
        <v>66.885999999999996</v>
      </c>
      <c r="D975" s="10">
        <v>1994</v>
      </c>
    </row>
    <row r="976" spans="1:4" ht="19.95" customHeight="1" x14ac:dyDescent="0.25">
      <c r="A976" s="9" t="s">
        <v>31</v>
      </c>
      <c r="B976" s="10" t="s">
        <v>10</v>
      </c>
      <c r="C976" s="10">
        <v>45.996000000000002</v>
      </c>
      <c r="D976" s="10">
        <v>1994</v>
      </c>
    </row>
    <row r="977" spans="1:4" ht="19.95" customHeight="1" x14ac:dyDescent="0.25">
      <c r="A977" s="9" t="s">
        <v>32</v>
      </c>
      <c r="B977" s="10" t="s">
        <v>10</v>
      </c>
      <c r="C977" s="10">
        <v>29.003</v>
      </c>
      <c r="D977" s="10">
        <v>1994</v>
      </c>
    </row>
    <row r="978" spans="1:4" ht="19.95" customHeight="1" x14ac:dyDescent="0.25">
      <c r="A978" s="9" t="s">
        <v>33</v>
      </c>
      <c r="B978" s="10" t="s">
        <v>10</v>
      </c>
      <c r="C978" s="10">
        <v>62.454000000000001</v>
      </c>
      <c r="D978" s="10">
        <v>1994</v>
      </c>
    </row>
    <row r="979" spans="1:4" ht="19.95" customHeight="1" x14ac:dyDescent="0.25">
      <c r="A979" s="9" t="s">
        <v>34</v>
      </c>
      <c r="B979" s="10" t="s">
        <v>10</v>
      </c>
      <c r="C979" s="10">
        <v>69.451999999999998</v>
      </c>
      <c r="D979" s="10">
        <v>1994</v>
      </c>
    </row>
    <row r="980" spans="1:4" ht="19.95" customHeight="1" x14ac:dyDescent="0.25">
      <c r="A980" s="9" t="s">
        <v>35</v>
      </c>
      <c r="B980" s="10" t="s">
        <v>10</v>
      </c>
      <c r="C980" s="10">
        <v>62.869</v>
      </c>
      <c r="D980" s="10">
        <v>1994</v>
      </c>
    </row>
    <row r="981" spans="1:4" ht="19.95" customHeight="1" x14ac:dyDescent="0.25">
      <c r="A981" s="9" t="s">
        <v>36</v>
      </c>
      <c r="B981" s="10" t="s">
        <v>10</v>
      </c>
      <c r="C981" s="10">
        <v>49.444000000000003</v>
      </c>
      <c r="D981" s="10">
        <v>1994</v>
      </c>
    </row>
    <row r="982" spans="1:4" ht="19.95" customHeight="1" x14ac:dyDescent="0.25">
      <c r="A982" s="9" t="s">
        <v>37</v>
      </c>
      <c r="B982" s="10" t="s">
        <v>10</v>
      </c>
      <c r="C982" s="10">
        <v>44.222999999999999</v>
      </c>
      <c r="D982" s="10">
        <v>1994</v>
      </c>
    </row>
    <row r="983" spans="1:4" ht="19.95" customHeight="1" x14ac:dyDescent="0.25">
      <c r="A983" s="9" t="s">
        <v>38</v>
      </c>
      <c r="B983" s="10" t="s">
        <v>10</v>
      </c>
      <c r="C983" s="10">
        <v>43.296999999999997</v>
      </c>
      <c r="D983" s="10">
        <v>1994</v>
      </c>
    </row>
    <row r="984" spans="1:4" ht="19.95" customHeight="1" x14ac:dyDescent="0.25">
      <c r="A984" s="9" t="s">
        <v>39</v>
      </c>
      <c r="B984" s="10" t="s">
        <v>10</v>
      </c>
      <c r="C984" s="10">
        <v>52.329000000000001</v>
      </c>
      <c r="D984" s="10">
        <v>1994</v>
      </c>
    </row>
    <row r="985" spans="1:4" ht="19.95" customHeight="1" x14ac:dyDescent="0.25">
      <c r="A985" s="9" t="s">
        <v>9</v>
      </c>
      <c r="B985" s="10" t="s">
        <v>10</v>
      </c>
      <c r="C985" s="10">
        <v>48.86</v>
      </c>
      <c r="D985" s="10">
        <v>1995</v>
      </c>
    </row>
    <row r="986" spans="1:4" ht="19.95" customHeight="1" x14ac:dyDescent="0.25">
      <c r="A986" s="9" t="s">
        <v>12</v>
      </c>
      <c r="B986" s="10" t="s">
        <v>10</v>
      </c>
      <c r="C986" s="10">
        <v>50.015000000000001</v>
      </c>
      <c r="D986" s="10">
        <v>1995</v>
      </c>
    </row>
    <row r="987" spans="1:4" ht="19.95" customHeight="1" x14ac:dyDescent="0.25">
      <c r="A987" s="9" t="s">
        <v>13</v>
      </c>
      <c r="B987" s="10" t="s">
        <v>10</v>
      </c>
      <c r="C987" s="10">
        <v>47.430999999999997</v>
      </c>
      <c r="D987" s="10">
        <v>1995</v>
      </c>
    </row>
    <row r="988" spans="1:4" ht="19.95" customHeight="1" x14ac:dyDescent="0.25">
      <c r="A988" s="9" t="s">
        <v>15</v>
      </c>
      <c r="B988" s="10" t="s">
        <v>10</v>
      </c>
      <c r="C988" s="10">
        <v>58.722000000000001</v>
      </c>
      <c r="D988" s="10">
        <v>1995</v>
      </c>
    </row>
    <row r="989" spans="1:4" ht="19.95" customHeight="1" x14ac:dyDescent="0.25">
      <c r="A989" s="9" t="s">
        <v>16</v>
      </c>
      <c r="B989" s="10" t="s">
        <v>10</v>
      </c>
      <c r="C989" s="10">
        <v>57.064999999999998</v>
      </c>
      <c r="D989" s="10">
        <v>1995</v>
      </c>
    </row>
    <row r="990" spans="1:4" ht="19.95" customHeight="1" x14ac:dyDescent="0.25">
      <c r="A990" s="9" t="s">
        <v>1</v>
      </c>
      <c r="B990" s="10" t="s">
        <v>10</v>
      </c>
      <c r="C990" s="10">
        <v>49.305</v>
      </c>
      <c r="D990" s="10">
        <v>1995</v>
      </c>
    </row>
    <row r="991" spans="1:4" ht="19.95" customHeight="1" x14ac:dyDescent="0.25">
      <c r="A991" s="9" t="s">
        <v>17</v>
      </c>
      <c r="B991" s="10" t="s">
        <v>10</v>
      </c>
      <c r="C991" s="10">
        <v>51.716999999999999</v>
      </c>
      <c r="D991" s="10">
        <v>1995</v>
      </c>
    </row>
    <row r="992" spans="1:4" ht="19.95" customHeight="1" x14ac:dyDescent="0.25">
      <c r="A992" s="9" t="s">
        <v>18</v>
      </c>
      <c r="B992" s="10" t="s">
        <v>10</v>
      </c>
      <c r="C992" s="10">
        <v>56.316000000000003</v>
      </c>
      <c r="D992" s="10">
        <v>1995</v>
      </c>
    </row>
    <row r="993" spans="1:4" ht="19.95" customHeight="1" x14ac:dyDescent="0.25">
      <c r="A993" s="9" t="s">
        <v>19</v>
      </c>
      <c r="B993" s="10" t="s">
        <v>10</v>
      </c>
      <c r="C993" s="10">
        <v>53.911000000000001</v>
      </c>
      <c r="D993" s="10">
        <v>1995</v>
      </c>
    </row>
    <row r="994" spans="1:4" ht="19.95" customHeight="1" x14ac:dyDescent="0.25">
      <c r="A994" s="9" t="s">
        <v>20</v>
      </c>
      <c r="B994" s="10" t="s">
        <v>10</v>
      </c>
      <c r="C994" s="10">
        <v>68.551219512195104</v>
      </c>
      <c r="D994" s="10">
        <v>1995</v>
      </c>
    </row>
    <row r="995" spans="1:4" ht="19.95" customHeight="1" x14ac:dyDescent="0.25">
      <c r="A995" s="9" t="s">
        <v>21</v>
      </c>
      <c r="B995" s="10" t="s">
        <v>10</v>
      </c>
      <c r="C995" s="10">
        <v>50.162999999999997</v>
      </c>
      <c r="D995" s="10">
        <v>1995</v>
      </c>
    </row>
    <row r="996" spans="1:4" ht="19.95" customHeight="1" x14ac:dyDescent="0.25">
      <c r="A996" s="9" t="s">
        <v>22</v>
      </c>
      <c r="B996" s="10" t="s">
        <v>10</v>
      </c>
      <c r="C996" s="10">
        <v>54.616</v>
      </c>
      <c r="D996" s="10">
        <v>1995</v>
      </c>
    </row>
    <row r="997" spans="1:4" ht="19.95" customHeight="1" x14ac:dyDescent="0.25">
      <c r="A997" s="9" t="s">
        <v>23</v>
      </c>
      <c r="B997" s="10" t="s">
        <v>10</v>
      </c>
      <c r="C997" s="10">
        <v>46.585000000000001</v>
      </c>
      <c r="D997" s="10">
        <v>1995</v>
      </c>
    </row>
    <row r="998" spans="1:4" ht="19.95" customHeight="1" x14ac:dyDescent="0.25">
      <c r="A998" s="9" t="s">
        <v>24</v>
      </c>
      <c r="B998" s="10" t="s">
        <v>10</v>
      </c>
      <c r="C998" s="10">
        <v>46.573</v>
      </c>
      <c r="D998" s="10">
        <v>1995</v>
      </c>
    </row>
    <row r="999" spans="1:4" ht="19.95" customHeight="1" x14ac:dyDescent="0.25">
      <c r="A999" s="9" t="s">
        <v>25</v>
      </c>
      <c r="B999" s="10" t="s">
        <v>10</v>
      </c>
      <c r="C999" s="10">
        <v>66.867000000000004</v>
      </c>
      <c r="D999" s="10">
        <v>1995</v>
      </c>
    </row>
    <row r="1000" spans="1:4" ht="19.95" customHeight="1" x14ac:dyDescent="0.25">
      <c r="A1000" s="9" t="s">
        <v>26</v>
      </c>
      <c r="B1000" s="10" t="s">
        <v>10</v>
      </c>
      <c r="C1000" s="10">
        <v>45.491</v>
      </c>
      <c r="D1000" s="10">
        <v>1995</v>
      </c>
    </row>
    <row r="1001" spans="1:4" ht="19.95" customHeight="1" x14ac:dyDescent="0.25">
      <c r="A1001" s="9" t="s">
        <v>28</v>
      </c>
      <c r="B1001" s="10" t="s">
        <v>10</v>
      </c>
      <c r="C1001" s="10">
        <v>60.463000000000001</v>
      </c>
      <c r="D1001" s="10">
        <v>1995</v>
      </c>
    </row>
    <row r="1002" spans="1:4" ht="19.95" customHeight="1" x14ac:dyDescent="0.25">
      <c r="A1002" s="9" t="s">
        <v>29</v>
      </c>
      <c r="B1002" s="10" t="s">
        <v>10</v>
      </c>
      <c r="C1002" s="10">
        <v>58.529000000000003</v>
      </c>
      <c r="D1002" s="10">
        <v>1995</v>
      </c>
    </row>
    <row r="1003" spans="1:4" ht="19.95" customHeight="1" x14ac:dyDescent="0.25">
      <c r="A1003" s="9" t="s">
        <v>30</v>
      </c>
      <c r="B1003" s="10" t="s">
        <v>10</v>
      </c>
      <c r="C1003" s="10">
        <v>67.411000000000001</v>
      </c>
      <c r="D1003" s="10">
        <v>1995</v>
      </c>
    </row>
    <row r="1004" spans="1:4" ht="19.95" customHeight="1" x14ac:dyDescent="0.25">
      <c r="A1004" s="9" t="s">
        <v>31</v>
      </c>
      <c r="B1004" s="10" t="s">
        <v>10</v>
      </c>
      <c r="C1004" s="10">
        <v>46.658999999999999</v>
      </c>
      <c r="D1004" s="10">
        <v>1995</v>
      </c>
    </row>
    <row r="1005" spans="1:4" ht="19.95" customHeight="1" x14ac:dyDescent="0.25">
      <c r="A1005" s="9" t="s">
        <v>32</v>
      </c>
      <c r="B1005" s="10" t="s">
        <v>10</v>
      </c>
      <c r="C1005" s="10">
        <v>31.977</v>
      </c>
      <c r="D1005" s="10">
        <v>1995</v>
      </c>
    </row>
    <row r="1006" spans="1:4" ht="19.95" customHeight="1" x14ac:dyDescent="0.25">
      <c r="A1006" s="9" t="s">
        <v>33</v>
      </c>
      <c r="B1006" s="10" t="s">
        <v>10</v>
      </c>
      <c r="C1006" s="10">
        <v>62.610999999999997</v>
      </c>
      <c r="D1006" s="10">
        <v>1995</v>
      </c>
    </row>
    <row r="1007" spans="1:4" ht="19.95" customHeight="1" x14ac:dyDescent="0.25">
      <c r="A1007" s="9" t="s">
        <v>34</v>
      </c>
      <c r="B1007" s="10" t="s">
        <v>10</v>
      </c>
      <c r="C1007" s="10">
        <v>69.31</v>
      </c>
      <c r="D1007" s="10">
        <v>1995</v>
      </c>
    </row>
    <row r="1008" spans="1:4" ht="19.95" customHeight="1" x14ac:dyDescent="0.25">
      <c r="A1008" s="9" t="s">
        <v>35</v>
      </c>
      <c r="B1008" s="10" t="s">
        <v>10</v>
      </c>
      <c r="C1008" s="10">
        <v>63.185000000000002</v>
      </c>
      <c r="D1008" s="10">
        <v>1995</v>
      </c>
    </row>
    <row r="1009" spans="1:4" ht="19.95" customHeight="1" x14ac:dyDescent="0.25">
      <c r="A1009" s="9" t="s">
        <v>36</v>
      </c>
      <c r="B1009" s="10" t="s">
        <v>10</v>
      </c>
      <c r="C1009" s="10">
        <v>49.46</v>
      </c>
      <c r="D1009" s="10">
        <v>1995</v>
      </c>
    </row>
    <row r="1010" spans="1:4" ht="19.95" customHeight="1" x14ac:dyDescent="0.25">
      <c r="A1010" s="9" t="s">
        <v>37</v>
      </c>
      <c r="B1010" s="10" t="s">
        <v>10</v>
      </c>
      <c r="C1010" s="10">
        <v>44.22</v>
      </c>
      <c r="D1010" s="10">
        <v>1995</v>
      </c>
    </row>
    <row r="1011" spans="1:4" ht="19.95" customHeight="1" x14ac:dyDescent="0.25">
      <c r="A1011" s="9" t="s">
        <v>38</v>
      </c>
      <c r="B1011" s="10" t="s">
        <v>10</v>
      </c>
      <c r="C1011" s="10">
        <v>43.165999999999997</v>
      </c>
      <c r="D1011" s="10">
        <v>1995</v>
      </c>
    </row>
    <row r="1012" spans="1:4" ht="19.95" customHeight="1" x14ac:dyDescent="0.25">
      <c r="A1012" s="9" t="s">
        <v>39</v>
      </c>
      <c r="B1012" s="10" t="s">
        <v>10</v>
      </c>
      <c r="C1012" s="10">
        <v>50.811</v>
      </c>
      <c r="D1012" s="10">
        <v>1995</v>
      </c>
    </row>
    <row r="1013" spans="1:4" ht="19.95" customHeight="1" x14ac:dyDescent="0.25">
      <c r="A1013" s="9" t="s">
        <v>9</v>
      </c>
      <c r="B1013" s="10" t="s">
        <v>10</v>
      </c>
      <c r="C1013" s="10">
        <v>49.526000000000003</v>
      </c>
      <c r="D1013" s="10">
        <v>1996</v>
      </c>
    </row>
    <row r="1014" spans="1:4" ht="19.95" customHeight="1" x14ac:dyDescent="0.25">
      <c r="A1014" s="9" t="s">
        <v>12</v>
      </c>
      <c r="B1014" s="10" t="s">
        <v>10</v>
      </c>
      <c r="C1014" s="10">
        <v>49.707999999999998</v>
      </c>
      <c r="D1014" s="10">
        <v>1996</v>
      </c>
    </row>
    <row r="1015" spans="1:4" ht="19.95" customHeight="1" x14ac:dyDescent="0.25">
      <c r="A1015" s="9" t="s">
        <v>13</v>
      </c>
      <c r="B1015" s="10" t="s">
        <v>10</v>
      </c>
      <c r="C1015" s="10">
        <v>47.505000000000003</v>
      </c>
      <c r="D1015" s="10">
        <v>1996</v>
      </c>
    </row>
    <row r="1016" spans="1:4" ht="19.95" customHeight="1" x14ac:dyDescent="0.25">
      <c r="A1016" s="9" t="s">
        <v>15</v>
      </c>
      <c r="B1016" s="10" t="s">
        <v>10</v>
      </c>
      <c r="C1016" s="10">
        <v>58.972000000000001</v>
      </c>
      <c r="D1016" s="10">
        <v>1996</v>
      </c>
    </row>
    <row r="1017" spans="1:4" ht="19.95" customHeight="1" x14ac:dyDescent="0.25">
      <c r="A1017" s="9" t="s">
        <v>16</v>
      </c>
      <c r="B1017" s="10" t="s">
        <v>10</v>
      </c>
      <c r="C1017" s="10">
        <v>57.05</v>
      </c>
      <c r="D1017" s="10">
        <v>1996</v>
      </c>
    </row>
    <row r="1018" spans="1:4" ht="19.95" customHeight="1" x14ac:dyDescent="0.25">
      <c r="A1018" s="9" t="s">
        <v>1</v>
      </c>
      <c r="B1018" s="10" t="s">
        <v>10</v>
      </c>
      <c r="C1018" s="10">
        <v>49.811</v>
      </c>
      <c r="D1018" s="10">
        <v>1996</v>
      </c>
    </row>
    <row r="1019" spans="1:4" ht="19.95" customHeight="1" x14ac:dyDescent="0.25">
      <c r="A1019" s="9" t="s">
        <v>17</v>
      </c>
      <c r="B1019" s="10" t="s">
        <v>10</v>
      </c>
      <c r="C1019" s="10">
        <v>51.701000000000001</v>
      </c>
      <c r="D1019" s="10">
        <v>1996</v>
      </c>
    </row>
    <row r="1020" spans="1:4" ht="19.95" customHeight="1" x14ac:dyDescent="0.25">
      <c r="A1020" s="9" t="s">
        <v>18</v>
      </c>
      <c r="B1020" s="10" t="s">
        <v>10</v>
      </c>
      <c r="C1020" s="10">
        <v>56.634999999999998</v>
      </c>
      <c r="D1020" s="10">
        <v>1996</v>
      </c>
    </row>
    <row r="1021" spans="1:4" ht="19.95" customHeight="1" x14ac:dyDescent="0.25">
      <c r="A1021" s="9" t="s">
        <v>19</v>
      </c>
      <c r="B1021" s="10" t="s">
        <v>10</v>
      </c>
      <c r="C1021" s="10">
        <v>53.204999999999998</v>
      </c>
      <c r="D1021" s="10">
        <v>1996</v>
      </c>
    </row>
    <row r="1022" spans="1:4" ht="19.95" customHeight="1" x14ac:dyDescent="0.25">
      <c r="A1022" s="9" t="s">
        <v>20</v>
      </c>
      <c r="B1022" s="10" t="s">
        <v>10</v>
      </c>
      <c r="C1022" s="10">
        <v>68.7</v>
      </c>
      <c r="D1022" s="10">
        <v>1996</v>
      </c>
    </row>
    <row r="1023" spans="1:4" ht="19.95" customHeight="1" x14ac:dyDescent="0.25">
      <c r="A1023" s="9" t="s">
        <v>21</v>
      </c>
      <c r="B1023" s="10" t="s">
        <v>10</v>
      </c>
      <c r="C1023" s="10">
        <v>50.984000000000002</v>
      </c>
      <c r="D1023" s="10">
        <v>1996</v>
      </c>
    </row>
    <row r="1024" spans="1:4" ht="19.95" customHeight="1" x14ac:dyDescent="0.25">
      <c r="A1024" s="9" t="s">
        <v>22</v>
      </c>
      <c r="B1024" s="10" t="s">
        <v>10</v>
      </c>
      <c r="C1024" s="10">
        <v>55.43</v>
      </c>
      <c r="D1024" s="10">
        <v>1996</v>
      </c>
    </row>
    <row r="1025" spans="1:4" ht="19.95" customHeight="1" x14ac:dyDescent="0.25">
      <c r="A1025" s="9" t="s">
        <v>23</v>
      </c>
      <c r="B1025" s="10" t="s">
        <v>10</v>
      </c>
      <c r="C1025" s="10">
        <v>46.515999999999998</v>
      </c>
      <c r="D1025" s="10">
        <v>1996</v>
      </c>
    </row>
    <row r="1026" spans="1:4" ht="19.95" customHeight="1" x14ac:dyDescent="0.25">
      <c r="A1026" s="9" t="s">
        <v>24</v>
      </c>
      <c r="B1026" s="10" t="s">
        <v>10</v>
      </c>
      <c r="C1026" s="10">
        <v>46.658000000000001</v>
      </c>
      <c r="D1026" s="10">
        <v>1996</v>
      </c>
    </row>
    <row r="1027" spans="1:4" ht="19.95" customHeight="1" x14ac:dyDescent="0.25">
      <c r="A1027" s="9" t="s">
        <v>25</v>
      </c>
      <c r="B1027" s="10" t="s">
        <v>10</v>
      </c>
      <c r="C1027" s="10">
        <v>66.760999999999996</v>
      </c>
      <c r="D1027" s="10">
        <v>1996</v>
      </c>
    </row>
    <row r="1028" spans="1:4" ht="19.95" customHeight="1" x14ac:dyDescent="0.25">
      <c r="A1028" s="9" t="s">
        <v>26</v>
      </c>
      <c r="B1028" s="10" t="s">
        <v>10</v>
      </c>
      <c r="C1028" s="10">
        <v>46.124000000000002</v>
      </c>
      <c r="D1028" s="10">
        <v>1996</v>
      </c>
    </row>
    <row r="1029" spans="1:4" ht="19.95" customHeight="1" x14ac:dyDescent="0.25">
      <c r="A1029" s="9" t="s">
        <v>28</v>
      </c>
      <c r="B1029" s="10" t="s">
        <v>10</v>
      </c>
      <c r="C1029" s="10">
        <v>60.795999999999999</v>
      </c>
      <c r="D1029" s="10">
        <v>1996</v>
      </c>
    </row>
    <row r="1030" spans="1:4" ht="19.95" customHeight="1" x14ac:dyDescent="0.25">
      <c r="A1030" s="9" t="s">
        <v>29</v>
      </c>
      <c r="B1030" s="10" t="s">
        <v>10</v>
      </c>
      <c r="C1030" s="10">
        <v>59.341000000000001</v>
      </c>
      <c r="D1030" s="10">
        <v>1996</v>
      </c>
    </row>
    <row r="1031" spans="1:4" ht="19.95" customHeight="1" x14ac:dyDescent="0.25">
      <c r="A1031" s="9" t="s">
        <v>30</v>
      </c>
      <c r="B1031" s="10" t="s">
        <v>10</v>
      </c>
      <c r="C1031" s="10">
        <v>67.891000000000005</v>
      </c>
      <c r="D1031" s="10">
        <v>1996</v>
      </c>
    </row>
    <row r="1032" spans="1:4" ht="19.95" customHeight="1" x14ac:dyDescent="0.25">
      <c r="A1032" s="9" t="s">
        <v>31</v>
      </c>
      <c r="B1032" s="10" t="s">
        <v>10</v>
      </c>
      <c r="C1032" s="10">
        <v>47.323</v>
      </c>
      <c r="D1032" s="10">
        <v>1996</v>
      </c>
    </row>
    <row r="1033" spans="1:4" ht="19.95" customHeight="1" x14ac:dyDescent="0.25">
      <c r="A1033" s="9" t="s">
        <v>32</v>
      </c>
      <c r="B1033" s="10" t="s">
        <v>10</v>
      </c>
      <c r="C1033" s="10">
        <v>35.923000000000002</v>
      </c>
      <c r="D1033" s="10">
        <v>1996</v>
      </c>
    </row>
    <row r="1034" spans="1:4" ht="19.95" customHeight="1" x14ac:dyDescent="0.25">
      <c r="A1034" s="9" t="s">
        <v>33</v>
      </c>
      <c r="B1034" s="10" t="s">
        <v>10</v>
      </c>
      <c r="C1034" s="10">
        <v>62.76</v>
      </c>
      <c r="D1034" s="10">
        <v>1996</v>
      </c>
    </row>
    <row r="1035" spans="1:4" ht="19.95" customHeight="1" x14ac:dyDescent="0.25">
      <c r="A1035" s="9" t="s">
        <v>34</v>
      </c>
      <c r="B1035" s="10" t="s">
        <v>10</v>
      </c>
      <c r="C1035" s="10">
        <v>69.266999999999996</v>
      </c>
      <c r="D1035" s="10">
        <v>1996</v>
      </c>
    </row>
    <row r="1036" spans="1:4" ht="19.95" customHeight="1" x14ac:dyDescent="0.25">
      <c r="A1036" s="9" t="s">
        <v>35</v>
      </c>
      <c r="B1036" s="10" t="s">
        <v>10</v>
      </c>
      <c r="C1036" s="10">
        <v>63.618000000000002</v>
      </c>
      <c r="D1036" s="10">
        <v>1996</v>
      </c>
    </row>
    <row r="1037" spans="1:4" ht="19.95" customHeight="1" x14ac:dyDescent="0.25">
      <c r="A1037" s="9" t="s">
        <v>36</v>
      </c>
      <c r="B1037" s="10" t="s">
        <v>10</v>
      </c>
      <c r="C1037" s="10">
        <v>49.609000000000002</v>
      </c>
      <c r="D1037" s="10">
        <v>1996</v>
      </c>
    </row>
    <row r="1038" spans="1:4" ht="19.95" customHeight="1" x14ac:dyDescent="0.25">
      <c r="A1038" s="9" t="s">
        <v>37</v>
      </c>
      <c r="B1038" s="10" t="s">
        <v>10</v>
      </c>
      <c r="C1038" s="10">
        <v>44.414999999999999</v>
      </c>
      <c r="D1038" s="10">
        <v>1996</v>
      </c>
    </row>
    <row r="1039" spans="1:4" ht="19.95" customHeight="1" x14ac:dyDescent="0.25">
      <c r="A1039" s="9" t="s">
        <v>38</v>
      </c>
      <c r="B1039" s="10" t="s">
        <v>10</v>
      </c>
      <c r="C1039" s="10">
        <v>43.183</v>
      </c>
      <c r="D1039" s="10">
        <v>1996</v>
      </c>
    </row>
    <row r="1040" spans="1:4" ht="19.95" customHeight="1" x14ac:dyDescent="0.25">
      <c r="A1040" s="9" t="s">
        <v>39</v>
      </c>
      <c r="B1040" s="10" t="s">
        <v>10</v>
      </c>
      <c r="C1040" s="10">
        <v>49.34</v>
      </c>
      <c r="D1040" s="10">
        <v>1996</v>
      </c>
    </row>
    <row r="1041" spans="1:4" ht="19.95" customHeight="1" x14ac:dyDescent="0.25">
      <c r="A1041" s="9" t="s">
        <v>9</v>
      </c>
      <c r="B1041" s="10" t="s">
        <v>10</v>
      </c>
      <c r="C1041" s="10">
        <v>50.186</v>
      </c>
      <c r="D1041" s="10">
        <v>1997</v>
      </c>
    </row>
    <row r="1042" spans="1:4" ht="19.95" customHeight="1" x14ac:dyDescent="0.25">
      <c r="A1042" s="9" t="s">
        <v>12</v>
      </c>
      <c r="B1042" s="10" t="s">
        <v>10</v>
      </c>
      <c r="C1042" s="10">
        <v>49.542999999999999</v>
      </c>
      <c r="D1042" s="10">
        <v>1997</v>
      </c>
    </row>
    <row r="1043" spans="1:4" ht="19.95" customHeight="1" x14ac:dyDescent="0.25">
      <c r="A1043" s="9" t="s">
        <v>13</v>
      </c>
      <c r="B1043" s="10" t="s">
        <v>10</v>
      </c>
      <c r="C1043" s="10">
        <v>47.555999999999997</v>
      </c>
      <c r="D1043" s="10">
        <v>1997</v>
      </c>
    </row>
    <row r="1044" spans="1:4" ht="19.95" customHeight="1" x14ac:dyDescent="0.25">
      <c r="A1044" s="9" t="s">
        <v>15</v>
      </c>
      <c r="B1044" s="10" t="s">
        <v>10</v>
      </c>
      <c r="C1044" s="10">
        <v>59.16</v>
      </c>
      <c r="D1044" s="10">
        <v>1997</v>
      </c>
    </row>
    <row r="1045" spans="1:4" ht="19.95" customHeight="1" x14ac:dyDescent="0.25">
      <c r="A1045" s="9" t="s">
        <v>16</v>
      </c>
      <c r="B1045" s="10" t="s">
        <v>10</v>
      </c>
      <c r="C1045" s="10">
        <v>57.021999999999998</v>
      </c>
      <c r="D1045" s="10">
        <v>1997</v>
      </c>
    </row>
    <row r="1046" spans="1:4" ht="19.95" customHeight="1" x14ac:dyDescent="0.25">
      <c r="A1046" s="9" t="s">
        <v>1</v>
      </c>
      <c r="B1046" s="10" t="s">
        <v>10</v>
      </c>
      <c r="C1046" s="10">
        <v>50.322000000000003</v>
      </c>
      <c r="D1046" s="10">
        <v>1997</v>
      </c>
    </row>
    <row r="1047" spans="1:4" ht="19.95" customHeight="1" x14ac:dyDescent="0.25">
      <c r="A1047" s="9" t="s">
        <v>17</v>
      </c>
      <c r="B1047" s="10" t="s">
        <v>10</v>
      </c>
      <c r="C1047" s="10">
        <v>51.591999999999999</v>
      </c>
      <c r="D1047" s="10">
        <v>1997</v>
      </c>
    </row>
    <row r="1048" spans="1:4" ht="19.95" customHeight="1" x14ac:dyDescent="0.25">
      <c r="A1048" s="9" t="s">
        <v>18</v>
      </c>
      <c r="B1048" s="10" t="s">
        <v>10</v>
      </c>
      <c r="C1048" s="10">
        <v>56.933</v>
      </c>
      <c r="D1048" s="10">
        <v>1997</v>
      </c>
    </row>
    <row r="1049" spans="1:4" ht="19.95" customHeight="1" x14ac:dyDescent="0.25">
      <c r="A1049" s="9" t="s">
        <v>19</v>
      </c>
      <c r="B1049" s="10" t="s">
        <v>10</v>
      </c>
      <c r="C1049" s="10">
        <v>52.588999999999999</v>
      </c>
      <c r="D1049" s="10">
        <v>1997</v>
      </c>
    </row>
    <row r="1050" spans="1:4" ht="19.95" customHeight="1" x14ac:dyDescent="0.25">
      <c r="A1050" s="9" t="s">
        <v>20</v>
      </c>
      <c r="B1050" s="10" t="s">
        <v>10</v>
      </c>
      <c r="C1050" s="10">
        <v>68.851219512195101</v>
      </c>
      <c r="D1050" s="10">
        <v>1997</v>
      </c>
    </row>
    <row r="1051" spans="1:4" ht="19.95" customHeight="1" x14ac:dyDescent="0.25">
      <c r="A1051" s="9" t="s">
        <v>21</v>
      </c>
      <c r="B1051" s="10" t="s">
        <v>10</v>
      </c>
      <c r="C1051" s="10">
        <v>51.640999999999998</v>
      </c>
      <c r="D1051" s="10">
        <v>1997</v>
      </c>
    </row>
    <row r="1052" spans="1:4" ht="19.95" customHeight="1" x14ac:dyDescent="0.25">
      <c r="A1052" s="9" t="s">
        <v>22</v>
      </c>
      <c r="B1052" s="10" t="s">
        <v>10</v>
      </c>
      <c r="C1052" s="10">
        <v>56.238999999999997</v>
      </c>
      <c r="D1052" s="10">
        <v>1997</v>
      </c>
    </row>
    <row r="1053" spans="1:4" ht="19.95" customHeight="1" x14ac:dyDescent="0.25">
      <c r="A1053" s="9" t="s">
        <v>23</v>
      </c>
      <c r="B1053" s="10" t="s">
        <v>10</v>
      </c>
      <c r="C1053" s="10">
        <v>46.433999999999997</v>
      </c>
      <c r="D1053" s="10">
        <v>1997</v>
      </c>
    </row>
    <row r="1054" spans="1:4" ht="19.95" customHeight="1" x14ac:dyDescent="0.25">
      <c r="A1054" s="9" t="s">
        <v>24</v>
      </c>
      <c r="B1054" s="10" t="s">
        <v>10</v>
      </c>
      <c r="C1054" s="10">
        <v>46.823</v>
      </c>
      <c r="D1054" s="10">
        <v>1997</v>
      </c>
    </row>
    <row r="1055" spans="1:4" ht="19.95" customHeight="1" x14ac:dyDescent="0.25">
      <c r="A1055" s="9" t="s">
        <v>25</v>
      </c>
      <c r="B1055" s="10" t="s">
        <v>10</v>
      </c>
      <c r="C1055" s="10">
        <v>66.721999999999994</v>
      </c>
      <c r="D1055" s="10">
        <v>1997</v>
      </c>
    </row>
    <row r="1056" spans="1:4" ht="19.95" customHeight="1" x14ac:dyDescent="0.25">
      <c r="A1056" s="9" t="s">
        <v>26</v>
      </c>
      <c r="B1056" s="10" t="s">
        <v>10</v>
      </c>
      <c r="C1056" s="10">
        <v>46.735999999999997</v>
      </c>
      <c r="D1056" s="10">
        <v>1997</v>
      </c>
    </row>
    <row r="1057" spans="1:4" ht="19.95" customHeight="1" x14ac:dyDescent="0.25">
      <c r="A1057" s="9" t="s">
        <v>28</v>
      </c>
      <c r="B1057" s="10" t="s">
        <v>10</v>
      </c>
      <c r="C1057" s="10">
        <v>61.131</v>
      </c>
      <c r="D1057" s="10">
        <v>1997</v>
      </c>
    </row>
    <row r="1058" spans="1:4" ht="19.95" customHeight="1" x14ac:dyDescent="0.25">
      <c r="A1058" s="9" t="s">
        <v>29</v>
      </c>
      <c r="B1058" s="10" t="s">
        <v>10</v>
      </c>
      <c r="C1058" s="10">
        <v>60.134</v>
      </c>
      <c r="D1058" s="10">
        <v>1997</v>
      </c>
    </row>
    <row r="1059" spans="1:4" ht="19.95" customHeight="1" x14ac:dyDescent="0.25">
      <c r="A1059" s="9" t="s">
        <v>30</v>
      </c>
      <c r="B1059" s="10" t="s">
        <v>10</v>
      </c>
      <c r="C1059" s="10">
        <v>68.349000000000004</v>
      </c>
      <c r="D1059" s="10">
        <v>1997</v>
      </c>
    </row>
    <row r="1060" spans="1:4" ht="19.95" customHeight="1" x14ac:dyDescent="0.25">
      <c r="A1060" s="9" t="s">
        <v>31</v>
      </c>
      <c r="B1060" s="10" t="s">
        <v>10</v>
      </c>
      <c r="C1060" s="10">
        <v>47.978999999999999</v>
      </c>
      <c r="D1060" s="10">
        <v>1997</v>
      </c>
    </row>
    <row r="1061" spans="1:4" ht="19.95" customHeight="1" x14ac:dyDescent="0.25">
      <c r="A1061" s="9" t="s">
        <v>32</v>
      </c>
      <c r="B1061" s="10" t="s">
        <v>10</v>
      </c>
      <c r="C1061" s="10">
        <v>40.012999999999998</v>
      </c>
      <c r="D1061" s="10">
        <v>1997</v>
      </c>
    </row>
    <row r="1062" spans="1:4" ht="19.95" customHeight="1" x14ac:dyDescent="0.25">
      <c r="A1062" s="9" t="s">
        <v>33</v>
      </c>
      <c r="B1062" s="10" t="s">
        <v>10</v>
      </c>
      <c r="C1062" s="10">
        <v>62.902000000000001</v>
      </c>
      <c r="D1062" s="10">
        <v>1997</v>
      </c>
    </row>
    <row r="1063" spans="1:4" ht="19.95" customHeight="1" x14ac:dyDescent="0.25">
      <c r="A1063" s="9" t="s">
        <v>34</v>
      </c>
      <c r="B1063" s="10" t="s">
        <v>10</v>
      </c>
      <c r="C1063" s="10">
        <v>69.399000000000001</v>
      </c>
      <c r="D1063" s="10">
        <v>1997</v>
      </c>
    </row>
    <row r="1064" spans="1:4" ht="19.95" customHeight="1" x14ac:dyDescent="0.25">
      <c r="A1064" s="9" t="s">
        <v>35</v>
      </c>
      <c r="B1064" s="10" t="s">
        <v>10</v>
      </c>
      <c r="C1064" s="10">
        <v>64.105000000000004</v>
      </c>
      <c r="D1064" s="10">
        <v>1997</v>
      </c>
    </row>
    <row r="1065" spans="1:4" ht="19.95" customHeight="1" x14ac:dyDescent="0.25">
      <c r="A1065" s="9" t="s">
        <v>36</v>
      </c>
      <c r="B1065" s="10" t="s">
        <v>10</v>
      </c>
      <c r="C1065" s="10">
        <v>49.889000000000003</v>
      </c>
      <c r="D1065" s="10">
        <v>1997</v>
      </c>
    </row>
    <row r="1066" spans="1:4" ht="19.95" customHeight="1" x14ac:dyDescent="0.25">
      <c r="A1066" s="9" t="s">
        <v>37</v>
      </c>
      <c r="B1066" s="10" t="s">
        <v>10</v>
      </c>
      <c r="C1066" s="10">
        <v>44.811</v>
      </c>
      <c r="D1066" s="10">
        <v>1997</v>
      </c>
    </row>
    <row r="1067" spans="1:4" ht="19.95" customHeight="1" x14ac:dyDescent="0.25">
      <c r="A1067" s="9" t="s">
        <v>38</v>
      </c>
      <c r="B1067" s="10" t="s">
        <v>10</v>
      </c>
      <c r="C1067" s="10">
        <v>43.345999999999997</v>
      </c>
      <c r="D1067" s="10">
        <v>1997</v>
      </c>
    </row>
    <row r="1068" spans="1:4" ht="19.95" customHeight="1" x14ac:dyDescent="0.25">
      <c r="A1068" s="9" t="s">
        <v>39</v>
      </c>
      <c r="B1068" s="10" t="s">
        <v>10</v>
      </c>
      <c r="C1068" s="10">
        <v>47.954999999999998</v>
      </c>
      <c r="D1068" s="10">
        <v>1997</v>
      </c>
    </row>
    <row r="1069" spans="1:4" ht="19.95" customHeight="1" x14ac:dyDescent="0.25">
      <c r="A1069" s="9" t="s">
        <v>9</v>
      </c>
      <c r="B1069" s="10" t="s">
        <v>10</v>
      </c>
      <c r="C1069" s="10">
        <v>50.758000000000003</v>
      </c>
      <c r="D1069" s="10">
        <v>1998</v>
      </c>
    </row>
    <row r="1070" spans="1:4" ht="19.95" customHeight="1" x14ac:dyDescent="0.25">
      <c r="A1070" s="9" t="s">
        <v>12</v>
      </c>
      <c r="B1070" s="10" t="s">
        <v>10</v>
      </c>
      <c r="C1070" s="10">
        <v>49.537999999999997</v>
      </c>
      <c r="D1070" s="10">
        <v>1998</v>
      </c>
    </row>
    <row r="1071" spans="1:4" ht="19.95" customHeight="1" x14ac:dyDescent="0.25">
      <c r="A1071" s="9" t="s">
        <v>13</v>
      </c>
      <c r="B1071" s="10" t="s">
        <v>10</v>
      </c>
      <c r="C1071" s="10">
        <v>47.582000000000001</v>
      </c>
      <c r="D1071" s="10">
        <v>1998</v>
      </c>
    </row>
    <row r="1072" spans="1:4" ht="19.95" customHeight="1" x14ac:dyDescent="0.25">
      <c r="A1072" s="9" t="s">
        <v>15</v>
      </c>
      <c r="B1072" s="10" t="s">
        <v>10</v>
      </c>
      <c r="C1072" s="10">
        <v>59.293999999999997</v>
      </c>
      <c r="D1072" s="10">
        <v>1998</v>
      </c>
    </row>
    <row r="1073" spans="1:4" ht="19.95" customHeight="1" x14ac:dyDescent="0.25">
      <c r="A1073" s="9" t="s">
        <v>16</v>
      </c>
      <c r="B1073" s="10" t="s">
        <v>10</v>
      </c>
      <c r="C1073" s="10">
        <v>56.997999999999998</v>
      </c>
      <c r="D1073" s="10">
        <v>1998</v>
      </c>
    </row>
    <row r="1074" spans="1:4" ht="19.95" customHeight="1" x14ac:dyDescent="0.25">
      <c r="A1074" s="9" t="s">
        <v>1</v>
      </c>
      <c r="B1074" s="10" t="s">
        <v>10</v>
      </c>
      <c r="C1074" s="10">
        <v>50.835999999999999</v>
      </c>
      <c r="D1074" s="10">
        <v>1998</v>
      </c>
    </row>
    <row r="1075" spans="1:4" ht="19.95" customHeight="1" x14ac:dyDescent="0.25">
      <c r="A1075" s="9" t="s">
        <v>17</v>
      </c>
      <c r="B1075" s="10" t="s">
        <v>10</v>
      </c>
      <c r="C1075" s="10">
        <v>51.433999999999997</v>
      </c>
      <c r="D1075" s="10">
        <v>1998</v>
      </c>
    </row>
    <row r="1076" spans="1:4" ht="19.95" customHeight="1" x14ac:dyDescent="0.25">
      <c r="A1076" s="9" t="s">
        <v>18</v>
      </c>
      <c r="B1076" s="10" t="s">
        <v>10</v>
      </c>
      <c r="C1076" s="10">
        <v>57.209000000000003</v>
      </c>
      <c r="D1076" s="10">
        <v>1998</v>
      </c>
    </row>
    <row r="1077" spans="1:4" ht="19.95" customHeight="1" x14ac:dyDescent="0.25">
      <c r="A1077" s="9" t="s">
        <v>19</v>
      </c>
      <c r="B1077" s="10" t="s">
        <v>10</v>
      </c>
      <c r="C1077" s="10">
        <v>52.106000000000002</v>
      </c>
      <c r="D1077" s="10">
        <v>1998</v>
      </c>
    </row>
    <row r="1078" spans="1:4" ht="19.95" customHeight="1" x14ac:dyDescent="0.25">
      <c r="A1078" s="9" t="s">
        <v>20</v>
      </c>
      <c r="B1078" s="10" t="s">
        <v>10</v>
      </c>
      <c r="C1078" s="10">
        <v>68.951219512195095</v>
      </c>
      <c r="D1078" s="10">
        <v>1998</v>
      </c>
    </row>
    <row r="1079" spans="1:4" ht="19.95" customHeight="1" x14ac:dyDescent="0.25">
      <c r="A1079" s="9" t="s">
        <v>21</v>
      </c>
      <c r="B1079" s="10" t="s">
        <v>10</v>
      </c>
      <c r="C1079" s="10">
        <v>52.082000000000001</v>
      </c>
      <c r="D1079" s="10">
        <v>1998</v>
      </c>
    </row>
    <row r="1080" spans="1:4" ht="19.95" customHeight="1" x14ac:dyDescent="0.25">
      <c r="A1080" s="9" t="s">
        <v>22</v>
      </c>
      <c r="B1080" s="10" t="s">
        <v>10</v>
      </c>
      <c r="C1080" s="10">
        <v>57.027999999999999</v>
      </c>
      <c r="D1080" s="10">
        <v>1998</v>
      </c>
    </row>
    <row r="1081" spans="1:4" ht="19.95" customHeight="1" x14ac:dyDescent="0.25">
      <c r="A1081" s="9" t="s">
        <v>23</v>
      </c>
      <c r="B1081" s="10" t="s">
        <v>10</v>
      </c>
      <c r="C1081" s="10">
        <v>46.369</v>
      </c>
      <c r="D1081" s="10">
        <v>1998</v>
      </c>
    </row>
    <row r="1082" spans="1:4" ht="19.95" customHeight="1" x14ac:dyDescent="0.25">
      <c r="A1082" s="9" t="s">
        <v>24</v>
      </c>
      <c r="B1082" s="10" t="s">
        <v>10</v>
      </c>
      <c r="C1082" s="10">
        <v>47.103000000000002</v>
      </c>
      <c r="D1082" s="10">
        <v>1998</v>
      </c>
    </row>
    <row r="1083" spans="1:4" ht="19.95" customHeight="1" x14ac:dyDescent="0.25">
      <c r="A1083" s="9" t="s">
        <v>25</v>
      </c>
      <c r="B1083" s="10" t="s">
        <v>10</v>
      </c>
      <c r="C1083" s="10">
        <v>66.751999999999995</v>
      </c>
      <c r="D1083" s="10">
        <v>1998</v>
      </c>
    </row>
    <row r="1084" spans="1:4" ht="19.95" customHeight="1" x14ac:dyDescent="0.25">
      <c r="A1084" s="9" t="s">
        <v>26</v>
      </c>
      <c r="B1084" s="10" t="s">
        <v>10</v>
      </c>
      <c r="C1084" s="10">
        <v>47.308999999999997</v>
      </c>
      <c r="D1084" s="10">
        <v>1998</v>
      </c>
    </row>
    <row r="1085" spans="1:4" ht="19.95" customHeight="1" x14ac:dyDescent="0.25">
      <c r="A1085" s="9" t="s">
        <v>28</v>
      </c>
      <c r="B1085" s="10" t="s">
        <v>10</v>
      </c>
      <c r="C1085" s="10">
        <v>61.466999999999999</v>
      </c>
      <c r="D1085" s="10">
        <v>1998</v>
      </c>
    </row>
    <row r="1086" spans="1:4" ht="19.95" customHeight="1" x14ac:dyDescent="0.25">
      <c r="A1086" s="9" t="s">
        <v>29</v>
      </c>
      <c r="B1086" s="10" t="s">
        <v>10</v>
      </c>
      <c r="C1086" s="10">
        <v>60.908999999999999</v>
      </c>
      <c r="D1086" s="10">
        <v>1998</v>
      </c>
    </row>
    <row r="1087" spans="1:4" ht="19.95" customHeight="1" x14ac:dyDescent="0.25">
      <c r="A1087" s="9" t="s">
        <v>30</v>
      </c>
      <c r="B1087" s="10" t="s">
        <v>10</v>
      </c>
      <c r="C1087" s="10">
        <v>68.808000000000007</v>
      </c>
      <c r="D1087" s="10">
        <v>1998</v>
      </c>
    </row>
    <row r="1088" spans="1:4" ht="19.95" customHeight="1" x14ac:dyDescent="0.25">
      <c r="A1088" s="9" t="s">
        <v>31</v>
      </c>
      <c r="B1088" s="10" t="s">
        <v>10</v>
      </c>
      <c r="C1088" s="10">
        <v>48.622</v>
      </c>
      <c r="D1088" s="10">
        <v>1998</v>
      </c>
    </row>
    <row r="1089" spans="1:4" ht="19.95" customHeight="1" x14ac:dyDescent="0.25">
      <c r="A1089" s="9" t="s">
        <v>32</v>
      </c>
      <c r="B1089" s="10" t="s">
        <v>10</v>
      </c>
      <c r="C1089" s="10">
        <v>43.595999999999997</v>
      </c>
      <c r="D1089" s="10">
        <v>1998</v>
      </c>
    </row>
    <row r="1090" spans="1:4" ht="19.95" customHeight="1" x14ac:dyDescent="0.25">
      <c r="A1090" s="9" t="s">
        <v>33</v>
      </c>
      <c r="B1090" s="10" t="s">
        <v>10</v>
      </c>
      <c r="C1090" s="10">
        <v>63.040999999999997</v>
      </c>
      <c r="D1090" s="10">
        <v>1998</v>
      </c>
    </row>
    <row r="1091" spans="1:4" ht="19.95" customHeight="1" x14ac:dyDescent="0.25">
      <c r="A1091" s="9" t="s">
        <v>34</v>
      </c>
      <c r="B1091" s="10" t="s">
        <v>10</v>
      </c>
      <c r="C1091" s="10">
        <v>69.744</v>
      </c>
      <c r="D1091" s="10">
        <v>1998</v>
      </c>
    </row>
    <row r="1092" spans="1:4" ht="19.95" customHeight="1" x14ac:dyDescent="0.25">
      <c r="A1092" s="9" t="s">
        <v>35</v>
      </c>
      <c r="B1092" s="10" t="s">
        <v>10</v>
      </c>
      <c r="C1092" s="10">
        <v>64.590999999999994</v>
      </c>
      <c r="D1092" s="10">
        <v>1998</v>
      </c>
    </row>
    <row r="1093" spans="1:4" ht="19.95" customHeight="1" x14ac:dyDescent="0.25">
      <c r="A1093" s="9" t="s">
        <v>36</v>
      </c>
      <c r="B1093" s="10" t="s">
        <v>10</v>
      </c>
      <c r="C1093" s="10">
        <v>50.296999999999997</v>
      </c>
      <c r="D1093" s="10">
        <v>1998</v>
      </c>
    </row>
    <row r="1094" spans="1:4" ht="19.95" customHeight="1" x14ac:dyDescent="0.25">
      <c r="A1094" s="9" t="s">
        <v>37</v>
      </c>
      <c r="B1094" s="10" t="s">
        <v>10</v>
      </c>
      <c r="C1094" s="10">
        <v>45.396999999999998</v>
      </c>
      <c r="D1094" s="10">
        <v>1998</v>
      </c>
    </row>
    <row r="1095" spans="1:4" ht="19.95" customHeight="1" x14ac:dyDescent="0.25">
      <c r="A1095" s="9" t="s">
        <v>38</v>
      </c>
      <c r="B1095" s="10" t="s">
        <v>10</v>
      </c>
      <c r="C1095" s="10">
        <v>43.652999999999999</v>
      </c>
      <c r="D1095" s="10">
        <v>1998</v>
      </c>
    </row>
    <row r="1096" spans="1:4" ht="19.95" customHeight="1" x14ac:dyDescent="0.25">
      <c r="A1096" s="9" t="s">
        <v>39</v>
      </c>
      <c r="B1096" s="10" t="s">
        <v>10</v>
      </c>
      <c r="C1096" s="10">
        <v>46.704999999999998</v>
      </c>
      <c r="D1096" s="10">
        <v>1998</v>
      </c>
    </row>
    <row r="1097" spans="1:4" ht="19.95" customHeight="1" x14ac:dyDescent="0.25">
      <c r="A1097" s="9" t="s">
        <v>9</v>
      </c>
      <c r="B1097" s="10" t="s">
        <v>10</v>
      </c>
      <c r="C1097" s="10">
        <v>51.213000000000001</v>
      </c>
      <c r="D1097" s="10">
        <v>1999</v>
      </c>
    </row>
    <row r="1098" spans="1:4" ht="19.95" customHeight="1" x14ac:dyDescent="0.25">
      <c r="A1098" s="9" t="s">
        <v>12</v>
      </c>
      <c r="B1098" s="10" t="s">
        <v>10</v>
      </c>
      <c r="C1098" s="10">
        <v>49.7</v>
      </c>
      <c r="D1098" s="10">
        <v>1999</v>
      </c>
    </row>
    <row r="1099" spans="1:4" ht="19.95" customHeight="1" x14ac:dyDescent="0.25">
      <c r="A1099" s="9" t="s">
        <v>13</v>
      </c>
      <c r="B1099" s="10" t="s">
        <v>10</v>
      </c>
      <c r="C1099" s="10">
        <v>47.59</v>
      </c>
      <c r="D1099" s="10">
        <v>1999</v>
      </c>
    </row>
    <row r="1100" spans="1:4" ht="19.95" customHeight="1" x14ac:dyDescent="0.25">
      <c r="A1100" s="9" t="s">
        <v>15</v>
      </c>
      <c r="B1100" s="10" t="s">
        <v>10</v>
      </c>
      <c r="C1100" s="10">
        <v>59.387999999999998</v>
      </c>
      <c r="D1100" s="10">
        <v>1999</v>
      </c>
    </row>
    <row r="1101" spans="1:4" ht="19.95" customHeight="1" x14ac:dyDescent="0.25">
      <c r="A1101" s="9" t="s">
        <v>16</v>
      </c>
      <c r="B1101" s="10" t="s">
        <v>10</v>
      </c>
      <c r="C1101" s="10">
        <v>56.991999999999997</v>
      </c>
      <c r="D1101" s="10">
        <v>1999</v>
      </c>
    </row>
    <row r="1102" spans="1:4" ht="19.95" customHeight="1" x14ac:dyDescent="0.25">
      <c r="A1102" s="9" t="s">
        <v>1</v>
      </c>
      <c r="B1102" s="10" t="s">
        <v>10</v>
      </c>
      <c r="C1102" s="10">
        <v>51.366</v>
      </c>
      <c r="D1102" s="10">
        <v>1999</v>
      </c>
    </row>
    <row r="1103" spans="1:4" ht="19.95" customHeight="1" x14ac:dyDescent="0.25">
      <c r="A1103" s="9" t="s">
        <v>17</v>
      </c>
      <c r="B1103" s="10" t="s">
        <v>10</v>
      </c>
      <c r="C1103" s="10">
        <v>51.273000000000003</v>
      </c>
      <c r="D1103" s="10">
        <v>1999</v>
      </c>
    </row>
    <row r="1104" spans="1:4" ht="19.95" customHeight="1" x14ac:dyDescent="0.25">
      <c r="A1104" s="9" t="s">
        <v>18</v>
      </c>
      <c r="B1104" s="10" t="s">
        <v>10</v>
      </c>
      <c r="C1104" s="10">
        <v>57.466999999999999</v>
      </c>
      <c r="D1104" s="10">
        <v>1999</v>
      </c>
    </row>
    <row r="1105" spans="1:4" ht="19.95" customHeight="1" x14ac:dyDescent="0.25">
      <c r="A1105" s="9" t="s">
        <v>19</v>
      </c>
      <c r="B1105" s="10" t="s">
        <v>10</v>
      </c>
      <c r="C1105" s="10">
        <v>51.805</v>
      </c>
      <c r="D1105" s="10">
        <v>1999</v>
      </c>
    </row>
    <row r="1106" spans="1:4" ht="19.95" customHeight="1" x14ac:dyDescent="0.25">
      <c r="A1106" s="9" t="s">
        <v>20</v>
      </c>
      <c r="B1106" s="10" t="s">
        <v>10</v>
      </c>
      <c r="C1106" s="10">
        <v>66.951219512195095</v>
      </c>
      <c r="D1106" s="10">
        <v>1999</v>
      </c>
    </row>
    <row r="1107" spans="1:4" ht="19.95" customHeight="1" x14ac:dyDescent="0.25">
      <c r="A1107" s="9" t="s">
        <v>21</v>
      </c>
      <c r="B1107" s="10" t="s">
        <v>10</v>
      </c>
      <c r="C1107" s="10">
        <v>52.314</v>
      </c>
      <c r="D1107" s="10">
        <v>1999</v>
      </c>
    </row>
    <row r="1108" spans="1:4" ht="19.95" customHeight="1" x14ac:dyDescent="0.25">
      <c r="A1108" s="9" t="s">
        <v>22</v>
      </c>
      <c r="B1108" s="10" t="s">
        <v>10</v>
      </c>
      <c r="C1108" s="10">
        <v>57.781999999999996</v>
      </c>
      <c r="D1108" s="10">
        <v>1999</v>
      </c>
    </row>
    <row r="1109" spans="1:4" ht="19.95" customHeight="1" x14ac:dyDescent="0.25">
      <c r="A1109" s="9" t="s">
        <v>23</v>
      </c>
      <c r="B1109" s="10" t="s">
        <v>10</v>
      </c>
      <c r="C1109" s="10">
        <v>46.354999999999997</v>
      </c>
      <c r="D1109" s="10">
        <v>1999</v>
      </c>
    </row>
    <row r="1110" spans="1:4" ht="19.95" customHeight="1" x14ac:dyDescent="0.25">
      <c r="A1110" s="9" t="s">
        <v>24</v>
      </c>
      <c r="B1110" s="10" t="s">
        <v>10</v>
      </c>
      <c r="C1110" s="10">
        <v>47.515000000000001</v>
      </c>
      <c r="D1110" s="10">
        <v>1999</v>
      </c>
    </row>
    <row r="1111" spans="1:4" ht="19.95" customHeight="1" x14ac:dyDescent="0.25">
      <c r="A1111" s="9" t="s">
        <v>25</v>
      </c>
      <c r="B1111" s="10" t="s">
        <v>10</v>
      </c>
      <c r="C1111" s="10">
        <v>66.852000000000004</v>
      </c>
      <c r="D1111" s="10">
        <v>1999</v>
      </c>
    </row>
    <row r="1112" spans="1:4" ht="19.95" customHeight="1" x14ac:dyDescent="0.25">
      <c r="A1112" s="9" t="s">
        <v>26</v>
      </c>
      <c r="B1112" s="10" t="s">
        <v>10</v>
      </c>
      <c r="C1112" s="10">
        <v>47.841000000000001</v>
      </c>
      <c r="D1112" s="10">
        <v>1999</v>
      </c>
    </row>
    <row r="1113" spans="1:4" ht="19.95" customHeight="1" x14ac:dyDescent="0.25">
      <c r="A1113" s="9" t="s">
        <v>28</v>
      </c>
      <c r="B1113" s="10" t="s">
        <v>10</v>
      </c>
      <c r="C1113" s="10">
        <v>61.802</v>
      </c>
      <c r="D1113" s="10">
        <v>1999</v>
      </c>
    </row>
    <row r="1114" spans="1:4" ht="19.95" customHeight="1" x14ac:dyDescent="0.25">
      <c r="A1114" s="9" t="s">
        <v>29</v>
      </c>
      <c r="B1114" s="10" t="s">
        <v>10</v>
      </c>
      <c r="C1114" s="10">
        <v>61.661000000000001</v>
      </c>
      <c r="D1114" s="10">
        <v>1999</v>
      </c>
    </row>
    <row r="1115" spans="1:4" ht="19.95" customHeight="1" x14ac:dyDescent="0.25">
      <c r="A1115" s="9" t="s">
        <v>30</v>
      </c>
      <c r="B1115" s="10" t="s">
        <v>10</v>
      </c>
      <c r="C1115" s="10">
        <v>69.272000000000006</v>
      </c>
      <c r="D1115" s="10">
        <v>1999</v>
      </c>
    </row>
    <row r="1116" spans="1:4" ht="19.95" customHeight="1" x14ac:dyDescent="0.25">
      <c r="A1116" s="9" t="s">
        <v>31</v>
      </c>
      <c r="B1116" s="10" t="s">
        <v>10</v>
      </c>
      <c r="C1116" s="10">
        <v>49.253</v>
      </c>
      <c r="D1116" s="10">
        <v>1999</v>
      </c>
    </row>
    <row r="1117" spans="1:4" ht="19.95" customHeight="1" x14ac:dyDescent="0.25">
      <c r="A1117" s="9" t="s">
        <v>32</v>
      </c>
      <c r="B1117" s="10" t="s">
        <v>10</v>
      </c>
      <c r="C1117" s="10">
        <v>46.411999999999999</v>
      </c>
      <c r="D1117" s="10">
        <v>1999</v>
      </c>
    </row>
    <row r="1118" spans="1:4" ht="19.95" customHeight="1" x14ac:dyDescent="0.25">
      <c r="A1118" s="9" t="s">
        <v>33</v>
      </c>
      <c r="B1118" s="10" t="s">
        <v>10</v>
      </c>
      <c r="C1118" s="10">
        <v>63.180999999999997</v>
      </c>
      <c r="D1118" s="10">
        <v>1999</v>
      </c>
    </row>
    <row r="1119" spans="1:4" ht="19.95" customHeight="1" x14ac:dyDescent="0.25">
      <c r="A1119" s="9" t="s">
        <v>34</v>
      </c>
      <c r="B1119" s="10" t="s">
        <v>10</v>
      </c>
      <c r="C1119" s="10">
        <v>70.296000000000006</v>
      </c>
      <c r="D1119" s="10">
        <v>1999</v>
      </c>
    </row>
    <row r="1120" spans="1:4" ht="19.95" customHeight="1" x14ac:dyDescent="0.25">
      <c r="A1120" s="9" t="s">
        <v>35</v>
      </c>
      <c r="B1120" s="10" t="s">
        <v>10</v>
      </c>
      <c r="C1120" s="10">
        <v>65.052999999999997</v>
      </c>
      <c r="D1120" s="10">
        <v>1999</v>
      </c>
    </row>
    <row r="1121" spans="1:4" ht="19.95" customHeight="1" x14ac:dyDescent="0.25">
      <c r="A1121" s="9" t="s">
        <v>36</v>
      </c>
      <c r="B1121" s="10" t="s">
        <v>10</v>
      </c>
      <c r="C1121" s="10">
        <v>50.831000000000003</v>
      </c>
      <c r="D1121" s="10">
        <v>1999</v>
      </c>
    </row>
    <row r="1122" spans="1:4" ht="19.95" customHeight="1" x14ac:dyDescent="0.25">
      <c r="A1122" s="9" t="s">
        <v>37</v>
      </c>
      <c r="B1122" s="10" t="s">
        <v>10</v>
      </c>
      <c r="C1122" s="10">
        <v>46.16</v>
      </c>
      <c r="D1122" s="10">
        <v>1999</v>
      </c>
    </row>
    <row r="1123" spans="1:4" ht="19.95" customHeight="1" x14ac:dyDescent="0.25">
      <c r="A1123" s="9" t="s">
        <v>38</v>
      </c>
      <c r="B1123" s="10" t="s">
        <v>10</v>
      </c>
      <c r="C1123" s="10">
        <v>44.103999999999999</v>
      </c>
      <c r="D1123" s="10">
        <v>1999</v>
      </c>
    </row>
    <row r="1124" spans="1:4" ht="19.95" customHeight="1" x14ac:dyDescent="0.25">
      <c r="A1124" s="9" t="s">
        <v>39</v>
      </c>
      <c r="B1124" s="10" t="s">
        <v>10</v>
      </c>
      <c r="C1124" s="10">
        <v>45.646999999999998</v>
      </c>
      <c r="D1124" s="10">
        <v>1999</v>
      </c>
    </row>
    <row r="1125" spans="1:4" ht="19.95" customHeight="1" x14ac:dyDescent="0.25">
      <c r="A1125" s="9" t="s">
        <v>9</v>
      </c>
      <c r="B1125" s="10" t="s">
        <v>10</v>
      </c>
      <c r="C1125" s="10">
        <v>51.545000000000002</v>
      </c>
      <c r="D1125" s="10">
        <v>2000</v>
      </c>
    </row>
    <row r="1126" spans="1:4" ht="19.95" customHeight="1" x14ac:dyDescent="0.25">
      <c r="A1126" s="9" t="s">
        <v>12</v>
      </c>
      <c r="B1126" s="10" t="s">
        <v>10</v>
      </c>
      <c r="C1126" s="10">
        <v>50.026000000000003</v>
      </c>
      <c r="D1126" s="10">
        <v>2000</v>
      </c>
    </row>
    <row r="1127" spans="1:4" ht="19.95" customHeight="1" x14ac:dyDescent="0.25">
      <c r="A1127" s="9" t="s">
        <v>13</v>
      </c>
      <c r="B1127" s="10" t="s">
        <v>10</v>
      </c>
      <c r="C1127" s="10">
        <v>47.593000000000004</v>
      </c>
      <c r="D1127" s="10">
        <v>2000</v>
      </c>
    </row>
    <row r="1128" spans="1:4" ht="19.95" customHeight="1" x14ac:dyDescent="0.25">
      <c r="A1128" s="9" t="s">
        <v>15</v>
      </c>
      <c r="B1128" s="10" t="s">
        <v>10</v>
      </c>
      <c r="C1128" s="10">
        <v>59.46</v>
      </c>
      <c r="D1128" s="10">
        <v>2000</v>
      </c>
    </row>
    <row r="1129" spans="1:4" ht="19.95" customHeight="1" x14ac:dyDescent="0.25">
      <c r="A1129" s="9" t="s">
        <v>16</v>
      </c>
      <c r="B1129" s="10" t="s">
        <v>10</v>
      </c>
      <c r="C1129" s="10">
        <v>57.021000000000001</v>
      </c>
      <c r="D1129" s="10">
        <v>2000</v>
      </c>
    </row>
    <row r="1130" spans="1:4" ht="19.95" customHeight="1" x14ac:dyDescent="0.25">
      <c r="A1130" s="9" t="s">
        <v>1</v>
      </c>
      <c r="B1130" s="10" t="s">
        <v>10</v>
      </c>
      <c r="C1130" s="10">
        <v>51.94</v>
      </c>
      <c r="D1130" s="10">
        <v>2000</v>
      </c>
    </row>
    <row r="1131" spans="1:4" ht="19.95" customHeight="1" x14ac:dyDescent="0.25">
      <c r="A1131" s="9" t="s">
        <v>17</v>
      </c>
      <c r="B1131" s="10" t="s">
        <v>10</v>
      </c>
      <c r="C1131" s="10">
        <v>51.180999999999997</v>
      </c>
      <c r="D1131" s="10">
        <v>2000</v>
      </c>
    </row>
    <row r="1132" spans="1:4" ht="19.95" customHeight="1" x14ac:dyDescent="0.25">
      <c r="A1132" s="9" t="s">
        <v>18</v>
      </c>
      <c r="B1132" s="10" t="s">
        <v>10</v>
      </c>
      <c r="C1132" s="10">
        <v>57.716000000000001</v>
      </c>
      <c r="D1132" s="10">
        <v>2000</v>
      </c>
    </row>
    <row r="1133" spans="1:4" ht="19.95" customHeight="1" x14ac:dyDescent="0.25">
      <c r="A1133" s="9" t="s">
        <v>19</v>
      </c>
      <c r="B1133" s="10" t="s">
        <v>10</v>
      </c>
      <c r="C1133" s="10">
        <v>51.750999999999998</v>
      </c>
      <c r="D1133" s="10">
        <v>2000</v>
      </c>
    </row>
    <row r="1134" spans="1:4" ht="19.95" customHeight="1" x14ac:dyDescent="0.25">
      <c r="A1134" s="9" t="s">
        <v>20</v>
      </c>
      <c r="B1134" s="10" t="s">
        <v>10</v>
      </c>
      <c r="C1134" s="10">
        <v>67.951219512195095</v>
      </c>
      <c r="D1134" s="10">
        <v>2000</v>
      </c>
    </row>
    <row r="1135" spans="1:4" ht="19.95" customHeight="1" x14ac:dyDescent="0.25">
      <c r="A1135" s="9" t="s">
        <v>21</v>
      </c>
      <c r="B1135" s="10" t="s">
        <v>10</v>
      </c>
      <c r="C1135" s="10">
        <v>52.423000000000002</v>
      </c>
      <c r="D1135" s="10">
        <v>2000</v>
      </c>
    </row>
    <row r="1136" spans="1:4" ht="19.95" customHeight="1" x14ac:dyDescent="0.25">
      <c r="A1136" s="9" t="s">
        <v>22</v>
      </c>
      <c r="B1136" s="10" t="s">
        <v>10</v>
      </c>
      <c r="C1136" s="10">
        <v>58.484999999999999</v>
      </c>
      <c r="D1136" s="10">
        <v>2000</v>
      </c>
    </row>
    <row r="1137" spans="1:4" ht="19.95" customHeight="1" x14ac:dyDescent="0.25">
      <c r="A1137" s="9" t="s">
        <v>23</v>
      </c>
      <c r="B1137" s="10" t="s">
        <v>10</v>
      </c>
      <c r="C1137" s="10">
        <v>46.45</v>
      </c>
      <c r="D1137" s="10">
        <v>2000</v>
      </c>
    </row>
    <row r="1138" spans="1:4" ht="19.95" customHeight="1" x14ac:dyDescent="0.25">
      <c r="A1138" s="9" t="s">
        <v>24</v>
      </c>
      <c r="B1138" s="10" t="s">
        <v>10</v>
      </c>
      <c r="C1138" s="10">
        <v>48.069000000000003</v>
      </c>
      <c r="D1138" s="10">
        <v>2000</v>
      </c>
    </row>
    <row r="1139" spans="1:4" ht="19.95" customHeight="1" x14ac:dyDescent="0.25">
      <c r="A1139" s="9" t="s">
        <v>25</v>
      </c>
      <c r="B1139" s="10" t="s">
        <v>10</v>
      </c>
      <c r="C1139" s="10">
        <v>67.006</v>
      </c>
      <c r="D1139" s="10">
        <v>2000</v>
      </c>
    </row>
    <row r="1140" spans="1:4" ht="19.95" customHeight="1" x14ac:dyDescent="0.25">
      <c r="A1140" s="9" t="s">
        <v>26</v>
      </c>
      <c r="B1140" s="10" t="s">
        <v>10</v>
      </c>
      <c r="C1140" s="10">
        <v>48.347999999999999</v>
      </c>
      <c r="D1140" s="10">
        <v>2000</v>
      </c>
    </row>
    <row r="1141" spans="1:4" ht="19.95" customHeight="1" x14ac:dyDescent="0.25">
      <c r="A1141" s="9" t="s">
        <v>28</v>
      </c>
      <c r="B1141" s="10" t="s">
        <v>10</v>
      </c>
      <c r="C1141" s="10">
        <v>62.133000000000003</v>
      </c>
      <c r="D1141" s="10">
        <v>2000</v>
      </c>
    </row>
    <row r="1142" spans="1:4" ht="19.95" customHeight="1" x14ac:dyDescent="0.25">
      <c r="A1142" s="9" t="s">
        <v>29</v>
      </c>
      <c r="B1142" s="10" t="s">
        <v>10</v>
      </c>
      <c r="C1142" s="10">
        <v>62.386000000000003</v>
      </c>
      <c r="D1142" s="10">
        <v>2000</v>
      </c>
    </row>
    <row r="1143" spans="1:4" ht="19.95" customHeight="1" x14ac:dyDescent="0.25">
      <c r="A1143" s="9" t="s">
        <v>30</v>
      </c>
      <c r="B1143" s="10" t="s">
        <v>10</v>
      </c>
      <c r="C1143" s="10">
        <v>69.742000000000004</v>
      </c>
      <c r="D1143" s="10">
        <v>2000</v>
      </c>
    </row>
    <row r="1144" spans="1:4" ht="19.95" customHeight="1" x14ac:dyDescent="0.25">
      <c r="A1144" s="9" t="s">
        <v>31</v>
      </c>
      <c r="B1144" s="10" t="s">
        <v>10</v>
      </c>
      <c r="C1144" s="10">
        <v>49.874000000000002</v>
      </c>
      <c r="D1144" s="10">
        <v>2000</v>
      </c>
    </row>
    <row r="1145" spans="1:4" ht="19.95" customHeight="1" x14ac:dyDescent="0.25">
      <c r="A1145" s="9" t="s">
        <v>32</v>
      </c>
      <c r="B1145" s="10" t="s">
        <v>10</v>
      </c>
      <c r="C1145" s="10">
        <v>48.414999999999999</v>
      </c>
      <c r="D1145" s="10">
        <v>2000</v>
      </c>
    </row>
    <row r="1146" spans="1:4" ht="19.95" customHeight="1" x14ac:dyDescent="0.25">
      <c r="A1146" s="9" t="s">
        <v>33</v>
      </c>
      <c r="B1146" s="10" t="s">
        <v>10</v>
      </c>
      <c r="C1146" s="10">
        <v>63.338000000000001</v>
      </c>
      <c r="D1146" s="10">
        <v>2000</v>
      </c>
    </row>
    <row r="1147" spans="1:4" ht="19.95" customHeight="1" x14ac:dyDescent="0.25">
      <c r="A1147" s="9" t="s">
        <v>34</v>
      </c>
      <c r="B1147" s="10" t="s">
        <v>10</v>
      </c>
      <c r="C1147" s="10">
        <v>71.001999999999995</v>
      </c>
      <c r="D1147" s="10">
        <v>2000</v>
      </c>
    </row>
    <row r="1148" spans="1:4" ht="19.95" customHeight="1" x14ac:dyDescent="0.25">
      <c r="A1148" s="9" t="s">
        <v>35</v>
      </c>
      <c r="B1148" s="10" t="s">
        <v>10</v>
      </c>
      <c r="C1148" s="10">
        <v>65.484999999999999</v>
      </c>
      <c r="D1148" s="10">
        <v>2000</v>
      </c>
    </row>
    <row r="1149" spans="1:4" ht="19.95" customHeight="1" x14ac:dyDescent="0.25">
      <c r="A1149" s="9" t="s">
        <v>36</v>
      </c>
      <c r="B1149" s="10" t="s">
        <v>10</v>
      </c>
      <c r="C1149" s="10">
        <v>51.493000000000002</v>
      </c>
      <c r="D1149" s="10">
        <v>2000</v>
      </c>
    </row>
    <row r="1150" spans="1:4" ht="19.95" customHeight="1" x14ac:dyDescent="0.25">
      <c r="A1150" s="9" t="s">
        <v>37</v>
      </c>
      <c r="B1150" s="10" t="s">
        <v>10</v>
      </c>
      <c r="C1150" s="10">
        <v>47.076999999999998</v>
      </c>
      <c r="D1150" s="10">
        <v>2000</v>
      </c>
    </row>
    <row r="1151" spans="1:4" ht="19.95" customHeight="1" x14ac:dyDescent="0.25">
      <c r="A1151" s="9" t="s">
        <v>38</v>
      </c>
      <c r="B1151" s="10" t="s">
        <v>10</v>
      </c>
      <c r="C1151" s="10">
        <v>44.701999999999998</v>
      </c>
      <c r="D1151" s="10">
        <v>2000</v>
      </c>
    </row>
    <row r="1152" spans="1:4" ht="19.95" customHeight="1" x14ac:dyDescent="0.25">
      <c r="A1152" s="9" t="s">
        <v>39</v>
      </c>
      <c r="B1152" s="10" t="s">
        <v>10</v>
      </c>
      <c r="C1152" s="10">
        <v>44.841000000000001</v>
      </c>
      <c r="D1152" s="10">
        <v>2000</v>
      </c>
    </row>
    <row r="1153" spans="1:4" ht="19.95" customHeight="1" x14ac:dyDescent="0.25">
      <c r="A1153" s="9" t="s">
        <v>9</v>
      </c>
      <c r="B1153" s="10" t="s">
        <v>10</v>
      </c>
      <c r="C1153" s="10">
        <v>51.779000000000003</v>
      </c>
      <c r="D1153" s="10">
        <v>2001</v>
      </c>
    </row>
    <row r="1154" spans="1:4" ht="19.95" customHeight="1" x14ac:dyDescent="0.25">
      <c r="A1154" s="9" t="s">
        <v>12</v>
      </c>
      <c r="B1154" s="10" t="s">
        <v>10</v>
      </c>
      <c r="C1154" s="10">
        <v>50.494999999999997</v>
      </c>
      <c r="D1154" s="10">
        <v>2001</v>
      </c>
    </row>
    <row r="1155" spans="1:4" ht="19.95" customHeight="1" x14ac:dyDescent="0.25">
      <c r="A1155" s="9" t="s">
        <v>13</v>
      </c>
      <c r="B1155" s="10" t="s">
        <v>10</v>
      </c>
      <c r="C1155" s="10">
        <v>47.603000000000002</v>
      </c>
      <c r="D1155" s="10">
        <v>2001</v>
      </c>
    </row>
    <row r="1156" spans="1:4" ht="19.95" customHeight="1" x14ac:dyDescent="0.25">
      <c r="A1156" s="9" t="s">
        <v>15</v>
      </c>
      <c r="B1156" s="10" t="s">
        <v>10</v>
      </c>
      <c r="C1156" s="10">
        <v>59.529000000000003</v>
      </c>
      <c r="D1156" s="10">
        <v>2001</v>
      </c>
    </row>
    <row r="1157" spans="1:4" ht="19.95" customHeight="1" x14ac:dyDescent="0.25">
      <c r="A1157" s="9" t="s">
        <v>16</v>
      </c>
      <c r="B1157" s="10" t="s">
        <v>10</v>
      </c>
      <c r="C1157" s="10">
        <v>57.1</v>
      </c>
      <c r="D1157" s="10">
        <v>2001</v>
      </c>
    </row>
    <row r="1158" spans="1:4" ht="19.95" customHeight="1" x14ac:dyDescent="0.25">
      <c r="A1158" s="9" t="s">
        <v>1</v>
      </c>
      <c r="B1158" s="10" t="s">
        <v>10</v>
      </c>
      <c r="C1158" s="10">
        <v>52.593000000000004</v>
      </c>
      <c r="D1158" s="10">
        <v>2001</v>
      </c>
    </row>
    <row r="1159" spans="1:4" ht="19.95" customHeight="1" x14ac:dyDescent="0.25">
      <c r="A1159" s="9" t="s">
        <v>17</v>
      </c>
      <c r="B1159" s="10" t="s">
        <v>10</v>
      </c>
      <c r="C1159" s="10">
        <v>51.228999999999999</v>
      </c>
      <c r="D1159" s="10">
        <v>2001</v>
      </c>
    </row>
    <row r="1160" spans="1:4" ht="19.95" customHeight="1" x14ac:dyDescent="0.25">
      <c r="A1160" s="9" t="s">
        <v>18</v>
      </c>
      <c r="B1160" s="10" t="s">
        <v>10</v>
      </c>
      <c r="C1160" s="10">
        <v>57.969000000000001</v>
      </c>
      <c r="D1160" s="10">
        <v>2001</v>
      </c>
    </row>
    <row r="1161" spans="1:4" ht="19.95" customHeight="1" x14ac:dyDescent="0.25">
      <c r="A1161" s="9" t="s">
        <v>19</v>
      </c>
      <c r="B1161" s="10" t="s">
        <v>10</v>
      </c>
      <c r="C1161" s="10">
        <v>52.003999999999998</v>
      </c>
      <c r="D1161" s="10">
        <v>2001</v>
      </c>
    </row>
    <row r="1162" spans="1:4" ht="19.95" customHeight="1" x14ac:dyDescent="0.25">
      <c r="A1162" s="9" t="s">
        <v>20</v>
      </c>
      <c r="B1162" s="10" t="s">
        <v>10</v>
      </c>
      <c r="C1162" s="10">
        <v>67.997560975609801</v>
      </c>
      <c r="D1162" s="10">
        <v>2001</v>
      </c>
    </row>
    <row r="1163" spans="1:4" ht="19.95" customHeight="1" x14ac:dyDescent="0.25">
      <c r="A1163" s="9" t="s">
        <v>21</v>
      </c>
      <c r="B1163" s="10" t="s">
        <v>10</v>
      </c>
      <c r="C1163" s="10">
        <v>52.542999999999999</v>
      </c>
      <c r="D1163" s="10">
        <v>2001</v>
      </c>
    </row>
    <row r="1164" spans="1:4" ht="19.95" customHeight="1" x14ac:dyDescent="0.25">
      <c r="A1164" s="9" t="s">
        <v>22</v>
      </c>
      <c r="B1164" s="10" t="s">
        <v>10</v>
      </c>
      <c r="C1164" s="10">
        <v>59.128999999999998</v>
      </c>
      <c r="D1164" s="10">
        <v>2001</v>
      </c>
    </row>
    <row r="1165" spans="1:4" ht="19.95" customHeight="1" x14ac:dyDescent="0.25">
      <c r="A1165" s="9" t="s">
        <v>23</v>
      </c>
      <c r="B1165" s="10" t="s">
        <v>10</v>
      </c>
      <c r="C1165" s="10">
        <v>46.71</v>
      </c>
      <c r="D1165" s="10">
        <v>2001</v>
      </c>
    </row>
    <row r="1166" spans="1:4" ht="19.95" customHeight="1" x14ac:dyDescent="0.25">
      <c r="A1166" s="9" t="s">
        <v>24</v>
      </c>
      <c r="B1166" s="10" t="s">
        <v>10</v>
      </c>
      <c r="C1166" s="10">
        <v>48.758000000000003</v>
      </c>
      <c r="D1166" s="10">
        <v>2001</v>
      </c>
    </row>
    <row r="1167" spans="1:4" ht="19.95" customHeight="1" x14ac:dyDescent="0.25">
      <c r="A1167" s="9" t="s">
        <v>25</v>
      </c>
      <c r="B1167" s="10" t="s">
        <v>10</v>
      </c>
      <c r="C1167" s="10">
        <v>67.185000000000002</v>
      </c>
      <c r="D1167" s="10">
        <v>2001</v>
      </c>
    </row>
    <row r="1168" spans="1:4" ht="19.95" customHeight="1" x14ac:dyDescent="0.25">
      <c r="A1168" s="9" t="s">
        <v>26</v>
      </c>
      <c r="B1168" s="10" t="s">
        <v>10</v>
      </c>
      <c r="C1168" s="10">
        <v>48.859000000000002</v>
      </c>
      <c r="D1168" s="10">
        <v>2001</v>
      </c>
    </row>
    <row r="1169" spans="1:4" ht="19.95" customHeight="1" x14ac:dyDescent="0.25">
      <c r="A1169" s="9" t="s">
        <v>28</v>
      </c>
      <c r="B1169" s="10" t="s">
        <v>10</v>
      </c>
      <c r="C1169" s="10">
        <v>62.451999999999998</v>
      </c>
      <c r="D1169" s="10">
        <v>2001</v>
      </c>
    </row>
    <row r="1170" spans="1:4" ht="19.95" customHeight="1" x14ac:dyDescent="0.25">
      <c r="A1170" s="9" t="s">
        <v>29</v>
      </c>
      <c r="B1170" s="10" t="s">
        <v>10</v>
      </c>
      <c r="C1170" s="10">
        <v>63.082000000000001</v>
      </c>
      <c r="D1170" s="10">
        <v>2001</v>
      </c>
    </row>
    <row r="1171" spans="1:4" ht="19.95" customHeight="1" x14ac:dyDescent="0.25">
      <c r="A1171" s="9" t="s">
        <v>30</v>
      </c>
      <c r="B1171" s="10" t="s">
        <v>10</v>
      </c>
      <c r="C1171" s="10">
        <v>70.213999999999999</v>
      </c>
      <c r="D1171" s="10">
        <v>2001</v>
      </c>
    </row>
    <row r="1172" spans="1:4" ht="19.95" customHeight="1" x14ac:dyDescent="0.25">
      <c r="A1172" s="9" t="s">
        <v>31</v>
      </c>
      <c r="B1172" s="10" t="s">
        <v>10</v>
      </c>
      <c r="C1172" s="10">
        <v>50.494</v>
      </c>
      <c r="D1172" s="10">
        <v>2001</v>
      </c>
    </row>
    <row r="1173" spans="1:4" ht="19.95" customHeight="1" x14ac:dyDescent="0.25">
      <c r="A1173" s="9" t="s">
        <v>32</v>
      </c>
      <c r="B1173" s="10" t="s">
        <v>10</v>
      </c>
      <c r="C1173" s="10">
        <v>49.792999999999999</v>
      </c>
      <c r="D1173" s="10">
        <v>2001</v>
      </c>
    </row>
    <row r="1174" spans="1:4" ht="19.95" customHeight="1" x14ac:dyDescent="0.25">
      <c r="A1174" s="9" t="s">
        <v>33</v>
      </c>
      <c r="B1174" s="10" t="s">
        <v>10</v>
      </c>
      <c r="C1174" s="10">
        <v>63.526000000000003</v>
      </c>
      <c r="D1174" s="10">
        <v>2001</v>
      </c>
    </row>
    <row r="1175" spans="1:4" ht="19.95" customHeight="1" x14ac:dyDescent="0.25">
      <c r="A1175" s="9" t="s">
        <v>34</v>
      </c>
      <c r="B1175" s="10" t="s">
        <v>10</v>
      </c>
      <c r="C1175" s="10">
        <v>71.775000000000006</v>
      </c>
      <c r="D1175" s="10">
        <v>2001</v>
      </c>
    </row>
    <row r="1176" spans="1:4" ht="19.95" customHeight="1" x14ac:dyDescent="0.25">
      <c r="A1176" s="9" t="s">
        <v>35</v>
      </c>
      <c r="B1176" s="10" t="s">
        <v>10</v>
      </c>
      <c r="C1176" s="10">
        <v>65.894000000000005</v>
      </c>
      <c r="D1176" s="10">
        <v>2001</v>
      </c>
    </row>
    <row r="1177" spans="1:4" ht="19.95" customHeight="1" x14ac:dyDescent="0.25">
      <c r="A1177" s="9" t="s">
        <v>36</v>
      </c>
      <c r="B1177" s="10" t="s">
        <v>10</v>
      </c>
      <c r="C1177" s="10">
        <v>52.280999999999999</v>
      </c>
      <c r="D1177" s="10">
        <v>2001</v>
      </c>
    </row>
    <row r="1178" spans="1:4" ht="19.95" customHeight="1" x14ac:dyDescent="0.25">
      <c r="A1178" s="9" t="s">
        <v>37</v>
      </c>
      <c r="B1178" s="10" t="s">
        <v>10</v>
      </c>
      <c r="C1178" s="10">
        <v>48.12</v>
      </c>
      <c r="D1178" s="10">
        <v>2001</v>
      </c>
    </row>
    <row r="1179" spans="1:4" ht="19.95" customHeight="1" x14ac:dyDescent="0.25">
      <c r="A1179" s="9" t="s">
        <v>38</v>
      </c>
      <c r="B1179" s="10" t="s">
        <v>10</v>
      </c>
      <c r="C1179" s="10">
        <v>45.448</v>
      </c>
      <c r="D1179" s="10">
        <v>2001</v>
      </c>
    </row>
    <row r="1180" spans="1:4" ht="19.95" customHeight="1" x14ac:dyDescent="0.25">
      <c r="A1180" s="9" t="s">
        <v>39</v>
      </c>
      <c r="B1180" s="10" t="s">
        <v>10</v>
      </c>
      <c r="C1180" s="10">
        <v>44.326000000000001</v>
      </c>
      <c r="D1180" s="10">
        <v>2001</v>
      </c>
    </row>
    <row r="1181" spans="1:4" ht="19.95" customHeight="1" x14ac:dyDescent="0.25">
      <c r="A1181" s="9" t="s">
        <v>9</v>
      </c>
      <c r="B1181" s="10" t="s">
        <v>10</v>
      </c>
      <c r="C1181" s="10">
        <v>51.976999999999997</v>
      </c>
      <c r="D1181" s="10">
        <v>2002</v>
      </c>
    </row>
    <row r="1182" spans="1:4" ht="19.95" customHeight="1" x14ac:dyDescent="0.25">
      <c r="A1182" s="9" t="s">
        <v>12</v>
      </c>
      <c r="B1182" s="10" t="s">
        <v>10</v>
      </c>
      <c r="C1182" s="10">
        <v>51.058999999999997</v>
      </c>
      <c r="D1182" s="10">
        <v>2002</v>
      </c>
    </row>
    <row r="1183" spans="1:4" ht="19.95" customHeight="1" x14ac:dyDescent="0.25">
      <c r="A1183" s="9" t="s">
        <v>13</v>
      </c>
      <c r="B1183" s="10" t="s">
        <v>10</v>
      </c>
      <c r="C1183" s="10">
        <v>47.637999999999998</v>
      </c>
      <c r="D1183" s="10">
        <v>2002</v>
      </c>
    </row>
    <row r="1184" spans="1:4" ht="19.95" customHeight="1" x14ac:dyDescent="0.25">
      <c r="A1184" s="9" t="s">
        <v>15</v>
      </c>
      <c r="B1184" s="10" t="s">
        <v>10</v>
      </c>
      <c r="C1184" s="10">
        <v>59.616999999999997</v>
      </c>
      <c r="D1184" s="10">
        <v>2002</v>
      </c>
    </row>
    <row r="1185" spans="1:4" ht="19.95" customHeight="1" x14ac:dyDescent="0.25">
      <c r="A1185" s="9" t="s">
        <v>16</v>
      </c>
      <c r="B1185" s="10" t="s">
        <v>10</v>
      </c>
      <c r="C1185" s="10">
        <v>57.232999999999997</v>
      </c>
      <c r="D1185" s="10">
        <v>2002</v>
      </c>
    </row>
    <row r="1186" spans="1:4" ht="19.95" customHeight="1" x14ac:dyDescent="0.25">
      <c r="A1186" s="9" t="s">
        <v>1</v>
      </c>
      <c r="B1186" s="10" t="s">
        <v>10</v>
      </c>
      <c r="C1186" s="10">
        <v>53.347000000000001</v>
      </c>
      <c r="D1186" s="10">
        <v>2002</v>
      </c>
    </row>
    <row r="1187" spans="1:4" ht="19.95" customHeight="1" x14ac:dyDescent="0.25">
      <c r="A1187" s="9" t="s">
        <v>17</v>
      </c>
      <c r="B1187" s="10" t="s">
        <v>10</v>
      </c>
      <c r="C1187" s="10">
        <v>51.451000000000001</v>
      </c>
      <c r="D1187" s="10">
        <v>2002</v>
      </c>
    </row>
    <row r="1188" spans="1:4" ht="19.95" customHeight="1" x14ac:dyDescent="0.25">
      <c r="A1188" s="9" t="s">
        <v>18</v>
      </c>
      <c r="B1188" s="10" t="s">
        <v>10</v>
      </c>
      <c r="C1188" s="10">
        <v>58.238999999999997</v>
      </c>
      <c r="D1188" s="10">
        <v>2002</v>
      </c>
    </row>
    <row r="1189" spans="1:4" ht="19.95" customHeight="1" x14ac:dyDescent="0.25">
      <c r="A1189" s="9" t="s">
        <v>19</v>
      </c>
      <c r="B1189" s="10" t="s">
        <v>10</v>
      </c>
      <c r="C1189" s="10">
        <v>52.564999999999998</v>
      </c>
      <c r="D1189" s="10">
        <v>2002</v>
      </c>
    </row>
    <row r="1190" spans="1:4" ht="19.95" customHeight="1" x14ac:dyDescent="0.25">
      <c r="A1190" s="9" t="s">
        <v>20</v>
      </c>
      <c r="B1190" s="10" t="s">
        <v>10</v>
      </c>
      <c r="C1190" s="10">
        <v>67.943902439024399</v>
      </c>
      <c r="D1190" s="10">
        <v>2002</v>
      </c>
    </row>
    <row r="1191" spans="1:4" ht="19.95" customHeight="1" x14ac:dyDescent="0.25">
      <c r="A1191" s="9" t="s">
        <v>21</v>
      </c>
      <c r="B1191" s="10" t="s">
        <v>10</v>
      </c>
      <c r="C1191" s="10">
        <v>52.814</v>
      </c>
      <c r="D1191" s="10">
        <v>2002</v>
      </c>
    </row>
    <row r="1192" spans="1:4" ht="19.95" customHeight="1" x14ac:dyDescent="0.25">
      <c r="A1192" s="9" t="s">
        <v>22</v>
      </c>
      <c r="B1192" s="10" t="s">
        <v>10</v>
      </c>
      <c r="C1192" s="10">
        <v>59.716999999999999</v>
      </c>
      <c r="D1192" s="10">
        <v>2002</v>
      </c>
    </row>
    <row r="1193" spans="1:4" ht="19.95" customHeight="1" x14ac:dyDescent="0.25">
      <c r="A1193" s="9" t="s">
        <v>23</v>
      </c>
      <c r="B1193" s="10" t="s">
        <v>10</v>
      </c>
      <c r="C1193" s="10">
        <v>47.168999999999997</v>
      </c>
      <c r="D1193" s="10">
        <v>2002</v>
      </c>
    </row>
    <row r="1194" spans="1:4" ht="19.95" customHeight="1" x14ac:dyDescent="0.25">
      <c r="A1194" s="9" t="s">
        <v>24</v>
      </c>
      <c r="B1194" s="10" t="s">
        <v>10</v>
      </c>
      <c r="C1194" s="10">
        <v>49.54</v>
      </c>
      <c r="D1194" s="10">
        <v>2002</v>
      </c>
    </row>
    <row r="1195" spans="1:4" ht="19.95" customHeight="1" x14ac:dyDescent="0.25">
      <c r="A1195" s="9" t="s">
        <v>25</v>
      </c>
      <c r="B1195" s="10" t="s">
        <v>10</v>
      </c>
      <c r="C1195" s="10">
        <v>67.361999999999995</v>
      </c>
      <c r="D1195" s="10">
        <v>2002</v>
      </c>
    </row>
    <row r="1196" spans="1:4" ht="19.95" customHeight="1" x14ac:dyDescent="0.25">
      <c r="A1196" s="9" t="s">
        <v>26</v>
      </c>
      <c r="B1196" s="10" t="s">
        <v>10</v>
      </c>
      <c r="C1196" s="10">
        <v>49.405999999999999</v>
      </c>
      <c r="D1196" s="10">
        <v>2002</v>
      </c>
    </row>
    <row r="1197" spans="1:4" ht="19.95" customHeight="1" x14ac:dyDescent="0.25">
      <c r="A1197" s="9" t="s">
        <v>28</v>
      </c>
      <c r="B1197" s="10" t="s">
        <v>10</v>
      </c>
      <c r="C1197" s="10">
        <v>62.756999999999998</v>
      </c>
      <c r="D1197" s="10">
        <v>2002</v>
      </c>
    </row>
    <row r="1198" spans="1:4" ht="19.95" customHeight="1" x14ac:dyDescent="0.25">
      <c r="A1198" s="9" t="s">
        <v>29</v>
      </c>
      <c r="B1198" s="10" t="s">
        <v>10</v>
      </c>
      <c r="C1198" s="10">
        <v>63.744999999999997</v>
      </c>
      <c r="D1198" s="10">
        <v>2002</v>
      </c>
    </row>
    <row r="1199" spans="1:4" ht="19.95" customHeight="1" x14ac:dyDescent="0.25">
      <c r="A1199" s="9" t="s">
        <v>30</v>
      </c>
      <c r="B1199" s="10" t="s">
        <v>10</v>
      </c>
      <c r="C1199" s="10">
        <v>70.674999999999997</v>
      </c>
      <c r="D1199" s="10">
        <v>2002</v>
      </c>
    </row>
    <row r="1200" spans="1:4" ht="19.95" customHeight="1" x14ac:dyDescent="0.25">
      <c r="A1200" s="9" t="s">
        <v>31</v>
      </c>
      <c r="B1200" s="10" t="s">
        <v>10</v>
      </c>
      <c r="C1200" s="10">
        <v>51.122999999999998</v>
      </c>
      <c r="D1200" s="10">
        <v>2002</v>
      </c>
    </row>
    <row r="1201" spans="1:4" ht="19.95" customHeight="1" x14ac:dyDescent="0.25">
      <c r="A1201" s="9" t="s">
        <v>32</v>
      </c>
      <c r="B1201" s="10" t="s">
        <v>10</v>
      </c>
      <c r="C1201" s="10">
        <v>50.97</v>
      </c>
      <c r="D1201" s="10">
        <v>2002</v>
      </c>
    </row>
    <row r="1202" spans="1:4" ht="19.95" customHeight="1" x14ac:dyDescent="0.25">
      <c r="A1202" s="9" t="s">
        <v>33</v>
      </c>
      <c r="B1202" s="10" t="s">
        <v>10</v>
      </c>
      <c r="C1202" s="10">
        <v>63.753999999999998</v>
      </c>
      <c r="D1202" s="10">
        <v>2002</v>
      </c>
    </row>
    <row r="1203" spans="1:4" ht="19.95" customHeight="1" x14ac:dyDescent="0.25">
      <c r="A1203" s="9" t="s">
        <v>34</v>
      </c>
      <c r="B1203" s="10" t="s">
        <v>10</v>
      </c>
      <c r="C1203" s="10">
        <v>72.510999999999996</v>
      </c>
      <c r="D1203" s="10">
        <v>2002</v>
      </c>
    </row>
    <row r="1204" spans="1:4" ht="19.95" customHeight="1" x14ac:dyDescent="0.25">
      <c r="A1204" s="9" t="s">
        <v>35</v>
      </c>
      <c r="B1204" s="10" t="s">
        <v>10</v>
      </c>
      <c r="C1204" s="10">
        <v>66.302999999999997</v>
      </c>
      <c r="D1204" s="10">
        <v>2002</v>
      </c>
    </row>
    <row r="1205" spans="1:4" ht="19.95" customHeight="1" x14ac:dyDescent="0.25">
      <c r="A1205" s="9" t="s">
        <v>36</v>
      </c>
      <c r="B1205" s="10" t="s">
        <v>10</v>
      </c>
      <c r="C1205" s="10">
        <v>53.173000000000002</v>
      </c>
      <c r="D1205" s="10">
        <v>2002</v>
      </c>
    </row>
    <row r="1206" spans="1:4" ht="19.95" customHeight="1" x14ac:dyDescent="0.25">
      <c r="A1206" s="9" t="s">
        <v>37</v>
      </c>
      <c r="B1206" s="10" t="s">
        <v>10</v>
      </c>
      <c r="C1206" s="10">
        <v>49.241999999999997</v>
      </c>
      <c r="D1206" s="10">
        <v>2002</v>
      </c>
    </row>
    <row r="1207" spans="1:4" ht="19.95" customHeight="1" x14ac:dyDescent="0.25">
      <c r="A1207" s="9" t="s">
        <v>38</v>
      </c>
      <c r="B1207" s="10" t="s">
        <v>10</v>
      </c>
      <c r="C1207" s="10">
        <v>46.33</v>
      </c>
      <c r="D1207" s="10">
        <v>2002</v>
      </c>
    </row>
    <row r="1208" spans="1:4" ht="19.95" customHeight="1" x14ac:dyDescent="0.25">
      <c r="A1208" s="9" t="s">
        <v>39</v>
      </c>
      <c r="B1208" s="10" t="s">
        <v>10</v>
      </c>
      <c r="C1208" s="10">
        <v>44.109000000000002</v>
      </c>
      <c r="D1208" s="10">
        <v>2002</v>
      </c>
    </row>
    <row r="1209" spans="1:4" ht="19.95" customHeight="1" x14ac:dyDescent="0.25">
      <c r="A1209" s="9" t="s">
        <v>9</v>
      </c>
      <c r="B1209" s="10" t="s">
        <v>10</v>
      </c>
      <c r="C1209" s="10">
        <v>52.19</v>
      </c>
      <c r="D1209" s="10">
        <v>2003</v>
      </c>
    </row>
    <row r="1210" spans="1:4" ht="19.95" customHeight="1" x14ac:dyDescent="0.25">
      <c r="A1210" s="9" t="s">
        <v>12</v>
      </c>
      <c r="B1210" s="10" t="s">
        <v>10</v>
      </c>
      <c r="C1210" s="10">
        <v>51.670999999999999</v>
      </c>
      <c r="D1210" s="10">
        <v>2003</v>
      </c>
    </row>
    <row r="1211" spans="1:4" ht="19.95" customHeight="1" x14ac:dyDescent="0.25">
      <c r="A1211" s="9" t="s">
        <v>13</v>
      </c>
      <c r="B1211" s="10" t="s">
        <v>10</v>
      </c>
      <c r="C1211" s="10">
        <v>47.716000000000001</v>
      </c>
      <c r="D1211" s="10">
        <v>2003</v>
      </c>
    </row>
    <row r="1212" spans="1:4" ht="19.95" customHeight="1" x14ac:dyDescent="0.25">
      <c r="A1212" s="9" t="s">
        <v>15</v>
      </c>
      <c r="B1212" s="10" t="s">
        <v>10</v>
      </c>
      <c r="C1212" s="10">
        <v>59.738</v>
      </c>
      <c r="D1212" s="10">
        <v>2003</v>
      </c>
    </row>
    <row r="1213" spans="1:4" ht="19.95" customHeight="1" x14ac:dyDescent="0.25">
      <c r="A1213" s="9" t="s">
        <v>16</v>
      </c>
      <c r="B1213" s="10" t="s">
        <v>10</v>
      </c>
      <c r="C1213" s="10">
        <v>57.423999999999999</v>
      </c>
      <c r="D1213" s="10">
        <v>2003</v>
      </c>
    </row>
    <row r="1214" spans="1:4" ht="19.95" customHeight="1" x14ac:dyDescent="0.25">
      <c r="A1214" s="9" t="s">
        <v>1</v>
      </c>
      <c r="B1214" s="10" t="s">
        <v>10</v>
      </c>
      <c r="C1214" s="10">
        <v>54.209000000000003</v>
      </c>
      <c r="D1214" s="10">
        <v>2003</v>
      </c>
    </row>
    <row r="1215" spans="1:4" ht="19.95" customHeight="1" x14ac:dyDescent="0.25">
      <c r="A1215" s="9" t="s">
        <v>17</v>
      </c>
      <c r="B1215" s="10" t="s">
        <v>10</v>
      </c>
      <c r="C1215" s="10">
        <v>51.859000000000002</v>
      </c>
      <c r="D1215" s="10">
        <v>2003</v>
      </c>
    </row>
    <row r="1216" spans="1:4" ht="19.95" customHeight="1" x14ac:dyDescent="0.25">
      <c r="A1216" s="9" t="s">
        <v>18</v>
      </c>
      <c r="B1216" s="10" t="s">
        <v>10</v>
      </c>
      <c r="C1216" s="10">
        <v>58.534999999999997</v>
      </c>
      <c r="D1216" s="10">
        <v>2003</v>
      </c>
    </row>
    <row r="1217" spans="1:4" ht="19.95" customHeight="1" x14ac:dyDescent="0.25">
      <c r="A1217" s="9" t="s">
        <v>19</v>
      </c>
      <c r="B1217" s="10" t="s">
        <v>10</v>
      </c>
      <c r="C1217" s="10">
        <v>53.412999999999997</v>
      </c>
      <c r="D1217" s="10">
        <v>2003</v>
      </c>
    </row>
    <row r="1218" spans="1:4" ht="19.95" customHeight="1" x14ac:dyDescent="0.25">
      <c r="A1218" s="9" t="s">
        <v>20</v>
      </c>
      <c r="B1218" s="10" t="s">
        <v>10</v>
      </c>
      <c r="C1218" s="10">
        <v>68.195121951219505</v>
      </c>
      <c r="D1218" s="10">
        <v>2003</v>
      </c>
    </row>
    <row r="1219" spans="1:4" ht="19.95" customHeight="1" x14ac:dyDescent="0.25">
      <c r="A1219" s="9" t="s">
        <v>21</v>
      </c>
      <c r="B1219" s="10" t="s">
        <v>10</v>
      </c>
      <c r="C1219" s="10">
        <v>53.323</v>
      </c>
      <c r="D1219" s="10">
        <v>2003</v>
      </c>
    </row>
    <row r="1220" spans="1:4" ht="19.95" customHeight="1" x14ac:dyDescent="0.25">
      <c r="A1220" s="9" t="s">
        <v>22</v>
      </c>
      <c r="B1220" s="10" t="s">
        <v>10</v>
      </c>
      <c r="C1220" s="10">
        <v>60.256</v>
      </c>
      <c r="D1220" s="10">
        <v>2003</v>
      </c>
    </row>
    <row r="1221" spans="1:4" ht="19.95" customHeight="1" x14ac:dyDescent="0.25">
      <c r="A1221" s="9" t="s">
        <v>23</v>
      </c>
      <c r="B1221" s="10" t="s">
        <v>10</v>
      </c>
      <c r="C1221" s="10">
        <v>47.843000000000004</v>
      </c>
      <c r="D1221" s="10">
        <v>2003</v>
      </c>
    </row>
    <row r="1222" spans="1:4" ht="19.95" customHeight="1" x14ac:dyDescent="0.25">
      <c r="A1222" s="9" t="s">
        <v>24</v>
      </c>
      <c r="B1222" s="10" t="s">
        <v>10</v>
      </c>
      <c r="C1222" s="10">
        <v>50.372999999999998</v>
      </c>
      <c r="D1222" s="10">
        <v>2003</v>
      </c>
    </row>
    <row r="1223" spans="1:4" ht="19.95" customHeight="1" x14ac:dyDescent="0.25">
      <c r="A1223" s="9" t="s">
        <v>25</v>
      </c>
      <c r="B1223" s="10" t="s">
        <v>10</v>
      </c>
      <c r="C1223" s="10">
        <v>67.521000000000001</v>
      </c>
      <c r="D1223" s="10">
        <v>2003</v>
      </c>
    </row>
    <row r="1224" spans="1:4" ht="19.95" customHeight="1" x14ac:dyDescent="0.25">
      <c r="A1224" s="9" t="s">
        <v>26</v>
      </c>
      <c r="B1224" s="10" t="s">
        <v>10</v>
      </c>
      <c r="C1224" s="10">
        <v>50.006999999999998</v>
      </c>
      <c r="D1224" s="10">
        <v>2003</v>
      </c>
    </row>
    <row r="1225" spans="1:4" ht="19.95" customHeight="1" x14ac:dyDescent="0.25">
      <c r="A1225" s="9" t="s">
        <v>28</v>
      </c>
      <c r="B1225" s="10" t="s">
        <v>10</v>
      </c>
      <c r="C1225" s="10">
        <v>63.045999999999999</v>
      </c>
      <c r="D1225" s="10">
        <v>2003</v>
      </c>
    </row>
    <row r="1226" spans="1:4" ht="19.95" customHeight="1" x14ac:dyDescent="0.25">
      <c r="A1226" s="9" t="s">
        <v>29</v>
      </c>
      <c r="B1226" s="10" t="s">
        <v>10</v>
      </c>
      <c r="C1226" s="10">
        <v>64.376000000000005</v>
      </c>
      <c r="D1226" s="10">
        <v>2003</v>
      </c>
    </row>
    <row r="1227" spans="1:4" ht="19.95" customHeight="1" x14ac:dyDescent="0.25">
      <c r="A1227" s="9" t="s">
        <v>30</v>
      </c>
      <c r="B1227" s="10" t="s">
        <v>10</v>
      </c>
      <c r="C1227" s="10">
        <v>71.117000000000004</v>
      </c>
      <c r="D1227" s="10">
        <v>2003</v>
      </c>
    </row>
    <row r="1228" spans="1:4" ht="19.95" customHeight="1" x14ac:dyDescent="0.25">
      <c r="A1228" s="9" t="s">
        <v>31</v>
      </c>
      <c r="B1228" s="10" t="s">
        <v>10</v>
      </c>
      <c r="C1228" s="10">
        <v>51.77</v>
      </c>
      <c r="D1228" s="10">
        <v>2003</v>
      </c>
    </row>
    <row r="1229" spans="1:4" ht="19.95" customHeight="1" x14ac:dyDescent="0.25">
      <c r="A1229" s="9" t="s">
        <v>32</v>
      </c>
      <c r="B1229" s="10" t="s">
        <v>10</v>
      </c>
      <c r="C1229" s="10">
        <v>52.268000000000001</v>
      </c>
      <c r="D1229" s="10">
        <v>2003</v>
      </c>
    </row>
    <row r="1230" spans="1:4" ht="19.95" customHeight="1" x14ac:dyDescent="0.25">
      <c r="A1230" s="9" t="s">
        <v>33</v>
      </c>
      <c r="B1230" s="10" t="s">
        <v>10</v>
      </c>
      <c r="C1230" s="10">
        <v>64.021000000000001</v>
      </c>
      <c r="D1230" s="10">
        <v>2003</v>
      </c>
    </row>
    <row r="1231" spans="1:4" ht="19.95" customHeight="1" x14ac:dyDescent="0.25">
      <c r="A1231" s="9" t="s">
        <v>34</v>
      </c>
      <c r="B1231" s="10" t="s">
        <v>10</v>
      </c>
      <c r="C1231" s="10">
        <v>73.128</v>
      </c>
      <c r="D1231" s="10">
        <v>2003</v>
      </c>
    </row>
    <row r="1232" spans="1:4" ht="19.95" customHeight="1" x14ac:dyDescent="0.25">
      <c r="A1232" s="9" t="s">
        <v>35</v>
      </c>
      <c r="B1232" s="10" t="s">
        <v>10</v>
      </c>
      <c r="C1232" s="10">
        <v>66.727000000000004</v>
      </c>
      <c r="D1232" s="10">
        <v>2003</v>
      </c>
    </row>
    <row r="1233" spans="1:4" ht="19.95" customHeight="1" x14ac:dyDescent="0.25">
      <c r="A1233" s="9" t="s">
        <v>36</v>
      </c>
      <c r="B1233" s="10" t="s">
        <v>10</v>
      </c>
      <c r="C1233" s="10">
        <v>54.142000000000003</v>
      </c>
      <c r="D1233" s="10">
        <v>2003</v>
      </c>
    </row>
    <row r="1234" spans="1:4" ht="19.95" customHeight="1" x14ac:dyDescent="0.25">
      <c r="A1234" s="9" t="s">
        <v>37</v>
      </c>
      <c r="B1234" s="10" t="s">
        <v>10</v>
      </c>
      <c r="C1234" s="10">
        <v>50.393999999999998</v>
      </c>
      <c r="D1234" s="10">
        <v>2003</v>
      </c>
    </row>
    <row r="1235" spans="1:4" ht="19.95" customHeight="1" x14ac:dyDescent="0.25">
      <c r="A1235" s="9" t="s">
        <v>38</v>
      </c>
      <c r="B1235" s="10" t="s">
        <v>10</v>
      </c>
      <c r="C1235" s="10">
        <v>47.33</v>
      </c>
      <c r="D1235" s="10">
        <v>2003</v>
      </c>
    </row>
    <row r="1236" spans="1:4" ht="19.95" customHeight="1" x14ac:dyDescent="0.25">
      <c r="A1236" s="9" t="s">
        <v>39</v>
      </c>
      <c r="B1236" s="10" t="s">
        <v>10</v>
      </c>
      <c r="C1236" s="10">
        <v>44.188000000000002</v>
      </c>
      <c r="D1236" s="10">
        <v>2003</v>
      </c>
    </row>
    <row r="1237" spans="1:4" ht="19.95" customHeight="1" x14ac:dyDescent="0.25">
      <c r="A1237" s="9" t="s">
        <v>9</v>
      </c>
      <c r="B1237" s="10" t="s">
        <v>10</v>
      </c>
      <c r="C1237" s="10">
        <v>52.436999999999998</v>
      </c>
      <c r="D1237" s="10">
        <v>2004</v>
      </c>
    </row>
    <row r="1238" spans="1:4" ht="19.95" customHeight="1" x14ac:dyDescent="0.25">
      <c r="A1238" s="9" t="s">
        <v>12</v>
      </c>
      <c r="B1238" s="10" t="s">
        <v>10</v>
      </c>
      <c r="C1238" s="10">
        <v>52.301000000000002</v>
      </c>
      <c r="D1238" s="10">
        <v>2004</v>
      </c>
    </row>
    <row r="1239" spans="1:4" ht="19.95" customHeight="1" x14ac:dyDescent="0.25">
      <c r="A1239" s="9" t="s">
        <v>13</v>
      </c>
      <c r="B1239" s="10" t="s">
        <v>10</v>
      </c>
      <c r="C1239" s="10">
        <v>47.847999999999999</v>
      </c>
      <c r="D1239" s="10">
        <v>2004</v>
      </c>
    </row>
    <row r="1240" spans="1:4" ht="19.95" customHeight="1" x14ac:dyDescent="0.25">
      <c r="A1240" s="9" t="s">
        <v>15</v>
      </c>
      <c r="B1240" s="10" t="s">
        <v>10</v>
      </c>
      <c r="C1240" s="10">
        <v>59.904000000000003</v>
      </c>
      <c r="D1240" s="10">
        <v>2004</v>
      </c>
    </row>
    <row r="1241" spans="1:4" ht="19.95" customHeight="1" x14ac:dyDescent="0.25">
      <c r="A1241" s="9" t="s">
        <v>16</v>
      </c>
      <c r="B1241" s="10" t="s">
        <v>10</v>
      </c>
      <c r="C1241" s="10">
        <v>57.677</v>
      </c>
      <c r="D1241" s="10">
        <v>2004</v>
      </c>
    </row>
    <row r="1242" spans="1:4" ht="19.95" customHeight="1" x14ac:dyDescent="0.25">
      <c r="A1242" s="9" t="s">
        <v>1</v>
      </c>
      <c r="B1242" s="10" t="s">
        <v>10</v>
      </c>
      <c r="C1242" s="10">
        <v>55.171999999999997</v>
      </c>
      <c r="D1242" s="10">
        <v>2004</v>
      </c>
    </row>
    <row r="1243" spans="1:4" ht="19.95" customHeight="1" x14ac:dyDescent="0.25">
      <c r="A1243" s="9" t="s">
        <v>17</v>
      </c>
      <c r="B1243" s="10" t="s">
        <v>10</v>
      </c>
      <c r="C1243" s="10">
        <v>52.444000000000003</v>
      </c>
      <c r="D1243" s="10">
        <v>2004</v>
      </c>
    </row>
    <row r="1244" spans="1:4" ht="19.95" customHeight="1" x14ac:dyDescent="0.25">
      <c r="A1244" s="9" t="s">
        <v>18</v>
      </c>
      <c r="B1244" s="10" t="s">
        <v>10</v>
      </c>
      <c r="C1244" s="10">
        <v>58.86</v>
      </c>
      <c r="D1244" s="10">
        <v>2004</v>
      </c>
    </row>
    <row r="1245" spans="1:4" ht="19.95" customHeight="1" x14ac:dyDescent="0.25">
      <c r="A1245" s="9" t="s">
        <v>19</v>
      </c>
      <c r="B1245" s="10" t="s">
        <v>10</v>
      </c>
      <c r="C1245" s="10">
        <v>54.512999999999998</v>
      </c>
      <c r="D1245" s="10">
        <v>2004</v>
      </c>
    </row>
    <row r="1246" spans="1:4" ht="19.95" customHeight="1" x14ac:dyDescent="0.25">
      <c r="A1246" s="9" t="s">
        <v>20</v>
      </c>
      <c r="B1246" s="10" t="s">
        <v>10</v>
      </c>
      <c r="C1246" s="10">
        <v>68.446341463414598</v>
      </c>
      <c r="D1246" s="10">
        <v>2004</v>
      </c>
    </row>
    <row r="1247" spans="1:4" ht="19.95" customHeight="1" x14ac:dyDescent="0.25">
      <c r="A1247" s="9" t="s">
        <v>21</v>
      </c>
      <c r="B1247" s="10" t="s">
        <v>10</v>
      </c>
      <c r="C1247" s="10">
        <v>54.084000000000003</v>
      </c>
      <c r="D1247" s="10">
        <v>2004</v>
      </c>
    </row>
    <row r="1248" spans="1:4" ht="19.95" customHeight="1" x14ac:dyDescent="0.25">
      <c r="A1248" s="9" t="s">
        <v>22</v>
      </c>
      <c r="B1248" s="10" t="s">
        <v>10</v>
      </c>
      <c r="C1248" s="10">
        <v>60.752000000000002</v>
      </c>
      <c r="D1248" s="10">
        <v>2004</v>
      </c>
    </row>
    <row r="1249" spans="1:4" ht="19.95" customHeight="1" x14ac:dyDescent="0.25">
      <c r="A1249" s="9" t="s">
        <v>23</v>
      </c>
      <c r="B1249" s="10" t="s">
        <v>10</v>
      </c>
      <c r="C1249" s="10">
        <v>48.734999999999999</v>
      </c>
      <c r="D1249" s="10">
        <v>2004</v>
      </c>
    </row>
    <row r="1250" spans="1:4" ht="19.95" customHeight="1" x14ac:dyDescent="0.25">
      <c r="A1250" s="9" t="s">
        <v>24</v>
      </c>
      <c r="B1250" s="10" t="s">
        <v>10</v>
      </c>
      <c r="C1250" s="10">
        <v>51.223999999999997</v>
      </c>
      <c r="D1250" s="10">
        <v>2004</v>
      </c>
    </row>
    <row r="1251" spans="1:4" ht="19.95" customHeight="1" x14ac:dyDescent="0.25">
      <c r="A1251" s="9" t="s">
        <v>25</v>
      </c>
      <c r="B1251" s="10" t="s">
        <v>10</v>
      </c>
      <c r="C1251" s="10">
        <v>67.665000000000006</v>
      </c>
      <c r="D1251" s="10">
        <v>2004</v>
      </c>
    </row>
    <row r="1252" spans="1:4" ht="19.95" customHeight="1" x14ac:dyDescent="0.25">
      <c r="A1252" s="9" t="s">
        <v>26</v>
      </c>
      <c r="B1252" s="10" t="s">
        <v>10</v>
      </c>
      <c r="C1252" s="10">
        <v>50.662999999999997</v>
      </c>
      <c r="D1252" s="10">
        <v>2004</v>
      </c>
    </row>
    <row r="1253" spans="1:4" ht="19.95" customHeight="1" x14ac:dyDescent="0.25">
      <c r="A1253" s="9" t="s">
        <v>28</v>
      </c>
      <c r="B1253" s="10" t="s">
        <v>10</v>
      </c>
      <c r="C1253" s="10">
        <v>63.323</v>
      </c>
      <c r="D1253" s="10">
        <v>2004</v>
      </c>
    </row>
    <row r="1254" spans="1:4" ht="19.95" customHeight="1" x14ac:dyDescent="0.25">
      <c r="A1254" s="9" t="s">
        <v>29</v>
      </c>
      <c r="B1254" s="10" t="s">
        <v>10</v>
      </c>
      <c r="C1254" s="10">
        <v>64.972999999999999</v>
      </c>
      <c r="D1254" s="10">
        <v>2004</v>
      </c>
    </row>
    <row r="1255" spans="1:4" ht="19.95" customHeight="1" x14ac:dyDescent="0.25">
      <c r="A1255" s="9" t="s">
        <v>30</v>
      </c>
      <c r="B1255" s="10" t="s">
        <v>10</v>
      </c>
      <c r="C1255" s="10">
        <v>71.537000000000006</v>
      </c>
      <c r="D1255" s="10">
        <v>2004</v>
      </c>
    </row>
    <row r="1256" spans="1:4" ht="19.95" customHeight="1" x14ac:dyDescent="0.25">
      <c r="A1256" s="9" t="s">
        <v>31</v>
      </c>
      <c r="B1256" s="10" t="s">
        <v>10</v>
      </c>
      <c r="C1256" s="10">
        <v>52.436</v>
      </c>
      <c r="D1256" s="10">
        <v>2004</v>
      </c>
    </row>
    <row r="1257" spans="1:4" ht="19.95" customHeight="1" x14ac:dyDescent="0.25">
      <c r="A1257" s="9" t="s">
        <v>32</v>
      </c>
      <c r="B1257" s="10" t="s">
        <v>10</v>
      </c>
      <c r="C1257" s="10">
        <v>53.755000000000003</v>
      </c>
      <c r="D1257" s="10">
        <v>2004</v>
      </c>
    </row>
    <row r="1258" spans="1:4" ht="19.95" customHeight="1" x14ac:dyDescent="0.25">
      <c r="A1258" s="9" t="s">
        <v>33</v>
      </c>
      <c r="B1258" s="10" t="s">
        <v>10</v>
      </c>
      <c r="C1258" s="10">
        <v>64.322000000000003</v>
      </c>
      <c r="D1258" s="10">
        <v>2004</v>
      </c>
    </row>
    <row r="1259" spans="1:4" ht="19.95" customHeight="1" x14ac:dyDescent="0.25">
      <c r="A1259" s="9" t="s">
        <v>34</v>
      </c>
      <c r="B1259" s="10" t="s">
        <v>10</v>
      </c>
      <c r="C1259" s="10">
        <v>73.593000000000004</v>
      </c>
      <c r="D1259" s="10">
        <v>2004</v>
      </c>
    </row>
    <row r="1260" spans="1:4" ht="19.95" customHeight="1" x14ac:dyDescent="0.25">
      <c r="A1260" s="9" t="s">
        <v>35</v>
      </c>
      <c r="B1260" s="10" t="s">
        <v>10</v>
      </c>
      <c r="C1260" s="10">
        <v>67.162999999999997</v>
      </c>
      <c r="D1260" s="10">
        <v>2004</v>
      </c>
    </row>
    <row r="1261" spans="1:4" ht="19.95" customHeight="1" x14ac:dyDescent="0.25">
      <c r="A1261" s="9" t="s">
        <v>36</v>
      </c>
      <c r="B1261" s="10" t="s">
        <v>10</v>
      </c>
      <c r="C1261" s="10">
        <v>55.161000000000001</v>
      </c>
      <c r="D1261" s="10">
        <v>2004</v>
      </c>
    </row>
    <row r="1262" spans="1:4" ht="19.95" customHeight="1" x14ac:dyDescent="0.25">
      <c r="A1262" s="9" t="s">
        <v>37</v>
      </c>
      <c r="B1262" s="10" t="s">
        <v>10</v>
      </c>
      <c r="C1262" s="10">
        <v>51.537999999999997</v>
      </c>
      <c r="D1262" s="10">
        <v>2004</v>
      </c>
    </row>
    <row r="1263" spans="1:4" ht="19.95" customHeight="1" x14ac:dyDescent="0.25">
      <c r="A1263" s="9" t="s">
        <v>38</v>
      </c>
      <c r="B1263" s="10" t="s">
        <v>10</v>
      </c>
      <c r="C1263" s="10">
        <v>48.432000000000002</v>
      </c>
      <c r="D1263" s="10">
        <v>2004</v>
      </c>
    </row>
    <row r="1264" spans="1:4" ht="19.95" customHeight="1" x14ac:dyDescent="0.25">
      <c r="A1264" s="9" t="s">
        <v>39</v>
      </c>
      <c r="B1264" s="10" t="s">
        <v>10</v>
      </c>
      <c r="C1264" s="10">
        <v>44.570999999999998</v>
      </c>
      <c r="D1264" s="10">
        <v>2004</v>
      </c>
    </row>
    <row r="1265" spans="1:4" ht="19.95" customHeight="1" x14ac:dyDescent="0.25">
      <c r="A1265" s="9" t="s">
        <v>9</v>
      </c>
      <c r="B1265" s="10" t="s">
        <v>10</v>
      </c>
      <c r="C1265" s="10">
        <v>52.734999999999999</v>
      </c>
      <c r="D1265" s="10">
        <v>2005</v>
      </c>
    </row>
    <row r="1266" spans="1:4" ht="19.95" customHeight="1" x14ac:dyDescent="0.25">
      <c r="A1266" s="9" t="s">
        <v>12</v>
      </c>
      <c r="B1266" s="10" t="s">
        <v>10</v>
      </c>
      <c r="C1266" s="10">
        <v>52.915999999999997</v>
      </c>
      <c r="D1266" s="10">
        <v>2005</v>
      </c>
    </row>
    <row r="1267" spans="1:4" ht="19.95" customHeight="1" x14ac:dyDescent="0.25">
      <c r="A1267" s="9" t="s">
        <v>13</v>
      </c>
      <c r="B1267" s="10" t="s">
        <v>10</v>
      </c>
      <c r="C1267" s="10">
        <v>48.054000000000002</v>
      </c>
      <c r="D1267" s="10">
        <v>2005</v>
      </c>
    </row>
    <row r="1268" spans="1:4" ht="19.95" customHeight="1" x14ac:dyDescent="0.25">
      <c r="A1268" s="9" t="s">
        <v>15</v>
      </c>
      <c r="B1268" s="10" t="s">
        <v>10</v>
      </c>
      <c r="C1268" s="10">
        <v>60.125999999999998</v>
      </c>
      <c r="D1268" s="10">
        <v>2005</v>
      </c>
    </row>
    <row r="1269" spans="1:4" ht="19.95" customHeight="1" x14ac:dyDescent="0.25">
      <c r="A1269" s="9" t="s">
        <v>16</v>
      </c>
      <c r="B1269" s="10" t="s">
        <v>10</v>
      </c>
      <c r="C1269" s="10">
        <v>57.999000000000002</v>
      </c>
      <c r="D1269" s="10">
        <v>2005</v>
      </c>
    </row>
    <row r="1270" spans="1:4" ht="19.95" customHeight="1" x14ac:dyDescent="0.25">
      <c r="A1270" s="9" t="s">
        <v>1</v>
      </c>
      <c r="B1270" s="10" t="s">
        <v>10</v>
      </c>
      <c r="C1270" s="10">
        <v>56.220999999999997</v>
      </c>
      <c r="D1270" s="10">
        <v>2005</v>
      </c>
    </row>
    <row r="1271" spans="1:4" ht="19.95" customHeight="1" x14ac:dyDescent="0.25">
      <c r="A1271" s="9" t="s">
        <v>17</v>
      </c>
      <c r="B1271" s="10" t="s">
        <v>10</v>
      </c>
      <c r="C1271" s="10">
        <v>53.17</v>
      </c>
      <c r="D1271" s="10">
        <v>2005</v>
      </c>
    </row>
    <row r="1272" spans="1:4" ht="19.95" customHeight="1" x14ac:dyDescent="0.25">
      <c r="A1272" s="9" t="s">
        <v>18</v>
      </c>
      <c r="B1272" s="10" t="s">
        <v>10</v>
      </c>
      <c r="C1272" s="10">
        <v>59.219000000000001</v>
      </c>
      <c r="D1272" s="10">
        <v>2005</v>
      </c>
    </row>
    <row r="1273" spans="1:4" ht="19.95" customHeight="1" x14ac:dyDescent="0.25">
      <c r="A1273" s="9" t="s">
        <v>19</v>
      </c>
      <c r="B1273" s="10" t="s">
        <v>10</v>
      </c>
      <c r="C1273" s="10">
        <v>55.819000000000003</v>
      </c>
      <c r="D1273" s="10">
        <v>2005</v>
      </c>
    </row>
    <row r="1274" spans="1:4" ht="19.95" customHeight="1" x14ac:dyDescent="0.25">
      <c r="A1274" s="9" t="s">
        <v>20</v>
      </c>
      <c r="B1274" s="10" t="s">
        <v>10</v>
      </c>
      <c r="C1274" s="10">
        <v>68.695121951219505</v>
      </c>
      <c r="D1274" s="10">
        <v>2005</v>
      </c>
    </row>
    <row r="1275" spans="1:4" ht="19.95" customHeight="1" x14ac:dyDescent="0.25">
      <c r="A1275" s="9" t="s">
        <v>21</v>
      </c>
      <c r="B1275" s="10" t="s">
        <v>10</v>
      </c>
      <c r="C1275" s="10">
        <v>55.052</v>
      </c>
      <c r="D1275" s="10">
        <v>2005</v>
      </c>
    </row>
    <row r="1276" spans="1:4" ht="19.95" customHeight="1" x14ac:dyDescent="0.25">
      <c r="A1276" s="9" t="s">
        <v>22</v>
      </c>
      <c r="B1276" s="10" t="s">
        <v>10</v>
      </c>
      <c r="C1276" s="10">
        <v>61.212000000000003</v>
      </c>
      <c r="D1276" s="10">
        <v>2005</v>
      </c>
    </row>
    <row r="1277" spans="1:4" ht="19.95" customHeight="1" x14ac:dyDescent="0.25">
      <c r="A1277" s="9" t="s">
        <v>23</v>
      </c>
      <c r="B1277" s="10" t="s">
        <v>10</v>
      </c>
      <c r="C1277" s="10">
        <v>49.845999999999997</v>
      </c>
      <c r="D1277" s="10">
        <v>2005</v>
      </c>
    </row>
    <row r="1278" spans="1:4" ht="19.95" customHeight="1" x14ac:dyDescent="0.25">
      <c r="A1278" s="9" t="s">
        <v>24</v>
      </c>
      <c r="B1278" s="10" t="s">
        <v>10</v>
      </c>
      <c r="C1278" s="10">
        <v>52.057000000000002</v>
      </c>
      <c r="D1278" s="10">
        <v>2005</v>
      </c>
    </row>
    <row r="1279" spans="1:4" ht="19.95" customHeight="1" x14ac:dyDescent="0.25">
      <c r="A1279" s="9" t="s">
        <v>25</v>
      </c>
      <c r="B1279" s="10" t="s">
        <v>10</v>
      </c>
      <c r="C1279" s="10">
        <v>67.819999999999993</v>
      </c>
      <c r="D1279" s="10">
        <v>2005</v>
      </c>
    </row>
    <row r="1280" spans="1:4" ht="19.95" customHeight="1" x14ac:dyDescent="0.25">
      <c r="A1280" s="9" t="s">
        <v>26</v>
      </c>
      <c r="B1280" s="10" t="s">
        <v>10</v>
      </c>
      <c r="C1280" s="10">
        <v>51.362000000000002</v>
      </c>
      <c r="D1280" s="10">
        <v>2005</v>
      </c>
    </row>
    <row r="1281" spans="1:4" ht="19.95" customHeight="1" x14ac:dyDescent="0.25">
      <c r="A1281" s="9" t="s">
        <v>28</v>
      </c>
      <c r="B1281" s="10" t="s">
        <v>10</v>
      </c>
      <c r="C1281" s="10">
        <v>63.597000000000001</v>
      </c>
      <c r="D1281" s="10">
        <v>2005</v>
      </c>
    </row>
    <row r="1282" spans="1:4" ht="19.95" customHeight="1" x14ac:dyDescent="0.25">
      <c r="A1282" s="9" t="s">
        <v>29</v>
      </c>
      <c r="B1282" s="10" t="s">
        <v>10</v>
      </c>
      <c r="C1282" s="10">
        <v>65.537000000000006</v>
      </c>
      <c r="D1282" s="10">
        <v>2005</v>
      </c>
    </row>
    <row r="1283" spans="1:4" ht="19.95" customHeight="1" x14ac:dyDescent="0.25">
      <c r="A1283" s="9" t="s">
        <v>30</v>
      </c>
      <c r="B1283" s="10" t="s">
        <v>10</v>
      </c>
      <c r="C1283" s="10">
        <v>71.935000000000002</v>
      </c>
      <c r="D1283" s="10">
        <v>2005</v>
      </c>
    </row>
    <row r="1284" spans="1:4" ht="19.95" customHeight="1" x14ac:dyDescent="0.25">
      <c r="A1284" s="9" t="s">
        <v>31</v>
      </c>
      <c r="B1284" s="10" t="s">
        <v>10</v>
      </c>
      <c r="C1284" s="10">
        <v>53.127000000000002</v>
      </c>
      <c r="D1284" s="10">
        <v>2005</v>
      </c>
    </row>
    <row r="1285" spans="1:4" ht="19.95" customHeight="1" x14ac:dyDescent="0.25">
      <c r="A1285" s="9" t="s">
        <v>32</v>
      </c>
      <c r="B1285" s="10" t="s">
        <v>10</v>
      </c>
      <c r="C1285" s="10">
        <v>55.43</v>
      </c>
      <c r="D1285" s="10">
        <v>2005</v>
      </c>
    </row>
    <row r="1286" spans="1:4" ht="19.95" customHeight="1" x14ac:dyDescent="0.25">
      <c r="A1286" s="9" t="s">
        <v>33</v>
      </c>
      <c r="B1286" s="10" t="s">
        <v>10</v>
      </c>
      <c r="C1286" s="10">
        <v>64.641000000000005</v>
      </c>
      <c r="D1286" s="10">
        <v>2005</v>
      </c>
    </row>
    <row r="1287" spans="1:4" ht="19.95" customHeight="1" x14ac:dyDescent="0.25">
      <c r="A1287" s="9" t="s">
        <v>34</v>
      </c>
      <c r="B1287" s="10" t="s">
        <v>10</v>
      </c>
      <c r="C1287" s="10">
        <v>73.896000000000001</v>
      </c>
      <c r="D1287" s="10">
        <v>2005</v>
      </c>
    </row>
    <row r="1288" spans="1:4" ht="19.95" customHeight="1" x14ac:dyDescent="0.25">
      <c r="A1288" s="9" t="s">
        <v>35</v>
      </c>
      <c r="B1288" s="10" t="s">
        <v>10</v>
      </c>
      <c r="C1288" s="10">
        <v>67.606999999999999</v>
      </c>
      <c r="D1288" s="10">
        <v>2005</v>
      </c>
    </row>
    <row r="1289" spans="1:4" ht="19.95" customHeight="1" x14ac:dyDescent="0.25">
      <c r="A1289" s="9" t="s">
        <v>36</v>
      </c>
      <c r="B1289" s="10" t="s">
        <v>10</v>
      </c>
      <c r="C1289" s="10">
        <v>56.195999999999998</v>
      </c>
      <c r="D1289" s="10">
        <v>2005</v>
      </c>
    </row>
    <row r="1290" spans="1:4" ht="19.95" customHeight="1" x14ac:dyDescent="0.25">
      <c r="A1290" s="9" t="s">
        <v>37</v>
      </c>
      <c r="B1290" s="10" t="s">
        <v>10</v>
      </c>
      <c r="C1290" s="10">
        <v>52.64</v>
      </c>
      <c r="D1290" s="10">
        <v>2005</v>
      </c>
    </row>
    <row r="1291" spans="1:4" ht="19.95" customHeight="1" x14ac:dyDescent="0.25">
      <c r="A1291" s="9" t="s">
        <v>38</v>
      </c>
      <c r="B1291" s="10" t="s">
        <v>10</v>
      </c>
      <c r="C1291" s="10">
        <v>49.63</v>
      </c>
      <c r="D1291" s="10">
        <v>2005</v>
      </c>
    </row>
    <row r="1292" spans="1:4" ht="19.95" customHeight="1" x14ac:dyDescent="0.25">
      <c r="A1292" s="9" t="s">
        <v>39</v>
      </c>
      <c r="B1292" s="10" t="s">
        <v>10</v>
      </c>
      <c r="C1292" s="10">
        <v>45.281999999999996</v>
      </c>
      <c r="D1292" s="10">
        <v>2005</v>
      </c>
    </row>
    <row r="1293" spans="1:4" ht="19.95" customHeight="1" x14ac:dyDescent="0.25">
      <c r="A1293" s="9" t="s">
        <v>9</v>
      </c>
      <c r="B1293" s="10" t="s">
        <v>10</v>
      </c>
      <c r="C1293" s="10">
        <v>53.09</v>
      </c>
      <c r="D1293" s="10">
        <v>2006</v>
      </c>
    </row>
    <row r="1294" spans="1:4" ht="19.95" customHeight="1" x14ac:dyDescent="0.25">
      <c r="A1294" s="9" t="s">
        <v>12</v>
      </c>
      <c r="B1294" s="10" t="s">
        <v>10</v>
      </c>
      <c r="C1294" s="10">
        <v>53.494</v>
      </c>
      <c r="D1294" s="10">
        <v>2006</v>
      </c>
    </row>
    <row r="1295" spans="1:4" ht="19.95" customHeight="1" x14ac:dyDescent="0.25">
      <c r="A1295" s="9" t="s">
        <v>13</v>
      </c>
      <c r="B1295" s="10" t="s">
        <v>10</v>
      </c>
      <c r="C1295" s="10">
        <v>48.348999999999997</v>
      </c>
      <c r="D1295" s="10">
        <v>2006</v>
      </c>
    </row>
    <row r="1296" spans="1:4" ht="19.95" customHeight="1" x14ac:dyDescent="0.25">
      <c r="A1296" s="9" t="s">
        <v>15</v>
      </c>
      <c r="B1296" s="10" t="s">
        <v>10</v>
      </c>
      <c r="C1296" s="10">
        <v>60.406999999999996</v>
      </c>
      <c r="D1296" s="10">
        <v>2006</v>
      </c>
    </row>
    <row r="1297" spans="1:4" ht="19.95" customHeight="1" x14ac:dyDescent="0.25">
      <c r="A1297" s="9" t="s">
        <v>16</v>
      </c>
      <c r="B1297" s="10" t="s">
        <v>10</v>
      </c>
      <c r="C1297" s="10">
        <v>58.393000000000001</v>
      </c>
      <c r="D1297" s="10">
        <v>2006</v>
      </c>
    </row>
    <row r="1298" spans="1:4" ht="19.95" customHeight="1" x14ac:dyDescent="0.25">
      <c r="A1298" s="9" t="s">
        <v>1</v>
      </c>
      <c r="B1298" s="10" t="s">
        <v>10</v>
      </c>
      <c r="C1298" s="10">
        <v>57.332999999999998</v>
      </c>
      <c r="D1298" s="10">
        <v>2006</v>
      </c>
    </row>
    <row r="1299" spans="1:4" ht="19.95" customHeight="1" x14ac:dyDescent="0.25">
      <c r="A1299" s="9" t="s">
        <v>17</v>
      </c>
      <c r="B1299" s="10" t="s">
        <v>10</v>
      </c>
      <c r="C1299" s="10">
        <v>53.972000000000001</v>
      </c>
      <c r="D1299" s="10">
        <v>2006</v>
      </c>
    </row>
    <row r="1300" spans="1:4" ht="19.95" customHeight="1" x14ac:dyDescent="0.25">
      <c r="A1300" s="9" t="s">
        <v>18</v>
      </c>
      <c r="B1300" s="10" t="s">
        <v>10</v>
      </c>
      <c r="C1300" s="10">
        <v>59.61</v>
      </c>
      <c r="D1300" s="10">
        <v>2006</v>
      </c>
    </row>
    <row r="1301" spans="1:4" ht="19.95" customHeight="1" x14ac:dyDescent="0.25">
      <c r="A1301" s="9" t="s">
        <v>19</v>
      </c>
      <c r="B1301" s="10" t="s">
        <v>10</v>
      </c>
      <c r="C1301" s="10">
        <v>57.271000000000001</v>
      </c>
      <c r="D1301" s="10">
        <v>2006</v>
      </c>
    </row>
    <row r="1302" spans="1:4" ht="19.95" customHeight="1" x14ac:dyDescent="0.25">
      <c r="A1302" s="9" t="s">
        <v>20</v>
      </c>
      <c r="B1302" s="10" t="s">
        <v>10</v>
      </c>
      <c r="C1302" s="10">
        <v>68.946341463414598</v>
      </c>
      <c r="D1302" s="10">
        <v>2006</v>
      </c>
    </row>
    <row r="1303" spans="1:4" ht="19.95" customHeight="1" x14ac:dyDescent="0.25">
      <c r="A1303" s="9" t="s">
        <v>21</v>
      </c>
      <c r="B1303" s="10" t="s">
        <v>10</v>
      </c>
      <c r="C1303" s="10">
        <v>56.136000000000003</v>
      </c>
      <c r="D1303" s="10">
        <v>2006</v>
      </c>
    </row>
    <row r="1304" spans="1:4" ht="19.95" customHeight="1" x14ac:dyDescent="0.25">
      <c r="A1304" s="9" t="s">
        <v>22</v>
      </c>
      <c r="B1304" s="10" t="s">
        <v>10</v>
      </c>
      <c r="C1304" s="10">
        <v>61.65</v>
      </c>
      <c r="D1304" s="10">
        <v>2006</v>
      </c>
    </row>
    <row r="1305" spans="1:4" ht="19.95" customHeight="1" x14ac:dyDescent="0.25">
      <c r="A1305" s="9" t="s">
        <v>23</v>
      </c>
      <c r="B1305" s="10" t="s">
        <v>10</v>
      </c>
      <c r="C1305" s="10">
        <v>51.162999999999997</v>
      </c>
      <c r="D1305" s="10">
        <v>2006</v>
      </c>
    </row>
    <row r="1306" spans="1:4" ht="19.95" customHeight="1" x14ac:dyDescent="0.25">
      <c r="A1306" s="9" t="s">
        <v>24</v>
      </c>
      <c r="B1306" s="10" t="s">
        <v>10</v>
      </c>
      <c r="C1306" s="10">
        <v>52.838999999999999</v>
      </c>
      <c r="D1306" s="10">
        <v>2006</v>
      </c>
    </row>
    <row r="1307" spans="1:4" ht="19.95" customHeight="1" x14ac:dyDescent="0.25">
      <c r="A1307" s="9" t="s">
        <v>25</v>
      </c>
      <c r="B1307" s="10" t="s">
        <v>10</v>
      </c>
      <c r="C1307" s="10">
        <v>68.022000000000006</v>
      </c>
      <c r="D1307" s="10">
        <v>2006</v>
      </c>
    </row>
    <row r="1308" spans="1:4" ht="19.95" customHeight="1" x14ac:dyDescent="0.25">
      <c r="A1308" s="9" t="s">
        <v>26</v>
      </c>
      <c r="B1308" s="10" t="s">
        <v>10</v>
      </c>
      <c r="C1308" s="10">
        <v>52.079000000000001</v>
      </c>
      <c r="D1308" s="10">
        <v>2006</v>
      </c>
    </row>
    <row r="1309" spans="1:4" ht="19.95" customHeight="1" x14ac:dyDescent="0.25">
      <c r="A1309" s="9" t="s">
        <v>28</v>
      </c>
      <c r="B1309" s="10" t="s">
        <v>10</v>
      </c>
      <c r="C1309" s="10">
        <v>63.88</v>
      </c>
      <c r="D1309" s="10">
        <v>2006</v>
      </c>
    </row>
    <row r="1310" spans="1:4" ht="19.95" customHeight="1" x14ac:dyDescent="0.25">
      <c r="A1310" s="9" t="s">
        <v>29</v>
      </c>
      <c r="B1310" s="10" t="s">
        <v>10</v>
      </c>
      <c r="C1310" s="10">
        <v>66.066000000000003</v>
      </c>
      <c r="D1310" s="10">
        <v>2006</v>
      </c>
    </row>
    <row r="1311" spans="1:4" ht="19.95" customHeight="1" x14ac:dyDescent="0.25">
      <c r="A1311" s="9" t="s">
        <v>30</v>
      </c>
      <c r="B1311" s="10" t="s">
        <v>10</v>
      </c>
      <c r="C1311" s="10">
        <v>72.313000000000002</v>
      </c>
      <c r="D1311" s="10">
        <v>2006</v>
      </c>
    </row>
    <row r="1312" spans="1:4" ht="19.95" customHeight="1" x14ac:dyDescent="0.25">
      <c r="A1312" s="9" t="s">
        <v>31</v>
      </c>
      <c r="B1312" s="10" t="s">
        <v>10</v>
      </c>
      <c r="C1312" s="10">
        <v>53.848999999999997</v>
      </c>
      <c r="D1312" s="10">
        <v>2006</v>
      </c>
    </row>
    <row r="1313" spans="1:4" ht="19.95" customHeight="1" x14ac:dyDescent="0.25">
      <c r="A1313" s="9" t="s">
        <v>32</v>
      </c>
      <c r="B1313" s="10" t="s">
        <v>10</v>
      </c>
      <c r="C1313" s="10">
        <v>57.219000000000001</v>
      </c>
      <c r="D1313" s="10">
        <v>2006</v>
      </c>
    </row>
    <row r="1314" spans="1:4" ht="19.95" customHeight="1" x14ac:dyDescent="0.25">
      <c r="A1314" s="9" t="s">
        <v>33</v>
      </c>
      <c r="B1314" s="10" t="s">
        <v>10</v>
      </c>
      <c r="C1314" s="10">
        <v>64.956000000000003</v>
      </c>
      <c r="D1314" s="10">
        <v>2006</v>
      </c>
    </row>
    <row r="1315" spans="1:4" ht="19.95" customHeight="1" x14ac:dyDescent="0.25">
      <c r="A1315" s="9" t="s">
        <v>34</v>
      </c>
      <c r="B1315" s="10" t="s">
        <v>10</v>
      </c>
      <c r="C1315" s="10">
        <v>74.058999999999997</v>
      </c>
      <c r="D1315" s="10">
        <v>2006</v>
      </c>
    </row>
    <row r="1316" spans="1:4" ht="19.95" customHeight="1" x14ac:dyDescent="0.25">
      <c r="A1316" s="9" t="s">
        <v>35</v>
      </c>
      <c r="B1316" s="10" t="s">
        <v>10</v>
      </c>
      <c r="C1316" s="10">
        <v>68.052000000000007</v>
      </c>
      <c r="D1316" s="10">
        <v>2006</v>
      </c>
    </row>
    <row r="1317" spans="1:4" ht="19.95" customHeight="1" x14ac:dyDescent="0.25">
      <c r="A1317" s="9" t="s">
        <v>36</v>
      </c>
      <c r="B1317" s="10" t="s">
        <v>10</v>
      </c>
      <c r="C1317" s="10">
        <v>57.218000000000004</v>
      </c>
      <c r="D1317" s="10">
        <v>2006</v>
      </c>
    </row>
    <row r="1318" spans="1:4" ht="19.95" customHeight="1" x14ac:dyDescent="0.25">
      <c r="A1318" s="9" t="s">
        <v>37</v>
      </c>
      <c r="B1318" s="10" t="s">
        <v>10</v>
      </c>
      <c r="C1318" s="10">
        <v>53.680999999999997</v>
      </c>
      <c r="D1318" s="10">
        <v>2006</v>
      </c>
    </row>
    <row r="1319" spans="1:4" ht="19.95" customHeight="1" x14ac:dyDescent="0.25">
      <c r="A1319" s="9" t="s">
        <v>38</v>
      </c>
      <c r="B1319" s="10" t="s">
        <v>10</v>
      </c>
      <c r="C1319" s="10">
        <v>50.929000000000002</v>
      </c>
      <c r="D1319" s="10">
        <v>2006</v>
      </c>
    </row>
    <row r="1320" spans="1:4" ht="19.95" customHeight="1" x14ac:dyDescent="0.25">
      <c r="A1320" s="9" t="s">
        <v>39</v>
      </c>
      <c r="B1320" s="10" t="s">
        <v>10</v>
      </c>
      <c r="C1320" s="10">
        <v>46.344000000000001</v>
      </c>
      <c r="D1320" s="10">
        <v>2006</v>
      </c>
    </row>
    <row r="1321" spans="1:4" ht="19.95" customHeight="1" x14ac:dyDescent="0.25">
      <c r="A1321" s="9" t="s">
        <v>9</v>
      </c>
      <c r="B1321" s="10" t="s">
        <v>10</v>
      </c>
      <c r="C1321" s="10">
        <v>53.491999999999997</v>
      </c>
      <c r="D1321" s="10">
        <v>2007</v>
      </c>
    </row>
    <row r="1322" spans="1:4" ht="19.95" customHeight="1" x14ac:dyDescent="0.25">
      <c r="A1322" s="9" t="s">
        <v>12</v>
      </c>
      <c r="B1322" s="10" t="s">
        <v>10</v>
      </c>
      <c r="C1322" s="10">
        <v>54.033000000000001</v>
      </c>
      <c r="D1322" s="10">
        <v>2007</v>
      </c>
    </row>
    <row r="1323" spans="1:4" ht="19.95" customHeight="1" x14ac:dyDescent="0.25">
      <c r="A1323" s="9" t="s">
        <v>13</v>
      </c>
      <c r="B1323" s="10" t="s">
        <v>10</v>
      </c>
      <c r="C1323" s="10">
        <v>48.728999999999999</v>
      </c>
      <c r="D1323" s="10">
        <v>2007</v>
      </c>
    </row>
    <row r="1324" spans="1:4" ht="19.95" customHeight="1" x14ac:dyDescent="0.25">
      <c r="A1324" s="9" t="s">
        <v>15</v>
      </c>
      <c r="B1324" s="10" t="s">
        <v>10</v>
      </c>
      <c r="C1324" s="10">
        <v>60.734000000000002</v>
      </c>
      <c r="D1324" s="10">
        <v>2007</v>
      </c>
    </row>
    <row r="1325" spans="1:4" ht="19.95" customHeight="1" x14ac:dyDescent="0.25">
      <c r="A1325" s="9" t="s">
        <v>16</v>
      </c>
      <c r="B1325" s="10" t="s">
        <v>10</v>
      </c>
      <c r="C1325" s="10">
        <v>58.847999999999999</v>
      </c>
      <c r="D1325" s="10">
        <v>2007</v>
      </c>
    </row>
    <row r="1326" spans="1:4" ht="19.95" customHeight="1" x14ac:dyDescent="0.25">
      <c r="A1326" s="9" t="s">
        <v>1</v>
      </c>
      <c r="B1326" s="10" t="s">
        <v>10</v>
      </c>
      <c r="C1326" s="10">
        <v>58.466000000000001</v>
      </c>
      <c r="D1326" s="10">
        <v>2007</v>
      </c>
    </row>
    <row r="1327" spans="1:4" ht="19.95" customHeight="1" x14ac:dyDescent="0.25">
      <c r="A1327" s="9" t="s">
        <v>17</v>
      </c>
      <c r="B1327" s="10" t="s">
        <v>10</v>
      </c>
      <c r="C1327" s="10">
        <v>54.774999999999999</v>
      </c>
      <c r="D1327" s="10">
        <v>2007</v>
      </c>
    </row>
    <row r="1328" spans="1:4" ht="19.95" customHeight="1" x14ac:dyDescent="0.25">
      <c r="A1328" s="9" t="s">
        <v>18</v>
      </c>
      <c r="B1328" s="10" t="s">
        <v>10</v>
      </c>
      <c r="C1328" s="10">
        <v>60.023000000000003</v>
      </c>
      <c r="D1328" s="10">
        <v>2007</v>
      </c>
    </row>
    <row r="1329" spans="1:4" ht="19.95" customHeight="1" x14ac:dyDescent="0.25">
      <c r="A1329" s="9" t="s">
        <v>19</v>
      </c>
      <c r="B1329" s="10" t="s">
        <v>10</v>
      </c>
      <c r="C1329" s="10">
        <v>58.783999999999999</v>
      </c>
      <c r="D1329" s="10">
        <v>2007</v>
      </c>
    </row>
    <row r="1330" spans="1:4" ht="19.95" customHeight="1" x14ac:dyDescent="0.25">
      <c r="A1330" s="9" t="s">
        <v>20</v>
      </c>
      <c r="B1330" s="10" t="s">
        <v>10</v>
      </c>
      <c r="C1330" s="10">
        <v>69.197560975609804</v>
      </c>
      <c r="D1330" s="10">
        <v>2007</v>
      </c>
    </row>
    <row r="1331" spans="1:4" ht="19.95" customHeight="1" x14ac:dyDescent="0.25">
      <c r="A1331" s="9" t="s">
        <v>21</v>
      </c>
      <c r="B1331" s="10" t="s">
        <v>10</v>
      </c>
      <c r="C1331" s="10">
        <v>57.207000000000001</v>
      </c>
      <c r="D1331" s="10">
        <v>2007</v>
      </c>
    </row>
    <row r="1332" spans="1:4" ht="19.95" customHeight="1" x14ac:dyDescent="0.25">
      <c r="A1332" s="9" t="s">
        <v>22</v>
      </c>
      <c r="B1332" s="10" t="s">
        <v>10</v>
      </c>
      <c r="C1332" s="10">
        <v>62.079000000000001</v>
      </c>
      <c r="D1332" s="10">
        <v>2007</v>
      </c>
    </row>
    <row r="1333" spans="1:4" ht="19.95" customHeight="1" x14ac:dyDescent="0.25">
      <c r="A1333" s="9" t="s">
        <v>23</v>
      </c>
      <c r="B1333" s="10" t="s">
        <v>10</v>
      </c>
      <c r="C1333" s="10">
        <v>52.63</v>
      </c>
      <c r="D1333" s="10">
        <v>2007</v>
      </c>
    </row>
    <row r="1334" spans="1:4" ht="19.95" customHeight="1" x14ac:dyDescent="0.25">
      <c r="A1334" s="9" t="s">
        <v>24</v>
      </c>
      <c r="B1334" s="10" t="s">
        <v>10</v>
      </c>
      <c r="C1334" s="10">
        <v>53.552999999999997</v>
      </c>
      <c r="D1334" s="10">
        <v>2007</v>
      </c>
    </row>
    <row r="1335" spans="1:4" ht="19.95" customHeight="1" x14ac:dyDescent="0.25">
      <c r="A1335" s="9" t="s">
        <v>25</v>
      </c>
      <c r="B1335" s="10" t="s">
        <v>10</v>
      </c>
      <c r="C1335" s="10">
        <v>68.302000000000007</v>
      </c>
      <c r="D1335" s="10">
        <v>2007</v>
      </c>
    </row>
    <row r="1336" spans="1:4" ht="19.95" customHeight="1" x14ac:dyDescent="0.25">
      <c r="A1336" s="9" t="s">
        <v>26</v>
      </c>
      <c r="B1336" s="10" t="s">
        <v>10</v>
      </c>
      <c r="C1336" s="10">
        <v>52.784999999999997</v>
      </c>
      <c r="D1336" s="10">
        <v>2007</v>
      </c>
    </row>
    <row r="1337" spans="1:4" ht="19.95" customHeight="1" x14ac:dyDescent="0.25">
      <c r="A1337" s="9" t="s">
        <v>28</v>
      </c>
      <c r="B1337" s="10" t="s">
        <v>10</v>
      </c>
      <c r="C1337" s="10">
        <v>64.180999999999997</v>
      </c>
      <c r="D1337" s="10">
        <v>2007</v>
      </c>
    </row>
    <row r="1338" spans="1:4" ht="19.95" customHeight="1" x14ac:dyDescent="0.25">
      <c r="A1338" s="9" t="s">
        <v>29</v>
      </c>
      <c r="B1338" s="10" t="s">
        <v>10</v>
      </c>
      <c r="C1338" s="10">
        <v>66.564999999999998</v>
      </c>
      <c r="D1338" s="10">
        <v>2007</v>
      </c>
    </row>
    <row r="1339" spans="1:4" ht="19.95" customHeight="1" x14ac:dyDescent="0.25">
      <c r="A1339" s="9" t="s">
        <v>30</v>
      </c>
      <c r="B1339" s="10" t="s">
        <v>10</v>
      </c>
      <c r="C1339" s="10">
        <v>72.677000000000007</v>
      </c>
      <c r="D1339" s="10">
        <v>2007</v>
      </c>
    </row>
    <row r="1340" spans="1:4" ht="19.95" customHeight="1" x14ac:dyDescent="0.25">
      <c r="A1340" s="9" t="s">
        <v>31</v>
      </c>
      <c r="B1340" s="10" t="s">
        <v>10</v>
      </c>
      <c r="C1340" s="10">
        <v>54.593000000000004</v>
      </c>
      <c r="D1340" s="10">
        <v>2007</v>
      </c>
    </row>
    <row r="1341" spans="1:4" ht="19.95" customHeight="1" x14ac:dyDescent="0.25">
      <c r="A1341" s="9" t="s">
        <v>32</v>
      </c>
      <c r="B1341" s="10" t="s">
        <v>10</v>
      </c>
      <c r="C1341" s="10">
        <v>58.970999999999997</v>
      </c>
      <c r="D1341" s="10">
        <v>2007</v>
      </c>
    </row>
    <row r="1342" spans="1:4" ht="19.95" customHeight="1" x14ac:dyDescent="0.25">
      <c r="A1342" s="9" t="s">
        <v>33</v>
      </c>
      <c r="B1342" s="10" t="s">
        <v>10</v>
      </c>
      <c r="C1342" s="10">
        <v>65.248000000000005</v>
      </c>
      <c r="D1342" s="10">
        <v>2007</v>
      </c>
    </row>
    <row r="1343" spans="1:4" ht="19.95" customHeight="1" x14ac:dyDescent="0.25">
      <c r="A1343" s="9" t="s">
        <v>34</v>
      </c>
      <c r="B1343" s="10" t="s">
        <v>10</v>
      </c>
      <c r="C1343" s="10">
        <v>74.144000000000005</v>
      </c>
      <c r="D1343" s="10">
        <v>2007</v>
      </c>
    </row>
    <row r="1344" spans="1:4" ht="19.95" customHeight="1" x14ac:dyDescent="0.25">
      <c r="A1344" s="9" t="s">
        <v>35</v>
      </c>
      <c r="B1344" s="10" t="s">
        <v>10</v>
      </c>
      <c r="C1344" s="10">
        <v>68.486999999999995</v>
      </c>
      <c r="D1344" s="10">
        <v>2007</v>
      </c>
    </row>
    <row r="1345" spans="1:4" ht="19.95" customHeight="1" x14ac:dyDescent="0.25">
      <c r="A1345" s="9" t="s">
        <v>36</v>
      </c>
      <c r="B1345" s="10" t="s">
        <v>10</v>
      </c>
      <c r="C1345" s="10">
        <v>58.209000000000003</v>
      </c>
      <c r="D1345" s="10">
        <v>2007</v>
      </c>
    </row>
    <row r="1346" spans="1:4" ht="19.95" customHeight="1" x14ac:dyDescent="0.25">
      <c r="A1346" s="9" t="s">
        <v>37</v>
      </c>
      <c r="B1346" s="10" t="s">
        <v>10</v>
      </c>
      <c r="C1346" s="10">
        <v>54.66</v>
      </c>
      <c r="D1346" s="10">
        <v>2007</v>
      </c>
    </row>
    <row r="1347" spans="1:4" ht="19.95" customHeight="1" x14ac:dyDescent="0.25">
      <c r="A1347" s="9" t="s">
        <v>38</v>
      </c>
      <c r="B1347" s="10" t="s">
        <v>10</v>
      </c>
      <c r="C1347" s="10">
        <v>52.313000000000002</v>
      </c>
      <c r="D1347" s="10">
        <v>2007</v>
      </c>
    </row>
    <row r="1348" spans="1:4" ht="19.95" customHeight="1" x14ac:dyDescent="0.25">
      <c r="A1348" s="9" t="s">
        <v>39</v>
      </c>
      <c r="B1348" s="10" t="s">
        <v>10</v>
      </c>
      <c r="C1348" s="10">
        <v>47.719000000000001</v>
      </c>
      <c r="D1348" s="10">
        <v>2007</v>
      </c>
    </row>
    <row r="1349" spans="1:4" ht="19.95" customHeight="1" x14ac:dyDescent="0.25">
      <c r="A1349" s="9" t="s">
        <v>9</v>
      </c>
      <c r="B1349" s="10" t="s">
        <v>10</v>
      </c>
      <c r="C1349" s="10">
        <v>53.926000000000002</v>
      </c>
      <c r="D1349" s="10">
        <v>2008</v>
      </c>
    </row>
    <row r="1350" spans="1:4" ht="19.95" customHeight="1" x14ac:dyDescent="0.25">
      <c r="A1350" s="9" t="s">
        <v>12</v>
      </c>
      <c r="B1350" s="10" t="s">
        <v>10</v>
      </c>
      <c r="C1350" s="10">
        <v>54.534999999999997</v>
      </c>
      <c r="D1350" s="10">
        <v>2008</v>
      </c>
    </row>
    <row r="1351" spans="1:4" ht="19.95" customHeight="1" x14ac:dyDescent="0.25">
      <c r="A1351" s="9" t="s">
        <v>13</v>
      </c>
      <c r="B1351" s="10" t="s">
        <v>10</v>
      </c>
      <c r="C1351" s="10">
        <v>49.182000000000002</v>
      </c>
      <c r="D1351" s="10">
        <v>2008</v>
      </c>
    </row>
    <row r="1352" spans="1:4" ht="19.95" customHeight="1" x14ac:dyDescent="0.25">
      <c r="A1352" s="9" t="s">
        <v>15</v>
      </c>
      <c r="B1352" s="10" t="s">
        <v>10</v>
      </c>
      <c r="C1352" s="10">
        <v>61.094000000000001</v>
      </c>
      <c r="D1352" s="10">
        <v>2008</v>
      </c>
    </row>
    <row r="1353" spans="1:4" ht="19.95" customHeight="1" x14ac:dyDescent="0.25">
      <c r="A1353" s="9" t="s">
        <v>16</v>
      </c>
      <c r="B1353" s="10" t="s">
        <v>10</v>
      </c>
      <c r="C1353" s="10">
        <v>59.344999999999999</v>
      </c>
      <c r="D1353" s="10">
        <v>2008</v>
      </c>
    </row>
    <row r="1354" spans="1:4" ht="19.95" customHeight="1" x14ac:dyDescent="0.25">
      <c r="A1354" s="9" t="s">
        <v>1</v>
      </c>
      <c r="B1354" s="10" t="s">
        <v>10</v>
      </c>
      <c r="C1354" s="10">
        <v>59.58</v>
      </c>
      <c r="D1354" s="10">
        <v>2008</v>
      </c>
    </row>
    <row r="1355" spans="1:4" ht="19.95" customHeight="1" x14ac:dyDescent="0.25">
      <c r="A1355" s="9" t="s">
        <v>17</v>
      </c>
      <c r="B1355" s="10" t="s">
        <v>10</v>
      </c>
      <c r="C1355" s="10">
        <v>55.521000000000001</v>
      </c>
      <c r="D1355" s="10">
        <v>2008</v>
      </c>
    </row>
    <row r="1356" spans="1:4" ht="19.95" customHeight="1" x14ac:dyDescent="0.25">
      <c r="A1356" s="9" t="s">
        <v>18</v>
      </c>
      <c r="B1356" s="10" t="s">
        <v>10</v>
      </c>
      <c r="C1356" s="10">
        <v>60.448</v>
      </c>
      <c r="D1356" s="10">
        <v>2008</v>
      </c>
    </row>
    <row r="1357" spans="1:4" ht="19.95" customHeight="1" x14ac:dyDescent="0.25">
      <c r="A1357" s="9" t="s">
        <v>19</v>
      </c>
      <c r="B1357" s="10" t="s">
        <v>10</v>
      </c>
      <c r="C1357" s="10">
        <v>60.274999999999999</v>
      </c>
      <c r="D1357" s="10">
        <v>2008</v>
      </c>
    </row>
    <row r="1358" spans="1:4" ht="19.95" customHeight="1" x14ac:dyDescent="0.25">
      <c r="A1358" s="9" t="s">
        <v>20</v>
      </c>
      <c r="B1358" s="10" t="s">
        <v>10</v>
      </c>
      <c r="C1358" s="10">
        <v>69.397560975609807</v>
      </c>
      <c r="D1358" s="10">
        <v>2008</v>
      </c>
    </row>
    <row r="1359" spans="1:4" ht="19.95" customHeight="1" x14ac:dyDescent="0.25">
      <c r="A1359" s="9" t="s">
        <v>21</v>
      </c>
      <c r="B1359" s="10" t="s">
        <v>10</v>
      </c>
      <c r="C1359" s="10">
        <v>58.167000000000002</v>
      </c>
      <c r="D1359" s="10">
        <v>2008</v>
      </c>
    </row>
    <row r="1360" spans="1:4" ht="19.95" customHeight="1" x14ac:dyDescent="0.25">
      <c r="A1360" s="9" t="s">
        <v>22</v>
      </c>
      <c r="B1360" s="10" t="s">
        <v>10</v>
      </c>
      <c r="C1360" s="10">
        <v>62.509</v>
      </c>
      <c r="D1360" s="10">
        <v>2008</v>
      </c>
    </row>
    <row r="1361" spans="1:4" ht="19.95" customHeight="1" x14ac:dyDescent="0.25">
      <c r="A1361" s="9" t="s">
        <v>23</v>
      </c>
      <c r="B1361" s="10" t="s">
        <v>10</v>
      </c>
      <c r="C1361" s="10">
        <v>54.177</v>
      </c>
      <c r="D1361" s="10">
        <v>2008</v>
      </c>
    </row>
    <row r="1362" spans="1:4" ht="19.95" customHeight="1" x14ac:dyDescent="0.25">
      <c r="A1362" s="9" t="s">
        <v>24</v>
      </c>
      <c r="B1362" s="10" t="s">
        <v>10</v>
      </c>
      <c r="C1362" s="10">
        <v>54.192999999999998</v>
      </c>
      <c r="D1362" s="10">
        <v>2008</v>
      </c>
    </row>
    <row r="1363" spans="1:4" ht="19.95" customHeight="1" x14ac:dyDescent="0.25">
      <c r="A1363" s="9" t="s">
        <v>25</v>
      </c>
      <c r="B1363" s="10" t="s">
        <v>10</v>
      </c>
      <c r="C1363" s="10">
        <v>68.671000000000006</v>
      </c>
      <c r="D1363" s="10">
        <v>2008</v>
      </c>
    </row>
    <row r="1364" spans="1:4" ht="19.95" customHeight="1" x14ac:dyDescent="0.25">
      <c r="A1364" s="9" t="s">
        <v>26</v>
      </c>
      <c r="B1364" s="10" t="s">
        <v>10</v>
      </c>
      <c r="C1364" s="10">
        <v>53.459000000000003</v>
      </c>
      <c r="D1364" s="10">
        <v>2008</v>
      </c>
    </row>
    <row r="1365" spans="1:4" ht="19.95" customHeight="1" x14ac:dyDescent="0.25">
      <c r="A1365" s="9" t="s">
        <v>28</v>
      </c>
      <c r="B1365" s="10" t="s">
        <v>10</v>
      </c>
      <c r="C1365" s="10">
        <v>64.501000000000005</v>
      </c>
      <c r="D1365" s="10">
        <v>2008</v>
      </c>
    </row>
    <row r="1366" spans="1:4" ht="19.95" customHeight="1" x14ac:dyDescent="0.25">
      <c r="A1366" s="9" t="s">
        <v>29</v>
      </c>
      <c r="B1366" s="10" t="s">
        <v>10</v>
      </c>
      <c r="C1366" s="10">
        <v>67.036000000000001</v>
      </c>
      <c r="D1366" s="10">
        <v>2008</v>
      </c>
    </row>
    <row r="1367" spans="1:4" ht="19.95" customHeight="1" x14ac:dyDescent="0.25">
      <c r="A1367" s="9" t="s">
        <v>30</v>
      </c>
      <c r="B1367" s="10" t="s">
        <v>10</v>
      </c>
      <c r="C1367" s="10">
        <v>73.028000000000006</v>
      </c>
      <c r="D1367" s="10">
        <v>2008</v>
      </c>
    </row>
    <row r="1368" spans="1:4" ht="19.95" customHeight="1" x14ac:dyDescent="0.25">
      <c r="A1368" s="9" t="s">
        <v>31</v>
      </c>
      <c r="B1368" s="10" t="s">
        <v>10</v>
      </c>
      <c r="C1368" s="10">
        <v>55.35</v>
      </c>
      <c r="D1368" s="10">
        <v>2008</v>
      </c>
    </row>
    <row r="1369" spans="1:4" ht="19.95" customHeight="1" x14ac:dyDescent="0.25">
      <c r="A1369" s="9" t="s">
        <v>32</v>
      </c>
      <c r="B1369" s="10" t="s">
        <v>10</v>
      </c>
      <c r="C1369" s="10">
        <v>60.564999999999998</v>
      </c>
      <c r="D1369" s="10">
        <v>2008</v>
      </c>
    </row>
    <row r="1370" spans="1:4" ht="19.95" customHeight="1" x14ac:dyDescent="0.25">
      <c r="A1370" s="9" t="s">
        <v>33</v>
      </c>
      <c r="B1370" s="10" t="s">
        <v>10</v>
      </c>
      <c r="C1370" s="10">
        <v>65.5</v>
      </c>
      <c r="D1370" s="10">
        <v>2008</v>
      </c>
    </row>
    <row r="1371" spans="1:4" ht="19.95" customHeight="1" x14ac:dyDescent="0.25">
      <c r="A1371" s="9" t="s">
        <v>34</v>
      </c>
      <c r="B1371" s="10" t="s">
        <v>10</v>
      </c>
      <c r="C1371" s="10">
        <v>74.206999999999994</v>
      </c>
      <c r="D1371" s="10">
        <v>2008</v>
      </c>
    </row>
    <row r="1372" spans="1:4" ht="19.95" customHeight="1" x14ac:dyDescent="0.25">
      <c r="A1372" s="9" t="s">
        <v>35</v>
      </c>
      <c r="B1372" s="10" t="s">
        <v>10</v>
      </c>
      <c r="C1372" s="10">
        <v>68.902000000000001</v>
      </c>
      <c r="D1372" s="10">
        <v>2008</v>
      </c>
    </row>
    <row r="1373" spans="1:4" ht="19.95" customHeight="1" x14ac:dyDescent="0.25">
      <c r="A1373" s="9" t="s">
        <v>36</v>
      </c>
      <c r="B1373" s="10" t="s">
        <v>10</v>
      </c>
      <c r="C1373" s="10">
        <v>59.155999999999999</v>
      </c>
      <c r="D1373" s="10">
        <v>2008</v>
      </c>
    </row>
    <row r="1374" spans="1:4" ht="19.95" customHeight="1" x14ac:dyDescent="0.25">
      <c r="A1374" s="9" t="s">
        <v>37</v>
      </c>
      <c r="B1374" s="10" t="s">
        <v>10</v>
      </c>
      <c r="C1374" s="10">
        <v>55.573999999999998</v>
      </c>
      <c r="D1374" s="10">
        <v>2008</v>
      </c>
    </row>
    <row r="1375" spans="1:4" ht="19.95" customHeight="1" x14ac:dyDescent="0.25">
      <c r="A1375" s="9" t="s">
        <v>38</v>
      </c>
      <c r="B1375" s="10" t="s">
        <v>10</v>
      </c>
      <c r="C1375" s="10">
        <v>53.749000000000002</v>
      </c>
      <c r="D1375" s="10">
        <v>2008</v>
      </c>
    </row>
    <row r="1376" spans="1:4" ht="19.95" customHeight="1" x14ac:dyDescent="0.25">
      <c r="A1376" s="9" t="s">
        <v>39</v>
      </c>
      <c r="B1376" s="10" t="s">
        <v>10</v>
      </c>
      <c r="C1376" s="10">
        <v>49.337000000000003</v>
      </c>
      <c r="D1376" s="10">
        <v>2008</v>
      </c>
    </row>
    <row r="1377" spans="1:4" ht="19.95" customHeight="1" x14ac:dyDescent="0.25">
      <c r="A1377" s="9" t="s">
        <v>9</v>
      </c>
      <c r="B1377" s="10" t="s">
        <v>10</v>
      </c>
      <c r="C1377" s="10">
        <v>54.386000000000003</v>
      </c>
      <c r="D1377" s="10">
        <v>2009</v>
      </c>
    </row>
    <row r="1378" spans="1:4" ht="19.95" customHeight="1" x14ac:dyDescent="0.25">
      <c r="A1378" s="9" t="s">
        <v>12</v>
      </c>
      <c r="B1378" s="10" t="s">
        <v>10</v>
      </c>
      <c r="C1378" s="10">
        <v>54.996000000000002</v>
      </c>
      <c r="D1378" s="10">
        <v>2009</v>
      </c>
    </row>
    <row r="1379" spans="1:4" ht="19.95" customHeight="1" x14ac:dyDescent="0.25">
      <c r="A1379" s="9" t="s">
        <v>13</v>
      </c>
      <c r="B1379" s="10" t="s">
        <v>10</v>
      </c>
      <c r="C1379" s="10">
        <v>49.691000000000003</v>
      </c>
      <c r="D1379" s="10">
        <v>2009</v>
      </c>
    </row>
    <row r="1380" spans="1:4" ht="19.95" customHeight="1" x14ac:dyDescent="0.25">
      <c r="A1380" s="9" t="s">
        <v>15</v>
      </c>
      <c r="B1380" s="10" t="s">
        <v>10</v>
      </c>
      <c r="C1380" s="10">
        <v>61.475000000000001</v>
      </c>
      <c r="D1380" s="10">
        <v>2009</v>
      </c>
    </row>
    <row r="1381" spans="1:4" ht="19.95" customHeight="1" x14ac:dyDescent="0.25">
      <c r="A1381" s="9" t="s">
        <v>16</v>
      </c>
      <c r="B1381" s="10" t="s">
        <v>10</v>
      </c>
      <c r="C1381" s="10">
        <v>59.865000000000002</v>
      </c>
      <c r="D1381" s="10">
        <v>2009</v>
      </c>
    </row>
    <row r="1382" spans="1:4" ht="19.95" customHeight="1" x14ac:dyDescent="0.25">
      <c r="A1382" s="9" t="s">
        <v>1</v>
      </c>
      <c r="B1382" s="10" t="s">
        <v>10</v>
      </c>
      <c r="C1382" s="10">
        <v>60.643000000000001</v>
      </c>
      <c r="D1382" s="10">
        <v>2009</v>
      </c>
    </row>
    <row r="1383" spans="1:4" ht="19.95" customHeight="1" x14ac:dyDescent="0.25">
      <c r="A1383" s="9" t="s">
        <v>17</v>
      </c>
      <c r="B1383" s="10" t="s">
        <v>10</v>
      </c>
      <c r="C1383" s="10">
        <v>56.185000000000002</v>
      </c>
      <c r="D1383" s="10">
        <v>2009</v>
      </c>
    </row>
    <row r="1384" spans="1:4" ht="19.95" customHeight="1" x14ac:dyDescent="0.25">
      <c r="A1384" s="9" t="s">
        <v>18</v>
      </c>
      <c r="B1384" s="10" t="s">
        <v>10</v>
      </c>
      <c r="C1384" s="10">
        <v>60.875999999999998</v>
      </c>
      <c r="D1384" s="10">
        <v>2009</v>
      </c>
    </row>
    <row r="1385" spans="1:4" ht="19.95" customHeight="1" x14ac:dyDescent="0.25">
      <c r="A1385" s="9" t="s">
        <v>19</v>
      </c>
      <c r="B1385" s="10" t="s">
        <v>10</v>
      </c>
      <c r="C1385" s="10">
        <v>61.68</v>
      </c>
      <c r="D1385" s="10">
        <v>2009</v>
      </c>
    </row>
    <row r="1386" spans="1:4" ht="19.95" customHeight="1" x14ac:dyDescent="0.25">
      <c r="A1386" s="9" t="s">
        <v>20</v>
      </c>
      <c r="B1386" s="10" t="s">
        <v>10</v>
      </c>
      <c r="C1386" s="10">
        <v>69.648780487804899</v>
      </c>
      <c r="D1386" s="10">
        <v>2009</v>
      </c>
    </row>
    <row r="1387" spans="1:4" ht="19.95" customHeight="1" x14ac:dyDescent="0.25">
      <c r="A1387" s="9" t="s">
        <v>21</v>
      </c>
      <c r="B1387" s="10" t="s">
        <v>10</v>
      </c>
      <c r="C1387" s="10">
        <v>58.976999999999997</v>
      </c>
      <c r="D1387" s="10">
        <v>2009</v>
      </c>
    </row>
    <row r="1388" spans="1:4" ht="19.95" customHeight="1" x14ac:dyDescent="0.25">
      <c r="A1388" s="9" t="s">
        <v>22</v>
      </c>
      <c r="B1388" s="10" t="s">
        <v>10</v>
      </c>
      <c r="C1388" s="10">
        <v>62.944000000000003</v>
      </c>
      <c r="D1388" s="10">
        <v>2009</v>
      </c>
    </row>
    <row r="1389" spans="1:4" ht="19.95" customHeight="1" x14ac:dyDescent="0.25">
      <c r="A1389" s="9" t="s">
        <v>23</v>
      </c>
      <c r="B1389" s="10" t="s">
        <v>10</v>
      </c>
      <c r="C1389" s="10">
        <v>55.744999999999997</v>
      </c>
      <c r="D1389" s="10">
        <v>2009</v>
      </c>
    </row>
    <row r="1390" spans="1:4" ht="19.95" customHeight="1" x14ac:dyDescent="0.25">
      <c r="A1390" s="9" t="s">
        <v>24</v>
      </c>
      <c r="B1390" s="10" t="s">
        <v>10</v>
      </c>
      <c r="C1390" s="10">
        <v>54.756</v>
      </c>
      <c r="D1390" s="10">
        <v>2009</v>
      </c>
    </row>
    <row r="1391" spans="1:4" ht="19.95" customHeight="1" x14ac:dyDescent="0.25">
      <c r="A1391" s="9" t="s">
        <v>25</v>
      </c>
      <c r="B1391" s="10" t="s">
        <v>10</v>
      </c>
      <c r="C1391" s="10">
        <v>69.119</v>
      </c>
      <c r="D1391" s="10">
        <v>2009</v>
      </c>
    </row>
    <row r="1392" spans="1:4" ht="19.95" customHeight="1" x14ac:dyDescent="0.25">
      <c r="A1392" s="9" t="s">
        <v>26</v>
      </c>
      <c r="B1392" s="10" t="s">
        <v>10</v>
      </c>
      <c r="C1392" s="10">
        <v>54.095999999999997</v>
      </c>
      <c r="D1392" s="10">
        <v>2009</v>
      </c>
    </row>
    <row r="1393" spans="1:4" ht="19.95" customHeight="1" x14ac:dyDescent="0.25">
      <c r="A1393" s="9" t="s">
        <v>28</v>
      </c>
      <c r="B1393" s="10" t="s">
        <v>10</v>
      </c>
      <c r="C1393" s="10">
        <v>64.837999999999994</v>
      </c>
      <c r="D1393" s="10">
        <v>2009</v>
      </c>
    </row>
    <row r="1394" spans="1:4" ht="19.95" customHeight="1" x14ac:dyDescent="0.25">
      <c r="A1394" s="9" t="s">
        <v>29</v>
      </c>
      <c r="B1394" s="10" t="s">
        <v>10</v>
      </c>
      <c r="C1394" s="10">
        <v>67.483999999999995</v>
      </c>
      <c r="D1394" s="10">
        <v>2009</v>
      </c>
    </row>
    <row r="1395" spans="1:4" ht="19.95" customHeight="1" x14ac:dyDescent="0.25">
      <c r="A1395" s="9" t="s">
        <v>30</v>
      </c>
      <c r="B1395" s="10" t="s">
        <v>10</v>
      </c>
      <c r="C1395" s="10">
        <v>73.369</v>
      </c>
      <c r="D1395" s="10">
        <v>2009</v>
      </c>
    </row>
    <row r="1396" spans="1:4" ht="19.95" customHeight="1" x14ac:dyDescent="0.25">
      <c r="A1396" s="9" t="s">
        <v>31</v>
      </c>
      <c r="B1396" s="10" t="s">
        <v>10</v>
      </c>
      <c r="C1396" s="10">
        <v>56.104999999999997</v>
      </c>
      <c r="D1396" s="10">
        <v>2009</v>
      </c>
    </row>
    <row r="1397" spans="1:4" ht="19.95" customHeight="1" x14ac:dyDescent="0.25">
      <c r="A1397" s="9" t="s">
        <v>32</v>
      </c>
      <c r="B1397" s="10" t="s">
        <v>10</v>
      </c>
      <c r="C1397" s="10">
        <v>61.962000000000003</v>
      </c>
      <c r="D1397" s="10">
        <v>2009</v>
      </c>
    </row>
    <row r="1398" spans="1:4" ht="19.95" customHeight="1" x14ac:dyDescent="0.25">
      <c r="A1398" s="9" t="s">
        <v>33</v>
      </c>
      <c r="B1398" s="10" t="s">
        <v>10</v>
      </c>
      <c r="C1398" s="10">
        <v>65.709000000000003</v>
      </c>
      <c r="D1398" s="10">
        <v>2009</v>
      </c>
    </row>
    <row r="1399" spans="1:4" ht="19.95" customHeight="1" x14ac:dyDescent="0.25">
      <c r="A1399" s="9" t="s">
        <v>34</v>
      </c>
      <c r="B1399" s="10" t="s">
        <v>10</v>
      </c>
      <c r="C1399" s="10">
        <v>74.27</v>
      </c>
      <c r="D1399" s="10">
        <v>2009</v>
      </c>
    </row>
    <row r="1400" spans="1:4" ht="19.95" customHeight="1" x14ac:dyDescent="0.25">
      <c r="A1400" s="9" t="s">
        <v>35</v>
      </c>
      <c r="B1400" s="10" t="s">
        <v>10</v>
      </c>
      <c r="C1400" s="10">
        <v>69.290000000000006</v>
      </c>
      <c r="D1400" s="10">
        <v>2009</v>
      </c>
    </row>
    <row r="1401" spans="1:4" ht="19.95" customHeight="1" x14ac:dyDescent="0.25">
      <c r="A1401" s="9" t="s">
        <v>36</v>
      </c>
      <c r="B1401" s="10" t="s">
        <v>10</v>
      </c>
      <c r="C1401" s="10">
        <v>60.048000000000002</v>
      </c>
      <c r="D1401" s="10">
        <v>2009</v>
      </c>
    </row>
    <row r="1402" spans="1:4" ht="19.95" customHeight="1" x14ac:dyDescent="0.25">
      <c r="A1402" s="9" t="s">
        <v>37</v>
      </c>
      <c r="B1402" s="10" t="s">
        <v>10</v>
      </c>
      <c r="C1402" s="10">
        <v>56.408999999999999</v>
      </c>
      <c r="D1402" s="10">
        <v>2009</v>
      </c>
    </row>
    <row r="1403" spans="1:4" ht="19.95" customHeight="1" x14ac:dyDescent="0.25">
      <c r="A1403" s="9" t="s">
        <v>38</v>
      </c>
      <c r="B1403" s="10" t="s">
        <v>10</v>
      </c>
      <c r="C1403" s="10">
        <v>55.194000000000003</v>
      </c>
      <c r="D1403" s="10">
        <v>2009</v>
      </c>
    </row>
    <row r="1404" spans="1:4" ht="19.95" customHeight="1" x14ac:dyDescent="0.25">
      <c r="A1404" s="9" t="s">
        <v>39</v>
      </c>
      <c r="B1404" s="10" t="s">
        <v>10</v>
      </c>
      <c r="C1404" s="10">
        <v>51.122</v>
      </c>
      <c r="D1404" s="10">
        <v>2009</v>
      </c>
    </row>
    <row r="1405" spans="1:4" ht="19.95" customHeight="1" x14ac:dyDescent="0.25">
      <c r="A1405" s="9" t="s">
        <v>9</v>
      </c>
      <c r="B1405" s="10" t="s">
        <v>10</v>
      </c>
      <c r="C1405" s="10">
        <v>54.860999999999997</v>
      </c>
      <c r="D1405" s="10">
        <v>2010</v>
      </c>
    </row>
    <row r="1406" spans="1:4" ht="19.95" customHeight="1" x14ac:dyDescent="0.25">
      <c r="A1406" s="9" t="s">
        <v>12</v>
      </c>
      <c r="B1406" s="10" t="s">
        <v>10</v>
      </c>
      <c r="C1406" s="10">
        <v>55.423999999999999</v>
      </c>
      <c r="D1406" s="10">
        <v>2010</v>
      </c>
    </row>
    <row r="1407" spans="1:4" ht="19.95" customHeight="1" x14ac:dyDescent="0.25">
      <c r="A1407" s="9" t="s">
        <v>13</v>
      </c>
      <c r="B1407" s="10" t="s">
        <v>10</v>
      </c>
      <c r="C1407" s="10">
        <v>50.232999999999997</v>
      </c>
      <c r="D1407" s="10">
        <v>2010</v>
      </c>
    </row>
    <row r="1408" spans="1:4" ht="19.95" customHeight="1" x14ac:dyDescent="0.25">
      <c r="A1408" s="9" t="s">
        <v>15</v>
      </c>
      <c r="B1408" s="10" t="s">
        <v>10</v>
      </c>
      <c r="C1408" s="10">
        <v>61.862000000000002</v>
      </c>
      <c r="D1408" s="10">
        <v>2010</v>
      </c>
    </row>
    <row r="1409" spans="1:4" ht="19.95" customHeight="1" x14ac:dyDescent="0.25">
      <c r="A1409" s="9" t="s">
        <v>16</v>
      </c>
      <c r="B1409" s="10" t="s">
        <v>10</v>
      </c>
      <c r="C1409" s="10">
        <v>60.383000000000003</v>
      </c>
      <c r="D1409" s="10">
        <v>2010</v>
      </c>
    </row>
    <row r="1410" spans="1:4" ht="19.95" customHeight="1" x14ac:dyDescent="0.25">
      <c r="A1410" s="9" t="s">
        <v>1</v>
      </c>
      <c r="B1410" s="10" t="s">
        <v>10</v>
      </c>
      <c r="C1410" s="10">
        <v>61.625</v>
      </c>
      <c r="D1410" s="10">
        <v>2010</v>
      </c>
    </row>
    <row r="1411" spans="1:4" ht="19.95" customHeight="1" x14ac:dyDescent="0.25">
      <c r="A1411" s="9" t="s">
        <v>17</v>
      </c>
      <c r="B1411" s="10" t="s">
        <v>10</v>
      </c>
      <c r="C1411" s="10">
        <v>56.765000000000001</v>
      </c>
      <c r="D1411" s="10">
        <v>2010</v>
      </c>
    </row>
    <row r="1412" spans="1:4" ht="19.95" customHeight="1" x14ac:dyDescent="0.25">
      <c r="A1412" s="9" t="s">
        <v>18</v>
      </c>
      <c r="B1412" s="10" t="s">
        <v>10</v>
      </c>
      <c r="C1412" s="10">
        <v>61.295999999999999</v>
      </c>
      <c r="D1412" s="10">
        <v>2010</v>
      </c>
    </row>
    <row r="1413" spans="1:4" ht="19.95" customHeight="1" x14ac:dyDescent="0.25">
      <c r="A1413" s="9" t="s">
        <v>19</v>
      </c>
      <c r="B1413" s="10" t="s">
        <v>10</v>
      </c>
      <c r="C1413" s="10">
        <v>62.936</v>
      </c>
      <c r="D1413" s="10">
        <v>2010</v>
      </c>
    </row>
    <row r="1414" spans="1:4" ht="19.95" customHeight="1" x14ac:dyDescent="0.25">
      <c r="A1414" s="9" t="s">
        <v>20</v>
      </c>
      <c r="B1414" s="10" t="s">
        <v>10</v>
      </c>
      <c r="C1414" s="10">
        <v>69.900000000000006</v>
      </c>
      <c r="D1414" s="10">
        <v>2010</v>
      </c>
    </row>
    <row r="1415" spans="1:4" ht="19.95" customHeight="1" x14ac:dyDescent="0.25">
      <c r="A1415" s="9" t="s">
        <v>21</v>
      </c>
      <c r="B1415" s="10" t="s">
        <v>10</v>
      </c>
      <c r="C1415" s="10">
        <v>59.631</v>
      </c>
      <c r="D1415" s="10">
        <v>2010</v>
      </c>
    </row>
    <row r="1416" spans="1:4" ht="19.95" customHeight="1" x14ac:dyDescent="0.25">
      <c r="A1416" s="9" t="s">
        <v>22</v>
      </c>
      <c r="B1416" s="10" t="s">
        <v>10</v>
      </c>
      <c r="C1416" s="10">
        <v>63.387999999999998</v>
      </c>
      <c r="D1416" s="10">
        <v>2010</v>
      </c>
    </row>
    <row r="1417" spans="1:4" ht="19.95" customHeight="1" x14ac:dyDescent="0.25">
      <c r="A1417" s="9" t="s">
        <v>23</v>
      </c>
      <c r="B1417" s="10" t="s">
        <v>10</v>
      </c>
      <c r="C1417" s="10">
        <v>57.262999999999998</v>
      </c>
      <c r="D1417" s="10">
        <v>2010</v>
      </c>
    </row>
    <row r="1418" spans="1:4" ht="19.95" customHeight="1" x14ac:dyDescent="0.25">
      <c r="A1418" s="9" t="s">
        <v>24</v>
      </c>
      <c r="B1418" s="10" t="s">
        <v>10</v>
      </c>
      <c r="C1418" s="10">
        <v>55.249000000000002</v>
      </c>
      <c r="D1418" s="10">
        <v>2010</v>
      </c>
    </row>
    <row r="1419" spans="1:4" ht="19.95" customHeight="1" x14ac:dyDescent="0.25">
      <c r="A1419" s="9" t="s">
        <v>25</v>
      </c>
      <c r="B1419" s="10" t="s">
        <v>10</v>
      </c>
      <c r="C1419" s="10">
        <v>69.616</v>
      </c>
      <c r="D1419" s="10">
        <v>2010</v>
      </c>
    </row>
    <row r="1420" spans="1:4" ht="19.95" customHeight="1" x14ac:dyDescent="0.25">
      <c r="A1420" s="9" t="s">
        <v>26</v>
      </c>
      <c r="B1420" s="10" t="s">
        <v>10</v>
      </c>
      <c r="C1420" s="10">
        <v>54.7</v>
      </c>
      <c r="D1420" s="10">
        <v>2010</v>
      </c>
    </row>
    <row r="1421" spans="1:4" ht="19.95" customHeight="1" x14ac:dyDescent="0.25">
      <c r="A1421" s="9" t="s">
        <v>28</v>
      </c>
      <c r="B1421" s="10" t="s">
        <v>10</v>
      </c>
      <c r="C1421" s="10">
        <v>65.177999999999997</v>
      </c>
      <c r="D1421" s="10">
        <v>2010</v>
      </c>
    </row>
    <row r="1422" spans="1:4" ht="19.95" customHeight="1" x14ac:dyDescent="0.25">
      <c r="A1422" s="9" t="s">
        <v>29</v>
      </c>
      <c r="B1422" s="10" t="s">
        <v>10</v>
      </c>
      <c r="C1422" s="10">
        <v>67.914000000000001</v>
      </c>
      <c r="D1422" s="10">
        <v>2010</v>
      </c>
    </row>
    <row r="1423" spans="1:4" ht="19.95" customHeight="1" x14ac:dyDescent="0.25">
      <c r="A1423" s="9" t="s">
        <v>30</v>
      </c>
      <c r="B1423" s="10" t="s">
        <v>10</v>
      </c>
      <c r="C1423" s="10">
        <v>73.698999999999998</v>
      </c>
      <c r="D1423" s="10">
        <v>2010</v>
      </c>
    </row>
    <row r="1424" spans="1:4" ht="19.95" customHeight="1" x14ac:dyDescent="0.25">
      <c r="A1424" s="9" t="s">
        <v>31</v>
      </c>
      <c r="B1424" s="10" t="s">
        <v>10</v>
      </c>
      <c r="C1424" s="10">
        <v>56.838000000000001</v>
      </c>
      <c r="D1424" s="10">
        <v>2010</v>
      </c>
    </row>
    <row r="1425" spans="1:4" ht="19.95" customHeight="1" x14ac:dyDescent="0.25">
      <c r="A1425" s="9" t="s">
        <v>32</v>
      </c>
      <c r="B1425" s="10" t="s">
        <v>10</v>
      </c>
      <c r="C1425" s="10">
        <v>63.14</v>
      </c>
      <c r="D1425" s="10">
        <v>2010</v>
      </c>
    </row>
    <row r="1426" spans="1:4" ht="19.95" customHeight="1" x14ac:dyDescent="0.25">
      <c r="A1426" s="9" t="s">
        <v>33</v>
      </c>
      <c r="B1426" s="10" t="s">
        <v>10</v>
      </c>
      <c r="C1426" s="10">
        <v>65.875</v>
      </c>
      <c r="D1426" s="10">
        <v>2010</v>
      </c>
    </row>
    <row r="1427" spans="1:4" ht="19.95" customHeight="1" x14ac:dyDescent="0.25">
      <c r="A1427" s="9" t="s">
        <v>34</v>
      </c>
      <c r="B1427" s="10" t="s">
        <v>10</v>
      </c>
      <c r="C1427" s="10">
        <v>74.352000000000004</v>
      </c>
      <c r="D1427" s="10">
        <v>2010</v>
      </c>
    </row>
    <row r="1428" spans="1:4" ht="19.95" customHeight="1" x14ac:dyDescent="0.25">
      <c r="A1428" s="9" t="s">
        <v>35</v>
      </c>
      <c r="B1428" s="10" t="s">
        <v>10</v>
      </c>
      <c r="C1428" s="10">
        <v>69.644000000000005</v>
      </c>
      <c r="D1428" s="10">
        <v>2010</v>
      </c>
    </row>
    <row r="1429" spans="1:4" ht="19.95" customHeight="1" x14ac:dyDescent="0.25">
      <c r="A1429" s="9" t="s">
        <v>36</v>
      </c>
      <c r="B1429" s="10" t="s">
        <v>10</v>
      </c>
      <c r="C1429" s="10">
        <v>60.893000000000001</v>
      </c>
      <c r="D1429" s="10">
        <v>2010</v>
      </c>
    </row>
    <row r="1430" spans="1:4" ht="19.95" customHeight="1" x14ac:dyDescent="0.25">
      <c r="A1430" s="9" t="s">
        <v>37</v>
      </c>
      <c r="B1430" s="10" t="s">
        <v>10</v>
      </c>
      <c r="C1430" s="10">
        <v>57.152999999999999</v>
      </c>
      <c r="D1430" s="10">
        <v>2010</v>
      </c>
    </row>
    <row r="1431" spans="1:4" ht="19.95" customHeight="1" x14ac:dyDescent="0.25">
      <c r="A1431" s="9" t="s">
        <v>38</v>
      </c>
      <c r="B1431" s="10" t="s">
        <v>10</v>
      </c>
      <c r="C1431" s="10">
        <v>56.588000000000001</v>
      </c>
      <c r="D1431" s="10">
        <v>2010</v>
      </c>
    </row>
    <row r="1432" spans="1:4" ht="19.95" customHeight="1" x14ac:dyDescent="0.25">
      <c r="A1432" s="9" t="s">
        <v>39</v>
      </c>
      <c r="B1432" s="10" t="s">
        <v>10</v>
      </c>
      <c r="C1432" s="10">
        <v>52.975000000000001</v>
      </c>
      <c r="D1432" s="10">
        <v>2010</v>
      </c>
    </row>
    <row r="1433" spans="1:4" ht="19.95" customHeight="1" x14ac:dyDescent="0.25">
      <c r="A1433" s="9" t="s">
        <v>9</v>
      </c>
      <c r="B1433" s="10" t="s">
        <v>10</v>
      </c>
      <c r="C1433" s="10">
        <v>55.338000000000001</v>
      </c>
      <c r="D1433" s="10">
        <v>2011</v>
      </c>
    </row>
    <row r="1434" spans="1:4" ht="19.95" customHeight="1" x14ac:dyDescent="0.25">
      <c r="A1434" s="9" t="s">
        <v>12</v>
      </c>
      <c r="B1434" s="10" t="s">
        <v>10</v>
      </c>
      <c r="C1434" s="10">
        <v>55.832000000000001</v>
      </c>
      <c r="D1434" s="10">
        <v>2011</v>
      </c>
    </row>
    <row r="1435" spans="1:4" ht="19.95" customHeight="1" x14ac:dyDescent="0.25">
      <c r="A1435" s="9" t="s">
        <v>13</v>
      </c>
      <c r="B1435" s="10" t="s">
        <v>10</v>
      </c>
      <c r="C1435" s="10">
        <v>50.777999999999999</v>
      </c>
      <c r="D1435" s="10">
        <v>2011</v>
      </c>
    </row>
    <row r="1436" spans="1:4" ht="19.95" customHeight="1" x14ac:dyDescent="0.25">
      <c r="A1436" s="9" t="s">
        <v>15</v>
      </c>
      <c r="B1436" s="10" t="s">
        <v>10</v>
      </c>
      <c r="C1436" s="10">
        <v>62.24</v>
      </c>
      <c r="D1436" s="10">
        <v>2011</v>
      </c>
    </row>
    <row r="1437" spans="1:4" ht="19.95" customHeight="1" x14ac:dyDescent="0.25">
      <c r="A1437" s="9" t="s">
        <v>16</v>
      </c>
      <c r="B1437" s="10" t="s">
        <v>10</v>
      </c>
      <c r="C1437" s="10">
        <v>60.87</v>
      </c>
      <c r="D1437" s="10">
        <v>2011</v>
      </c>
    </row>
    <row r="1438" spans="1:4" ht="19.95" customHeight="1" x14ac:dyDescent="0.25">
      <c r="A1438" s="9" t="s">
        <v>1</v>
      </c>
      <c r="B1438" s="10" t="s">
        <v>10</v>
      </c>
      <c r="C1438" s="10">
        <v>62.500999999999998</v>
      </c>
      <c r="D1438" s="10">
        <v>2011</v>
      </c>
    </row>
    <row r="1439" spans="1:4" ht="19.95" customHeight="1" x14ac:dyDescent="0.25">
      <c r="A1439" s="9" t="s">
        <v>17</v>
      </c>
      <c r="B1439" s="10" t="s">
        <v>10</v>
      </c>
      <c r="C1439" s="10">
        <v>57.281999999999996</v>
      </c>
      <c r="D1439" s="10">
        <v>2011</v>
      </c>
    </row>
    <row r="1440" spans="1:4" ht="19.95" customHeight="1" x14ac:dyDescent="0.25">
      <c r="A1440" s="9" t="s">
        <v>18</v>
      </c>
      <c r="B1440" s="10" t="s">
        <v>10</v>
      </c>
      <c r="C1440" s="10">
        <v>61.698999999999998</v>
      </c>
      <c r="D1440" s="10">
        <v>2011</v>
      </c>
    </row>
    <row r="1441" spans="1:4" ht="19.95" customHeight="1" x14ac:dyDescent="0.25">
      <c r="A1441" s="9" t="s">
        <v>19</v>
      </c>
      <c r="B1441" s="10" t="s">
        <v>10</v>
      </c>
      <c r="C1441" s="10">
        <v>64.007999999999996</v>
      </c>
      <c r="D1441" s="10">
        <v>2011</v>
      </c>
    </row>
    <row r="1442" spans="1:4" ht="19.95" customHeight="1" x14ac:dyDescent="0.25">
      <c r="A1442" s="9" t="s">
        <v>20</v>
      </c>
      <c r="B1442" s="10" t="s">
        <v>10</v>
      </c>
      <c r="C1442" s="10">
        <v>70.148780487804899</v>
      </c>
      <c r="D1442" s="10">
        <v>2011</v>
      </c>
    </row>
    <row r="1443" spans="1:4" ht="19.95" customHeight="1" x14ac:dyDescent="0.25">
      <c r="A1443" s="9" t="s">
        <v>21</v>
      </c>
      <c r="B1443" s="10" t="s">
        <v>10</v>
      </c>
      <c r="C1443" s="10">
        <v>60.155000000000001</v>
      </c>
      <c r="D1443" s="10">
        <v>2011</v>
      </c>
    </row>
    <row r="1444" spans="1:4" ht="19.95" customHeight="1" x14ac:dyDescent="0.25">
      <c r="A1444" s="9" t="s">
        <v>22</v>
      </c>
      <c r="B1444" s="10" t="s">
        <v>10</v>
      </c>
      <c r="C1444" s="10">
        <v>63.835999999999999</v>
      </c>
      <c r="D1444" s="10">
        <v>2011</v>
      </c>
    </row>
    <row r="1445" spans="1:4" ht="19.95" customHeight="1" x14ac:dyDescent="0.25">
      <c r="A1445" s="9" t="s">
        <v>23</v>
      </c>
      <c r="B1445" s="10" t="s">
        <v>10</v>
      </c>
      <c r="C1445" s="10">
        <v>58.667000000000002</v>
      </c>
      <c r="D1445" s="10">
        <v>2011</v>
      </c>
    </row>
    <row r="1446" spans="1:4" ht="19.95" customHeight="1" x14ac:dyDescent="0.25">
      <c r="A1446" s="9" t="s">
        <v>24</v>
      </c>
      <c r="B1446" s="10" t="s">
        <v>10</v>
      </c>
      <c r="C1446" s="10">
        <v>55.694000000000003</v>
      </c>
      <c r="D1446" s="10">
        <v>2011</v>
      </c>
    </row>
    <row r="1447" spans="1:4" ht="19.95" customHeight="1" x14ac:dyDescent="0.25">
      <c r="A1447" s="9" t="s">
        <v>25</v>
      </c>
      <c r="B1447" s="10" t="s">
        <v>10</v>
      </c>
      <c r="C1447" s="10">
        <v>70.117000000000004</v>
      </c>
      <c r="D1447" s="10">
        <v>2011</v>
      </c>
    </row>
    <row r="1448" spans="1:4" ht="19.95" customHeight="1" x14ac:dyDescent="0.25">
      <c r="A1448" s="9" t="s">
        <v>26</v>
      </c>
      <c r="B1448" s="10" t="s">
        <v>10</v>
      </c>
      <c r="C1448" s="10">
        <v>55.287999999999997</v>
      </c>
      <c r="D1448" s="10">
        <v>2011</v>
      </c>
    </row>
    <row r="1449" spans="1:4" ht="19.95" customHeight="1" x14ac:dyDescent="0.25">
      <c r="A1449" s="9" t="s">
        <v>28</v>
      </c>
      <c r="B1449" s="10" t="s">
        <v>10</v>
      </c>
      <c r="C1449" s="10">
        <v>65.506</v>
      </c>
      <c r="D1449" s="10">
        <v>2011</v>
      </c>
    </row>
    <row r="1450" spans="1:4" ht="19.95" customHeight="1" x14ac:dyDescent="0.25">
      <c r="A1450" s="9" t="s">
        <v>29</v>
      </c>
      <c r="B1450" s="10" t="s">
        <v>10</v>
      </c>
      <c r="C1450" s="10">
        <v>68.328999999999994</v>
      </c>
      <c r="D1450" s="10">
        <v>2011</v>
      </c>
    </row>
    <row r="1451" spans="1:4" ht="19.95" customHeight="1" x14ac:dyDescent="0.25">
      <c r="A1451" s="9" t="s">
        <v>30</v>
      </c>
      <c r="B1451" s="10" t="s">
        <v>10</v>
      </c>
      <c r="C1451" s="10">
        <v>74.016000000000005</v>
      </c>
      <c r="D1451" s="10">
        <v>2011</v>
      </c>
    </row>
    <row r="1452" spans="1:4" ht="19.95" customHeight="1" x14ac:dyDescent="0.25">
      <c r="A1452" s="9" t="s">
        <v>31</v>
      </c>
      <c r="B1452" s="10" t="s">
        <v>10</v>
      </c>
      <c r="C1452" s="10">
        <v>57.527999999999999</v>
      </c>
      <c r="D1452" s="10">
        <v>2011</v>
      </c>
    </row>
    <row r="1453" spans="1:4" ht="19.95" customHeight="1" x14ac:dyDescent="0.25">
      <c r="A1453" s="9" t="s">
        <v>32</v>
      </c>
      <c r="B1453" s="10" t="s">
        <v>10</v>
      </c>
      <c r="C1453" s="10">
        <v>64.105999999999995</v>
      </c>
      <c r="D1453" s="10">
        <v>2011</v>
      </c>
    </row>
    <row r="1454" spans="1:4" ht="19.95" customHeight="1" x14ac:dyDescent="0.25">
      <c r="A1454" s="9" t="s">
        <v>33</v>
      </c>
      <c r="B1454" s="10" t="s">
        <v>10</v>
      </c>
      <c r="C1454" s="10">
        <v>66.007999999999996</v>
      </c>
      <c r="D1454" s="10">
        <v>2011</v>
      </c>
    </row>
    <row r="1455" spans="1:4" ht="19.95" customHeight="1" x14ac:dyDescent="0.25">
      <c r="A1455" s="9" t="s">
        <v>34</v>
      </c>
      <c r="B1455" s="10" t="s">
        <v>10</v>
      </c>
      <c r="C1455" s="10">
        <v>74.462000000000003</v>
      </c>
      <c r="D1455" s="10">
        <v>2011</v>
      </c>
    </row>
    <row r="1456" spans="1:4" ht="19.95" customHeight="1" x14ac:dyDescent="0.25">
      <c r="A1456" s="9" t="s">
        <v>35</v>
      </c>
      <c r="B1456" s="10" t="s">
        <v>10</v>
      </c>
      <c r="C1456" s="10">
        <v>69.957999999999998</v>
      </c>
      <c r="D1456" s="10">
        <v>2011</v>
      </c>
    </row>
    <row r="1457" spans="1:4" ht="19.95" customHeight="1" x14ac:dyDescent="0.25">
      <c r="A1457" s="9" t="s">
        <v>36</v>
      </c>
      <c r="B1457" s="10" t="s">
        <v>10</v>
      </c>
      <c r="C1457" s="10">
        <v>61.713000000000001</v>
      </c>
      <c r="D1457" s="10">
        <v>2011</v>
      </c>
    </row>
    <row r="1458" spans="1:4" ht="19.95" customHeight="1" x14ac:dyDescent="0.25">
      <c r="A1458" s="9" t="s">
        <v>37</v>
      </c>
      <c r="B1458" s="10" t="s">
        <v>10</v>
      </c>
      <c r="C1458" s="10">
        <v>57.795999999999999</v>
      </c>
      <c r="D1458" s="10">
        <v>2011</v>
      </c>
    </row>
    <row r="1459" spans="1:4" ht="19.95" customHeight="1" x14ac:dyDescent="0.25">
      <c r="A1459" s="9" t="s">
        <v>38</v>
      </c>
      <c r="B1459" s="10" t="s">
        <v>10</v>
      </c>
      <c r="C1459" s="10">
        <v>57.872</v>
      </c>
      <c r="D1459" s="10">
        <v>2011</v>
      </c>
    </row>
    <row r="1460" spans="1:4" ht="19.95" customHeight="1" x14ac:dyDescent="0.25">
      <c r="A1460" s="9" t="s">
        <v>39</v>
      </c>
      <c r="B1460" s="10" t="s">
        <v>10</v>
      </c>
      <c r="C1460" s="10">
        <v>54.8</v>
      </c>
      <c r="D1460" s="10">
        <v>2011</v>
      </c>
    </row>
    <row r="1461" spans="1:4" ht="19.95" customHeight="1" x14ac:dyDescent="0.25">
      <c r="A1461" s="9" t="s">
        <v>9</v>
      </c>
      <c r="B1461" s="10" t="s">
        <v>10</v>
      </c>
      <c r="C1461" s="10">
        <v>55.807000000000002</v>
      </c>
      <c r="D1461" s="10">
        <v>2012</v>
      </c>
    </row>
    <row r="1462" spans="1:4" ht="19.95" customHeight="1" x14ac:dyDescent="0.25">
      <c r="A1462" s="9" t="s">
        <v>12</v>
      </c>
      <c r="B1462" s="10" t="s">
        <v>10</v>
      </c>
      <c r="C1462" s="10">
        <v>56.241</v>
      </c>
      <c r="D1462" s="10">
        <v>2012</v>
      </c>
    </row>
    <row r="1463" spans="1:4" ht="19.95" customHeight="1" x14ac:dyDescent="0.25">
      <c r="A1463" s="9" t="s">
        <v>13</v>
      </c>
      <c r="B1463" s="10" t="s">
        <v>10</v>
      </c>
      <c r="C1463" s="10">
        <v>51.3</v>
      </c>
      <c r="D1463" s="10">
        <v>2012</v>
      </c>
    </row>
    <row r="1464" spans="1:4" ht="19.95" customHeight="1" x14ac:dyDescent="0.25">
      <c r="A1464" s="9" t="s">
        <v>15</v>
      </c>
      <c r="B1464" s="10" t="s">
        <v>10</v>
      </c>
      <c r="C1464" s="10">
        <v>62.595999999999997</v>
      </c>
      <c r="D1464" s="10">
        <v>2012</v>
      </c>
    </row>
    <row r="1465" spans="1:4" ht="19.95" customHeight="1" x14ac:dyDescent="0.25">
      <c r="A1465" s="9" t="s">
        <v>16</v>
      </c>
      <c r="B1465" s="10" t="s">
        <v>10</v>
      </c>
      <c r="C1465" s="10">
        <v>61.31</v>
      </c>
      <c r="D1465" s="10">
        <v>2012</v>
      </c>
    </row>
    <row r="1466" spans="1:4" ht="19.95" customHeight="1" x14ac:dyDescent="0.25">
      <c r="A1466" s="9" t="s">
        <v>1</v>
      </c>
      <c r="B1466" s="10" t="s">
        <v>10</v>
      </c>
      <c r="C1466" s="10">
        <v>63.274999999999999</v>
      </c>
      <c r="D1466" s="10">
        <v>2012</v>
      </c>
    </row>
    <row r="1467" spans="1:4" ht="19.95" customHeight="1" x14ac:dyDescent="0.25">
      <c r="A1467" s="9" t="s">
        <v>17</v>
      </c>
      <c r="B1467" s="10" t="s">
        <v>10</v>
      </c>
      <c r="C1467" s="10">
        <v>57.781999999999996</v>
      </c>
      <c r="D1467" s="10">
        <v>2012</v>
      </c>
    </row>
    <row r="1468" spans="1:4" ht="19.95" customHeight="1" x14ac:dyDescent="0.25">
      <c r="A1468" s="9" t="s">
        <v>18</v>
      </c>
      <c r="B1468" s="10" t="s">
        <v>10</v>
      </c>
      <c r="C1468" s="10">
        <v>62.078000000000003</v>
      </c>
      <c r="D1468" s="10">
        <v>2012</v>
      </c>
    </row>
    <row r="1469" spans="1:4" ht="19.95" customHeight="1" x14ac:dyDescent="0.25">
      <c r="A1469" s="9" t="s">
        <v>19</v>
      </c>
      <c r="B1469" s="10" t="s">
        <v>10</v>
      </c>
      <c r="C1469" s="10">
        <v>64.906999999999996</v>
      </c>
      <c r="D1469" s="10">
        <v>2012</v>
      </c>
    </row>
    <row r="1470" spans="1:4" ht="19.95" customHeight="1" x14ac:dyDescent="0.25">
      <c r="A1470" s="9" t="s">
        <v>20</v>
      </c>
      <c r="B1470" s="10" t="s">
        <v>10</v>
      </c>
      <c r="C1470" s="10">
        <v>70.497560975609801</v>
      </c>
      <c r="D1470" s="10">
        <v>2012</v>
      </c>
    </row>
    <row r="1471" spans="1:4" ht="19.95" customHeight="1" x14ac:dyDescent="0.25">
      <c r="A1471" s="9" t="s">
        <v>21</v>
      </c>
      <c r="B1471" s="10" t="s">
        <v>10</v>
      </c>
      <c r="C1471" s="10">
        <v>60.615000000000002</v>
      </c>
      <c r="D1471" s="10">
        <v>2012</v>
      </c>
    </row>
    <row r="1472" spans="1:4" ht="19.95" customHeight="1" x14ac:dyDescent="0.25">
      <c r="A1472" s="9" t="s">
        <v>22</v>
      </c>
      <c r="B1472" s="10" t="s">
        <v>10</v>
      </c>
      <c r="C1472" s="10">
        <v>64.28</v>
      </c>
      <c r="D1472" s="10">
        <v>2012</v>
      </c>
    </row>
    <row r="1473" spans="1:4" ht="19.95" customHeight="1" x14ac:dyDescent="0.25">
      <c r="A1473" s="9" t="s">
        <v>23</v>
      </c>
      <c r="B1473" s="10" t="s">
        <v>10</v>
      </c>
      <c r="C1473" s="10">
        <v>59.927</v>
      </c>
      <c r="D1473" s="10">
        <v>2012</v>
      </c>
    </row>
    <row r="1474" spans="1:4" ht="19.95" customHeight="1" x14ac:dyDescent="0.25">
      <c r="A1474" s="9" t="s">
        <v>24</v>
      </c>
      <c r="B1474" s="10" t="s">
        <v>10</v>
      </c>
      <c r="C1474" s="10">
        <v>56.122</v>
      </c>
      <c r="D1474" s="10">
        <v>2012</v>
      </c>
    </row>
    <row r="1475" spans="1:4" ht="19.95" customHeight="1" x14ac:dyDescent="0.25">
      <c r="A1475" s="9" t="s">
        <v>25</v>
      </c>
      <c r="B1475" s="10" t="s">
        <v>10</v>
      </c>
      <c r="C1475" s="10">
        <v>70.576999999999998</v>
      </c>
      <c r="D1475" s="10">
        <v>2012</v>
      </c>
    </row>
    <row r="1476" spans="1:4" ht="19.95" customHeight="1" x14ac:dyDescent="0.25">
      <c r="A1476" s="9" t="s">
        <v>26</v>
      </c>
      <c r="B1476" s="10" t="s">
        <v>10</v>
      </c>
      <c r="C1476" s="10">
        <v>55.878</v>
      </c>
      <c r="D1476" s="10">
        <v>2012</v>
      </c>
    </row>
    <row r="1477" spans="1:4" ht="19.95" customHeight="1" x14ac:dyDescent="0.25">
      <c r="A1477" s="9" t="s">
        <v>28</v>
      </c>
      <c r="B1477" s="10" t="s">
        <v>10</v>
      </c>
      <c r="C1477" s="10">
        <v>65.805000000000007</v>
      </c>
      <c r="D1477" s="10">
        <v>2012</v>
      </c>
    </row>
    <row r="1478" spans="1:4" ht="19.95" customHeight="1" x14ac:dyDescent="0.25">
      <c r="A1478" s="9" t="s">
        <v>29</v>
      </c>
      <c r="B1478" s="10" t="s">
        <v>10</v>
      </c>
      <c r="C1478" s="10">
        <v>68.731999999999999</v>
      </c>
      <c r="D1478" s="10">
        <v>2012</v>
      </c>
    </row>
    <row r="1479" spans="1:4" ht="19.95" customHeight="1" x14ac:dyDescent="0.25">
      <c r="A1479" s="9" t="s">
        <v>30</v>
      </c>
      <c r="B1479" s="10" t="s">
        <v>10</v>
      </c>
      <c r="C1479" s="10">
        <v>74.319000000000003</v>
      </c>
      <c r="D1479" s="10">
        <v>2012</v>
      </c>
    </row>
    <row r="1480" spans="1:4" ht="19.95" customHeight="1" x14ac:dyDescent="0.25">
      <c r="A1480" s="9" t="s">
        <v>31</v>
      </c>
      <c r="B1480" s="10" t="s">
        <v>10</v>
      </c>
      <c r="C1480" s="10">
        <v>58.16</v>
      </c>
      <c r="D1480" s="10">
        <v>2012</v>
      </c>
    </row>
    <row r="1481" spans="1:4" ht="19.95" customHeight="1" x14ac:dyDescent="0.25">
      <c r="A1481" s="9" t="s">
        <v>32</v>
      </c>
      <c r="B1481" s="10" t="s">
        <v>10</v>
      </c>
      <c r="C1481" s="10">
        <v>64.911000000000001</v>
      </c>
      <c r="D1481" s="10">
        <v>2012</v>
      </c>
    </row>
    <row r="1482" spans="1:4" ht="19.95" customHeight="1" x14ac:dyDescent="0.25">
      <c r="A1482" s="9" t="s">
        <v>33</v>
      </c>
      <c r="B1482" s="10" t="s">
        <v>10</v>
      </c>
      <c r="C1482" s="10">
        <v>66.125</v>
      </c>
      <c r="D1482" s="10">
        <v>2012</v>
      </c>
    </row>
    <row r="1483" spans="1:4" ht="19.95" customHeight="1" x14ac:dyDescent="0.25">
      <c r="A1483" s="9" t="s">
        <v>34</v>
      </c>
      <c r="B1483" s="10" t="s">
        <v>10</v>
      </c>
      <c r="C1483" s="10">
        <v>74.593000000000004</v>
      </c>
      <c r="D1483" s="10">
        <v>2012</v>
      </c>
    </row>
    <row r="1484" spans="1:4" ht="19.95" customHeight="1" x14ac:dyDescent="0.25">
      <c r="A1484" s="9" t="s">
        <v>35</v>
      </c>
      <c r="B1484" s="10" t="s">
        <v>10</v>
      </c>
      <c r="C1484" s="10">
        <v>70.233999999999995</v>
      </c>
      <c r="D1484" s="10">
        <v>2012</v>
      </c>
    </row>
    <row r="1485" spans="1:4" ht="19.95" customHeight="1" x14ac:dyDescent="0.25">
      <c r="A1485" s="9" t="s">
        <v>36</v>
      </c>
      <c r="B1485" s="10" t="s">
        <v>10</v>
      </c>
      <c r="C1485" s="10">
        <v>62.527999999999999</v>
      </c>
      <c r="D1485" s="10">
        <v>2012</v>
      </c>
    </row>
    <row r="1486" spans="1:4" ht="19.95" customHeight="1" x14ac:dyDescent="0.25">
      <c r="A1486" s="9" t="s">
        <v>37</v>
      </c>
      <c r="B1486" s="10" t="s">
        <v>10</v>
      </c>
      <c r="C1486" s="10">
        <v>58.347000000000001</v>
      </c>
      <c r="D1486" s="10">
        <v>2012</v>
      </c>
    </row>
    <row r="1487" spans="1:4" ht="19.95" customHeight="1" x14ac:dyDescent="0.25">
      <c r="A1487" s="9" t="s">
        <v>38</v>
      </c>
      <c r="B1487" s="10" t="s">
        <v>10</v>
      </c>
      <c r="C1487" s="10">
        <v>59.011000000000003</v>
      </c>
      <c r="D1487" s="10">
        <v>2012</v>
      </c>
    </row>
    <row r="1488" spans="1:4" ht="19.95" customHeight="1" x14ac:dyDescent="0.25">
      <c r="A1488" s="9" t="s">
        <v>39</v>
      </c>
      <c r="B1488" s="10" t="s">
        <v>10</v>
      </c>
      <c r="C1488" s="10">
        <v>56.515999999999998</v>
      </c>
      <c r="D1488" s="10">
        <v>2012</v>
      </c>
    </row>
    <row r="1489" spans="1:4" ht="19.95" customHeight="1" x14ac:dyDescent="0.25">
      <c r="A1489" s="9" t="s">
        <v>9</v>
      </c>
      <c r="B1489" s="10" t="s">
        <v>10</v>
      </c>
      <c r="C1489" s="10">
        <v>56.259</v>
      </c>
      <c r="D1489" s="10">
        <v>2013</v>
      </c>
    </row>
    <row r="1490" spans="1:4" ht="19.95" customHeight="1" x14ac:dyDescent="0.25">
      <c r="A1490" s="9" t="s">
        <v>12</v>
      </c>
      <c r="B1490" s="10" t="s">
        <v>10</v>
      </c>
      <c r="C1490" s="10">
        <v>56.664999999999999</v>
      </c>
      <c r="D1490" s="10">
        <v>2013</v>
      </c>
    </row>
    <row r="1491" spans="1:4" ht="19.95" customHeight="1" x14ac:dyDescent="0.25">
      <c r="A1491" s="9" t="s">
        <v>13</v>
      </c>
      <c r="B1491" s="10" t="s">
        <v>10</v>
      </c>
      <c r="C1491" s="10">
        <v>51.777999999999999</v>
      </c>
      <c r="D1491" s="10">
        <v>2013</v>
      </c>
    </row>
    <row r="1492" spans="1:4" ht="19.95" customHeight="1" x14ac:dyDescent="0.25">
      <c r="A1492" s="9" t="s">
        <v>15</v>
      </c>
      <c r="B1492" s="10" t="s">
        <v>10</v>
      </c>
      <c r="C1492" s="10">
        <v>62.923000000000002</v>
      </c>
      <c r="D1492" s="10">
        <v>2013</v>
      </c>
    </row>
    <row r="1493" spans="1:4" ht="19.95" customHeight="1" x14ac:dyDescent="0.25">
      <c r="A1493" s="9" t="s">
        <v>16</v>
      </c>
      <c r="B1493" s="10" t="s">
        <v>10</v>
      </c>
      <c r="C1493" s="10">
        <v>61.691000000000003</v>
      </c>
      <c r="D1493" s="10">
        <v>2013</v>
      </c>
    </row>
    <row r="1494" spans="1:4" ht="19.95" customHeight="1" x14ac:dyDescent="0.25">
      <c r="A1494" s="9" t="s">
        <v>1</v>
      </c>
      <c r="B1494" s="10" t="s">
        <v>10</v>
      </c>
      <c r="C1494" s="10">
        <v>63.951999999999998</v>
      </c>
      <c r="D1494" s="10">
        <v>2013</v>
      </c>
    </row>
    <row r="1495" spans="1:4" ht="19.95" customHeight="1" x14ac:dyDescent="0.25">
      <c r="A1495" s="9" t="s">
        <v>17</v>
      </c>
      <c r="B1495" s="10" t="s">
        <v>10</v>
      </c>
      <c r="C1495" s="10">
        <v>58.301000000000002</v>
      </c>
      <c r="D1495" s="10">
        <v>2013</v>
      </c>
    </row>
    <row r="1496" spans="1:4" ht="19.95" customHeight="1" x14ac:dyDescent="0.25">
      <c r="A1496" s="9" t="s">
        <v>18</v>
      </c>
      <c r="B1496" s="10" t="s">
        <v>10</v>
      </c>
      <c r="C1496" s="10">
        <v>62.432000000000002</v>
      </c>
      <c r="D1496" s="10">
        <v>2013</v>
      </c>
    </row>
    <row r="1497" spans="1:4" ht="19.95" customHeight="1" x14ac:dyDescent="0.25">
      <c r="A1497" s="9" t="s">
        <v>19</v>
      </c>
      <c r="B1497" s="10" t="s">
        <v>10</v>
      </c>
      <c r="C1497" s="10">
        <v>65.650999999999996</v>
      </c>
      <c r="D1497" s="10">
        <v>2013</v>
      </c>
    </row>
    <row r="1498" spans="1:4" ht="19.95" customHeight="1" x14ac:dyDescent="0.25">
      <c r="A1498" s="9" t="s">
        <v>20</v>
      </c>
      <c r="B1498" s="10" t="s">
        <v>10</v>
      </c>
      <c r="C1498" s="10">
        <v>70.797560975609798</v>
      </c>
      <c r="D1498" s="10">
        <v>2013</v>
      </c>
    </row>
    <row r="1499" spans="1:4" ht="19.95" customHeight="1" x14ac:dyDescent="0.25">
      <c r="A1499" s="9" t="s">
        <v>21</v>
      </c>
      <c r="B1499" s="10" t="s">
        <v>10</v>
      </c>
      <c r="C1499" s="10">
        <v>61.066000000000003</v>
      </c>
      <c r="D1499" s="10">
        <v>2013</v>
      </c>
    </row>
    <row r="1500" spans="1:4" ht="19.95" customHeight="1" x14ac:dyDescent="0.25">
      <c r="A1500" s="9" t="s">
        <v>22</v>
      </c>
      <c r="B1500" s="10" t="s">
        <v>10</v>
      </c>
      <c r="C1500" s="10">
        <v>64.712999999999994</v>
      </c>
      <c r="D1500" s="10">
        <v>2013</v>
      </c>
    </row>
    <row r="1501" spans="1:4" ht="19.95" customHeight="1" x14ac:dyDescent="0.25">
      <c r="A1501" s="9" t="s">
        <v>23</v>
      </c>
      <c r="B1501" s="10" t="s">
        <v>10</v>
      </c>
      <c r="C1501" s="10">
        <v>61.02</v>
      </c>
      <c r="D1501" s="10">
        <v>2013</v>
      </c>
    </row>
    <row r="1502" spans="1:4" ht="19.95" customHeight="1" x14ac:dyDescent="0.25">
      <c r="A1502" s="9" t="s">
        <v>24</v>
      </c>
      <c r="B1502" s="10" t="s">
        <v>10</v>
      </c>
      <c r="C1502" s="10">
        <v>56.555999999999997</v>
      </c>
      <c r="D1502" s="10">
        <v>2013</v>
      </c>
    </row>
    <row r="1503" spans="1:4" ht="19.95" customHeight="1" x14ac:dyDescent="0.25">
      <c r="A1503" s="9" t="s">
        <v>25</v>
      </c>
      <c r="B1503" s="10" t="s">
        <v>10</v>
      </c>
      <c r="C1503" s="10">
        <v>70.960999999999999</v>
      </c>
      <c r="D1503" s="10">
        <v>2013</v>
      </c>
    </row>
    <row r="1504" spans="1:4" ht="19.95" customHeight="1" x14ac:dyDescent="0.25">
      <c r="A1504" s="9" t="s">
        <v>26</v>
      </c>
      <c r="B1504" s="10" t="s">
        <v>10</v>
      </c>
      <c r="C1504" s="10">
        <v>56.482999999999997</v>
      </c>
      <c r="D1504" s="10">
        <v>2013</v>
      </c>
    </row>
    <row r="1505" spans="1:4" ht="19.95" customHeight="1" x14ac:dyDescent="0.25">
      <c r="A1505" s="9" t="s">
        <v>28</v>
      </c>
      <c r="B1505" s="10" t="s">
        <v>10</v>
      </c>
      <c r="C1505" s="10">
        <v>66.066000000000003</v>
      </c>
      <c r="D1505" s="10">
        <v>2013</v>
      </c>
    </row>
    <row r="1506" spans="1:4" ht="19.95" customHeight="1" x14ac:dyDescent="0.25">
      <c r="A1506" s="9" t="s">
        <v>29</v>
      </c>
      <c r="B1506" s="10" t="s">
        <v>10</v>
      </c>
      <c r="C1506" s="10">
        <v>69.126000000000005</v>
      </c>
      <c r="D1506" s="10">
        <v>2013</v>
      </c>
    </row>
    <row r="1507" spans="1:4" ht="19.95" customHeight="1" x14ac:dyDescent="0.25">
      <c r="A1507" s="9" t="s">
        <v>30</v>
      </c>
      <c r="B1507" s="10" t="s">
        <v>10</v>
      </c>
      <c r="C1507" s="10">
        <v>74.608000000000004</v>
      </c>
      <c r="D1507" s="10">
        <v>2013</v>
      </c>
    </row>
    <row r="1508" spans="1:4" ht="19.95" customHeight="1" x14ac:dyDescent="0.25">
      <c r="A1508" s="9" t="s">
        <v>31</v>
      </c>
      <c r="B1508" s="10" t="s">
        <v>10</v>
      </c>
      <c r="C1508" s="10">
        <v>58.726999999999997</v>
      </c>
      <c r="D1508" s="10">
        <v>2013</v>
      </c>
    </row>
    <row r="1509" spans="1:4" ht="19.95" customHeight="1" x14ac:dyDescent="0.25">
      <c r="A1509" s="9" t="s">
        <v>32</v>
      </c>
      <c r="B1509" s="10" t="s">
        <v>10</v>
      </c>
      <c r="C1509" s="10">
        <v>65.597999999999999</v>
      </c>
      <c r="D1509" s="10">
        <v>2013</v>
      </c>
    </row>
    <row r="1510" spans="1:4" ht="19.95" customHeight="1" x14ac:dyDescent="0.25">
      <c r="A1510" s="9" t="s">
        <v>33</v>
      </c>
      <c r="B1510" s="10" t="s">
        <v>10</v>
      </c>
      <c r="C1510" s="10">
        <v>66.241</v>
      </c>
      <c r="D1510" s="10">
        <v>2013</v>
      </c>
    </row>
    <row r="1511" spans="1:4" ht="19.95" customHeight="1" x14ac:dyDescent="0.25">
      <c r="A1511" s="9" t="s">
        <v>34</v>
      </c>
      <c r="B1511" s="10" t="s">
        <v>10</v>
      </c>
      <c r="C1511" s="10">
        <v>74.741</v>
      </c>
      <c r="D1511" s="10">
        <v>2013</v>
      </c>
    </row>
    <row r="1512" spans="1:4" ht="19.95" customHeight="1" x14ac:dyDescent="0.25">
      <c r="A1512" s="9" t="s">
        <v>35</v>
      </c>
      <c r="B1512" s="10" t="s">
        <v>10</v>
      </c>
      <c r="C1512" s="10">
        <v>70.477000000000004</v>
      </c>
      <c r="D1512" s="10">
        <v>2013</v>
      </c>
    </row>
    <row r="1513" spans="1:4" ht="19.95" customHeight="1" x14ac:dyDescent="0.25">
      <c r="A1513" s="9" t="s">
        <v>36</v>
      </c>
      <c r="B1513" s="10" t="s">
        <v>10</v>
      </c>
      <c r="C1513" s="10">
        <v>63.347999999999999</v>
      </c>
      <c r="D1513" s="10">
        <v>2013</v>
      </c>
    </row>
    <row r="1514" spans="1:4" ht="19.95" customHeight="1" x14ac:dyDescent="0.25">
      <c r="A1514" s="9" t="s">
        <v>37</v>
      </c>
      <c r="B1514" s="10" t="s">
        <v>10</v>
      </c>
      <c r="C1514" s="10">
        <v>58.819000000000003</v>
      </c>
      <c r="D1514" s="10">
        <v>2013</v>
      </c>
    </row>
    <row r="1515" spans="1:4" ht="19.95" customHeight="1" x14ac:dyDescent="0.25">
      <c r="A1515" s="9" t="s">
        <v>38</v>
      </c>
      <c r="B1515" s="10" t="s">
        <v>10</v>
      </c>
      <c r="C1515" s="10">
        <v>59.981999999999999</v>
      </c>
      <c r="D1515" s="10">
        <v>2013</v>
      </c>
    </row>
    <row r="1516" spans="1:4" ht="19.95" customHeight="1" x14ac:dyDescent="0.25">
      <c r="A1516" s="9" t="s">
        <v>39</v>
      </c>
      <c r="B1516" s="10" t="s">
        <v>10</v>
      </c>
      <c r="C1516" s="10">
        <v>58.052999999999997</v>
      </c>
      <c r="D1516" s="10">
        <v>2013</v>
      </c>
    </row>
    <row r="1517" spans="1:4" ht="19.95" customHeight="1" x14ac:dyDescent="0.25">
      <c r="A1517" s="9" t="s">
        <v>9</v>
      </c>
      <c r="B1517" s="10" t="s">
        <v>10</v>
      </c>
      <c r="C1517" s="10">
        <v>56.688000000000002</v>
      </c>
      <c r="D1517" s="10">
        <v>2014</v>
      </c>
    </row>
    <row r="1518" spans="1:4" ht="19.95" customHeight="1" x14ac:dyDescent="0.25">
      <c r="A1518" s="9" t="s">
        <v>12</v>
      </c>
      <c r="B1518" s="10" t="s">
        <v>10</v>
      </c>
      <c r="C1518" s="10">
        <v>57.110999999999997</v>
      </c>
      <c r="D1518" s="10">
        <v>2014</v>
      </c>
    </row>
    <row r="1519" spans="1:4" ht="19.95" customHeight="1" x14ac:dyDescent="0.25">
      <c r="A1519" s="9" t="s">
        <v>13</v>
      </c>
      <c r="B1519" s="10" t="s">
        <v>10</v>
      </c>
      <c r="C1519" s="10">
        <v>52.204000000000001</v>
      </c>
      <c r="D1519" s="10">
        <v>2014</v>
      </c>
    </row>
    <row r="1520" spans="1:4" ht="19.95" customHeight="1" x14ac:dyDescent="0.25">
      <c r="A1520" s="9" t="s">
        <v>15</v>
      </c>
      <c r="B1520" s="10" t="s">
        <v>10</v>
      </c>
      <c r="C1520" s="10">
        <v>63.216000000000001</v>
      </c>
      <c r="D1520" s="10">
        <v>2014</v>
      </c>
    </row>
    <row r="1521" spans="1:4" ht="19.95" customHeight="1" x14ac:dyDescent="0.25">
      <c r="A1521" s="9" t="s">
        <v>16</v>
      </c>
      <c r="B1521" s="10" t="s">
        <v>10</v>
      </c>
      <c r="C1521" s="10">
        <v>62.006</v>
      </c>
      <c r="D1521" s="10">
        <v>2014</v>
      </c>
    </row>
    <row r="1522" spans="1:4" ht="19.95" customHeight="1" x14ac:dyDescent="0.25">
      <c r="A1522" s="9" t="s">
        <v>1</v>
      </c>
      <c r="B1522" s="10" t="s">
        <v>10</v>
      </c>
      <c r="C1522" s="10">
        <v>64.534999999999997</v>
      </c>
      <c r="D1522" s="10">
        <v>2014</v>
      </c>
    </row>
    <row r="1523" spans="1:4" ht="19.95" customHeight="1" x14ac:dyDescent="0.25">
      <c r="A1523" s="9" t="s">
        <v>17</v>
      </c>
      <c r="B1523" s="10" t="s">
        <v>10</v>
      </c>
      <c r="C1523" s="10">
        <v>58.845999999999997</v>
      </c>
      <c r="D1523" s="10">
        <v>2014</v>
      </c>
    </row>
    <row r="1524" spans="1:4" ht="19.95" customHeight="1" x14ac:dyDescent="0.25">
      <c r="A1524" s="9" t="s">
        <v>18</v>
      </c>
      <c r="B1524" s="10" t="s">
        <v>10</v>
      </c>
      <c r="C1524" s="10">
        <v>62.756999999999998</v>
      </c>
      <c r="D1524" s="10">
        <v>2014</v>
      </c>
    </row>
    <row r="1525" spans="1:4" ht="19.95" customHeight="1" x14ac:dyDescent="0.25">
      <c r="A1525" s="9" t="s">
        <v>19</v>
      </c>
      <c r="B1525" s="10" t="s">
        <v>10</v>
      </c>
      <c r="C1525" s="10">
        <v>66.242000000000004</v>
      </c>
      <c r="D1525" s="10">
        <v>2014</v>
      </c>
    </row>
    <row r="1526" spans="1:4" ht="19.95" customHeight="1" x14ac:dyDescent="0.25">
      <c r="A1526" s="9" t="s">
        <v>20</v>
      </c>
      <c r="B1526" s="10" t="s">
        <v>10</v>
      </c>
      <c r="C1526" s="10">
        <v>71.097560975609795</v>
      </c>
      <c r="D1526" s="10">
        <v>2014</v>
      </c>
    </row>
    <row r="1527" spans="1:4" ht="19.95" customHeight="1" x14ac:dyDescent="0.25">
      <c r="A1527" s="9" t="s">
        <v>21</v>
      </c>
      <c r="B1527" s="10" t="s">
        <v>10</v>
      </c>
      <c r="C1527" s="10">
        <v>61.527000000000001</v>
      </c>
      <c r="D1527" s="10">
        <v>2014</v>
      </c>
    </row>
    <row r="1528" spans="1:4" ht="19.95" customHeight="1" x14ac:dyDescent="0.25">
      <c r="A1528" s="9" t="s">
        <v>22</v>
      </c>
      <c r="B1528" s="10" t="s">
        <v>10</v>
      </c>
      <c r="C1528" s="10">
        <v>65.132999999999996</v>
      </c>
      <c r="D1528" s="10">
        <v>2014</v>
      </c>
    </row>
    <row r="1529" spans="1:4" ht="19.95" customHeight="1" x14ac:dyDescent="0.25">
      <c r="A1529" s="9" t="s">
        <v>23</v>
      </c>
      <c r="B1529" s="10" t="s">
        <v>10</v>
      </c>
      <c r="C1529" s="10">
        <v>61.932000000000002</v>
      </c>
      <c r="D1529" s="10">
        <v>2014</v>
      </c>
    </row>
    <row r="1530" spans="1:4" ht="19.95" customHeight="1" x14ac:dyDescent="0.25">
      <c r="A1530" s="9" t="s">
        <v>24</v>
      </c>
      <c r="B1530" s="10" t="s">
        <v>10</v>
      </c>
      <c r="C1530" s="10">
        <v>57.006999999999998</v>
      </c>
      <c r="D1530" s="10">
        <v>2014</v>
      </c>
    </row>
    <row r="1531" spans="1:4" ht="19.95" customHeight="1" x14ac:dyDescent="0.25">
      <c r="A1531" s="9" t="s">
        <v>25</v>
      </c>
      <c r="B1531" s="10" t="s">
        <v>10</v>
      </c>
      <c r="C1531" s="10">
        <v>71.257999999999996</v>
      </c>
      <c r="D1531" s="10">
        <v>2014</v>
      </c>
    </row>
    <row r="1532" spans="1:4" ht="19.95" customHeight="1" x14ac:dyDescent="0.25">
      <c r="A1532" s="9" t="s">
        <v>26</v>
      </c>
      <c r="B1532" s="10" t="s">
        <v>10</v>
      </c>
      <c r="C1532" s="10">
        <v>57.098999999999997</v>
      </c>
      <c r="D1532" s="10">
        <v>2014</v>
      </c>
    </row>
    <row r="1533" spans="1:4" ht="19.95" customHeight="1" x14ac:dyDescent="0.25">
      <c r="A1533" s="9" t="s">
        <v>28</v>
      </c>
      <c r="B1533" s="10" t="s">
        <v>10</v>
      </c>
      <c r="C1533" s="10">
        <v>66.284999999999997</v>
      </c>
      <c r="D1533" s="10">
        <v>2014</v>
      </c>
    </row>
    <row r="1534" spans="1:4" ht="19.95" customHeight="1" x14ac:dyDescent="0.25">
      <c r="A1534" s="9" t="s">
        <v>29</v>
      </c>
      <c r="B1534" s="10" t="s">
        <v>10</v>
      </c>
      <c r="C1534" s="10">
        <v>69.510999999999996</v>
      </c>
      <c r="D1534" s="10">
        <v>2014</v>
      </c>
    </row>
    <row r="1535" spans="1:4" ht="19.95" customHeight="1" x14ac:dyDescent="0.25">
      <c r="A1535" s="9" t="s">
        <v>30</v>
      </c>
      <c r="B1535" s="10" t="s">
        <v>10</v>
      </c>
      <c r="C1535" s="10">
        <v>74.884</v>
      </c>
      <c r="D1535" s="10">
        <v>2014</v>
      </c>
    </row>
    <row r="1536" spans="1:4" ht="19.95" customHeight="1" x14ac:dyDescent="0.25">
      <c r="A1536" s="9" t="s">
        <v>31</v>
      </c>
      <c r="B1536" s="10" t="s">
        <v>10</v>
      </c>
      <c r="C1536" s="10">
        <v>59.228000000000002</v>
      </c>
      <c r="D1536" s="10">
        <v>2014</v>
      </c>
    </row>
    <row r="1537" spans="1:4" ht="19.95" customHeight="1" x14ac:dyDescent="0.25">
      <c r="A1537" s="9" t="s">
        <v>32</v>
      </c>
      <c r="B1537" s="10" t="s">
        <v>10</v>
      </c>
      <c r="C1537" s="10">
        <v>66.188000000000002</v>
      </c>
      <c r="D1537" s="10">
        <v>2014</v>
      </c>
    </row>
    <row r="1538" spans="1:4" ht="19.95" customHeight="1" x14ac:dyDescent="0.25">
      <c r="A1538" s="9" t="s">
        <v>33</v>
      </c>
      <c r="B1538" s="10" t="s">
        <v>10</v>
      </c>
      <c r="C1538" s="10">
        <v>66.361000000000004</v>
      </c>
      <c r="D1538" s="10">
        <v>2014</v>
      </c>
    </row>
    <row r="1539" spans="1:4" ht="19.95" customHeight="1" x14ac:dyDescent="0.25">
      <c r="A1539" s="9" t="s">
        <v>34</v>
      </c>
      <c r="B1539" s="10" t="s">
        <v>10</v>
      </c>
      <c r="C1539" s="10">
        <v>74.906000000000006</v>
      </c>
      <c r="D1539" s="10">
        <v>2014</v>
      </c>
    </row>
    <row r="1540" spans="1:4" ht="19.95" customHeight="1" x14ac:dyDescent="0.25">
      <c r="A1540" s="9" t="s">
        <v>35</v>
      </c>
      <c r="B1540" s="10" t="s">
        <v>10</v>
      </c>
      <c r="C1540" s="10">
        <v>70.69</v>
      </c>
      <c r="D1540" s="10">
        <v>2014</v>
      </c>
    </row>
    <row r="1541" spans="1:4" ht="19.95" customHeight="1" x14ac:dyDescent="0.25">
      <c r="A1541" s="9" t="s">
        <v>36</v>
      </c>
      <c r="B1541" s="10" t="s">
        <v>10</v>
      </c>
      <c r="C1541" s="10">
        <v>64.162999999999997</v>
      </c>
      <c r="D1541" s="10">
        <v>2014</v>
      </c>
    </row>
    <row r="1542" spans="1:4" ht="19.95" customHeight="1" x14ac:dyDescent="0.25">
      <c r="A1542" s="9" t="s">
        <v>37</v>
      </c>
      <c r="B1542" s="10" t="s">
        <v>10</v>
      </c>
      <c r="C1542" s="10">
        <v>59.223999999999997</v>
      </c>
      <c r="D1542" s="10">
        <v>2014</v>
      </c>
    </row>
    <row r="1543" spans="1:4" ht="19.95" customHeight="1" x14ac:dyDescent="0.25">
      <c r="A1543" s="9" t="s">
        <v>38</v>
      </c>
      <c r="B1543" s="10" t="s">
        <v>10</v>
      </c>
      <c r="C1543" s="10">
        <v>60.774999999999999</v>
      </c>
      <c r="D1543" s="10">
        <v>2014</v>
      </c>
    </row>
    <row r="1544" spans="1:4" ht="19.95" customHeight="1" x14ac:dyDescent="0.25">
      <c r="A1544" s="9" t="s">
        <v>39</v>
      </c>
      <c r="B1544" s="10" t="s">
        <v>10</v>
      </c>
      <c r="C1544" s="10">
        <v>59.36</v>
      </c>
      <c r="D1544" s="10">
        <v>2014</v>
      </c>
    </row>
    <row r="1545" spans="1:4" ht="19.95" customHeight="1" x14ac:dyDescent="0.25">
      <c r="A1545" s="9" t="s">
        <v>9</v>
      </c>
      <c r="B1545" s="10" t="s">
        <v>10</v>
      </c>
      <c r="C1545" s="10">
        <v>57.094000000000001</v>
      </c>
      <c r="D1545" s="10">
        <v>2015</v>
      </c>
    </row>
    <row r="1546" spans="1:4" ht="19.95" customHeight="1" x14ac:dyDescent="0.25">
      <c r="A1546" s="9" t="s">
        <v>12</v>
      </c>
      <c r="B1546" s="10" t="s">
        <v>10</v>
      </c>
      <c r="C1546" s="10">
        <v>57.582000000000001</v>
      </c>
      <c r="D1546" s="10">
        <v>2015</v>
      </c>
    </row>
    <row r="1547" spans="1:4" ht="19.95" customHeight="1" x14ac:dyDescent="0.25">
      <c r="A1547" s="9" t="s">
        <v>13</v>
      </c>
      <c r="B1547" s="10" t="s">
        <v>10</v>
      </c>
      <c r="C1547" s="10">
        <v>52.575000000000003</v>
      </c>
      <c r="D1547" s="10">
        <v>2015</v>
      </c>
    </row>
    <row r="1548" spans="1:4" ht="19.95" customHeight="1" x14ac:dyDescent="0.25">
      <c r="A1548" s="9" t="s">
        <v>15</v>
      </c>
      <c r="B1548" s="10" t="s">
        <v>10</v>
      </c>
      <c r="C1548" s="10">
        <v>63.472999999999999</v>
      </c>
      <c r="D1548" s="10">
        <v>2015</v>
      </c>
    </row>
    <row r="1549" spans="1:4" ht="19.95" customHeight="1" x14ac:dyDescent="0.25">
      <c r="A1549" s="9" t="s">
        <v>16</v>
      </c>
      <c r="B1549" s="10" t="s">
        <v>10</v>
      </c>
      <c r="C1549" s="10">
        <v>62.26</v>
      </c>
      <c r="D1549" s="10">
        <v>2015</v>
      </c>
    </row>
    <row r="1550" spans="1:4" ht="19.95" customHeight="1" x14ac:dyDescent="0.25">
      <c r="A1550" s="9" t="s">
        <v>1</v>
      </c>
      <c r="B1550" s="10" t="s">
        <v>10</v>
      </c>
      <c r="C1550" s="10">
        <v>65.037000000000006</v>
      </c>
      <c r="D1550" s="10">
        <v>2015</v>
      </c>
    </row>
    <row r="1551" spans="1:4" ht="19.95" customHeight="1" x14ac:dyDescent="0.25">
      <c r="A1551" s="9" t="s">
        <v>17</v>
      </c>
      <c r="B1551" s="10" t="s">
        <v>10</v>
      </c>
      <c r="C1551" s="10">
        <v>59.418999999999997</v>
      </c>
      <c r="D1551" s="10">
        <v>2015</v>
      </c>
    </row>
    <row r="1552" spans="1:4" ht="19.95" customHeight="1" x14ac:dyDescent="0.25">
      <c r="A1552" s="9" t="s">
        <v>18</v>
      </c>
      <c r="B1552" s="10" t="s">
        <v>10</v>
      </c>
      <c r="C1552" s="10">
        <v>63.055</v>
      </c>
      <c r="D1552" s="10">
        <v>2015</v>
      </c>
    </row>
    <row r="1553" spans="1:4" ht="19.95" customHeight="1" x14ac:dyDescent="0.25">
      <c r="A1553" s="9" t="s">
        <v>19</v>
      </c>
      <c r="B1553" s="10" t="s">
        <v>10</v>
      </c>
      <c r="C1553" s="10">
        <v>66.694999999999993</v>
      </c>
      <c r="D1553" s="10">
        <v>2015</v>
      </c>
    </row>
    <row r="1554" spans="1:4" ht="19.95" customHeight="1" x14ac:dyDescent="0.25">
      <c r="A1554" s="9" t="s">
        <v>20</v>
      </c>
      <c r="B1554" s="10" t="s">
        <v>10</v>
      </c>
      <c r="C1554" s="10">
        <v>71.346341463414603</v>
      </c>
      <c r="D1554" s="10">
        <v>2015</v>
      </c>
    </row>
    <row r="1555" spans="1:4" ht="19.95" customHeight="1" x14ac:dyDescent="0.25">
      <c r="A1555" s="9" t="s">
        <v>21</v>
      </c>
      <c r="B1555" s="10" t="s">
        <v>10</v>
      </c>
      <c r="C1555" s="10">
        <v>62.006999999999998</v>
      </c>
      <c r="D1555" s="10">
        <v>2015</v>
      </c>
    </row>
    <row r="1556" spans="1:4" ht="19.95" customHeight="1" x14ac:dyDescent="0.25">
      <c r="A1556" s="9" t="s">
        <v>22</v>
      </c>
      <c r="B1556" s="10" t="s">
        <v>10</v>
      </c>
      <c r="C1556" s="10">
        <v>65.539000000000001</v>
      </c>
      <c r="D1556" s="10">
        <v>2015</v>
      </c>
    </row>
    <row r="1557" spans="1:4" ht="19.95" customHeight="1" x14ac:dyDescent="0.25">
      <c r="A1557" s="9" t="s">
        <v>23</v>
      </c>
      <c r="B1557" s="10" t="s">
        <v>10</v>
      </c>
      <c r="C1557" s="10">
        <v>62.661000000000001</v>
      </c>
      <c r="D1557" s="10">
        <v>2015</v>
      </c>
    </row>
    <row r="1558" spans="1:4" ht="19.95" customHeight="1" x14ac:dyDescent="0.25">
      <c r="A1558" s="9" t="s">
        <v>24</v>
      </c>
      <c r="B1558" s="10" t="s">
        <v>10</v>
      </c>
      <c r="C1558" s="10">
        <v>57.478000000000002</v>
      </c>
      <c r="D1558" s="10">
        <v>2015</v>
      </c>
    </row>
    <row r="1559" spans="1:4" ht="19.95" customHeight="1" x14ac:dyDescent="0.25">
      <c r="A1559" s="9" t="s">
        <v>25</v>
      </c>
      <c r="B1559" s="10" t="s">
        <v>10</v>
      </c>
      <c r="C1559" s="10">
        <v>71.468000000000004</v>
      </c>
      <c r="D1559" s="10">
        <v>2015</v>
      </c>
    </row>
    <row r="1560" spans="1:4" ht="19.95" customHeight="1" x14ac:dyDescent="0.25">
      <c r="A1560" s="9" t="s">
        <v>26</v>
      </c>
      <c r="B1560" s="10" t="s">
        <v>10</v>
      </c>
      <c r="C1560" s="10">
        <v>57.713999999999999</v>
      </c>
      <c r="D1560" s="10">
        <v>2015</v>
      </c>
    </row>
    <row r="1561" spans="1:4" ht="19.95" customHeight="1" x14ac:dyDescent="0.25">
      <c r="A1561" s="9" t="s">
        <v>28</v>
      </c>
      <c r="B1561" s="10" t="s">
        <v>10</v>
      </c>
      <c r="C1561" s="10">
        <v>66.463999999999999</v>
      </c>
      <c r="D1561" s="10">
        <v>2015</v>
      </c>
    </row>
    <row r="1562" spans="1:4" ht="19.95" customHeight="1" x14ac:dyDescent="0.25">
      <c r="A1562" s="9" t="s">
        <v>29</v>
      </c>
      <c r="B1562" s="10" t="s">
        <v>10</v>
      </c>
      <c r="C1562" s="10">
        <v>69.887</v>
      </c>
      <c r="D1562" s="10">
        <v>2015</v>
      </c>
    </row>
    <row r="1563" spans="1:4" ht="19.95" customHeight="1" x14ac:dyDescent="0.25">
      <c r="A1563" s="9" t="s">
        <v>30</v>
      </c>
      <c r="B1563" s="10" t="s">
        <v>10</v>
      </c>
      <c r="C1563" s="10">
        <v>75.149000000000001</v>
      </c>
      <c r="D1563" s="10">
        <v>2015</v>
      </c>
    </row>
    <row r="1564" spans="1:4" ht="19.95" customHeight="1" x14ac:dyDescent="0.25">
      <c r="A1564" s="9" t="s">
        <v>31</v>
      </c>
      <c r="B1564" s="10" t="s">
        <v>10</v>
      </c>
      <c r="C1564" s="10">
        <v>59.667000000000002</v>
      </c>
      <c r="D1564" s="10">
        <v>2015</v>
      </c>
    </row>
    <row r="1565" spans="1:4" ht="19.95" customHeight="1" x14ac:dyDescent="0.25">
      <c r="A1565" s="9" t="s">
        <v>32</v>
      </c>
      <c r="B1565" s="10" t="s">
        <v>10</v>
      </c>
      <c r="C1565" s="10">
        <v>66.695999999999998</v>
      </c>
      <c r="D1565" s="10">
        <v>2015</v>
      </c>
    </row>
    <row r="1566" spans="1:4" ht="19.95" customHeight="1" x14ac:dyDescent="0.25">
      <c r="A1566" s="9" t="s">
        <v>33</v>
      </c>
      <c r="B1566" s="10" t="s">
        <v>10</v>
      </c>
      <c r="C1566" s="10">
        <v>66.488</v>
      </c>
      <c r="D1566" s="10">
        <v>2015</v>
      </c>
    </row>
    <row r="1567" spans="1:4" ht="19.95" customHeight="1" x14ac:dyDescent="0.25">
      <c r="A1567" s="9" t="s">
        <v>34</v>
      </c>
      <c r="B1567" s="10" t="s">
        <v>10</v>
      </c>
      <c r="C1567" s="10">
        <v>75.087999999999994</v>
      </c>
      <c r="D1567" s="10">
        <v>2015</v>
      </c>
    </row>
    <row r="1568" spans="1:4" ht="19.95" customHeight="1" x14ac:dyDescent="0.25">
      <c r="A1568" s="9" t="s">
        <v>35</v>
      </c>
      <c r="B1568" s="10" t="s">
        <v>10</v>
      </c>
      <c r="C1568" s="10">
        <v>70.879000000000005</v>
      </c>
      <c r="D1568" s="10">
        <v>2015</v>
      </c>
    </row>
    <row r="1569" spans="1:4" ht="19.95" customHeight="1" x14ac:dyDescent="0.25">
      <c r="A1569" s="9" t="s">
        <v>36</v>
      </c>
      <c r="B1569" s="10" t="s">
        <v>10</v>
      </c>
      <c r="C1569" s="10">
        <v>64.95</v>
      </c>
      <c r="D1569" s="10">
        <v>2015</v>
      </c>
    </row>
    <row r="1570" spans="1:4" ht="19.95" customHeight="1" x14ac:dyDescent="0.25">
      <c r="A1570" s="9" t="s">
        <v>37</v>
      </c>
      <c r="B1570" s="10" t="s">
        <v>10</v>
      </c>
      <c r="C1570" s="10">
        <v>59.575000000000003</v>
      </c>
      <c r="D1570" s="10">
        <v>2015</v>
      </c>
    </row>
    <row r="1571" spans="1:4" ht="19.95" customHeight="1" x14ac:dyDescent="0.25">
      <c r="A1571" s="9" t="s">
        <v>38</v>
      </c>
      <c r="B1571" s="10" t="s">
        <v>10</v>
      </c>
      <c r="C1571" s="10">
        <v>61.396999999999998</v>
      </c>
      <c r="D1571" s="10">
        <v>2015</v>
      </c>
    </row>
    <row r="1572" spans="1:4" ht="19.95" customHeight="1" x14ac:dyDescent="0.25">
      <c r="A1572" s="9" t="s">
        <v>39</v>
      </c>
      <c r="B1572" s="10" t="s">
        <v>10</v>
      </c>
      <c r="C1572" s="10">
        <v>60.398000000000003</v>
      </c>
      <c r="D1572" s="10">
        <v>2015</v>
      </c>
    </row>
    <row r="1573" spans="1:4" ht="19.95" customHeight="1" x14ac:dyDescent="0.25">
      <c r="A1573" s="9" t="s">
        <v>9</v>
      </c>
      <c r="B1573" s="10" t="s">
        <v>10</v>
      </c>
      <c r="C1573" s="10">
        <v>57.481000000000002</v>
      </c>
      <c r="D1573" s="10">
        <v>2016</v>
      </c>
    </row>
    <row r="1574" spans="1:4" ht="19.95" customHeight="1" x14ac:dyDescent="0.25">
      <c r="A1574" s="9" t="s">
        <v>12</v>
      </c>
      <c r="B1574" s="10" t="s">
        <v>10</v>
      </c>
      <c r="C1574" s="10">
        <v>58.073</v>
      </c>
      <c r="D1574" s="10">
        <v>2016</v>
      </c>
    </row>
    <row r="1575" spans="1:4" ht="19.95" customHeight="1" x14ac:dyDescent="0.25">
      <c r="A1575" s="9" t="s">
        <v>13</v>
      </c>
      <c r="B1575" s="10" t="s">
        <v>10</v>
      </c>
      <c r="C1575" s="10">
        <v>52.902999999999999</v>
      </c>
      <c r="D1575" s="10">
        <v>2016</v>
      </c>
    </row>
    <row r="1576" spans="1:4" ht="19.95" customHeight="1" x14ac:dyDescent="0.25">
      <c r="A1576" s="9" t="s">
        <v>15</v>
      </c>
      <c r="B1576" s="10" t="s">
        <v>10</v>
      </c>
      <c r="C1576" s="10">
        <v>63.701000000000001</v>
      </c>
      <c r="D1576" s="10">
        <v>2016</v>
      </c>
    </row>
    <row r="1577" spans="1:4" ht="19.95" customHeight="1" x14ac:dyDescent="0.25">
      <c r="A1577" s="9" t="s">
        <v>16</v>
      </c>
      <c r="B1577" s="10" t="s">
        <v>10</v>
      </c>
      <c r="C1577" s="10">
        <v>62.465000000000003</v>
      </c>
      <c r="D1577" s="10">
        <v>2016</v>
      </c>
    </row>
    <row r="1578" spans="1:4" ht="19.95" customHeight="1" x14ac:dyDescent="0.25">
      <c r="A1578" s="9" t="s">
        <v>1</v>
      </c>
      <c r="B1578" s="10" t="s">
        <v>10</v>
      </c>
      <c r="C1578" s="10">
        <v>65.474999999999994</v>
      </c>
      <c r="D1578" s="10">
        <v>2016</v>
      </c>
    </row>
    <row r="1579" spans="1:4" ht="19.95" customHeight="1" x14ac:dyDescent="0.25">
      <c r="A1579" s="9" t="s">
        <v>17</v>
      </c>
      <c r="B1579" s="10" t="s">
        <v>10</v>
      </c>
      <c r="C1579" s="10">
        <v>60.015000000000001</v>
      </c>
      <c r="D1579" s="10">
        <v>2016</v>
      </c>
    </row>
    <row r="1580" spans="1:4" ht="19.95" customHeight="1" x14ac:dyDescent="0.25">
      <c r="A1580" s="9" t="s">
        <v>18</v>
      </c>
      <c r="B1580" s="10" t="s">
        <v>10</v>
      </c>
      <c r="C1580" s="10">
        <v>63.33</v>
      </c>
      <c r="D1580" s="10">
        <v>2016</v>
      </c>
    </row>
    <row r="1581" spans="1:4" ht="19.95" customHeight="1" x14ac:dyDescent="0.25">
      <c r="A1581" s="9" t="s">
        <v>19</v>
      </c>
      <c r="B1581" s="10" t="s">
        <v>10</v>
      </c>
      <c r="C1581" s="10">
        <v>67.031999999999996</v>
      </c>
      <c r="D1581" s="10">
        <v>2016</v>
      </c>
    </row>
    <row r="1582" spans="1:4" ht="19.95" customHeight="1" x14ac:dyDescent="0.25">
      <c r="A1582" s="9" t="s">
        <v>20</v>
      </c>
      <c r="B1582" s="10" t="s">
        <v>10</v>
      </c>
      <c r="C1582" s="10">
        <v>71.646341463414601</v>
      </c>
      <c r="D1582" s="10">
        <v>2016</v>
      </c>
    </row>
    <row r="1583" spans="1:4" ht="19.95" customHeight="1" x14ac:dyDescent="0.25">
      <c r="A1583" s="9" t="s">
        <v>21</v>
      </c>
      <c r="B1583" s="10" t="s">
        <v>10</v>
      </c>
      <c r="C1583" s="10">
        <v>62.505000000000003</v>
      </c>
      <c r="D1583" s="10">
        <v>2016</v>
      </c>
    </row>
    <row r="1584" spans="1:4" ht="19.95" customHeight="1" x14ac:dyDescent="0.25">
      <c r="A1584" s="9" t="s">
        <v>22</v>
      </c>
      <c r="B1584" s="10" t="s">
        <v>10</v>
      </c>
      <c r="C1584" s="10">
        <v>65.932000000000002</v>
      </c>
      <c r="D1584" s="10">
        <v>2016</v>
      </c>
    </row>
    <row r="1585" spans="1:4" ht="19.95" customHeight="1" x14ac:dyDescent="0.25">
      <c r="A1585" s="9" t="s">
        <v>23</v>
      </c>
      <c r="B1585" s="10" t="s">
        <v>10</v>
      </c>
      <c r="C1585" s="10">
        <v>63.222999999999999</v>
      </c>
      <c r="D1585" s="10">
        <v>2016</v>
      </c>
    </row>
    <row r="1586" spans="1:4" ht="19.95" customHeight="1" x14ac:dyDescent="0.25">
      <c r="A1586" s="9" t="s">
        <v>24</v>
      </c>
      <c r="B1586" s="10" t="s">
        <v>10</v>
      </c>
      <c r="C1586" s="10">
        <v>57.966000000000001</v>
      </c>
      <c r="D1586" s="10">
        <v>2016</v>
      </c>
    </row>
    <row r="1587" spans="1:4" ht="19.95" customHeight="1" x14ac:dyDescent="0.25">
      <c r="A1587" s="9" t="s">
        <v>25</v>
      </c>
      <c r="B1587" s="10" t="s">
        <v>10</v>
      </c>
      <c r="C1587" s="10">
        <v>71.61</v>
      </c>
      <c r="D1587" s="10">
        <v>2016</v>
      </c>
    </row>
    <row r="1588" spans="1:4" ht="19.95" customHeight="1" x14ac:dyDescent="0.25">
      <c r="A1588" s="9" t="s">
        <v>26</v>
      </c>
      <c r="B1588" s="10" t="s">
        <v>10</v>
      </c>
      <c r="C1588" s="10">
        <v>58.311</v>
      </c>
      <c r="D1588" s="10">
        <v>2016</v>
      </c>
    </row>
    <row r="1589" spans="1:4" ht="19.95" customHeight="1" x14ac:dyDescent="0.25">
      <c r="A1589" s="9" t="s">
        <v>28</v>
      </c>
      <c r="B1589" s="10" t="s">
        <v>10</v>
      </c>
      <c r="C1589" s="10">
        <v>66.611999999999995</v>
      </c>
      <c r="D1589" s="10">
        <v>2016</v>
      </c>
    </row>
    <row r="1590" spans="1:4" ht="19.95" customHeight="1" x14ac:dyDescent="0.25">
      <c r="A1590" s="9" t="s">
        <v>29</v>
      </c>
      <c r="B1590" s="10" t="s">
        <v>10</v>
      </c>
      <c r="C1590" s="10">
        <v>70.253</v>
      </c>
      <c r="D1590" s="10">
        <v>2016</v>
      </c>
    </row>
    <row r="1591" spans="1:4" ht="19.95" customHeight="1" x14ac:dyDescent="0.25">
      <c r="A1591" s="9" t="s">
        <v>30</v>
      </c>
      <c r="B1591" s="10" t="s">
        <v>10</v>
      </c>
      <c r="C1591" s="10">
        <v>75.403999999999996</v>
      </c>
      <c r="D1591" s="10">
        <v>2016</v>
      </c>
    </row>
    <row r="1592" spans="1:4" ht="19.95" customHeight="1" x14ac:dyDescent="0.25">
      <c r="A1592" s="9" t="s">
        <v>31</v>
      </c>
      <c r="B1592" s="10" t="s">
        <v>10</v>
      </c>
      <c r="C1592" s="10">
        <v>60.058</v>
      </c>
      <c r="D1592" s="10">
        <v>2016</v>
      </c>
    </row>
    <row r="1593" spans="1:4" ht="19.95" customHeight="1" x14ac:dyDescent="0.25">
      <c r="A1593" s="9" t="s">
        <v>32</v>
      </c>
      <c r="B1593" s="10" t="s">
        <v>10</v>
      </c>
      <c r="C1593" s="10">
        <v>67.129000000000005</v>
      </c>
      <c r="D1593" s="10">
        <v>2016</v>
      </c>
    </row>
    <row r="1594" spans="1:4" ht="19.95" customHeight="1" x14ac:dyDescent="0.25">
      <c r="A1594" s="9" t="s">
        <v>33</v>
      </c>
      <c r="B1594" s="10" t="s">
        <v>10</v>
      </c>
      <c r="C1594" s="10">
        <v>66.623999999999995</v>
      </c>
      <c r="D1594" s="10">
        <v>2016</v>
      </c>
    </row>
    <row r="1595" spans="1:4" ht="19.95" customHeight="1" x14ac:dyDescent="0.25">
      <c r="A1595" s="9" t="s">
        <v>34</v>
      </c>
      <c r="B1595" s="10" t="s">
        <v>10</v>
      </c>
      <c r="C1595" s="10">
        <v>75.284000000000006</v>
      </c>
      <c r="D1595" s="10">
        <v>2016</v>
      </c>
    </row>
    <row r="1596" spans="1:4" ht="19.95" customHeight="1" x14ac:dyDescent="0.25">
      <c r="A1596" s="9" t="s">
        <v>35</v>
      </c>
      <c r="B1596" s="10" t="s">
        <v>10</v>
      </c>
      <c r="C1596" s="10">
        <v>71.051000000000002</v>
      </c>
      <c r="D1596" s="10">
        <v>2016</v>
      </c>
    </row>
    <row r="1597" spans="1:4" ht="19.95" customHeight="1" x14ac:dyDescent="0.25">
      <c r="A1597" s="9" t="s">
        <v>36</v>
      </c>
      <c r="B1597" s="10" t="s">
        <v>10</v>
      </c>
      <c r="C1597" s="10">
        <v>65.674999999999997</v>
      </c>
      <c r="D1597" s="10">
        <v>2016</v>
      </c>
    </row>
    <row r="1598" spans="1:4" ht="19.95" customHeight="1" x14ac:dyDescent="0.25">
      <c r="A1598" s="9" t="s">
        <v>37</v>
      </c>
      <c r="B1598" s="10" t="s">
        <v>10</v>
      </c>
      <c r="C1598" s="10">
        <v>59.889000000000003</v>
      </c>
      <c r="D1598" s="10">
        <v>2016</v>
      </c>
    </row>
    <row r="1599" spans="1:4" ht="19.95" customHeight="1" x14ac:dyDescent="0.25">
      <c r="A1599" s="9" t="s">
        <v>38</v>
      </c>
      <c r="B1599" s="10" t="s">
        <v>10</v>
      </c>
      <c r="C1599" s="10">
        <v>61.874000000000002</v>
      </c>
      <c r="D1599" s="10">
        <v>2016</v>
      </c>
    </row>
    <row r="1600" spans="1:4" ht="19.95" customHeight="1" x14ac:dyDescent="0.25">
      <c r="A1600" s="9" t="s">
        <v>39</v>
      </c>
      <c r="B1600" s="10" t="s">
        <v>10</v>
      </c>
      <c r="C1600" s="10">
        <v>61.162999999999997</v>
      </c>
      <c r="D1600" s="10">
        <v>2016</v>
      </c>
    </row>
    <row r="1601" spans="1:4" ht="19.95" customHeight="1" x14ac:dyDescent="0.25">
      <c r="A1601" s="9" t="s">
        <v>9</v>
      </c>
      <c r="B1601" s="10" t="s">
        <v>10</v>
      </c>
      <c r="C1601" s="10"/>
      <c r="D1601" s="10">
        <v>2017</v>
      </c>
    </row>
    <row r="1602" spans="1:4" ht="19.95" customHeight="1" x14ac:dyDescent="0.25">
      <c r="A1602" s="9" t="s">
        <v>12</v>
      </c>
      <c r="B1602" s="10" t="s">
        <v>10</v>
      </c>
      <c r="C1602" s="10"/>
      <c r="D1602" s="10">
        <v>2017</v>
      </c>
    </row>
    <row r="1603" spans="1:4" ht="19.95" customHeight="1" x14ac:dyDescent="0.25">
      <c r="A1603" s="9" t="s">
        <v>13</v>
      </c>
      <c r="B1603" s="10" t="s">
        <v>10</v>
      </c>
      <c r="C1603" s="10"/>
      <c r="D1603" s="10">
        <v>2017</v>
      </c>
    </row>
    <row r="1604" spans="1:4" ht="19.95" customHeight="1" x14ac:dyDescent="0.25">
      <c r="A1604" s="9" t="s">
        <v>15</v>
      </c>
      <c r="B1604" s="10" t="s">
        <v>10</v>
      </c>
      <c r="C1604" s="10"/>
      <c r="D1604" s="10">
        <v>2017</v>
      </c>
    </row>
    <row r="1605" spans="1:4" ht="19.95" customHeight="1" x14ac:dyDescent="0.25">
      <c r="A1605" s="9" t="s">
        <v>16</v>
      </c>
      <c r="B1605" s="10" t="s">
        <v>10</v>
      </c>
      <c r="C1605" s="10"/>
      <c r="D1605" s="10">
        <v>2017</v>
      </c>
    </row>
    <row r="1606" spans="1:4" ht="19.95" customHeight="1" x14ac:dyDescent="0.25">
      <c r="A1606" s="9" t="s">
        <v>1</v>
      </c>
      <c r="B1606" s="10" t="s">
        <v>10</v>
      </c>
      <c r="C1606" s="10"/>
      <c r="D1606" s="10">
        <v>2017</v>
      </c>
    </row>
    <row r="1607" spans="1:4" ht="19.95" customHeight="1" x14ac:dyDescent="0.25">
      <c r="A1607" s="9" t="s">
        <v>17</v>
      </c>
      <c r="B1607" s="10" t="s">
        <v>10</v>
      </c>
      <c r="C1607" s="10"/>
      <c r="D1607" s="10">
        <v>2017</v>
      </c>
    </row>
    <row r="1608" spans="1:4" ht="19.95" customHeight="1" x14ac:dyDescent="0.25">
      <c r="A1608" s="9" t="s">
        <v>18</v>
      </c>
      <c r="B1608" s="10" t="s">
        <v>10</v>
      </c>
      <c r="C1608" s="10"/>
      <c r="D1608" s="10">
        <v>2017</v>
      </c>
    </row>
    <row r="1609" spans="1:4" ht="19.95" customHeight="1" x14ac:dyDescent="0.25">
      <c r="A1609" s="9" t="s">
        <v>19</v>
      </c>
      <c r="B1609" s="10" t="s">
        <v>10</v>
      </c>
      <c r="C1609" s="10"/>
      <c r="D1609" s="10">
        <v>2017</v>
      </c>
    </row>
    <row r="1610" spans="1:4" ht="19.95" customHeight="1" x14ac:dyDescent="0.25">
      <c r="A1610" s="9" t="s">
        <v>20</v>
      </c>
      <c r="B1610" s="10" t="s">
        <v>10</v>
      </c>
      <c r="C1610" s="10"/>
      <c r="D1610" s="10">
        <v>2017</v>
      </c>
    </row>
    <row r="1611" spans="1:4" ht="19.95" customHeight="1" x14ac:dyDescent="0.25">
      <c r="A1611" s="9" t="s">
        <v>21</v>
      </c>
      <c r="B1611" s="10" t="s">
        <v>10</v>
      </c>
      <c r="C1611" s="10"/>
      <c r="D1611" s="10">
        <v>2017</v>
      </c>
    </row>
    <row r="1612" spans="1:4" ht="19.95" customHeight="1" x14ac:dyDescent="0.25">
      <c r="A1612" s="9" t="s">
        <v>22</v>
      </c>
      <c r="B1612" s="10" t="s">
        <v>10</v>
      </c>
      <c r="C1612" s="10"/>
      <c r="D1612" s="10">
        <v>2017</v>
      </c>
    </row>
    <row r="1613" spans="1:4" ht="19.95" customHeight="1" x14ac:dyDescent="0.25">
      <c r="A1613" s="9" t="s">
        <v>23</v>
      </c>
      <c r="B1613" s="10" t="s">
        <v>10</v>
      </c>
      <c r="C1613" s="10"/>
      <c r="D1613" s="10">
        <v>2017</v>
      </c>
    </row>
    <row r="1614" spans="1:4" ht="19.95" customHeight="1" x14ac:dyDescent="0.25">
      <c r="A1614" s="9" t="s">
        <v>24</v>
      </c>
      <c r="B1614" s="10" t="s">
        <v>10</v>
      </c>
      <c r="C1614" s="10"/>
      <c r="D1614" s="10">
        <v>2017</v>
      </c>
    </row>
    <row r="1615" spans="1:4" ht="19.95" customHeight="1" x14ac:dyDescent="0.25">
      <c r="A1615" s="9" t="s">
        <v>25</v>
      </c>
      <c r="B1615" s="10" t="s">
        <v>10</v>
      </c>
      <c r="C1615" s="10"/>
      <c r="D1615" s="10">
        <v>2017</v>
      </c>
    </row>
    <row r="1616" spans="1:4" ht="19.95" customHeight="1" x14ac:dyDescent="0.25">
      <c r="A1616" s="9" t="s">
        <v>26</v>
      </c>
      <c r="B1616" s="10" t="s">
        <v>10</v>
      </c>
      <c r="C1616" s="10"/>
      <c r="D1616" s="10">
        <v>2017</v>
      </c>
    </row>
    <row r="1617" spans="1:4" ht="19.95" customHeight="1" x14ac:dyDescent="0.25">
      <c r="A1617" s="9" t="s">
        <v>28</v>
      </c>
      <c r="B1617" s="10" t="s">
        <v>10</v>
      </c>
      <c r="C1617" s="10"/>
      <c r="D1617" s="10">
        <v>2017</v>
      </c>
    </row>
    <row r="1618" spans="1:4" ht="19.95" customHeight="1" x14ac:dyDescent="0.25">
      <c r="A1618" s="9" t="s">
        <v>29</v>
      </c>
      <c r="B1618" s="10" t="s">
        <v>10</v>
      </c>
      <c r="C1618" s="10"/>
      <c r="D1618" s="10">
        <v>2017</v>
      </c>
    </row>
    <row r="1619" spans="1:4" ht="19.95" customHeight="1" x14ac:dyDescent="0.25">
      <c r="A1619" s="9" t="s">
        <v>30</v>
      </c>
      <c r="B1619" s="10" t="s">
        <v>10</v>
      </c>
      <c r="C1619" s="10"/>
      <c r="D1619" s="10">
        <v>2017</v>
      </c>
    </row>
    <row r="1620" spans="1:4" ht="19.95" customHeight="1" x14ac:dyDescent="0.25">
      <c r="A1620" s="9" t="s">
        <v>31</v>
      </c>
      <c r="B1620" s="10" t="s">
        <v>10</v>
      </c>
      <c r="C1620" s="10"/>
      <c r="D1620" s="10">
        <v>2017</v>
      </c>
    </row>
    <row r="1621" spans="1:4" ht="19.95" customHeight="1" x14ac:dyDescent="0.25">
      <c r="A1621" s="9" t="s">
        <v>32</v>
      </c>
      <c r="B1621" s="10" t="s">
        <v>10</v>
      </c>
      <c r="C1621" s="10"/>
      <c r="D1621" s="10">
        <v>2017</v>
      </c>
    </row>
    <row r="1622" spans="1:4" ht="19.95" customHeight="1" x14ac:dyDescent="0.25">
      <c r="A1622" s="9" t="s">
        <v>33</v>
      </c>
      <c r="B1622" s="10" t="s">
        <v>10</v>
      </c>
      <c r="C1622" s="10"/>
      <c r="D1622" s="10">
        <v>2017</v>
      </c>
    </row>
    <row r="1623" spans="1:4" ht="19.95" customHeight="1" x14ac:dyDescent="0.25">
      <c r="A1623" s="9" t="s">
        <v>34</v>
      </c>
      <c r="B1623" s="10" t="s">
        <v>10</v>
      </c>
      <c r="C1623" s="10"/>
      <c r="D1623" s="10">
        <v>2017</v>
      </c>
    </row>
    <row r="1624" spans="1:4" ht="19.95" customHeight="1" x14ac:dyDescent="0.25">
      <c r="A1624" s="9" t="s">
        <v>35</v>
      </c>
      <c r="B1624" s="10" t="s">
        <v>10</v>
      </c>
      <c r="C1624" s="10"/>
      <c r="D1624" s="10">
        <v>2017</v>
      </c>
    </row>
    <row r="1625" spans="1:4" ht="19.95" customHeight="1" x14ac:dyDescent="0.25">
      <c r="A1625" s="9" t="s">
        <v>36</v>
      </c>
      <c r="B1625" s="10" t="s">
        <v>10</v>
      </c>
      <c r="C1625" s="10"/>
      <c r="D1625" s="10">
        <v>2017</v>
      </c>
    </row>
    <row r="1626" spans="1:4" ht="19.95" customHeight="1" x14ac:dyDescent="0.25">
      <c r="A1626" s="9" t="s">
        <v>37</v>
      </c>
      <c r="B1626" s="10" t="s">
        <v>10</v>
      </c>
      <c r="C1626" s="10"/>
      <c r="D1626" s="10">
        <v>2017</v>
      </c>
    </row>
    <row r="1627" spans="1:4" ht="19.95" customHeight="1" x14ac:dyDescent="0.25">
      <c r="A1627" s="9" t="s">
        <v>38</v>
      </c>
      <c r="B1627" s="10" t="s">
        <v>10</v>
      </c>
      <c r="C1627" s="10"/>
      <c r="D1627" s="10">
        <v>2017</v>
      </c>
    </row>
    <row r="1628" spans="1:4" ht="19.95" customHeight="1" x14ac:dyDescent="0.25">
      <c r="A1628" s="9" t="s">
        <v>39</v>
      </c>
      <c r="B1628" s="10" t="s">
        <v>10</v>
      </c>
      <c r="C1628" s="10"/>
      <c r="D1628" s="10">
        <v>2017</v>
      </c>
    </row>
  </sheetData>
  <mergeCells count="2">
    <mergeCell ref="G2:K2"/>
    <mergeCell ref="J4:K4"/>
  </mergeCells>
  <phoneticPr fontId="12" type="noConversion"/>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nlever">
                <anchor moveWithCells="1" sizeWithCells="1">
                  <from>
                    <xdr:col>5</xdr:col>
                    <xdr:colOff>0</xdr:colOff>
                    <xdr:row>6</xdr:row>
                    <xdr:rowOff>60960</xdr:rowOff>
                  </from>
                  <to>
                    <xdr:col>5</xdr:col>
                    <xdr:colOff>1013460</xdr:colOff>
                    <xdr:row>7</xdr:row>
                    <xdr:rowOff>175260</xdr:rowOff>
                  </to>
                </anchor>
              </controlPr>
            </control>
          </mc:Choice>
        </mc:AlternateContent>
        <mc:AlternateContent xmlns:mc="http://schemas.openxmlformats.org/markup-compatibility/2006">
          <mc:Choice Requires="x14">
            <control shapeId="2050" r:id="rId5" name="Button 2">
              <controlPr defaultSize="0" print="0" autoFill="0" autoPict="0" macro="[0]!afficher">
                <anchor moveWithCells="1" sizeWithCells="1">
                  <from>
                    <xdr:col>5</xdr:col>
                    <xdr:colOff>7620</xdr:colOff>
                    <xdr:row>3</xdr:row>
                    <xdr:rowOff>274320</xdr:rowOff>
                  </from>
                  <to>
                    <xdr:col>5</xdr:col>
                    <xdr:colOff>1013460</xdr:colOff>
                    <xdr:row>5</xdr:row>
                    <xdr:rowOff>152400</xdr:rowOff>
                  </to>
                </anchor>
              </controlPr>
            </control>
          </mc:Choice>
        </mc:AlternateContent>
        <mc:AlternateContent xmlns:mc="http://schemas.openxmlformats.org/markup-compatibility/2006">
          <mc:Choice Requires="x14">
            <control shapeId="2051" r:id="rId6" name="comite 2">
              <controlPr defaultSize="0" print="0" autoFill="0" autoPict="0" macro="[0]!SelectSheet">
                <anchor moveWithCells="1" sizeWithCells="1">
                  <from>
                    <xdr:col>4</xdr:col>
                    <xdr:colOff>822960</xdr:colOff>
                    <xdr:row>8</xdr:row>
                    <xdr:rowOff>99060</xdr:rowOff>
                  </from>
                  <to>
                    <xdr:col>5</xdr:col>
                    <xdr:colOff>998220</xdr:colOff>
                    <xdr:row>9</xdr:row>
                    <xdr:rowOff>213360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2:S1628"/>
  <sheetViews>
    <sheetView showGridLines="0" topLeftCell="E25" zoomScale="80" zoomScaleNormal="80" workbookViewId="0">
      <selection activeCell="G2" sqref="G2:K2"/>
    </sheetView>
  </sheetViews>
  <sheetFormatPr defaultColWidth="8" defaultRowHeight="19.95" customHeight="1" x14ac:dyDescent="0.25"/>
  <cols>
    <col min="1" max="1" width="21.19921875" style="1" hidden="1" customWidth="1"/>
    <col min="2" max="2" width="37.09765625" style="1" hidden="1" customWidth="1"/>
    <col min="3" max="3" width="10.69921875" style="1" hidden="1" customWidth="1"/>
    <col min="4" max="4" width="9" style="1" hidden="1" customWidth="1"/>
    <col min="5" max="5" width="10.59765625" style="1" customWidth="1"/>
    <col min="6" max="6" width="14.5" style="1" customWidth="1"/>
    <col min="7" max="7" width="26.8984375" style="1" customWidth="1"/>
    <col min="8" max="8" width="78.5" style="1" customWidth="1"/>
    <col min="9" max="9" width="5.19921875" style="1" customWidth="1"/>
    <col min="10" max="10" width="13" style="1" bestFit="1" customWidth="1"/>
    <col min="11" max="11" width="16.59765625" style="1" bestFit="1" customWidth="1"/>
    <col min="12" max="12" width="10.09765625" style="1" bestFit="1" customWidth="1"/>
    <col min="13" max="13" width="9.3984375" style="1" customWidth="1"/>
    <col min="14" max="14" width="11.3984375" style="1" customWidth="1"/>
    <col min="15" max="15" width="10.09765625" style="1" customWidth="1"/>
    <col min="16" max="16" width="10.19921875" style="1" customWidth="1"/>
    <col min="17" max="17" width="10.5" style="1" customWidth="1"/>
    <col min="18" max="18" width="10.69921875" style="1" customWidth="1"/>
    <col min="19" max="19" width="9.8984375" style="1" customWidth="1"/>
    <col min="20" max="20" width="9.3984375" style="1" customWidth="1"/>
    <col min="21" max="21" width="10.69921875" style="1" customWidth="1"/>
    <col min="22" max="22" width="11.69921875" style="1" bestFit="1" customWidth="1"/>
    <col min="23" max="23" width="7.3984375" style="1" bestFit="1" customWidth="1"/>
    <col min="24" max="24" width="6.3984375" style="1" bestFit="1" customWidth="1"/>
    <col min="25" max="25" width="8.8984375" style="1" bestFit="1" customWidth="1"/>
    <col min="26" max="26" width="12.59765625" style="1" bestFit="1" customWidth="1"/>
    <col min="27" max="27" width="9.3984375" style="1" bestFit="1" customWidth="1"/>
    <col min="28" max="28" width="6.3984375" style="1" bestFit="1" customWidth="1"/>
    <col min="29" max="29" width="10.09765625" style="1" bestFit="1" customWidth="1"/>
    <col min="30" max="30" width="6.3984375" style="1" bestFit="1" customWidth="1"/>
    <col min="31" max="31" width="8" style="1" bestFit="1" customWidth="1"/>
    <col min="32" max="32" width="21.69921875" style="1" bestFit="1" customWidth="1"/>
    <col min="33" max="33" width="9" style="1" bestFit="1" customWidth="1"/>
    <col min="34" max="34" width="9.19921875" style="1" bestFit="1" customWidth="1"/>
    <col min="35" max="35" width="8.8984375" style="1" bestFit="1" customWidth="1"/>
    <col min="36" max="36" width="8" style="1" bestFit="1" customWidth="1"/>
    <col min="37" max="37" width="7.59765625" style="1" bestFit="1" customWidth="1"/>
    <col min="38" max="38" width="10.09765625" style="1" bestFit="1" customWidth="1"/>
    <col min="39" max="39" width="9.09765625" style="1" bestFit="1" customWidth="1"/>
    <col min="40" max="16384" width="8" style="1"/>
  </cols>
  <sheetData>
    <row r="2" spans="1:11" ht="25.05" customHeight="1" x14ac:dyDescent="0.25">
      <c r="A2" s="11"/>
      <c r="B2" s="11"/>
      <c r="C2" s="11"/>
      <c r="D2" s="11"/>
      <c r="G2" s="26" t="s">
        <v>46</v>
      </c>
      <c r="H2" s="26"/>
      <c r="I2" s="26"/>
      <c r="J2" s="26"/>
      <c r="K2" s="26"/>
    </row>
    <row r="3" spans="1:11" ht="10.199999999999999" customHeight="1" x14ac:dyDescent="0.25">
      <c r="A3" s="12"/>
      <c r="B3" s="12"/>
      <c r="C3" s="12"/>
      <c r="D3" s="12"/>
    </row>
    <row r="4" spans="1:11" ht="22.05" customHeight="1" thickBot="1" x14ac:dyDescent="0.3">
      <c r="A4" s="5" t="s">
        <v>3</v>
      </c>
      <c r="B4" s="5" t="s">
        <v>4</v>
      </c>
      <c r="C4" s="5" t="s">
        <v>5</v>
      </c>
      <c r="D4" s="5" t="s">
        <v>6</v>
      </c>
      <c r="H4" s="6" t="s">
        <v>7</v>
      </c>
      <c r="J4" s="28" t="s">
        <v>8</v>
      </c>
      <c r="K4" s="28"/>
    </row>
    <row r="5" spans="1:11" ht="19.95" customHeight="1" thickTop="1" x14ac:dyDescent="0.25">
      <c r="A5" s="7" t="s">
        <v>9</v>
      </c>
      <c r="B5" s="8" t="s">
        <v>40</v>
      </c>
      <c r="C5" s="8"/>
      <c r="D5" s="8">
        <v>1960</v>
      </c>
      <c r="J5" s="35" t="s">
        <v>11</v>
      </c>
      <c r="K5" s="35" t="s">
        <v>3</v>
      </c>
    </row>
    <row r="6" spans="1:11" ht="19.95" customHeight="1" x14ac:dyDescent="0.25">
      <c r="A6" s="7" t="s">
        <v>12</v>
      </c>
      <c r="B6" s="8" t="s">
        <v>40</v>
      </c>
      <c r="C6" s="8">
        <v>164.6</v>
      </c>
      <c r="D6" s="8">
        <v>1960</v>
      </c>
      <c r="J6" s="36" t="s">
        <v>6</v>
      </c>
      <c r="K6" s="37" t="s">
        <v>26</v>
      </c>
    </row>
    <row r="7" spans="1:11" ht="19.95" customHeight="1" x14ac:dyDescent="0.25">
      <c r="A7" s="7" t="s">
        <v>13</v>
      </c>
      <c r="B7" s="8" t="s">
        <v>40</v>
      </c>
      <c r="C7" s="8"/>
      <c r="D7" s="8">
        <v>1960</v>
      </c>
      <c r="J7" s="21">
        <v>1960</v>
      </c>
      <c r="K7" s="38"/>
    </row>
    <row r="8" spans="1:11" ht="19.95" customHeight="1" x14ac:dyDescent="0.25">
      <c r="A8" s="7" t="s">
        <v>15</v>
      </c>
      <c r="B8" s="8" t="s">
        <v>40</v>
      </c>
      <c r="C8" s="8"/>
      <c r="D8" s="8">
        <v>1960</v>
      </c>
      <c r="J8" s="21">
        <v>1961</v>
      </c>
      <c r="K8" s="38"/>
    </row>
    <row r="9" spans="1:11" ht="19.95" customHeight="1" x14ac:dyDescent="0.25">
      <c r="A9" s="7" t="s">
        <v>16</v>
      </c>
      <c r="B9" s="8" t="s">
        <v>40</v>
      </c>
      <c r="C9" s="8"/>
      <c r="D9" s="8">
        <v>1960</v>
      </c>
      <c r="J9" s="21">
        <v>1962</v>
      </c>
      <c r="K9" s="38"/>
    </row>
    <row r="10" spans="1:11" ht="19.95" customHeight="1" x14ac:dyDescent="0.25">
      <c r="A10" s="7" t="s">
        <v>1</v>
      </c>
      <c r="B10" s="8" t="s">
        <v>40</v>
      </c>
      <c r="C10" s="8"/>
      <c r="D10" s="8">
        <v>1960</v>
      </c>
      <c r="J10" s="21">
        <v>1963</v>
      </c>
      <c r="K10" s="38"/>
    </row>
    <row r="11" spans="1:11" ht="19.95" customHeight="1" x14ac:dyDescent="0.25">
      <c r="A11" s="7" t="s">
        <v>17</v>
      </c>
      <c r="B11" s="8" t="s">
        <v>40</v>
      </c>
      <c r="C11" s="8"/>
      <c r="D11" s="8">
        <v>1960</v>
      </c>
      <c r="J11" s="21">
        <v>1964</v>
      </c>
      <c r="K11" s="38"/>
    </row>
    <row r="12" spans="1:11" ht="19.95" customHeight="1" x14ac:dyDescent="0.25">
      <c r="A12" s="7" t="s">
        <v>18</v>
      </c>
      <c r="B12" s="8" t="s">
        <v>40</v>
      </c>
      <c r="C12" s="8">
        <v>189.8</v>
      </c>
      <c r="D12" s="8">
        <v>1960</v>
      </c>
      <c r="J12" s="21">
        <v>1965</v>
      </c>
      <c r="K12" s="38">
        <v>181.1</v>
      </c>
    </row>
    <row r="13" spans="1:11" ht="19.95" customHeight="1" x14ac:dyDescent="0.25">
      <c r="A13" s="7" t="s">
        <v>19</v>
      </c>
      <c r="B13" s="8" t="s">
        <v>40</v>
      </c>
      <c r="C13" s="8">
        <v>117.4</v>
      </c>
      <c r="D13" s="8">
        <v>1960</v>
      </c>
      <c r="J13" s="21">
        <v>1966</v>
      </c>
      <c r="K13" s="38">
        <v>181.8</v>
      </c>
    </row>
    <row r="14" spans="1:11" ht="19.95" customHeight="1" x14ac:dyDescent="0.25">
      <c r="A14" s="7" t="s">
        <v>20</v>
      </c>
      <c r="B14" s="8" t="s">
        <v>40</v>
      </c>
      <c r="C14" s="8"/>
      <c r="D14" s="8">
        <v>1960</v>
      </c>
      <c r="J14" s="21">
        <v>1967</v>
      </c>
      <c r="K14" s="38">
        <v>182.4</v>
      </c>
    </row>
    <row r="15" spans="1:11" ht="19.95" customHeight="1" x14ac:dyDescent="0.25">
      <c r="A15" s="7" t="s">
        <v>21</v>
      </c>
      <c r="B15" s="8" t="s">
        <v>40</v>
      </c>
      <c r="C15" s="8">
        <v>208.8</v>
      </c>
      <c r="D15" s="8">
        <v>1960</v>
      </c>
      <c r="J15" s="21">
        <v>1968</v>
      </c>
      <c r="K15" s="38">
        <v>182.8</v>
      </c>
    </row>
    <row r="16" spans="1:11" ht="19.95" customHeight="1" x14ac:dyDescent="0.25">
      <c r="A16" s="7" t="s">
        <v>22</v>
      </c>
      <c r="B16" s="8" t="s">
        <v>40</v>
      </c>
      <c r="C16" s="8"/>
      <c r="D16" s="8">
        <v>1960</v>
      </c>
      <c r="J16" s="21">
        <v>1969</v>
      </c>
      <c r="K16" s="38">
        <v>182.7</v>
      </c>
    </row>
    <row r="17" spans="1:14" ht="19.95" customHeight="1" x14ac:dyDescent="0.25">
      <c r="A17" s="7" t="s">
        <v>23</v>
      </c>
      <c r="B17" s="8" t="s">
        <v>40</v>
      </c>
      <c r="C17" s="8"/>
      <c r="D17" s="8">
        <v>1960</v>
      </c>
      <c r="J17" s="21">
        <v>1970</v>
      </c>
      <c r="K17" s="38">
        <v>182.4</v>
      </c>
    </row>
    <row r="18" spans="1:14" ht="22.05" customHeight="1" x14ac:dyDescent="0.25">
      <c r="A18" s="7" t="s">
        <v>24</v>
      </c>
      <c r="B18" s="8" t="s">
        <v>40</v>
      </c>
      <c r="C18" s="8"/>
      <c r="D18" s="8">
        <v>1960</v>
      </c>
      <c r="J18" s="21">
        <v>1971</v>
      </c>
      <c r="K18" s="38">
        <v>181.8</v>
      </c>
      <c r="N18" s="29"/>
    </row>
    <row r="19" spans="1:14" ht="22.05" customHeight="1" x14ac:dyDescent="0.25">
      <c r="A19" s="7" t="s">
        <v>25</v>
      </c>
      <c r="B19" s="8" t="s">
        <v>40</v>
      </c>
      <c r="C19" s="8"/>
      <c r="D19" s="8">
        <v>1960</v>
      </c>
      <c r="J19" s="21">
        <v>1972</v>
      </c>
      <c r="K19" s="38">
        <v>180.9</v>
      </c>
      <c r="N19" s="29"/>
    </row>
    <row r="20" spans="1:14" ht="22.05" customHeight="1" x14ac:dyDescent="0.25">
      <c r="A20" s="7" t="s">
        <v>26</v>
      </c>
      <c r="B20" s="8" t="s">
        <v>40</v>
      </c>
      <c r="C20" s="8"/>
      <c r="D20" s="8">
        <v>1960</v>
      </c>
      <c r="H20" s="4" t="s">
        <v>27</v>
      </c>
      <c r="J20" s="21">
        <v>1973</v>
      </c>
      <c r="K20" s="38">
        <v>179.9</v>
      </c>
      <c r="N20" s="29"/>
    </row>
    <row r="21" spans="1:14" ht="22.05" customHeight="1" x14ac:dyDescent="0.25">
      <c r="A21" s="7" t="s">
        <v>28</v>
      </c>
      <c r="B21" s="8" t="s">
        <v>40</v>
      </c>
      <c r="C21" s="8"/>
      <c r="D21" s="8">
        <v>1960</v>
      </c>
      <c r="J21" s="21">
        <v>1974</v>
      </c>
      <c r="K21" s="38">
        <v>178.9</v>
      </c>
      <c r="N21" s="29"/>
    </row>
    <row r="22" spans="1:14" ht="22.05" customHeight="1" x14ac:dyDescent="0.25">
      <c r="A22" s="7" t="s">
        <v>29</v>
      </c>
      <c r="B22" s="8" t="s">
        <v>40</v>
      </c>
      <c r="C22" s="8">
        <v>216.5</v>
      </c>
      <c r="D22" s="8">
        <v>1960</v>
      </c>
      <c r="J22" s="21">
        <v>1975</v>
      </c>
      <c r="K22" s="38">
        <v>177.8</v>
      </c>
      <c r="N22" s="29"/>
    </row>
    <row r="23" spans="1:14" ht="22.05" customHeight="1" x14ac:dyDescent="0.25">
      <c r="A23" s="7" t="s">
        <v>30</v>
      </c>
      <c r="B23" s="8" t="s">
        <v>40</v>
      </c>
      <c r="C23" s="8">
        <v>133</v>
      </c>
      <c r="D23" s="8">
        <v>1960</v>
      </c>
      <c r="J23" s="21">
        <v>1976</v>
      </c>
      <c r="K23" s="38">
        <v>176.8</v>
      </c>
      <c r="N23" s="29"/>
    </row>
    <row r="24" spans="1:14" ht="22.05" customHeight="1" x14ac:dyDescent="0.25">
      <c r="A24" s="7" t="s">
        <v>31</v>
      </c>
      <c r="B24" s="8" t="s">
        <v>40</v>
      </c>
      <c r="C24" s="8"/>
      <c r="D24" s="8">
        <v>1960</v>
      </c>
      <c r="J24" s="21">
        <v>1977</v>
      </c>
      <c r="K24" s="38">
        <v>175.9</v>
      </c>
      <c r="N24" s="29"/>
    </row>
    <row r="25" spans="1:14" ht="22.05" customHeight="1" x14ac:dyDescent="0.25">
      <c r="A25" s="7" t="s">
        <v>32</v>
      </c>
      <c r="B25" s="8" t="s">
        <v>40</v>
      </c>
      <c r="C25" s="8">
        <v>131.1</v>
      </c>
      <c r="D25" s="8">
        <v>1960</v>
      </c>
      <c r="J25" s="21">
        <v>1978</v>
      </c>
      <c r="K25" s="38">
        <v>175.3</v>
      </c>
      <c r="N25" s="29"/>
    </row>
    <row r="26" spans="1:14" ht="19.95" customHeight="1" x14ac:dyDescent="0.25">
      <c r="A26" s="7" t="s">
        <v>33</v>
      </c>
      <c r="B26" s="8" t="s">
        <v>40</v>
      </c>
      <c r="C26" s="8"/>
      <c r="D26" s="8">
        <v>1960</v>
      </c>
      <c r="J26" s="21">
        <v>1979</v>
      </c>
      <c r="K26" s="38">
        <v>174.7</v>
      </c>
    </row>
    <row r="27" spans="1:14" ht="19.95" customHeight="1" x14ac:dyDescent="0.25">
      <c r="A27" s="7" t="s">
        <v>34</v>
      </c>
      <c r="B27" s="8" t="s">
        <v>40</v>
      </c>
      <c r="C27" s="8">
        <v>70.099999999999994</v>
      </c>
      <c r="D27" s="8">
        <v>1960</v>
      </c>
      <c r="J27" s="21">
        <v>1980</v>
      </c>
      <c r="K27" s="38">
        <v>174.5</v>
      </c>
    </row>
    <row r="28" spans="1:14" ht="19.95" customHeight="1" x14ac:dyDescent="0.25">
      <c r="A28" s="7" t="s">
        <v>35</v>
      </c>
      <c r="B28" s="8" t="s">
        <v>40</v>
      </c>
      <c r="C28" s="8"/>
      <c r="D28" s="8">
        <v>1960</v>
      </c>
      <c r="J28" s="21">
        <v>1981</v>
      </c>
      <c r="K28" s="38">
        <v>174.2</v>
      </c>
    </row>
    <row r="29" spans="1:14" ht="19.95" customHeight="1" x14ac:dyDescent="0.25">
      <c r="A29" s="7" t="s">
        <v>36</v>
      </c>
      <c r="B29" s="8" t="s">
        <v>40</v>
      </c>
      <c r="C29" s="8">
        <v>143.19999999999999</v>
      </c>
      <c r="D29" s="8">
        <v>1960</v>
      </c>
      <c r="J29" s="21">
        <v>1982</v>
      </c>
      <c r="K29" s="38">
        <v>173.5</v>
      </c>
    </row>
    <row r="30" spans="1:14" ht="19.95" customHeight="1" x14ac:dyDescent="0.25">
      <c r="A30" s="7" t="s">
        <v>37</v>
      </c>
      <c r="B30" s="8" t="s">
        <v>40</v>
      </c>
      <c r="C30" s="8">
        <v>131.5</v>
      </c>
      <c r="D30" s="8">
        <v>1960</v>
      </c>
      <c r="J30" s="21">
        <v>1983</v>
      </c>
      <c r="K30" s="38">
        <v>172.6</v>
      </c>
    </row>
    <row r="31" spans="1:14" ht="19.95" customHeight="1" x14ac:dyDescent="0.25">
      <c r="A31" s="7" t="s">
        <v>38</v>
      </c>
      <c r="B31" s="8" t="s">
        <v>40</v>
      </c>
      <c r="C31" s="8">
        <v>122.2</v>
      </c>
      <c r="D31" s="8">
        <v>1960</v>
      </c>
      <c r="J31" s="21">
        <v>1984</v>
      </c>
      <c r="K31" s="38">
        <v>171.1</v>
      </c>
    </row>
    <row r="32" spans="1:14" ht="19.95" customHeight="1" x14ac:dyDescent="0.25">
      <c r="A32" s="7" t="s">
        <v>39</v>
      </c>
      <c r="B32" s="8" t="s">
        <v>40</v>
      </c>
      <c r="C32" s="8">
        <v>92.5</v>
      </c>
      <c r="D32" s="8">
        <v>1960</v>
      </c>
      <c r="J32" s="21">
        <v>1985</v>
      </c>
      <c r="K32" s="38">
        <v>169.4</v>
      </c>
    </row>
    <row r="33" spans="1:11" ht="19.95" customHeight="1" x14ac:dyDescent="0.25">
      <c r="A33" s="9" t="s">
        <v>9</v>
      </c>
      <c r="B33" s="10" t="s">
        <v>40</v>
      </c>
      <c r="C33" s="10"/>
      <c r="D33" s="10">
        <v>1961</v>
      </c>
      <c r="J33" s="21">
        <v>1986</v>
      </c>
      <c r="K33" s="38">
        <v>167.5</v>
      </c>
    </row>
    <row r="34" spans="1:11" ht="19.95" customHeight="1" x14ac:dyDescent="0.25">
      <c r="A34" s="9" t="s">
        <v>12</v>
      </c>
      <c r="B34" s="10" t="s">
        <v>40</v>
      </c>
      <c r="C34" s="10">
        <v>160.9</v>
      </c>
      <c r="D34" s="10">
        <v>1961</v>
      </c>
      <c r="J34" s="21">
        <v>1987</v>
      </c>
      <c r="K34" s="38">
        <v>165.5</v>
      </c>
    </row>
    <row r="35" spans="1:11" ht="19.95" customHeight="1" x14ac:dyDescent="0.25">
      <c r="A35" s="9" t="s">
        <v>13</v>
      </c>
      <c r="B35" s="10" t="s">
        <v>40</v>
      </c>
      <c r="C35" s="10"/>
      <c r="D35" s="10">
        <v>1961</v>
      </c>
      <c r="J35" s="21">
        <v>1988</v>
      </c>
      <c r="K35" s="38">
        <v>163.6</v>
      </c>
    </row>
    <row r="36" spans="1:11" ht="22.05" customHeight="1" x14ac:dyDescent="0.25">
      <c r="A36" s="9" t="s">
        <v>15</v>
      </c>
      <c r="B36" s="10" t="s">
        <v>40</v>
      </c>
      <c r="C36" s="10"/>
      <c r="D36" s="10">
        <v>1961</v>
      </c>
      <c r="J36" s="21">
        <v>1989</v>
      </c>
      <c r="K36" s="38">
        <v>161.5</v>
      </c>
    </row>
    <row r="37" spans="1:11" ht="19.95" customHeight="1" x14ac:dyDescent="0.25">
      <c r="A37" s="9" t="s">
        <v>16</v>
      </c>
      <c r="B37" s="10" t="s">
        <v>40</v>
      </c>
      <c r="C37" s="10"/>
      <c r="D37" s="10">
        <v>1961</v>
      </c>
      <c r="J37" s="21">
        <v>1990</v>
      </c>
      <c r="K37" s="38">
        <v>159.4</v>
      </c>
    </row>
    <row r="38" spans="1:11" ht="19.95" customHeight="1" x14ac:dyDescent="0.25">
      <c r="A38" s="9" t="s">
        <v>1</v>
      </c>
      <c r="B38" s="10" t="s">
        <v>40</v>
      </c>
      <c r="C38" s="10"/>
      <c r="D38" s="10">
        <v>1961</v>
      </c>
      <c r="J38" s="21">
        <v>1991</v>
      </c>
      <c r="K38" s="38">
        <v>157.1</v>
      </c>
    </row>
    <row r="39" spans="1:11" ht="19.95" customHeight="1" x14ac:dyDescent="0.25">
      <c r="A39" s="9" t="s">
        <v>17</v>
      </c>
      <c r="B39" s="10" t="s">
        <v>40</v>
      </c>
      <c r="C39" s="10"/>
      <c r="D39" s="10">
        <v>1961</v>
      </c>
      <c r="J39" s="21">
        <v>1992</v>
      </c>
      <c r="K39" s="38">
        <v>154.4</v>
      </c>
    </row>
    <row r="40" spans="1:11" ht="19.95" customHeight="1" x14ac:dyDescent="0.25">
      <c r="A40" s="9" t="s">
        <v>18</v>
      </c>
      <c r="B40" s="10" t="s">
        <v>40</v>
      </c>
      <c r="C40" s="10">
        <v>186.8</v>
      </c>
      <c r="D40" s="10">
        <v>1961</v>
      </c>
      <c r="J40" s="21">
        <v>1993</v>
      </c>
      <c r="K40" s="38">
        <v>151.19999999999999</v>
      </c>
    </row>
    <row r="41" spans="1:11" ht="19.95" customHeight="1" x14ac:dyDescent="0.25">
      <c r="A41" s="9" t="s">
        <v>19</v>
      </c>
      <c r="B41" s="10" t="s">
        <v>40</v>
      </c>
      <c r="C41" s="10">
        <v>112.9</v>
      </c>
      <c r="D41" s="10">
        <v>1961</v>
      </c>
      <c r="J41" s="21">
        <v>1994</v>
      </c>
      <c r="K41" s="38">
        <v>147.4</v>
      </c>
    </row>
    <row r="42" spans="1:11" ht="19.95" customHeight="1" x14ac:dyDescent="0.25">
      <c r="A42" s="9" t="s">
        <v>20</v>
      </c>
      <c r="B42" s="10" t="s">
        <v>40</v>
      </c>
      <c r="C42" s="10"/>
      <c r="D42" s="10">
        <v>1961</v>
      </c>
      <c r="J42" s="21">
        <v>1995</v>
      </c>
      <c r="K42" s="38">
        <v>143</v>
      </c>
    </row>
    <row r="43" spans="1:11" ht="19.95" customHeight="1" x14ac:dyDescent="0.25">
      <c r="A43" s="9" t="s">
        <v>21</v>
      </c>
      <c r="B43" s="10" t="s">
        <v>40</v>
      </c>
      <c r="C43" s="10">
        <v>209</v>
      </c>
      <c r="D43" s="10">
        <v>1961</v>
      </c>
      <c r="J43" s="21">
        <v>1996</v>
      </c>
      <c r="K43" s="38">
        <v>137.69999999999999</v>
      </c>
    </row>
    <row r="44" spans="1:11" ht="19.95" customHeight="1" x14ac:dyDescent="0.25">
      <c r="A44" s="9" t="s">
        <v>22</v>
      </c>
      <c r="B44" s="10" t="s">
        <v>40</v>
      </c>
      <c r="C44" s="10"/>
      <c r="D44" s="10">
        <v>1961</v>
      </c>
      <c r="J44" s="21">
        <v>1997</v>
      </c>
      <c r="K44" s="38">
        <v>131.69999999999999</v>
      </c>
    </row>
    <row r="45" spans="1:11" ht="19.95" customHeight="1" x14ac:dyDescent="0.25">
      <c r="A45" s="9" t="s">
        <v>23</v>
      </c>
      <c r="B45" s="10" t="s">
        <v>40</v>
      </c>
      <c r="C45" s="10"/>
      <c r="D45" s="10">
        <v>1961</v>
      </c>
      <c r="J45" s="21">
        <v>1998</v>
      </c>
      <c r="K45" s="38">
        <v>125.4</v>
      </c>
    </row>
    <row r="46" spans="1:11" ht="19.95" customHeight="1" x14ac:dyDescent="0.25">
      <c r="A46" s="9" t="s">
        <v>24</v>
      </c>
      <c r="B46" s="10" t="s">
        <v>40</v>
      </c>
      <c r="C46" s="10"/>
      <c r="D46" s="10">
        <v>1961</v>
      </c>
      <c r="J46" s="21">
        <v>1999</v>
      </c>
      <c r="K46" s="38">
        <v>119.3</v>
      </c>
    </row>
    <row r="47" spans="1:11" ht="19.95" customHeight="1" x14ac:dyDescent="0.25">
      <c r="A47" s="9" t="s">
        <v>25</v>
      </c>
      <c r="B47" s="10" t="s">
        <v>40</v>
      </c>
      <c r="C47" s="10"/>
      <c r="D47" s="10">
        <v>1961</v>
      </c>
      <c r="J47" s="21">
        <v>2000</v>
      </c>
      <c r="K47" s="38">
        <v>113.3</v>
      </c>
    </row>
    <row r="48" spans="1:11" ht="19.95" customHeight="1" x14ac:dyDescent="0.25">
      <c r="A48" s="9" t="s">
        <v>26</v>
      </c>
      <c r="B48" s="10" t="s">
        <v>40</v>
      </c>
      <c r="C48" s="10"/>
      <c r="D48" s="10">
        <v>1961</v>
      </c>
      <c r="J48" s="21">
        <v>2001</v>
      </c>
      <c r="K48" s="38">
        <v>107.6</v>
      </c>
    </row>
    <row r="49" spans="1:11" ht="19.95" customHeight="1" x14ac:dyDescent="0.25">
      <c r="A49" s="9" t="s">
        <v>28</v>
      </c>
      <c r="B49" s="10" t="s">
        <v>40</v>
      </c>
      <c r="C49" s="10"/>
      <c r="D49" s="10">
        <v>1961</v>
      </c>
      <c r="J49" s="21">
        <v>2002</v>
      </c>
      <c r="K49" s="38">
        <v>102.3</v>
      </c>
    </row>
    <row r="50" spans="1:11" ht="19.95" customHeight="1" x14ac:dyDescent="0.25">
      <c r="A50" s="9" t="s">
        <v>29</v>
      </c>
      <c r="B50" s="10" t="s">
        <v>40</v>
      </c>
      <c r="C50" s="10">
        <v>213.8</v>
      </c>
      <c r="D50" s="10">
        <v>1961</v>
      </c>
      <c r="J50" s="21">
        <v>2003</v>
      </c>
      <c r="K50" s="38">
        <v>97.4</v>
      </c>
    </row>
    <row r="51" spans="1:11" ht="19.95" customHeight="1" x14ac:dyDescent="0.25">
      <c r="A51" s="9" t="s">
        <v>30</v>
      </c>
      <c r="B51" s="10" t="s">
        <v>40</v>
      </c>
      <c r="C51" s="10">
        <v>131.69999999999999</v>
      </c>
      <c r="D51" s="10">
        <v>1961</v>
      </c>
      <c r="J51" s="21">
        <v>2004</v>
      </c>
      <c r="K51" s="38">
        <v>92.9</v>
      </c>
    </row>
    <row r="52" spans="1:11" ht="19.95" customHeight="1" x14ac:dyDescent="0.25">
      <c r="A52" s="9" t="s">
        <v>31</v>
      </c>
      <c r="B52" s="10" t="s">
        <v>40</v>
      </c>
      <c r="C52" s="10"/>
      <c r="D52" s="10">
        <v>1961</v>
      </c>
      <c r="J52" s="21">
        <v>2005</v>
      </c>
      <c r="K52" s="38">
        <v>88.7</v>
      </c>
    </row>
    <row r="53" spans="1:11" ht="19.95" customHeight="1" x14ac:dyDescent="0.25">
      <c r="A53" s="9" t="s">
        <v>32</v>
      </c>
      <c r="B53" s="10" t="s">
        <v>40</v>
      </c>
      <c r="C53" s="10">
        <v>128.69999999999999</v>
      </c>
      <c r="D53" s="10">
        <v>1961</v>
      </c>
      <c r="J53" s="21">
        <v>2006</v>
      </c>
      <c r="K53" s="38">
        <v>84.6</v>
      </c>
    </row>
    <row r="54" spans="1:11" ht="19.95" customHeight="1" x14ac:dyDescent="0.25">
      <c r="A54" s="9" t="s">
        <v>33</v>
      </c>
      <c r="B54" s="10" t="s">
        <v>40</v>
      </c>
      <c r="C54" s="10"/>
      <c r="D54" s="10">
        <v>1961</v>
      </c>
      <c r="J54" s="21">
        <v>2007</v>
      </c>
      <c r="K54" s="38">
        <v>79.900000000000006</v>
      </c>
    </row>
    <row r="55" spans="1:11" ht="19.95" customHeight="1" x14ac:dyDescent="0.25">
      <c r="A55" s="9" t="s">
        <v>34</v>
      </c>
      <c r="B55" s="10" t="s">
        <v>40</v>
      </c>
      <c r="C55" s="10">
        <v>67.7</v>
      </c>
      <c r="D55" s="10">
        <v>1961</v>
      </c>
      <c r="J55" s="21">
        <v>2008</v>
      </c>
      <c r="K55" s="38">
        <v>76.5</v>
      </c>
    </row>
    <row r="56" spans="1:11" ht="19.95" customHeight="1" x14ac:dyDescent="0.25">
      <c r="A56" s="9" t="s">
        <v>35</v>
      </c>
      <c r="B56" s="10" t="s">
        <v>40</v>
      </c>
      <c r="C56" s="10"/>
      <c r="D56" s="10">
        <v>1961</v>
      </c>
      <c r="J56" s="21">
        <v>2009</v>
      </c>
      <c r="K56" s="38">
        <v>72.8</v>
      </c>
    </row>
    <row r="57" spans="1:11" ht="19.95" customHeight="1" x14ac:dyDescent="0.25">
      <c r="A57" s="9" t="s">
        <v>36</v>
      </c>
      <c r="B57" s="10" t="s">
        <v>40</v>
      </c>
      <c r="C57" s="10">
        <v>141.9</v>
      </c>
      <c r="D57" s="10">
        <v>1961</v>
      </c>
      <c r="J57" s="21">
        <v>2010</v>
      </c>
      <c r="K57" s="38">
        <v>70.7</v>
      </c>
    </row>
    <row r="58" spans="1:11" ht="19.95" customHeight="1" x14ac:dyDescent="0.25">
      <c r="A58" s="9" t="s">
        <v>37</v>
      </c>
      <c r="B58" s="10" t="s">
        <v>40</v>
      </c>
      <c r="C58" s="10">
        <v>128.9</v>
      </c>
      <c r="D58" s="10">
        <v>1961</v>
      </c>
      <c r="J58" s="21">
        <v>2011</v>
      </c>
      <c r="K58" s="38">
        <v>66.900000000000006</v>
      </c>
    </row>
    <row r="59" spans="1:11" ht="19.95" customHeight="1" x14ac:dyDescent="0.25">
      <c r="A59" s="9" t="s">
        <v>38</v>
      </c>
      <c r="B59" s="10" t="s">
        <v>40</v>
      </c>
      <c r="C59" s="10">
        <v>120</v>
      </c>
      <c r="D59" s="10">
        <v>1961</v>
      </c>
      <c r="J59" s="21">
        <v>2012</v>
      </c>
      <c r="K59" s="38">
        <v>63.5</v>
      </c>
    </row>
    <row r="60" spans="1:11" ht="19.95" customHeight="1" x14ac:dyDescent="0.25">
      <c r="A60" s="9" t="s">
        <v>39</v>
      </c>
      <c r="B60" s="10" t="s">
        <v>40</v>
      </c>
      <c r="C60" s="10">
        <v>90</v>
      </c>
      <c r="D60" s="10">
        <v>1961</v>
      </c>
      <c r="J60" s="21">
        <v>2013</v>
      </c>
      <c r="K60" s="38">
        <v>60.9</v>
      </c>
    </row>
    <row r="61" spans="1:11" ht="19.95" customHeight="1" x14ac:dyDescent="0.25">
      <c r="A61" s="9" t="s">
        <v>9</v>
      </c>
      <c r="B61" s="10" t="s">
        <v>40</v>
      </c>
      <c r="C61" s="10"/>
      <c r="D61" s="10">
        <v>1962</v>
      </c>
      <c r="J61" s="21">
        <v>2014</v>
      </c>
      <c r="K61" s="38">
        <v>58.9</v>
      </c>
    </row>
    <row r="62" spans="1:11" ht="19.95" customHeight="1" x14ac:dyDescent="0.25">
      <c r="A62" s="9" t="s">
        <v>12</v>
      </c>
      <c r="B62" s="10" t="s">
        <v>40</v>
      </c>
      <c r="C62" s="10">
        <v>157.9</v>
      </c>
      <c r="D62" s="10">
        <v>1962</v>
      </c>
      <c r="J62" s="21">
        <v>2015</v>
      </c>
      <c r="K62" s="38">
        <v>57</v>
      </c>
    </row>
    <row r="63" spans="1:11" ht="19.95" customHeight="1" x14ac:dyDescent="0.25">
      <c r="A63" s="9" t="s">
        <v>13</v>
      </c>
      <c r="B63" s="10" t="s">
        <v>40</v>
      </c>
      <c r="C63" s="10"/>
      <c r="D63" s="10">
        <v>1962</v>
      </c>
      <c r="J63" s="21">
        <v>2016</v>
      </c>
      <c r="K63" s="38">
        <v>55.2</v>
      </c>
    </row>
    <row r="64" spans="1:11" ht="19.95" customHeight="1" x14ac:dyDescent="0.25">
      <c r="A64" s="9" t="s">
        <v>15</v>
      </c>
      <c r="B64" s="10" t="s">
        <v>40</v>
      </c>
      <c r="C64" s="10"/>
      <c r="D64" s="10">
        <v>1962</v>
      </c>
      <c r="J64" s="22">
        <v>2017</v>
      </c>
      <c r="K64" s="39">
        <v>53.3</v>
      </c>
    </row>
    <row r="65" spans="1:12" ht="19.95" customHeight="1" x14ac:dyDescent="0.25">
      <c r="A65" s="9" t="s">
        <v>16</v>
      </c>
      <c r="B65" s="10" t="s">
        <v>40</v>
      </c>
      <c r="C65" s="10"/>
      <c r="D65" s="10">
        <v>1962</v>
      </c>
    </row>
    <row r="66" spans="1:12" ht="19.95" customHeight="1" x14ac:dyDescent="0.25">
      <c r="A66" s="9" t="s">
        <v>1</v>
      </c>
      <c r="B66" s="10" t="s">
        <v>40</v>
      </c>
      <c r="C66" s="10"/>
      <c r="D66" s="10">
        <v>1962</v>
      </c>
      <c r="J66" s="13"/>
      <c r="K66" s="13"/>
      <c r="L66" s="13"/>
    </row>
    <row r="67" spans="1:12" ht="19.95" customHeight="1" x14ac:dyDescent="0.25">
      <c r="A67" s="9" t="s">
        <v>17</v>
      </c>
      <c r="B67" s="10" t="s">
        <v>40</v>
      </c>
      <c r="C67" s="10"/>
      <c r="D67" s="10">
        <v>1962</v>
      </c>
    </row>
    <row r="68" spans="1:12" ht="19.95" customHeight="1" x14ac:dyDescent="0.25">
      <c r="A68" s="9" t="s">
        <v>18</v>
      </c>
      <c r="B68" s="10" t="s">
        <v>41</v>
      </c>
      <c r="C68" s="10">
        <v>184</v>
      </c>
      <c r="D68" s="10">
        <v>1962</v>
      </c>
    </row>
    <row r="69" spans="1:12" ht="19.95" customHeight="1" x14ac:dyDescent="0.25">
      <c r="A69" s="9" t="s">
        <v>19</v>
      </c>
      <c r="B69" s="10" t="s">
        <v>40</v>
      </c>
      <c r="C69" s="10">
        <v>109</v>
      </c>
      <c r="D69" s="10">
        <v>1962</v>
      </c>
    </row>
    <row r="70" spans="1:12" ht="19.95" customHeight="1" x14ac:dyDescent="0.25">
      <c r="A70" s="9" t="s">
        <v>20</v>
      </c>
      <c r="B70" s="10" t="s">
        <v>40</v>
      </c>
      <c r="C70" s="10"/>
      <c r="D70" s="10">
        <v>1962</v>
      </c>
    </row>
    <row r="71" spans="1:12" ht="19.95" customHeight="1" x14ac:dyDescent="0.25">
      <c r="A71" s="9" t="s">
        <v>21</v>
      </c>
      <c r="B71" s="10" t="s">
        <v>40</v>
      </c>
      <c r="C71" s="10">
        <v>208.7</v>
      </c>
      <c r="D71" s="10">
        <v>1962</v>
      </c>
    </row>
    <row r="72" spans="1:12" ht="19.95" customHeight="1" x14ac:dyDescent="0.25">
      <c r="A72" s="9" t="s">
        <v>22</v>
      </c>
      <c r="B72" s="10" t="s">
        <v>40</v>
      </c>
      <c r="C72" s="10"/>
      <c r="D72" s="10">
        <v>1962</v>
      </c>
    </row>
    <row r="73" spans="1:12" ht="19.95" customHeight="1" x14ac:dyDescent="0.25">
      <c r="A73" s="9" t="s">
        <v>23</v>
      </c>
      <c r="B73" s="10" t="s">
        <v>40</v>
      </c>
      <c r="C73" s="10"/>
      <c r="D73" s="10">
        <v>1962</v>
      </c>
    </row>
    <row r="74" spans="1:12" ht="19.95" customHeight="1" x14ac:dyDescent="0.25">
      <c r="A74" s="9" t="s">
        <v>24</v>
      </c>
      <c r="B74" s="10" t="s">
        <v>40</v>
      </c>
      <c r="C74" s="10"/>
      <c r="D74" s="10">
        <v>1962</v>
      </c>
    </row>
    <row r="75" spans="1:12" ht="19.95" customHeight="1" x14ac:dyDescent="0.25">
      <c r="A75" s="9" t="s">
        <v>25</v>
      </c>
      <c r="B75" s="10" t="s">
        <v>40</v>
      </c>
      <c r="C75" s="10"/>
      <c r="D75" s="10">
        <v>1962</v>
      </c>
    </row>
    <row r="76" spans="1:12" ht="19.95" customHeight="1" x14ac:dyDescent="0.25">
      <c r="A76" s="9" t="s">
        <v>26</v>
      </c>
      <c r="B76" s="10" t="s">
        <v>40</v>
      </c>
      <c r="C76" s="10"/>
      <c r="D76" s="10">
        <v>1962</v>
      </c>
    </row>
    <row r="77" spans="1:12" ht="19.95" customHeight="1" x14ac:dyDescent="0.25">
      <c r="A77" s="9" t="s">
        <v>28</v>
      </c>
      <c r="B77" s="10" t="s">
        <v>40</v>
      </c>
      <c r="C77" s="10"/>
      <c r="D77" s="10">
        <v>1962</v>
      </c>
    </row>
    <row r="78" spans="1:12" ht="19.95" customHeight="1" x14ac:dyDescent="0.25">
      <c r="A78" s="9" t="s">
        <v>29</v>
      </c>
      <c r="B78" s="10" t="s">
        <v>40</v>
      </c>
      <c r="C78" s="10">
        <v>210.4</v>
      </c>
      <c r="D78" s="10">
        <v>1962</v>
      </c>
    </row>
    <row r="79" spans="1:12" ht="19.95" customHeight="1" x14ac:dyDescent="0.25">
      <c r="A79" s="9" t="s">
        <v>30</v>
      </c>
      <c r="B79" s="10" t="s">
        <v>40</v>
      </c>
      <c r="C79" s="10">
        <v>130.4</v>
      </c>
      <c r="D79" s="10">
        <v>1962</v>
      </c>
    </row>
    <row r="80" spans="1:12" ht="19.95" customHeight="1" x14ac:dyDescent="0.25">
      <c r="A80" s="9" t="s">
        <v>31</v>
      </c>
      <c r="B80" s="10" t="s">
        <v>40</v>
      </c>
      <c r="C80" s="10"/>
      <c r="D80" s="10">
        <v>1962</v>
      </c>
    </row>
    <row r="81" spans="1:4" ht="19.95" customHeight="1" x14ac:dyDescent="0.25">
      <c r="A81" s="9" t="s">
        <v>32</v>
      </c>
      <c r="B81" s="10" t="s">
        <v>40</v>
      </c>
      <c r="C81" s="10">
        <v>126.9</v>
      </c>
      <c r="D81" s="10">
        <v>1962</v>
      </c>
    </row>
    <row r="82" spans="1:4" ht="19.95" customHeight="1" x14ac:dyDescent="0.25">
      <c r="A82" s="9" t="s">
        <v>33</v>
      </c>
      <c r="B82" s="10" t="s">
        <v>40</v>
      </c>
      <c r="C82" s="10"/>
      <c r="D82" s="10">
        <v>1962</v>
      </c>
    </row>
    <row r="83" spans="1:4" ht="19.95" customHeight="1" x14ac:dyDescent="0.25">
      <c r="A83" s="9" t="s">
        <v>34</v>
      </c>
      <c r="B83" s="10" t="s">
        <v>40</v>
      </c>
      <c r="C83" s="10">
        <v>65.400000000000006</v>
      </c>
      <c r="D83" s="10">
        <v>1962</v>
      </c>
    </row>
    <row r="84" spans="1:4" ht="19.95" customHeight="1" x14ac:dyDescent="0.25">
      <c r="A84" s="9" t="s">
        <v>35</v>
      </c>
      <c r="B84" s="10" t="s">
        <v>40</v>
      </c>
      <c r="C84" s="10"/>
      <c r="D84" s="10">
        <v>1962</v>
      </c>
    </row>
    <row r="85" spans="1:4" ht="19.95" customHeight="1" x14ac:dyDescent="0.25">
      <c r="A85" s="9" t="s">
        <v>36</v>
      </c>
      <c r="B85" s="10" t="s">
        <v>40</v>
      </c>
      <c r="C85" s="10">
        <v>140.4</v>
      </c>
      <c r="D85" s="10">
        <v>1962</v>
      </c>
    </row>
    <row r="86" spans="1:4" ht="19.95" customHeight="1" x14ac:dyDescent="0.25">
      <c r="A86" s="9" t="s">
        <v>37</v>
      </c>
      <c r="B86" s="10" t="s">
        <v>40</v>
      </c>
      <c r="C86" s="10">
        <v>126.5</v>
      </c>
      <c r="D86" s="10">
        <v>1962</v>
      </c>
    </row>
    <row r="87" spans="1:4" ht="19.95" customHeight="1" x14ac:dyDescent="0.25">
      <c r="A87" s="9" t="s">
        <v>38</v>
      </c>
      <c r="B87" s="10" t="s">
        <v>40</v>
      </c>
      <c r="C87" s="10">
        <v>118</v>
      </c>
      <c r="D87" s="10">
        <v>1962</v>
      </c>
    </row>
    <row r="88" spans="1:4" ht="19.95" customHeight="1" x14ac:dyDescent="0.25">
      <c r="A88" s="9" t="s">
        <v>39</v>
      </c>
      <c r="B88" s="10" t="s">
        <v>40</v>
      </c>
      <c r="C88" s="10">
        <v>87.5</v>
      </c>
      <c r="D88" s="10">
        <v>1962</v>
      </c>
    </row>
    <row r="89" spans="1:4" ht="19.95" customHeight="1" x14ac:dyDescent="0.25">
      <c r="A89" s="9" t="s">
        <v>9</v>
      </c>
      <c r="B89" s="10" t="s">
        <v>40</v>
      </c>
      <c r="C89" s="10"/>
      <c r="D89" s="10">
        <v>1963</v>
      </c>
    </row>
    <row r="90" spans="1:4" ht="19.95" customHeight="1" x14ac:dyDescent="0.25">
      <c r="A90" s="9" t="s">
        <v>12</v>
      </c>
      <c r="B90" s="10" t="s">
        <v>40</v>
      </c>
      <c r="C90" s="10">
        <v>155.5</v>
      </c>
      <c r="D90" s="10">
        <v>1963</v>
      </c>
    </row>
    <row r="91" spans="1:4" ht="19.95" customHeight="1" x14ac:dyDescent="0.25">
      <c r="A91" s="9" t="s">
        <v>13</v>
      </c>
      <c r="B91" s="10" t="s">
        <v>40</v>
      </c>
      <c r="C91" s="10"/>
      <c r="D91" s="10">
        <v>1963</v>
      </c>
    </row>
    <row r="92" spans="1:4" ht="19.95" customHeight="1" x14ac:dyDescent="0.25">
      <c r="A92" s="9" t="s">
        <v>15</v>
      </c>
      <c r="B92" s="10" t="s">
        <v>40</v>
      </c>
      <c r="C92" s="10"/>
      <c r="D92" s="10">
        <v>1963</v>
      </c>
    </row>
    <row r="93" spans="1:4" ht="19.95" customHeight="1" x14ac:dyDescent="0.25">
      <c r="A93" s="9" t="s">
        <v>16</v>
      </c>
      <c r="B93" s="10" t="s">
        <v>40</v>
      </c>
      <c r="C93" s="10"/>
      <c r="D93" s="10">
        <v>1963</v>
      </c>
    </row>
    <row r="94" spans="1:4" ht="19.95" customHeight="1" x14ac:dyDescent="0.25">
      <c r="A94" s="9" t="s">
        <v>1</v>
      </c>
      <c r="B94" s="10" t="s">
        <v>40</v>
      </c>
      <c r="C94" s="10"/>
      <c r="D94" s="10">
        <v>1963</v>
      </c>
    </row>
    <row r="95" spans="1:4" ht="19.95" customHeight="1" x14ac:dyDescent="0.25">
      <c r="A95" s="9" t="s">
        <v>17</v>
      </c>
      <c r="B95" s="10" t="s">
        <v>40</v>
      </c>
      <c r="C95" s="10"/>
      <c r="D95" s="10">
        <v>1963</v>
      </c>
    </row>
    <row r="96" spans="1:4" ht="19.95" customHeight="1" x14ac:dyDescent="0.25">
      <c r="A96" s="9" t="s">
        <v>18</v>
      </c>
      <c r="B96" s="10" t="s">
        <v>40</v>
      </c>
      <c r="C96" s="10">
        <v>181.1</v>
      </c>
      <c r="D96" s="10">
        <v>1963</v>
      </c>
    </row>
    <row r="97" spans="1:19" ht="19.95" customHeight="1" x14ac:dyDescent="0.25">
      <c r="A97" s="9" t="s">
        <v>19</v>
      </c>
      <c r="B97" s="10" t="s">
        <v>40</v>
      </c>
      <c r="C97" s="10">
        <v>105.6</v>
      </c>
      <c r="D97" s="10">
        <v>1963</v>
      </c>
    </row>
    <row r="98" spans="1:19" ht="19.95" customHeight="1" x14ac:dyDescent="0.25">
      <c r="A98" s="9" t="s">
        <v>20</v>
      </c>
      <c r="B98" s="10" t="s">
        <v>40</v>
      </c>
      <c r="C98" s="10"/>
      <c r="D98" s="10">
        <v>1963</v>
      </c>
    </row>
    <row r="99" spans="1:19" ht="19.95" customHeight="1" x14ac:dyDescent="0.25">
      <c r="A99" s="9" t="s">
        <v>21</v>
      </c>
      <c r="B99" s="10" t="s">
        <v>40</v>
      </c>
      <c r="C99" s="10">
        <v>208</v>
      </c>
      <c r="D99" s="10">
        <v>1963</v>
      </c>
    </row>
    <row r="100" spans="1:19" ht="19.95" customHeight="1" x14ac:dyDescent="0.25">
      <c r="A100" s="9" t="s">
        <v>22</v>
      </c>
      <c r="B100" s="10" t="s">
        <v>40</v>
      </c>
      <c r="C100" s="10"/>
      <c r="D100" s="10">
        <v>1963</v>
      </c>
      <c r="J100" s="14"/>
      <c r="K100" s="14"/>
      <c r="L100" s="14"/>
      <c r="M100" s="14"/>
      <c r="N100" s="14"/>
      <c r="O100" s="14"/>
      <c r="P100" s="14"/>
      <c r="Q100" s="14"/>
      <c r="R100" s="14"/>
      <c r="S100" s="14"/>
    </row>
    <row r="101" spans="1:19" ht="19.95" customHeight="1" x14ac:dyDescent="0.25">
      <c r="A101" s="9" t="s">
        <v>23</v>
      </c>
      <c r="B101" s="10" t="s">
        <v>40</v>
      </c>
      <c r="C101" s="10"/>
      <c r="D101" s="10">
        <v>1963</v>
      </c>
      <c r="J101" s="14"/>
      <c r="K101" s="14"/>
      <c r="L101" s="14"/>
      <c r="M101" s="14"/>
      <c r="N101" s="14"/>
      <c r="O101" s="14"/>
      <c r="P101" s="14"/>
      <c r="Q101" s="14"/>
      <c r="R101" s="14"/>
      <c r="S101" s="14"/>
    </row>
    <row r="102" spans="1:19" ht="19.95" customHeight="1" x14ac:dyDescent="0.25">
      <c r="A102" s="9" t="s">
        <v>24</v>
      </c>
      <c r="B102" s="10" t="s">
        <v>40</v>
      </c>
      <c r="C102" s="10">
        <v>213.6</v>
      </c>
      <c r="D102" s="10">
        <v>1963</v>
      </c>
    </row>
    <row r="103" spans="1:19" ht="19.95" customHeight="1" x14ac:dyDescent="0.25">
      <c r="A103" s="9" t="s">
        <v>25</v>
      </c>
      <c r="B103" s="10" t="s">
        <v>40</v>
      </c>
      <c r="C103" s="10"/>
      <c r="D103" s="10">
        <v>1963</v>
      </c>
    </row>
    <row r="104" spans="1:19" ht="19.95" customHeight="1" x14ac:dyDescent="0.25">
      <c r="A104" s="9" t="s">
        <v>26</v>
      </c>
      <c r="B104" s="10" t="s">
        <v>40</v>
      </c>
      <c r="C104" s="10"/>
      <c r="D104" s="10">
        <v>1963</v>
      </c>
    </row>
    <row r="105" spans="1:19" ht="19.95" customHeight="1" x14ac:dyDescent="0.25">
      <c r="A105" s="9" t="s">
        <v>28</v>
      </c>
      <c r="B105" s="10" t="s">
        <v>40</v>
      </c>
      <c r="C105" s="10"/>
      <c r="D105" s="10">
        <v>1963</v>
      </c>
    </row>
    <row r="106" spans="1:19" ht="19.95" customHeight="1" x14ac:dyDescent="0.25">
      <c r="A106" s="9" t="s">
        <v>29</v>
      </c>
      <c r="B106" s="10" t="s">
        <v>40</v>
      </c>
      <c r="C106" s="10">
        <v>206.6</v>
      </c>
      <c r="D106" s="10">
        <v>1963</v>
      </c>
    </row>
    <row r="107" spans="1:19" ht="19.95" customHeight="1" x14ac:dyDescent="0.25">
      <c r="A107" s="9" t="s">
        <v>30</v>
      </c>
      <c r="B107" s="10" t="s">
        <v>40</v>
      </c>
      <c r="C107" s="10">
        <v>129.1</v>
      </c>
      <c r="D107" s="10">
        <v>1963</v>
      </c>
    </row>
    <row r="108" spans="1:19" ht="19.95" customHeight="1" x14ac:dyDescent="0.25">
      <c r="A108" s="9" t="s">
        <v>31</v>
      </c>
      <c r="B108" s="10" t="s">
        <v>40</v>
      </c>
      <c r="C108" s="10"/>
      <c r="D108" s="10">
        <v>1963</v>
      </c>
    </row>
    <row r="109" spans="1:19" ht="19.95" customHeight="1" x14ac:dyDescent="0.25">
      <c r="A109" s="9" t="s">
        <v>32</v>
      </c>
      <c r="B109" s="10" t="s">
        <v>40</v>
      </c>
      <c r="C109" s="10">
        <v>125.6</v>
      </c>
      <c r="D109" s="10">
        <v>1963</v>
      </c>
    </row>
    <row r="110" spans="1:19" ht="19.95" customHeight="1" x14ac:dyDescent="0.25">
      <c r="A110" s="9" t="s">
        <v>33</v>
      </c>
      <c r="B110" s="10" t="s">
        <v>40</v>
      </c>
      <c r="C110" s="10"/>
      <c r="D110" s="10">
        <v>1963</v>
      </c>
    </row>
    <row r="111" spans="1:19" ht="19.95" customHeight="1" x14ac:dyDescent="0.25">
      <c r="A111" s="9" t="s">
        <v>34</v>
      </c>
      <c r="B111" s="10" t="s">
        <v>40</v>
      </c>
      <c r="C111" s="10">
        <v>63.2</v>
      </c>
      <c r="D111" s="10">
        <v>1963</v>
      </c>
    </row>
    <row r="112" spans="1:19" ht="19.95" customHeight="1" x14ac:dyDescent="0.25">
      <c r="A112" s="9" t="s">
        <v>35</v>
      </c>
      <c r="B112" s="10" t="s">
        <v>40</v>
      </c>
      <c r="C112" s="10"/>
      <c r="D112" s="10">
        <v>1963</v>
      </c>
    </row>
    <row r="113" spans="1:4" ht="19.95" customHeight="1" x14ac:dyDescent="0.25">
      <c r="A113" s="9" t="s">
        <v>36</v>
      </c>
      <c r="B113" s="10" t="s">
        <v>40</v>
      </c>
      <c r="C113" s="10">
        <v>138.9</v>
      </c>
      <c r="D113" s="10">
        <v>1963</v>
      </c>
    </row>
    <row r="114" spans="1:4" ht="19.95" customHeight="1" x14ac:dyDescent="0.25">
      <c r="A114" s="9" t="s">
        <v>37</v>
      </c>
      <c r="B114" s="10" t="s">
        <v>40</v>
      </c>
      <c r="C114" s="10">
        <v>124.2</v>
      </c>
      <c r="D114" s="10">
        <v>1963</v>
      </c>
    </row>
    <row r="115" spans="1:4" ht="19.95" customHeight="1" x14ac:dyDescent="0.25">
      <c r="A115" s="9" t="s">
        <v>38</v>
      </c>
      <c r="B115" s="10" t="s">
        <v>40</v>
      </c>
      <c r="C115" s="10">
        <v>116.3</v>
      </c>
      <c r="D115" s="10">
        <v>1963</v>
      </c>
    </row>
    <row r="116" spans="1:4" ht="19.95" customHeight="1" x14ac:dyDescent="0.25">
      <c r="A116" s="9" t="s">
        <v>39</v>
      </c>
      <c r="B116" s="10" t="s">
        <v>40</v>
      </c>
      <c r="C116" s="10">
        <v>85</v>
      </c>
      <c r="D116" s="10">
        <v>1963</v>
      </c>
    </row>
    <row r="117" spans="1:4" ht="19.95" customHeight="1" x14ac:dyDescent="0.25">
      <c r="A117" s="9" t="s">
        <v>9</v>
      </c>
      <c r="B117" s="10" t="s">
        <v>40</v>
      </c>
      <c r="C117" s="10">
        <v>141.6</v>
      </c>
      <c r="D117" s="10">
        <v>1964</v>
      </c>
    </row>
    <row r="118" spans="1:4" ht="19.95" customHeight="1" x14ac:dyDescent="0.25">
      <c r="A118" s="9" t="s">
        <v>12</v>
      </c>
      <c r="B118" s="10" t="s">
        <v>40</v>
      </c>
      <c r="C118" s="10">
        <v>152.80000000000001</v>
      </c>
      <c r="D118" s="10">
        <v>1964</v>
      </c>
    </row>
    <row r="119" spans="1:4" ht="19.95" customHeight="1" x14ac:dyDescent="0.25">
      <c r="A119" s="9" t="s">
        <v>13</v>
      </c>
      <c r="B119" s="10" t="s">
        <v>40</v>
      </c>
      <c r="C119" s="10"/>
      <c r="D119" s="10">
        <v>1964</v>
      </c>
    </row>
    <row r="120" spans="1:4" ht="19.95" customHeight="1" x14ac:dyDescent="0.25">
      <c r="A120" s="9" t="s">
        <v>15</v>
      </c>
      <c r="B120" s="10" t="s">
        <v>40</v>
      </c>
      <c r="C120" s="10"/>
      <c r="D120" s="10">
        <v>1964</v>
      </c>
    </row>
    <row r="121" spans="1:4" ht="19.95" customHeight="1" x14ac:dyDescent="0.25">
      <c r="A121" s="9" t="s">
        <v>16</v>
      </c>
      <c r="B121" s="10" t="s">
        <v>40</v>
      </c>
      <c r="C121" s="10"/>
      <c r="D121" s="10">
        <v>1964</v>
      </c>
    </row>
    <row r="122" spans="1:4" ht="19.95" customHeight="1" x14ac:dyDescent="0.25">
      <c r="A122" s="9" t="s">
        <v>1</v>
      </c>
      <c r="B122" s="10" t="s">
        <v>40</v>
      </c>
      <c r="C122" s="10"/>
      <c r="D122" s="10">
        <v>1964</v>
      </c>
    </row>
    <row r="123" spans="1:4" ht="19.95" customHeight="1" x14ac:dyDescent="0.25">
      <c r="A123" s="9" t="s">
        <v>17</v>
      </c>
      <c r="B123" s="10" t="s">
        <v>40</v>
      </c>
      <c r="C123" s="10"/>
      <c r="D123" s="10">
        <v>1964</v>
      </c>
    </row>
    <row r="124" spans="1:4" ht="19.95" customHeight="1" x14ac:dyDescent="0.25">
      <c r="A124" s="9" t="s">
        <v>18</v>
      </c>
      <c r="B124" s="10" t="s">
        <v>40</v>
      </c>
      <c r="C124" s="10">
        <v>178.3</v>
      </c>
      <c r="D124" s="10">
        <v>1964</v>
      </c>
    </row>
    <row r="125" spans="1:4" ht="19.95" customHeight="1" x14ac:dyDescent="0.25">
      <c r="A125" s="9" t="s">
        <v>19</v>
      </c>
      <c r="B125" s="10" t="s">
        <v>40</v>
      </c>
      <c r="C125" s="10">
        <v>102.8</v>
      </c>
      <c r="D125" s="10">
        <v>1964</v>
      </c>
    </row>
    <row r="126" spans="1:4" ht="19.95" customHeight="1" x14ac:dyDescent="0.25">
      <c r="A126" s="9" t="s">
        <v>20</v>
      </c>
      <c r="B126" s="10" t="s">
        <v>40</v>
      </c>
      <c r="C126" s="10"/>
      <c r="D126" s="10">
        <v>1964</v>
      </c>
    </row>
    <row r="127" spans="1:4" ht="19.95" customHeight="1" x14ac:dyDescent="0.25">
      <c r="A127" s="9" t="s">
        <v>21</v>
      </c>
      <c r="B127" s="10" t="s">
        <v>40</v>
      </c>
      <c r="C127" s="10">
        <v>206.9</v>
      </c>
      <c r="D127" s="10">
        <v>1964</v>
      </c>
    </row>
    <row r="128" spans="1:4" ht="19.95" customHeight="1" x14ac:dyDescent="0.25">
      <c r="A128" s="9" t="s">
        <v>22</v>
      </c>
      <c r="B128" s="10" t="s">
        <v>40</v>
      </c>
      <c r="C128" s="10"/>
      <c r="D128" s="10">
        <v>1964</v>
      </c>
    </row>
    <row r="129" spans="1:4" ht="19.95" customHeight="1" x14ac:dyDescent="0.25">
      <c r="A129" s="9" t="s">
        <v>23</v>
      </c>
      <c r="B129" s="10" t="s">
        <v>40</v>
      </c>
      <c r="C129" s="10"/>
      <c r="D129" s="10">
        <v>1964</v>
      </c>
    </row>
    <row r="130" spans="1:4" ht="19.95" customHeight="1" x14ac:dyDescent="0.25">
      <c r="A130" s="9" t="s">
        <v>24</v>
      </c>
      <c r="B130" s="10" t="s">
        <v>40</v>
      </c>
      <c r="C130" s="10">
        <v>210.1</v>
      </c>
      <c r="D130" s="10">
        <v>1964</v>
      </c>
    </row>
    <row r="131" spans="1:4" ht="19.95" customHeight="1" x14ac:dyDescent="0.25">
      <c r="A131" s="9" t="s">
        <v>25</v>
      </c>
      <c r="B131" s="10" t="s">
        <v>40</v>
      </c>
      <c r="C131" s="10"/>
      <c r="D131" s="10">
        <v>1964</v>
      </c>
    </row>
    <row r="132" spans="1:4" ht="19.95" customHeight="1" x14ac:dyDescent="0.25">
      <c r="A132" s="9" t="s">
        <v>26</v>
      </c>
      <c r="B132" s="10" t="s">
        <v>40</v>
      </c>
      <c r="C132" s="10"/>
      <c r="D132" s="10">
        <v>1964</v>
      </c>
    </row>
    <row r="133" spans="1:4" ht="19.95" customHeight="1" x14ac:dyDescent="0.25">
      <c r="A133" s="9" t="s">
        <v>28</v>
      </c>
      <c r="B133" s="10" t="s">
        <v>40</v>
      </c>
      <c r="C133" s="10"/>
      <c r="D133" s="10">
        <v>1964</v>
      </c>
    </row>
    <row r="134" spans="1:4" ht="19.95" customHeight="1" x14ac:dyDescent="0.25">
      <c r="A134" s="9" t="s">
        <v>29</v>
      </c>
      <c r="B134" s="10" t="s">
        <v>40</v>
      </c>
      <c r="C134" s="10">
        <v>202.4</v>
      </c>
      <c r="D134" s="10">
        <v>1964</v>
      </c>
    </row>
    <row r="135" spans="1:4" ht="19.95" customHeight="1" x14ac:dyDescent="0.25">
      <c r="A135" s="9" t="s">
        <v>30</v>
      </c>
      <c r="B135" s="10" t="s">
        <v>40</v>
      </c>
      <c r="C135" s="10">
        <v>127.6</v>
      </c>
      <c r="D135" s="10">
        <v>1964</v>
      </c>
    </row>
    <row r="136" spans="1:4" ht="19.95" customHeight="1" x14ac:dyDescent="0.25">
      <c r="A136" s="9" t="s">
        <v>31</v>
      </c>
      <c r="B136" s="10" t="s">
        <v>40</v>
      </c>
      <c r="C136" s="10"/>
      <c r="D136" s="10">
        <v>1964</v>
      </c>
    </row>
    <row r="137" spans="1:4" ht="19.95" customHeight="1" x14ac:dyDescent="0.25">
      <c r="A137" s="9" t="s">
        <v>32</v>
      </c>
      <c r="B137" s="10" t="s">
        <v>40</v>
      </c>
      <c r="C137" s="10">
        <v>124.9</v>
      </c>
      <c r="D137" s="10">
        <v>1964</v>
      </c>
    </row>
    <row r="138" spans="1:4" ht="19.95" customHeight="1" x14ac:dyDescent="0.25">
      <c r="A138" s="9" t="s">
        <v>33</v>
      </c>
      <c r="B138" s="10" t="s">
        <v>40</v>
      </c>
      <c r="C138" s="10"/>
      <c r="D138" s="10">
        <v>1964</v>
      </c>
    </row>
    <row r="139" spans="1:4" ht="19.95" customHeight="1" x14ac:dyDescent="0.25">
      <c r="A139" s="9" t="s">
        <v>34</v>
      </c>
      <c r="B139" s="10" t="s">
        <v>40</v>
      </c>
      <c r="C139" s="10">
        <v>61.3</v>
      </c>
      <c r="D139" s="10">
        <v>1964</v>
      </c>
    </row>
    <row r="140" spans="1:4" ht="19.95" customHeight="1" x14ac:dyDescent="0.25">
      <c r="A140" s="9" t="s">
        <v>35</v>
      </c>
      <c r="B140" s="10" t="s">
        <v>40</v>
      </c>
      <c r="C140" s="10"/>
      <c r="D140" s="10">
        <v>1964</v>
      </c>
    </row>
    <row r="141" spans="1:4" ht="19.95" customHeight="1" x14ac:dyDescent="0.25">
      <c r="A141" s="9" t="s">
        <v>36</v>
      </c>
      <c r="B141" s="10" t="s">
        <v>40</v>
      </c>
      <c r="C141" s="10">
        <v>137.30000000000001</v>
      </c>
      <c r="D141" s="10">
        <v>1964</v>
      </c>
    </row>
    <row r="142" spans="1:4" ht="19.95" customHeight="1" x14ac:dyDescent="0.25">
      <c r="A142" s="9" t="s">
        <v>37</v>
      </c>
      <c r="B142" s="10" t="s">
        <v>40</v>
      </c>
      <c r="C142" s="10">
        <v>122</v>
      </c>
      <c r="D142" s="10">
        <v>1964</v>
      </c>
    </row>
    <row r="143" spans="1:4" ht="19.95" customHeight="1" x14ac:dyDescent="0.25">
      <c r="A143" s="9" t="s">
        <v>38</v>
      </c>
      <c r="B143" s="10" t="s">
        <v>40</v>
      </c>
      <c r="C143" s="10">
        <v>115</v>
      </c>
      <c r="D143" s="10">
        <v>1964</v>
      </c>
    </row>
    <row r="144" spans="1:4" ht="19.95" customHeight="1" x14ac:dyDescent="0.25">
      <c r="A144" s="9" t="s">
        <v>39</v>
      </c>
      <c r="B144" s="10" t="s">
        <v>40</v>
      </c>
      <c r="C144" s="10">
        <v>82.5</v>
      </c>
      <c r="D144" s="10">
        <v>1964</v>
      </c>
    </row>
    <row r="145" spans="1:4" ht="19.95" customHeight="1" x14ac:dyDescent="0.25">
      <c r="A145" s="9" t="s">
        <v>9</v>
      </c>
      <c r="B145" s="10" t="s">
        <v>40</v>
      </c>
      <c r="C145" s="10">
        <v>142.80000000000001</v>
      </c>
      <c r="D145" s="10">
        <v>1965</v>
      </c>
    </row>
    <row r="146" spans="1:4" ht="19.95" customHeight="1" x14ac:dyDescent="0.25">
      <c r="A146" s="9" t="s">
        <v>12</v>
      </c>
      <c r="B146" s="10" t="s">
        <v>40</v>
      </c>
      <c r="C146" s="10">
        <v>149.4</v>
      </c>
      <c r="D146" s="10">
        <v>1965</v>
      </c>
    </row>
    <row r="147" spans="1:4" ht="19.95" customHeight="1" x14ac:dyDescent="0.25">
      <c r="A147" s="9" t="s">
        <v>13</v>
      </c>
      <c r="B147" s="10" t="s">
        <v>40</v>
      </c>
      <c r="C147" s="10"/>
      <c r="D147" s="10">
        <v>1965</v>
      </c>
    </row>
    <row r="148" spans="1:4" ht="19.95" customHeight="1" x14ac:dyDescent="0.25">
      <c r="A148" s="9" t="s">
        <v>15</v>
      </c>
      <c r="B148" s="10" t="s">
        <v>40</v>
      </c>
      <c r="C148" s="10"/>
      <c r="D148" s="10">
        <v>1965</v>
      </c>
    </row>
    <row r="149" spans="1:4" ht="19.95" customHeight="1" x14ac:dyDescent="0.25">
      <c r="A149" s="9" t="s">
        <v>16</v>
      </c>
      <c r="B149" s="10" t="s">
        <v>40</v>
      </c>
      <c r="C149" s="10"/>
      <c r="D149" s="10">
        <v>1965</v>
      </c>
    </row>
    <row r="150" spans="1:4" ht="19.95" customHeight="1" x14ac:dyDescent="0.25">
      <c r="A150" s="9" t="s">
        <v>1</v>
      </c>
      <c r="B150" s="10" t="s">
        <v>40</v>
      </c>
      <c r="C150" s="10"/>
      <c r="D150" s="10">
        <v>1965</v>
      </c>
    </row>
    <row r="151" spans="1:4" ht="19.95" customHeight="1" x14ac:dyDescent="0.25">
      <c r="A151" s="9" t="s">
        <v>17</v>
      </c>
      <c r="B151" s="10" t="s">
        <v>40</v>
      </c>
      <c r="C151" s="10"/>
      <c r="D151" s="10">
        <v>1965</v>
      </c>
    </row>
    <row r="152" spans="1:4" ht="19.95" customHeight="1" x14ac:dyDescent="0.25">
      <c r="A152" s="9" t="s">
        <v>18</v>
      </c>
      <c r="B152" s="10" t="s">
        <v>40</v>
      </c>
      <c r="C152" s="10">
        <v>175.5</v>
      </c>
      <c r="D152" s="10">
        <v>1965</v>
      </c>
    </row>
    <row r="153" spans="1:4" ht="19.95" customHeight="1" x14ac:dyDescent="0.25">
      <c r="A153" s="9" t="s">
        <v>19</v>
      </c>
      <c r="B153" s="10" t="s">
        <v>40</v>
      </c>
      <c r="C153" s="10">
        <v>100.6</v>
      </c>
      <c r="D153" s="10">
        <v>1965</v>
      </c>
    </row>
    <row r="154" spans="1:4" ht="19.95" customHeight="1" x14ac:dyDescent="0.25">
      <c r="A154" s="9" t="s">
        <v>20</v>
      </c>
      <c r="B154" s="10" t="s">
        <v>40</v>
      </c>
      <c r="C154" s="10"/>
      <c r="D154" s="10">
        <v>1965</v>
      </c>
    </row>
    <row r="155" spans="1:4" ht="19.95" customHeight="1" x14ac:dyDescent="0.25">
      <c r="A155" s="9" t="s">
        <v>21</v>
      </c>
      <c r="B155" s="10" t="s">
        <v>40</v>
      </c>
      <c r="C155" s="10">
        <v>205.3</v>
      </c>
      <c r="D155" s="10">
        <v>1965</v>
      </c>
    </row>
    <row r="156" spans="1:4" ht="19.95" customHeight="1" x14ac:dyDescent="0.25">
      <c r="A156" s="9" t="s">
        <v>22</v>
      </c>
      <c r="B156" s="10" t="s">
        <v>40</v>
      </c>
      <c r="C156" s="10"/>
      <c r="D156" s="10">
        <v>1965</v>
      </c>
    </row>
    <row r="157" spans="1:4" ht="19.95" customHeight="1" x14ac:dyDescent="0.25">
      <c r="A157" s="9" t="s">
        <v>23</v>
      </c>
      <c r="B157" s="10" t="s">
        <v>40</v>
      </c>
      <c r="C157" s="10">
        <v>211.8</v>
      </c>
      <c r="D157" s="10">
        <v>1965</v>
      </c>
    </row>
    <row r="158" spans="1:4" ht="19.95" customHeight="1" x14ac:dyDescent="0.25">
      <c r="A158" s="9" t="s">
        <v>24</v>
      </c>
      <c r="B158" s="10" t="s">
        <v>40</v>
      </c>
      <c r="C158" s="10">
        <v>206.6</v>
      </c>
      <c r="D158" s="10">
        <v>1965</v>
      </c>
    </row>
    <row r="159" spans="1:4" ht="19.95" customHeight="1" x14ac:dyDescent="0.25">
      <c r="A159" s="9" t="s">
        <v>25</v>
      </c>
      <c r="B159" s="10" t="s">
        <v>40</v>
      </c>
      <c r="C159" s="10"/>
      <c r="D159" s="10">
        <v>1965</v>
      </c>
    </row>
    <row r="160" spans="1:4" ht="19.95" customHeight="1" x14ac:dyDescent="0.25">
      <c r="A160" s="9" t="s">
        <v>26</v>
      </c>
      <c r="B160" s="10" t="s">
        <v>40</v>
      </c>
      <c r="C160" s="10">
        <v>181.1</v>
      </c>
      <c r="D160" s="10">
        <v>1965</v>
      </c>
    </row>
    <row r="161" spans="1:4" ht="19.95" customHeight="1" x14ac:dyDescent="0.25">
      <c r="A161" s="9" t="s">
        <v>28</v>
      </c>
      <c r="B161" s="10" t="s">
        <v>40</v>
      </c>
      <c r="C161" s="10"/>
      <c r="D161" s="10">
        <v>1965</v>
      </c>
    </row>
    <row r="162" spans="1:4" ht="19.95" customHeight="1" x14ac:dyDescent="0.25">
      <c r="A162" s="9" t="s">
        <v>29</v>
      </c>
      <c r="B162" s="10" t="s">
        <v>40</v>
      </c>
      <c r="C162" s="10">
        <v>198</v>
      </c>
      <c r="D162" s="10">
        <v>1965</v>
      </c>
    </row>
    <row r="163" spans="1:4" ht="19.95" customHeight="1" x14ac:dyDescent="0.25">
      <c r="A163" s="9" t="s">
        <v>30</v>
      </c>
      <c r="B163" s="10" t="s">
        <v>40</v>
      </c>
      <c r="C163" s="10">
        <v>126.1</v>
      </c>
      <c r="D163" s="10">
        <v>1965</v>
      </c>
    </row>
    <row r="164" spans="1:4" ht="19.95" customHeight="1" x14ac:dyDescent="0.25">
      <c r="A164" s="9" t="s">
        <v>31</v>
      </c>
      <c r="B164" s="10" t="s">
        <v>40</v>
      </c>
      <c r="C164" s="10"/>
      <c r="D164" s="10">
        <v>1965</v>
      </c>
    </row>
    <row r="165" spans="1:4" ht="19.95" customHeight="1" x14ac:dyDescent="0.25">
      <c r="A165" s="9" t="s">
        <v>32</v>
      </c>
      <c r="B165" s="10" t="s">
        <v>40</v>
      </c>
      <c r="C165" s="10">
        <v>124.7</v>
      </c>
      <c r="D165" s="10">
        <v>1965</v>
      </c>
    </row>
    <row r="166" spans="1:4" ht="19.95" customHeight="1" x14ac:dyDescent="0.25">
      <c r="A166" s="9" t="s">
        <v>33</v>
      </c>
      <c r="B166" s="10" t="s">
        <v>40</v>
      </c>
      <c r="C166" s="10">
        <v>63.2</v>
      </c>
      <c r="D166" s="10">
        <v>1965</v>
      </c>
    </row>
    <row r="167" spans="1:4" ht="19.95" customHeight="1" x14ac:dyDescent="0.25">
      <c r="A167" s="9" t="s">
        <v>34</v>
      </c>
      <c r="B167" s="10" t="s">
        <v>40</v>
      </c>
      <c r="C167" s="10">
        <v>59.6</v>
      </c>
      <c r="D167" s="10">
        <v>1965</v>
      </c>
    </row>
    <row r="168" spans="1:4" ht="19.95" customHeight="1" x14ac:dyDescent="0.25">
      <c r="A168" s="9" t="s">
        <v>35</v>
      </c>
      <c r="B168" s="10" t="s">
        <v>40</v>
      </c>
      <c r="C168" s="10"/>
      <c r="D168" s="10">
        <v>1965</v>
      </c>
    </row>
    <row r="169" spans="1:4" ht="19.95" customHeight="1" x14ac:dyDescent="0.25">
      <c r="A169" s="9" t="s">
        <v>36</v>
      </c>
      <c r="B169" s="10" t="s">
        <v>40</v>
      </c>
      <c r="C169" s="10">
        <v>135.4</v>
      </c>
      <c r="D169" s="10">
        <v>1965</v>
      </c>
    </row>
    <row r="170" spans="1:4" ht="19.95" customHeight="1" x14ac:dyDescent="0.25">
      <c r="A170" s="9" t="s">
        <v>37</v>
      </c>
      <c r="B170" s="10" t="s">
        <v>40</v>
      </c>
      <c r="C170" s="10">
        <v>120</v>
      </c>
      <c r="D170" s="10">
        <v>1965</v>
      </c>
    </row>
    <row r="171" spans="1:4" ht="19.95" customHeight="1" x14ac:dyDescent="0.25">
      <c r="A171" s="9" t="s">
        <v>38</v>
      </c>
      <c r="B171" s="10" t="s">
        <v>40</v>
      </c>
      <c r="C171" s="10">
        <v>114</v>
      </c>
      <c r="D171" s="10">
        <v>1965</v>
      </c>
    </row>
    <row r="172" spans="1:4" ht="19.95" customHeight="1" x14ac:dyDescent="0.25">
      <c r="A172" s="9" t="s">
        <v>39</v>
      </c>
      <c r="B172" s="10" t="s">
        <v>40</v>
      </c>
      <c r="C172" s="10">
        <v>80</v>
      </c>
      <c r="D172" s="10">
        <v>1965</v>
      </c>
    </row>
    <row r="173" spans="1:4" ht="19.95" customHeight="1" x14ac:dyDescent="0.25">
      <c r="A173" s="9" t="s">
        <v>9</v>
      </c>
      <c r="B173" s="10" t="s">
        <v>40</v>
      </c>
      <c r="C173" s="10">
        <v>143.80000000000001</v>
      </c>
      <c r="D173" s="10">
        <v>1966</v>
      </c>
    </row>
    <row r="174" spans="1:4" ht="19.95" customHeight="1" x14ac:dyDescent="0.25">
      <c r="A174" s="9" t="s">
        <v>12</v>
      </c>
      <c r="B174" s="10" t="s">
        <v>40</v>
      </c>
      <c r="C174" s="10">
        <v>145.4</v>
      </c>
      <c r="D174" s="10">
        <v>1966</v>
      </c>
    </row>
    <row r="175" spans="1:4" ht="19.95" customHeight="1" x14ac:dyDescent="0.25">
      <c r="A175" s="9" t="s">
        <v>13</v>
      </c>
      <c r="B175" s="10" t="s">
        <v>40</v>
      </c>
      <c r="C175" s="10"/>
      <c r="D175" s="10">
        <v>1966</v>
      </c>
    </row>
    <row r="176" spans="1:4" ht="19.95" customHeight="1" x14ac:dyDescent="0.25">
      <c r="A176" s="9" t="s">
        <v>15</v>
      </c>
      <c r="B176" s="10" t="s">
        <v>40</v>
      </c>
      <c r="C176" s="10"/>
      <c r="D176" s="10">
        <v>1966</v>
      </c>
    </row>
    <row r="177" spans="1:4" ht="19.95" customHeight="1" x14ac:dyDescent="0.25">
      <c r="A177" s="9" t="s">
        <v>16</v>
      </c>
      <c r="B177" s="10" t="s">
        <v>40</v>
      </c>
      <c r="C177" s="10"/>
      <c r="D177" s="10">
        <v>1966</v>
      </c>
    </row>
    <row r="178" spans="1:4" ht="19.95" customHeight="1" x14ac:dyDescent="0.25">
      <c r="A178" s="9" t="s">
        <v>1</v>
      </c>
      <c r="B178" s="10" t="s">
        <v>40</v>
      </c>
      <c r="C178" s="10">
        <v>143.6</v>
      </c>
      <c r="D178" s="10">
        <v>1966</v>
      </c>
    </row>
    <row r="179" spans="1:4" ht="19.95" customHeight="1" x14ac:dyDescent="0.25">
      <c r="A179" s="9" t="s">
        <v>17</v>
      </c>
      <c r="B179" s="10" t="s">
        <v>40</v>
      </c>
      <c r="C179" s="10">
        <v>199.9</v>
      </c>
      <c r="D179" s="10">
        <v>1966</v>
      </c>
    </row>
    <row r="180" spans="1:4" ht="19.95" customHeight="1" x14ac:dyDescent="0.25">
      <c r="A180" s="9" t="s">
        <v>18</v>
      </c>
      <c r="B180" s="10" t="s">
        <v>40</v>
      </c>
      <c r="C180" s="10">
        <v>172.6</v>
      </c>
      <c r="D180" s="10">
        <v>1966</v>
      </c>
    </row>
    <row r="181" spans="1:4" ht="19.95" customHeight="1" x14ac:dyDescent="0.25">
      <c r="A181" s="9" t="s">
        <v>19</v>
      </c>
      <c r="B181" s="10" t="s">
        <v>40</v>
      </c>
      <c r="C181" s="10">
        <v>98.9</v>
      </c>
      <c r="D181" s="10">
        <v>1966</v>
      </c>
    </row>
    <row r="182" spans="1:4" ht="19.95" customHeight="1" x14ac:dyDescent="0.25">
      <c r="A182" s="9" t="s">
        <v>20</v>
      </c>
      <c r="B182" s="10" t="s">
        <v>40</v>
      </c>
      <c r="C182" s="10"/>
      <c r="D182" s="10">
        <v>1966</v>
      </c>
    </row>
    <row r="183" spans="1:4" ht="19.95" customHeight="1" x14ac:dyDescent="0.25">
      <c r="A183" s="9" t="s">
        <v>21</v>
      </c>
      <c r="B183" s="10" t="s">
        <v>40</v>
      </c>
      <c r="C183" s="10">
        <v>203.2</v>
      </c>
      <c r="D183" s="10">
        <v>1966</v>
      </c>
    </row>
    <row r="184" spans="1:4" ht="19.95" customHeight="1" x14ac:dyDescent="0.25">
      <c r="A184" s="9" t="s">
        <v>22</v>
      </c>
      <c r="B184" s="10" t="s">
        <v>40</v>
      </c>
      <c r="C184" s="10"/>
      <c r="D184" s="10">
        <v>1966</v>
      </c>
    </row>
    <row r="185" spans="1:4" ht="19.95" customHeight="1" x14ac:dyDescent="0.25">
      <c r="A185" s="9" t="s">
        <v>23</v>
      </c>
      <c r="B185" s="10" t="s">
        <v>40</v>
      </c>
      <c r="C185" s="10">
        <v>210.4</v>
      </c>
      <c r="D185" s="10">
        <v>1966</v>
      </c>
    </row>
    <row r="186" spans="1:4" ht="19.95" customHeight="1" x14ac:dyDescent="0.25">
      <c r="A186" s="9" t="s">
        <v>24</v>
      </c>
      <c r="B186" s="10" t="s">
        <v>40</v>
      </c>
      <c r="C186" s="10">
        <v>203.3</v>
      </c>
      <c r="D186" s="10">
        <v>1966</v>
      </c>
    </row>
    <row r="187" spans="1:4" ht="19.95" customHeight="1" x14ac:dyDescent="0.25">
      <c r="A187" s="9" t="s">
        <v>25</v>
      </c>
      <c r="B187" s="10" t="s">
        <v>40</v>
      </c>
      <c r="C187" s="10"/>
      <c r="D187" s="10">
        <v>1966</v>
      </c>
    </row>
    <row r="188" spans="1:4" ht="19.95" customHeight="1" x14ac:dyDescent="0.25">
      <c r="A188" s="9" t="s">
        <v>26</v>
      </c>
      <c r="B188" s="10" t="s">
        <v>40</v>
      </c>
      <c r="C188" s="10">
        <v>181.8</v>
      </c>
      <c r="D188" s="10">
        <v>1966</v>
      </c>
    </row>
    <row r="189" spans="1:4" ht="19.95" customHeight="1" x14ac:dyDescent="0.25">
      <c r="A189" s="9" t="s">
        <v>28</v>
      </c>
      <c r="B189" s="10" t="s">
        <v>40</v>
      </c>
      <c r="C189" s="10"/>
      <c r="D189" s="10">
        <v>1966</v>
      </c>
    </row>
    <row r="190" spans="1:4" ht="19.95" customHeight="1" x14ac:dyDescent="0.25">
      <c r="A190" s="9" t="s">
        <v>29</v>
      </c>
      <c r="B190" s="10" t="s">
        <v>40</v>
      </c>
      <c r="C190" s="10">
        <v>193.5</v>
      </c>
      <c r="D190" s="10">
        <v>1966</v>
      </c>
    </row>
    <row r="191" spans="1:4" ht="19.95" customHeight="1" x14ac:dyDescent="0.25">
      <c r="A191" s="9" t="s">
        <v>30</v>
      </c>
      <c r="B191" s="10" t="s">
        <v>40</v>
      </c>
      <c r="C191" s="10">
        <v>124.4</v>
      </c>
      <c r="D191" s="10">
        <v>1966</v>
      </c>
    </row>
    <row r="192" spans="1:4" ht="19.95" customHeight="1" x14ac:dyDescent="0.25">
      <c r="A192" s="9" t="s">
        <v>31</v>
      </c>
      <c r="B192" s="10" t="s">
        <v>40</v>
      </c>
      <c r="C192" s="10"/>
      <c r="D192" s="10">
        <v>1966</v>
      </c>
    </row>
    <row r="193" spans="1:4" ht="19.95" customHeight="1" x14ac:dyDescent="0.25">
      <c r="A193" s="9" t="s">
        <v>32</v>
      </c>
      <c r="B193" s="10" t="s">
        <v>40</v>
      </c>
      <c r="C193" s="10">
        <v>125</v>
      </c>
      <c r="D193" s="10">
        <v>1966</v>
      </c>
    </row>
    <row r="194" spans="1:4" ht="19.95" customHeight="1" x14ac:dyDescent="0.25">
      <c r="A194" s="9" t="s">
        <v>33</v>
      </c>
      <c r="B194" s="10" t="s">
        <v>40</v>
      </c>
      <c r="C194" s="10">
        <v>61.2</v>
      </c>
      <c r="D194" s="10">
        <v>1966</v>
      </c>
    </row>
    <row r="195" spans="1:4" ht="19.95" customHeight="1" x14ac:dyDescent="0.25">
      <c r="A195" s="9" t="s">
        <v>34</v>
      </c>
      <c r="B195" s="10" t="s">
        <v>40</v>
      </c>
      <c r="C195" s="10">
        <v>58</v>
      </c>
      <c r="D195" s="10">
        <v>1966</v>
      </c>
    </row>
    <row r="196" spans="1:4" ht="19.95" customHeight="1" x14ac:dyDescent="0.25">
      <c r="A196" s="9" t="s">
        <v>35</v>
      </c>
      <c r="B196" s="10" t="s">
        <v>40</v>
      </c>
      <c r="C196" s="10"/>
      <c r="D196" s="10">
        <v>1966</v>
      </c>
    </row>
    <row r="197" spans="1:4" ht="19.95" customHeight="1" x14ac:dyDescent="0.25">
      <c r="A197" s="9" t="s">
        <v>36</v>
      </c>
      <c r="B197" s="10" t="s">
        <v>40</v>
      </c>
      <c r="C197" s="10">
        <v>133.5</v>
      </c>
      <c r="D197" s="10">
        <v>1966</v>
      </c>
    </row>
    <row r="198" spans="1:4" ht="19.95" customHeight="1" x14ac:dyDescent="0.25">
      <c r="A198" s="9" t="s">
        <v>37</v>
      </c>
      <c r="B198" s="10" t="s">
        <v>40</v>
      </c>
      <c r="C198" s="10">
        <v>118</v>
      </c>
      <c r="D198" s="10">
        <v>1966</v>
      </c>
    </row>
    <row r="199" spans="1:4" ht="19.95" customHeight="1" x14ac:dyDescent="0.25">
      <c r="A199" s="9" t="s">
        <v>38</v>
      </c>
      <c r="B199" s="10" t="s">
        <v>40</v>
      </c>
      <c r="C199" s="10">
        <v>113.3</v>
      </c>
      <c r="D199" s="10">
        <v>1966</v>
      </c>
    </row>
    <row r="200" spans="1:4" ht="19.95" customHeight="1" x14ac:dyDescent="0.25">
      <c r="A200" s="9" t="s">
        <v>39</v>
      </c>
      <c r="B200" s="10" t="s">
        <v>40</v>
      </c>
      <c r="C200" s="10">
        <v>77.8</v>
      </c>
      <c r="D200" s="10">
        <v>1966</v>
      </c>
    </row>
    <row r="201" spans="1:4" ht="19.95" customHeight="1" x14ac:dyDescent="0.25">
      <c r="A201" s="9" t="s">
        <v>9</v>
      </c>
      <c r="B201" s="10" t="s">
        <v>40</v>
      </c>
      <c r="C201" s="10">
        <v>144.9</v>
      </c>
      <c r="D201" s="10">
        <v>1967</v>
      </c>
    </row>
    <row r="202" spans="1:4" ht="19.95" customHeight="1" x14ac:dyDescent="0.25">
      <c r="A202" s="9" t="s">
        <v>12</v>
      </c>
      <c r="B202" s="10" t="s">
        <v>40</v>
      </c>
      <c r="C202" s="10">
        <v>140.80000000000001</v>
      </c>
      <c r="D202" s="10">
        <v>1967</v>
      </c>
    </row>
    <row r="203" spans="1:4" ht="19.95" customHeight="1" x14ac:dyDescent="0.25">
      <c r="A203" s="9" t="s">
        <v>13</v>
      </c>
      <c r="B203" s="10" t="s">
        <v>40</v>
      </c>
      <c r="C203" s="10"/>
      <c r="D203" s="10">
        <v>1967</v>
      </c>
    </row>
    <row r="204" spans="1:4" ht="19.95" customHeight="1" x14ac:dyDescent="0.25">
      <c r="A204" s="9" t="s">
        <v>15</v>
      </c>
      <c r="B204" s="10" t="s">
        <v>40</v>
      </c>
      <c r="C204" s="10"/>
      <c r="D204" s="10">
        <v>1967</v>
      </c>
    </row>
    <row r="205" spans="1:4" ht="19.95" customHeight="1" x14ac:dyDescent="0.25">
      <c r="A205" s="9" t="s">
        <v>16</v>
      </c>
      <c r="B205" s="10" t="s">
        <v>40</v>
      </c>
      <c r="C205" s="10"/>
      <c r="D205" s="10">
        <v>1967</v>
      </c>
    </row>
    <row r="206" spans="1:4" ht="19.95" customHeight="1" x14ac:dyDescent="0.25">
      <c r="A206" s="9" t="s">
        <v>1</v>
      </c>
      <c r="B206" s="10" t="s">
        <v>40</v>
      </c>
      <c r="C206" s="10">
        <v>143.4</v>
      </c>
      <c r="D206" s="10">
        <v>1967</v>
      </c>
    </row>
    <row r="207" spans="1:4" ht="19.95" customHeight="1" x14ac:dyDescent="0.25">
      <c r="A207" s="9" t="s">
        <v>17</v>
      </c>
      <c r="B207" s="10" t="s">
        <v>40</v>
      </c>
      <c r="C207" s="10">
        <v>198.1</v>
      </c>
      <c r="D207" s="10">
        <v>1967</v>
      </c>
    </row>
    <row r="208" spans="1:4" ht="19.95" customHeight="1" x14ac:dyDescent="0.25">
      <c r="A208" s="9" t="s">
        <v>18</v>
      </c>
      <c r="B208" s="10" t="s">
        <v>40</v>
      </c>
      <c r="C208" s="10">
        <v>169.5</v>
      </c>
      <c r="D208" s="10">
        <v>1967</v>
      </c>
    </row>
    <row r="209" spans="1:4" ht="19.95" customHeight="1" x14ac:dyDescent="0.25">
      <c r="A209" s="9" t="s">
        <v>19</v>
      </c>
      <c r="B209" s="10" t="s">
        <v>40</v>
      </c>
      <c r="C209" s="10">
        <v>97.3</v>
      </c>
      <c r="D209" s="10">
        <v>1967</v>
      </c>
    </row>
    <row r="210" spans="1:4" ht="19.95" customHeight="1" x14ac:dyDescent="0.25">
      <c r="A210" s="9" t="s">
        <v>20</v>
      </c>
      <c r="B210" s="10" t="s">
        <v>40</v>
      </c>
      <c r="C210" s="10"/>
      <c r="D210" s="10">
        <v>1967</v>
      </c>
    </row>
    <row r="211" spans="1:4" ht="19.95" customHeight="1" x14ac:dyDescent="0.25">
      <c r="A211" s="9" t="s">
        <v>21</v>
      </c>
      <c r="B211" s="10" t="s">
        <v>40</v>
      </c>
      <c r="C211" s="10">
        <v>200.6</v>
      </c>
      <c r="D211" s="10">
        <v>1967</v>
      </c>
    </row>
    <row r="212" spans="1:4" ht="19.95" customHeight="1" x14ac:dyDescent="0.25">
      <c r="A212" s="9" t="s">
        <v>22</v>
      </c>
      <c r="B212" s="10" t="s">
        <v>40</v>
      </c>
      <c r="C212" s="10"/>
      <c r="D212" s="10">
        <v>1967</v>
      </c>
    </row>
    <row r="213" spans="1:4" ht="19.95" customHeight="1" x14ac:dyDescent="0.25">
      <c r="A213" s="9" t="s">
        <v>23</v>
      </c>
      <c r="B213" s="10" t="s">
        <v>40</v>
      </c>
      <c r="C213" s="10">
        <v>209.1</v>
      </c>
      <c r="D213" s="10">
        <v>1967</v>
      </c>
    </row>
    <row r="214" spans="1:4" ht="19.95" customHeight="1" x14ac:dyDescent="0.25">
      <c r="A214" s="9" t="s">
        <v>24</v>
      </c>
      <c r="B214" s="10" t="s">
        <v>40</v>
      </c>
      <c r="C214" s="10">
        <v>200.6</v>
      </c>
      <c r="D214" s="10">
        <v>1967</v>
      </c>
    </row>
    <row r="215" spans="1:4" ht="19.95" customHeight="1" x14ac:dyDescent="0.25">
      <c r="A215" s="9" t="s">
        <v>25</v>
      </c>
      <c r="B215" s="10" t="s">
        <v>40</v>
      </c>
      <c r="C215" s="10"/>
      <c r="D215" s="10">
        <v>1967</v>
      </c>
    </row>
    <row r="216" spans="1:4" ht="19.95" customHeight="1" x14ac:dyDescent="0.25">
      <c r="A216" s="9" t="s">
        <v>26</v>
      </c>
      <c r="B216" s="10" t="s">
        <v>40</v>
      </c>
      <c r="C216" s="10">
        <v>182.4</v>
      </c>
      <c r="D216" s="10">
        <v>1967</v>
      </c>
    </row>
    <row r="217" spans="1:4" ht="19.95" customHeight="1" x14ac:dyDescent="0.25">
      <c r="A217" s="9" t="s">
        <v>28</v>
      </c>
      <c r="B217" s="10" t="s">
        <v>40</v>
      </c>
      <c r="C217" s="10"/>
      <c r="D217" s="10">
        <v>1967</v>
      </c>
    </row>
    <row r="218" spans="1:4" ht="19.95" customHeight="1" x14ac:dyDescent="0.25">
      <c r="A218" s="9" t="s">
        <v>29</v>
      </c>
      <c r="B218" s="10" t="s">
        <v>40</v>
      </c>
      <c r="C218" s="10">
        <v>189</v>
      </c>
      <c r="D218" s="10">
        <v>1967</v>
      </c>
    </row>
    <row r="219" spans="1:4" ht="19.95" customHeight="1" x14ac:dyDescent="0.25">
      <c r="A219" s="9" t="s">
        <v>30</v>
      </c>
      <c r="B219" s="10" t="s">
        <v>40</v>
      </c>
      <c r="C219" s="10">
        <v>122.6</v>
      </c>
      <c r="D219" s="10">
        <v>1967</v>
      </c>
    </row>
    <row r="220" spans="1:4" ht="19.95" customHeight="1" x14ac:dyDescent="0.25">
      <c r="A220" s="9" t="s">
        <v>31</v>
      </c>
      <c r="B220" s="10" t="s">
        <v>40</v>
      </c>
      <c r="C220" s="10">
        <v>126.8</v>
      </c>
      <c r="D220" s="10">
        <v>1967</v>
      </c>
    </row>
    <row r="221" spans="1:4" ht="19.95" customHeight="1" x14ac:dyDescent="0.25">
      <c r="A221" s="9" t="s">
        <v>32</v>
      </c>
      <c r="B221" s="10" t="s">
        <v>40</v>
      </c>
      <c r="C221" s="10">
        <v>126</v>
      </c>
      <c r="D221" s="10">
        <v>1967</v>
      </c>
    </row>
    <row r="222" spans="1:4" ht="19.95" customHeight="1" x14ac:dyDescent="0.25">
      <c r="A222" s="9" t="s">
        <v>33</v>
      </c>
      <c r="B222" s="10" t="s">
        <v>40</v>
      </c>
      <c r="C222" s="10">
        <v>59.5</v>
      </c>
      <c r="D222" s="10">
        <v>1967</v>
      </c>
    </row>
    <row r="223" spans="1:4" ht="19.95" customHeight="1" x14ac:dyDescent="0.25">
      <c r="A223" s="9" t="s">
        <v>34</v>
      </c>
      <c r="B223" s="10" t="s">
        <v>40</v>
      </c>
      <c r="C223" s="10">
        <v>56.7</v>
      </c>
      <c r="D223" s="10">
        <v>1967</v>
      </c>
    </row>
    <row r="224" spans="1:4" ht="19.95" customHeight="1" x14ac:dyDescent="0.25">
      <c r="A224" s="9" t="s">
        <v>35</v>
      </c>
      <c r="B224" s="10" t="s">
        <v>40</v>
      </c>
      <c r="C224" s="10"/>
      <c r="D224" s="10">
        <v>1967</v>
      </c>
    </row>
    <row r="225" spans="1:4" ht="19.95" customHeight="1" x14ac:dyDescent="0.25">
      <c r="A225" s="9" t="s">
        <v>36</v>
      </c>
      <c r="B225" s="10" t="s">
        <v>40</v>
      </c>
      <c r="C225" s="10">
        <v>131.5</v>
      </c>
      <c r="D225" s="10">
        <v>1967</v>
      </c>
    </row>
    <row r="226" spans="1:4" ht="19.95" customHeight="1" x14ac:dyDescent="0.25">
      <c r="A226" s="9" t="s">
        <v>37</v>
      </c>
      <c r="B226" s="10" t="s">
        <v>40</v>
      </c>
      <c r="C226" s="10">
        <v>116.3</v>
      </c>
      <c r="D226" s="10">
        <v>1967</v>
      </c>
    </row>
    <row r="227" spans="1:4" ht="19.95" customHeight="1" x14ac:dyDescent="0.25">
      <c r="A227" s="9" t="s">
        <v>38</v>
      </c>
      <c r="B227" s="10" t="s">
        <v>40</v>
      </c>
      <c r="C227" s="10">
        <v>112.8</v>
      </c>
      <c r="D227" s="10">
        <v>1967</v>
      </c>
    </row>
    <row r="228" spans="1:4" ht="19.95" customHeight="1" x14ac:dyDescent="0.25">
      <c r="A228" s="9" t="s">
        <v>39</v>
      </c>
      <c r="B228" s="10" t="s">
        <v>40</v>
      </c>
      <c r="C228" s="10">
        <v>75.8</v>
      </c>
      <c r="D228" s="10">
        <v>1967</v>
      </c>
    </row>
    <row r="229" spans="1:4" ht="19.95" customHeight="1" x14ac:dyDescent="0.25">
      <c r="A229" s="9" t="s">
        <v>9</v>
      </c>
      <c r="B229" s="10" t="s">
        <v>40</v>
      </c>
      <c r="C229" s="10">
        <v>145.69999999999999</v>
      </c>
      <c r="D229" s="10">
        <v>1968</v>
      </c>
    </row>
    <row r="230" spans="1:4" ht="19.95" customHeight="1" x14ac:dyDescent="0.25">
      <c r="A230" s="9" t="s">
        <v>12</v>
      </c>
      <c r="B230" s="10" t="s">
        <v>40</v>
      </c>
      <c r="C230" s="10">
        <v>135.4</v>
      </c>
      <c r="D230" s="10">
        <v>1968</v>
      </c>
    </row>
    <row r="231" spans="1:4" ht="19.95" customHeight="1" x14ac:dyDescent="0.25">
      <c r="A231" s="9" t="s">
        <v>13</v>
      </c>
      <c r="B231" s="10" t="s">
        <v>40</v>
      </c>
      <c r="C231" s="10"/>
      <c r="D231" s="10">
        <v>1968</v>
      </c>
    </row>
    <row r="232" spans="1:4" ht="19.95" customHeight="1" x14ac:dyDescent="0.25">
      <c r="A232" s="9" t="s">
        <v>15</v>
      </c>
      <c r="B232" s="10" t="s">
        <v>40</v>
      </c>
      <c r="C232" s="10"/>
      <c r="D232" s="10">
        <v>1968</v>
      </c>
    </row>
    <row r="233" spans="1:4" ht="19.95" customHeight="1" x14ac:dyDescent="0.25">
      <c r="A233" s="9" t="s">
        <v>16</v>
      </c>
      <c r="B233" s="10" t="s">
        <v>40</v>
      </c>
      <c r="C233" s="10"/>
      <c r="D233" s="10">
        <v>1968</v>
      </c>
    </row>
    <row r="234" spans="1:4" ht="19.95" customHeight="1" x14ac:dyDescent="0.25">
      <c r="A234" s="9" t="s">
        <v>1</v>
      </c>
      <c r="B234" s="10" t="s">
        <v>40</v>
      </c>
      <c r="C234" s="10">
        <v>143.30000000000001</v>
      </c>
      <c r="D234" s="10">
        <v>1968</v>
      </c>
    </row>
    <row r="235" spans="1:4" ht="19.95" customHeight="1" x14ac:dyDescent="0.25">
      <c r="A235" s="9" t="s">
        <v>17</v>
      </c>
      <c r="B235" s="10" t="s">
        <v>40</v>
      </c>
      <c r="C235" s="10">
        <v>196.2</v>
      </c>
      <c r="D235" s="10">
        <v>1968</v>
      </c>
    </row>
    <row r="236" spans="1:4" ht="19.95" customHeight="1" x14ac:dyDescent="0.25">
      <c r="A236" s="9" t="s">
        <v>18</v>
      </c>
      <c r="B236" s="10" t="s">
        <v>40</v>
      </c>
      <c r="C236" s="10">
        <v>166.5</v>
      </c>
      <c r="D236" s="10">
        <v>1968</v>
      </c>
    </row>
    <row r="237" spans="1:4" ht="19.95" customHeight="1" x14ac:dyDescent="0.25">
      <c r="A237" s="9" t="s">
        <v>19</v>
      </c>
      <c r="B237" s="10" t="s">
        <v>40</v>
      </c>
      <c r="C237" s="10">
        <v>95.7</v>
      </c>
      <c r="D237" s="10">
        <v>1968</v>
      </c>
    </row>
    <row r="238" spans="1:4" ht="19.95" customHeight="1" x14ac:dyDescent="0.25">
      <c r="A238" s="9" t="s">
        <v>20</v>
      </c>
      <c r="B238" s="10" t="s">
        <v>40</v>
      </c>
      <c r="C238" s="10"/>
      <c r="D238" s="10">
        <v>1968</v>
      </c>
    </row>
    <row r="239" spans="1:4" ht="19.95" customHeight="1" x14ac:dyDescent="0.25">
      <c r="A239" s="9" t="s">
        <v>21</v>
      </c>
      <c r="B239" s="10" t="s">
        <v>40</v>
      </c>
      <c r="C239" s="10">
        <v>197.4</v>
      </c>
      <c r="D239" s="10">
        <v>1968</v>
      </c>
    </row>
    <row r="240" spans="1:4" ht="19.95" customHeight="1" x14ac:dyDescent="0.25">
      <c r="A240" s="9" t="s">
        <v>22</v>
      </c>
      <c r="B240" s="10" t="s">
        <v>40</v>
      </c>
      <c r="C240" s="10">
        <v>90.9</v>
      </c>
      <c r="D240" s="10">
        <v>1968</v>
      </c>
    </row>
    <row r="241" spans="1:4" ht="19.95" customHeight="1" x14ac:dyDescent="0.25">
      <c r="A241" s="9" t="s">
        <v>23</v>
      </c>
      <c r="B241" s="10" t="s">
        <v>40</v>
      </c>
      <c r="C241" s="10">
        <v>207.6</v>
      </c>
      <c r="D241" s="10">
        <v>1968</v>
      </c>
    </row>
    <row r="242" spans="1:4" ht="19.95" customHeight="1" x14ac:dyDescent="0.25">
      <c r="A242" s="9" t="s">
        <v>24</v>
      </c>
      <c r="B242" s="10" t="s">
        <v>40</v>
      </c>
      <c r="C242" s="10">
        <v>198.2</v>
      </c>
      <c r="D242" s="10">
        <v>1968</v>
      </c>
    </row>
    <row r="243" spans="1:4" ht="19.95" customHeight="1" x14ac:dyDescent="0.25">
      <c r="A243" s="9" t="s">
        <v>25</v>
      </c>
      <c r="B243" s="10" t="s">
        <v>40</v>
      </c>
      <c r="C243" s="10"/>
      <c r="D243" s="10">
        <v>1968</v>
      </c>
    </row>
    <row r="244" spans="1:4" ht="19.95" customHeight="1" x14ac:dyDescent="0.25">
      <c r="A244" s="9" t="s">
        <v>26</v>
      </c>
      <c r="B244" s="10" t="s">
        <v>40</v>
      </c>
      <c r="C244" s="10">
        <v>182.8</v>
      </c>
      <c r="D244" s="10">
        <v>1968</v>
      </c>
    </row>
    <row r="245" spans="1:4" ht="19.95" customHeight="1" x14ac:dyDescent="0.25">
      <c r="A245" s="9" t="s">
        <v>28</v>
      </c>
      <c r="B245" s="10" t="s">
        <v>40</v>
      </c>
      <c r="C245" s="10">
        <v>122.5</v>
      </c>
      <c r="D245" s="10">
        <v>1968</v>
      </c>
    </row>
    <row r="246" spans="1:4" ht="19.95" customHeight="1" x14ac:dyDescent="0.25">
      <c r="A246" s="9" t="s">
        <v>29</v>
      </c>
      <c r="B246" s="10" t="s">
        <v>40</v>
      </c>
      <c r="C246" s="10">
        <v>184.5</v>
      </c>
      <c r="D246" s="10">
        <v>1968</v>
      </c>
    </row>
    <row r="247" spans="1:4" ht="19.95" customHeight="1" x14ac:dyDescent="0.25">
      <c r="A247" s="9" t="s">
        <v>30</v>
      </c>
      <c r="B247" s="10" t="s">
        <v>40</v>
      </c>
      <c r="C247" s="10">
        <v>120.6</v>
      </c>
      <c r="D247" s="10">
        <v>1968</v>
      </c>
    </row>
    <row r="248" spans="1:4" ht="19.95" customHeight="1" x14ac:dyDescent="0.25">
      <c r="A248" s="9" t="s">
        <v>31</v>
      </c>
      <c r="B248" s="10" t="s">
        <v>40</v>
      </c>
      <c r="C248" s="10">
        <v>128.19999999999999</v>
      </c>
      <c r="D248" s="10">
        <v>1968</v>
      </c>
    </row>
    <row r="249" spans="1:4" ht="19.95" customHeight="1" x14ac:dyDescent="0.25">
      <c r="A249" s="9" t="s">
        <v>32</v>
      </c>
      <c r="B249" s="10" t="s">
        <v>40</v>
      </c>
      <c r="C249" s="10">
        <v>127.3</v>
      </c>
      <c r="D249" s="10">
        <v>1968</v>
      </c>
    </row>
    <row r="250" spans="1:4" ht="19.95" customHeight="1" x14ac:dyDescent="0.25">
      <c r="A250" s="9" t="s">
        <v>33</v>
      </c>
      <c r="B250" s="10" t="s">
        <v>40</v>
      </c>
      <c r="C250" s="10">
        <v>58.1</v>
      </c>
      <c r="D250" s="10">
        <v>1968</v>
      </c>
    </row>
    <row r="251" spans="1:4" ht="19.95" customHeight="1" x14ac:dyDescent="0.25">
      <c r="A251" s="9" t="s">
        <v>34</v>
      </c>
      <c r="B251" s="10" t="s">
        <v>40</v>
      </c>
      <c r="C251" s="10">
        <v>55.6</v>
      </c>
      <c r="D251" s="10">
        <v>1968</v>
      </c>
    </row>
    <row r="252" spans="1:4" ht="19.95" customHeight="1" x14ac:dyDescent="0.25">
      <c r="A252" s="9" t="s">
        <v>35</v>
      </c>
      <c r="B252" s="10" t="s">
        <v>40</v>
      </c>
      <c r="C252" s="10"/>
      <c r="D252" s="10">
        <v>1968</v>
      </c>
    </row>
    <row r="253" spans="1:4" ht="19.95" customHeight="1" x14ac:dyDescent="0.25">
      <c r="A253" s="9" t="s">
        <v>36</v>
      </c>
      <c r="B253" s="10" t="s">
        <v>40</v>
      </c>
      <c r="C253" s="10">
        <v>129.6</v>
      </c>
      <c r="D253" s="10">
        <v>1968</v>
      </c>
    </row>
    <row r="254" spans="1:4" ht="19.95" customHeight="1" x14ac:dyDescent="0.25">
      <c r="A254" s="9" t="s">
        <v>37</v>
      </c>
      <c r="B254" s="10" t="s">
        <v>40</v>
      </c>
      <c r="C254" s="10">
        <v>114.8</v>
      </c>
      <c r="D254" s="10">
        <v>1968</v>
      </c>
    </row>
    <row r="255" spans="1:4" ht="19.95" customHeight="1" x14ac:dyDescent="0.25">
      <c r="A255" s="9" t="s">
        <v>38</v>
      </c>
      <c r="B255" s="10" t="s">
        <v>40</v>
      </c>
      <c r="C255" s="10">
        <v>112.1</v>
      </c>
      <c r="D255" s="10">
        <v>1968</v>
      </c>
    </row>
    <row r="256" spans="1:4" ht="19.95" customHeight="1" x14ac:dyDescent="0.25">
      <c r="A256" s="9" t="s">
        <v>39</v>
      </c>
      <c r="B256" s="10" t="s">
        <v>40</v>
      </c>
      <c r="C256" s="10">
        <v>74.2</v>
      </c>
      <c r="D256" s="10">
        <v>1968</v>
      </c>
    </row>
    <row r="257" spans="1:4" ht="19.95" customHeight="1" x14ac:dyDescent="0.25">
      <c r="A257" s="9" t="s">
        <v>9</v>
      </c>
      <c r="B257" s="10" t="s">
        <v>40</v>
      </c>
      <c r="C257" s="10">
        <v>146.30000000000001</v>
      </c>
      <c r="D257" s="10">
        <v>1969</v>
      </c>
    </row>
    <row r="258" spans="1:4" ht="19.95" customHeight="1" x14ac:dyDescent="0.25">
      <c r="A258" s="9" t="s">
        <v>12</v>
      </c>
      <c r="B258" s="10" t="s">
        <v>40</v>
      </c>
      <c r="C258" s="10">
        <v>130.19999999999999</v>
      </c>
      <c r="D258" s="10">
        <v>1969</v>
      </c>
    </row>
    <row r="259" spans="1:4" ht="19.95" customHeight="1" x14ac:dyDescent="0.25">
      <c r="A259" s="9" t="s">
        <v>13</v>
      </c>
      <c r="B259" s="10" t="s">
        <v>40</v>
      </c>
      <c r="C259" s="10"/>
      <c r="D259" s="10">
        <v>1969</v>
      </c>
    </row>
    <row r="260" spans="1:4" ht="19.95" customHeight="1" x14ac:dyDescent="0.25">
      <c r="A260" s="9" t="s">
        <v>15</v>
      </c>
      <c r="B260" s="10" t="s">
        <v>40</v>
      </c>
      <c r="C260" s="10"/>
      <c r="D260" s="10">
        <v>1969</v>
      </c>
    </row>
    <row r="261" spans="1:4" ht="19.95" customHeight="1" x14ac:dyDescent="0.25">
      <c r="A261" s="9" t="s">
        <v>16</v>
      </c>
      <c r="B261" s="10" t="s">
        <v>40</v>
      </c>
      <c r="C261" s="10"/>
      <c r="D261" s="10">
        <v>1969</v>
      </c>
    </row>
    <row r="262" spans="1:4" ht="19.95" customHeight="1" x14ac:dyDescent="0.25">
      <c r="A262" s="9" t="s">
        <v>1</v>
      </c>
      <c r="B262" s="10" t="s">
        <v>40</v>
      </c>
      <c r="C262" s="10">
        <v>143.30000000000001</v>
      </c>
      <c r="D262" s="10">
        <v>1969</v>
      </c>
    </row>
    <row r="263" spans="1:4" ht="19.95" customHeight="1" x14ac:dyDescent="0.25">
      <c r="A263" s="9" t="s">
        <v>17</v>
      </c>
      <c r="B263" s="10" t="s">
        <v>40</v>
      </c>
      <c r="C263" s="10">
        <v>194.2</v>
      </c>
      <c r="D263" s="10">
        <v>1969</v>
      </c>
    </row>
    <row r="264" spans="1:4" ht="19.95" customHeight="1" x14ac:dyDescent="0.25">
      <c r="A264" s="9" t="s">
        <v>18</v>
      </c>
      <c r="B264" s="10" t="s">
        <v>40</v>
      </c>
      <c r="C264" s="10">
        <v>163.4</v>
      </c>
      <c r="D264" s="10">
        <v>1969</v>
      </c>
    </row>
    <row r="265" spans="1:4" ht="19.95" customHeight="1" x14ac:dyDescent="0.25">
      <c r="A265" s="9" t="s">
        <v>19</v>
      </c>
      <c r="B265" s="10" t="s">
        <v>40</v>
      </c>
      <c r="C265" s="10">
        <v>94</v>
      </c>
      <c r="D265" s="10">
        <v>1969</v>
      </c>
    </row>
    <row r="266" spans="1:4" ht="19.95" customHeight="1" x14ac:dyDescent="0.25">
      <c r="A266" s="9" t="s">
        <v>20</v>
      </c>
      <c r="B266" s="10" t="s">
        <v>40</v>
      </c>
      <c r="C266" s="10"/>
      <c r="D266" s="10">
        <v>1969</v>
      </c>
    </row>
    <row r="267" spans="1:4" ht="19.95" customHeight="1" x14ac:dyDescent="0.25">
      <c r="A267" s="9" t="s">
        <v>21</v>
      </c>
      <c r="B267" s="10" t="s">
        <v>40</v>
      </c>
      <c r="C267" s="10">
        <v>193.9</v>
      </c>
      <c r="D267" s="10">
        <v>1969</v>
      </c>
    </row>
    <row r="268" spans="1:4" ht="19.95" customHeight="1" x14ac:dyDescent="0.25">
      <c r="A268" s="9" t="s">
        <v>22</v>
      </c>
      <c r="B268" s="10" t="s">
        <v>40</v>
      </c>
      <c r="C268" s="10">
        <v>91.7</v>
      </c>
      <c r="D268" s="10">
        <v>1969</v>
      </c>
    </row>
    <row r="269" spans="1:4" ht="19.95" customHeight="1" x14ac:dyDescent="0.25">
      <c r="A269" s="9" t="s">
        <v>23</v>
      </c>
      <c r="B269" s="10" t="s">
        <v>40</v>
      </c>
      <c r="C269" s="10">
        <v>205.7</v>
      </c>
      <c r="D269" s="10">
        <v>1969</v>
      </c>
    </row>
    <row r="270" spans="1:4" ht="19.95" customHeight="1" x14ac:dyDescent="0.25">
      <c r="A270" s="9" t="s">
        <v>24</v>
      </c>
      <c r="B270" s="10" t="s">
        <v>40</v>
      </c>
      <c r="C270" s="10">
        <v>196.1</v>
      </c>
      <c r="D270" s="10">
        <v>1969</v>
      </c>
    </row>
    <row r="271" spans="1:4" ht="19.95" customHeight="1" x14ac:dyDescent="0.25">
      <c r="A271" s="9" t="s">
        <v>25</v>
      </c>
      <c r="B271" s="10" t="s">
        <v>40</v>
      </c>
      <c r="C271" s="10"/>
      <c r="D271" s="10">
        <v>1969</v>
      </c>
    </row>
    <row r="272" spans="1:4" ht="19.95" customHeight="1" x14ac:dyDescent="0.25">
      <c r="A272" s="9" t="s">
        <v>26</v>
      </c>
      <c r="B272" s="10" t="s">
        <v>40</v>
      </c>
      <c r="C272" s="10">
        <v>182.7</v>
      </c>
      <c r="D272" s="10">
        <v>1969</v>
      </c>
    </row>
    <row r="273" spans="1:4" ht="19.95" customHeight="1" x14ac:dyDescent="0.25">
      <c r="A273" s="9" t="s">
        <v>28</v>
      </c>
      <c r="B273" s="10" t="s">
        <v>40</v>
      </c>
      <c r="C273" s="10">
        <v>120.5</v>
      </c>
      <c r="D273" s="10">
        <v>1969</v>
      </c>
    </row>
    <row r="274" spans="1:4" ht="19.95" customHeight="1" x14ac:dyDescent="0.25">
      <c r="A274" s="9" t="s">
        <v>29</v>
      </c>
      <c r="B274" s="10" t="s">
        <v>40</v>
      </c>
      <c r="C274" s="10">
        <v>180.2</v>
      </c>
      <c r="D274" s="10">
        <v>1969</v>
      </c>
    </row>
    <row r="275" spans="1:4" ht="19.95" customHeight="1" x14ac:dyDescent="0.25">
      <c r="A275" s="9" t="s">
        <v>30</v>
      </c>
      <c r="B275" s="10" t="s">
        <v>40</v>
      </c>
      <c r="C275" s="10">
        <v>118.6</v>
      </c>
      <c r="D275" s="10">
        <v>1969</v>
      </c>
    </row>
    <row r="276" spans="1:4" ht="19.95" customHeight="1" x14ac:dyDescent="0.25">
      <c r="A276" s="9" t="s">
        <v>31</v>
      </c>
      <c r="B276" s="10" t="s">
        <v>40</v>
      </c>
      <c r="C276" s="10">
        <v>129.6</v>
      </c>
      <c r="D276" s="10">
        <v>1969</v>
      </c>
    </row>
    <row r="277" spans="1:4" ht="19.95" customHeight="1" x14ac:dyDescent="0.25">
      <c r="A277" s="9" t="s">
        <v>32</v>
      </c>
      <c r="B277" s="10" t="s">
        <v>40</v>
      </c>
      <c r="C277" s="10">
        <v>128.9</v>
      </c>
      <c r="D277" s="10">
        <v>1969</v>
      </c>
    </row>
    <row r="278" spans="1:4" ht="19.95" customHeight="1" x14ac:dyDescent="0.25">
      <c r="A278" s="9" t="s">
        <v>33</v>
      </c>
      <c r="B278" s="10" t="s">
        <v>40</v>
      </c>
      <c r="C278" s="10">
        <v>57.2</v>
      </c>
      <c r="D278" s="10">
        <v>1969</v>
      </c>
    </row>
    <row r="279" spans="1:4" ht="19.95" customHeight="1" x14ac:dyDescent="0.25">
      <c r="A279" s="9" t="s">
        <v>34</v>
      </c>
      <c r="B279" s="10" t="s">
        <v>40</v>
      </c>
      <c r="C279" s="10">
        <v>54.7</v>
      </c>
      <c r="D279" s="10">
        <v>1969</v>
      </c>
    </row>
    <row r="280" spans="1:4" ht="19.95" customHeight="1" x14ac:dyDescent="0.25">
      <c r="A280" s="9" t="s">
        <v>35</v>
      </c>
      <c r="B280" s="10" t="s">
        <v>40</v>
      </c>
      <c r="C280" s="10"/>
      <c r="D280" s="10">
        <v>1969</v>
      </c>
    </row>
    <row r="281" spans="1:4" ht="19.95" customHeight="1" x14ac:dyDescent="0.25">
      <c r="A281" s="9" t="s">
        <v>36</v>
      </c>
      <c r="B281" s="10" t="s">
        <v>40</v>
      </c>
      <c r="C281" s="10">
        <v>127.8</v>
      </c>
      <c r="D281" s="10">
        <v>1969</v>
      </c>
    </row>
    <row r="282" spans="1:4" ht="19.95" customHeight="1" x14ac:dyDescent="0.25">
      <c r="A282" s="9" t="s">
        <v>37</v>
      </c>
      <c r="B282" s="10" t="s">
        <v>40</v>
      </c>
      <c r="C282" s="10">
        <v>113.6</v>
      </c>
      <c r="D282" s="10">
        <v>1969</v>
      </c>
    </row>
    <row r="283" spans="1:4" ht="19.95" customHeight="1" x14ac:dyDescent="0.25">
      <c r="A283" s="9" t="s">
        <v>38</v>
      </c>
      <c r="B283" s="10" t="s">
        <v>40</v>
      </c>
      <c r="C283" s="10">
        <v>110.8</v>
      </c>
      <c r="D283" s="10">
        <v>1969</v>
      </c>
    </row>
    <row r="284" spans="1:4" ht="19.95" customHeight="1" x14ac:dyDescent="0.25">
      <c r="A284" s="9" t="s">
        <v>39</v>
      </c>
      <c r="B284" s="10" t="s">
        <v>40</v>
      </c>
      <c r="C284" s="10">
        <v>72.900000000000006</v>
      </c>
      <c r="D284" s="10">
        <v>1969</v>
      </c>
    </row>
    <row r="285" spans="1:4" ht="19.95" customHeight="1" x14ac:dyDescent="0.25">
      <c r="A285" s="9" t="s">
        <v>9</v>
      </c>
      <c r="B285" s="10" t="s">
        <v>40</v>
      </c>
      <c r="C285" s="10">
        <v>146.6</v>
      </c>
      <c r="D285" s="10">
        <v>1970</v>
      </c>
    </row>
    <row r="286" spans="1:4" ht="19.95" customHeight="1" x14ac:dyDescent="0.25">
      <c r="A286" s="9" t="s">
        <v>12</v>
      </c>
      <c r="B286" s="10" t="s">
        <v>40</v>
      </c>
      <c r="C286" s="10">
        <v>125.3</v>
      </c>
      <c r="D286" s="10">
        <v>1970</v>
      </c>
    </row>
    <row r="287" spans="1:4" ht="19.95" customHeight="1" x14ac:dyDescent="0.25">
      <c r="A287" s="9" t="s">
        <v>13</v>
      </c>
      <c r="B287" s="10" t="s">
        <v>40</v>
      </c>
      <c r="C287" s="10"/>
      <c r="D287" s="10">
        <v>1970</v>
      </c>
    </row>
    <row r="288" spans="1:4" ht="19.95" customHeight="1" x14ac:dyDescent="0.25">
      <c r="A288" s="9" t="s">
        <v>15</v>
      </c>
      <c r="B288" s="10" t="s">
        <v>40</v>
      </c>
      <c r="C288" s="10">
        <v>150</v>
      </c>
      <c r="D288" s="10">
        <v>1970</v>
      </c>
    </row>
    <row r="289" spans="1:4" ht="19.95" customHeight="1" x14ac:dyDescent="0.25">
      <c r="A289" s="9" t="s">
        <v>16</v>
      </c>
      <c r="B289" s="10" t="s">
        <v>40</v>
      </c>
      <c r="C289" s="10"/>
      <c r="D289" s="10">
        <v>1970</v>
      </c>
    </row>
    <row r="290" spans="1:4" ht="19.95" customHeight="1" x14ac:dyDescent="0.25">
      <c r="A290" s="9" t="s">
        <v>1</v>
      </c>
      <c r="B290" s="10" t="s">
        <v>40</v>
      </c>
      <c r="C290" s="10">
        <v>143.4</v>
      </c>
      <c r="D290" s="10">
        <v>1970</v>
      </c>
    </row>
    <row r="291" spans="1:4" ht="19.95" customHeight="1" x14ac:dyDescent="0.25">
      <c r="A291" s="9" t="s">
        <v>17</v>
      </c>
      <c r="B291" s="10" t="s">
        <v>40</v>
      </c>
      <c r="C291" s="10">
        <v>192.2</v>
      </c>
      <c r="D291" s="10">
        <v>1970</v>
      </c>
    </row>
    <row r="292" spans="1:4" ht="19.95" customHeight="1" x14ac:dyDescent="0.25">
      <c r="A292" s="9" t="s">
        <v>18</v>
      </c>
      <c r="B292" s="10" t="s">
        <v>40</v>
      </c>
      <c r="C292" s="10">
        <v>160.19999999999999</v>
      </c>
      <c r="D292" s="10">
        <v>1970</v>
      </c>
    </row>
    <row r="293" spans="1:4" ht="19.95" customHeight="1" x14ac:dyDescent="0.25">
      <c r="A293" s="9" t="s">
        <v>19</v>
      </c>
      <c r="B293" s="10" t="s">
        <v>40</v>
      </c>
      <c r="C293" s="10">
        <v>92.2</v>
      </c>
      <c r="D293" s="10">
        <v>1970</v>
      </c>
    </row>
    <row r="294" spans="1:4" ht="19.95" customHeight="1" x14ac:dyDescent="0.25">
      <c r="A294" s="9" t="s">
        <v>20</v>
      </c>
      <c r="B294" s="10" t="s">
        <v>40</v>
      </c>
      <c r="C294" s="10"/>
      <c r="D294" s="10">
        <v>1970</v>
      </c>
    </row>
    <row r="295" spans="1:4" ht="19.95" customHeight="1" x14ac:dyDescent="0.25">
      <c r="A295" s="9" t="s">
        <v>21</v>
      </c>
      <c r="B295" s="10" t="s">
        <v>40</v>
      </c>
      <c r="C295" s="10">
        <v>190.3</v>
      </c>
      <c r="D295" s="10">
        <v>1970</v>
      </c>
    </row>
    <row r="296" spans="1:4" ht="19.95" customHeight="1" x14ac:dyDescent="0.25">
      <c r="A296" s="9" t="s">
        <v>22</v>
      </c>
      <c r="B296" s="10" t="s">
        <v>40</v>
      </c>
      <c r="C296" s="10">
        <v>92.6</v>
      </c>
      <c r="D296" s="10">
        <v>1970</v>
      </c>
    </row>
    <row r="297" spans="1:4" ht="19.95" customHeight="1" x14ac:dyDescent="0.25">
      <c r="A297" s="9" t="s">
        <v>23</v>
      </c>
      <c r="B297" s="10" t="s">
        <v>40</v>
      </c>
      <c r="C297" s="10">
        <v>203.1</v>
      </c>
      <c r="D297" s="10">
        <v>1970</v>
      </c>
    </row>
    <row r="298" spans="1:4" ht="19.95" customHeight="1" x14ac:dyDescent="0.25">
      <c r="A298" s="9" t="s">
        <v>24</v>
      </c>
      <c r="B298" s="10" t="s">
        <v>40</v>
      </c>
      <c r="C298" s="10">
        <v>194.2</v>
      </c>
      <c r="D298" s="10">
        <v>1970</v>
      </c>
    </row>
    <row r="299" spans="1:4" ht="19.95" customHeight="1" x14ac:dyDescent="0.25">
      <c r="A299" s="9" t="s">
        <v>25</v>
      </c>
      <c r="B299" s="10" t="s">
        <v>40</v>
      </c>
      <c r="C299" s="10"/>
      <c r="D299" s="10">
        <v>1970</v>
      </c>
    </row>
    <row r="300" spans="1:4" ht="19.95" customHeight="1" x14ac:dyDescent="0.25">
      <c r="A300" s="9" t="s">
        <v>26</v>
      </c>
      <c r="B300" s="10" t="s">
        <v>40</v>
      </c>
      <c r="C300" s="10">
        <v>182.4</v>
      </c>
      <c r="D300" s="10">
        <v>1970</v>
      </c>
    </row>
    <row r="301" spans="1:4" ht="19.95" customHeight="1" x14ac:dyDescent="0.25">
      <c r="A301" s="9" t="s">
        <v>28</v>
      </c>
      <c r="B301" s="10" t="s">
        <v>40</v>
      </c>
      <c r="C301" s="10">
        <v>118.5</v>
      </c>
      <c r="D301" s="10">
        <v>1970</v>
      </c>
    </row>
    <row r="302" spans="1:4" ht="19.95" customHeight="1" x14ac:dyDescent="0.25">
      <c r="A302" s="9" t="s">
        <v>29</v>
      </c>
      <c r="B302" s="10" t="s">
        <v>40</v>
      </c>
      <c r="C302" s="10">
        <v>176.3</v>
      </c>
      <c r="D302" s="10">
        <v>1970</v>
      </c>
    </row>
    <row r="303" spans="1:4" ht="19.95" customHeight="1" x14ac:dyDescent="0.25">
      <c r="A303" s="9" t="s">
        <v>30</v>
      </c>
      <c r="B303" s="10" t="s">
        <v>40</v>
      </c>
      <c r="C303" s="10">
        <v>116.3</v>
      </c>
      <c r="D303" s="10">
        <v>1970</v>
      </c>
    </row>
    <row r="304" spans="1:4" ht="19.95" customHeight="1" x14ac:dyDescent="0.25">
      <c r="A304" s="9" t="s">
        <v>31</v>
      </c>
      <c r="B304" s="10" t="s">
        <v>40</v>
      </c>
      <c r="C304" s="10">
        <v>131.1</v>
      </c>
      <c r="D304" s="10">
        <v>1970</v>
      </c>
    </row>
    <row r="305" spans="1:4" ht="19.95" customHeight="1" x14ac:dyDescent="0.25">
      <c r="A305" s="9" t="s">
        <v>32</v>
      </c>
      <c r="B305" s="10" t="s">
        <v>40</v>
      </c>
      <c r="C305" s="10">
        <v>130.69999999999999</v>
      </c>
      <c r="D305" s="10">
        <v>1970</v>
      </c>
    </row>
    <row r="306" spans="1:4" ht="19.95" customHeight="1" x14ac:dyDescent="0.25">
      <c r="A306" s="9" t="s">
        <v>33</v>
      </c>
      <c r="B306" s="10" t="s">
        <v>40</v>
      </c>
      <c r="C306" s="10">
        <v>56.8</v>
      </c>
      <c r="D306" s="10">
        <v>1970</v>
      </c>
    </row>
    <row r="307" spans="1:4" ht="19.95" customHeight="1" x14ac:dyDescent="0.25">
      <c r="A307" s="9" t="s">
        <v>34</v>
      </c>
      <c r="B307" s="10" t="s">
        <v>40</v>
      </c>
      <c r="C307" s="10">
        <v>54</v>
      </c>
      <c r="D307" s="10">
        <v>1970</v>
      </c>
    </row>
    <row r="308" spans="1:4" ht="19.95" customHeight="1" x14ac:dyDescent="0.25">
      <c r="A308" s="9" t="s">
        <v>35</v>
      </c>
      <c r="B308" s="10" t="s">
        <v>40</v>
      </c>
      <c r="C308" s="10"/>
      <c r="D308" s="10">
        <v>1970</v>
      </c>
    </row>
    <row r="309" spans="1:4" ht="19.95" customHeight="1" x14ac:dyDescent="0.25">
      <c r="A309" s="9" t="s">
        <v>36</v>
      </c>
      <c r="B309" s="10" t="s">
        <v>40</v>
      </c>
      <c r="C309" s="10">
        <v>126</v>
      </c>
      <c r="D309" s="10">
        <v>1970</v>
      </c>
    </row>
    <row r="310" spans="1:4" ht="19.95" customHeight="1" x14ac:dyDescent="0.25">
      <c r="A310" s="9" t="s">
        <v>37</v>
      </c>
      <c r="B310" s="10" t="s">
        <v>40</v>
      </c>
      <c r="C310" s="10">
        <v>112.8</v>
      </c>
      <c r="D310" s="10">
        <v>1970</v>
      </c>
    </row>
    <row r="311" spans="1:4" ht="19.95" customHeight="1" x14ac:dyDescent="0.25">
      <c r="A311" s="9" t="s">
        <v>38</v>
      </c>
      <c r="B311" s="10" t="s">
        <v>40</v>
      </c>
      <c r="C311" s="10">
        <v>108.9</v>
      </c>
      <c r="D311" s="10">
        <v>1970</v>
      </c>
    </row>
    <row r="312" spans="1:4" ht="19.95" customHeight="1" x14ac:dyDescent="0.25">
      <c r="A312" s="9" t="s">
        <v>39</v>
      </c>
      <c r="B312" s="10" t="s">
        <v>40</v>
      </c>
      <c r="C312" s="10">
        <v>72</v>
      </c>
      <c r="D312" s="10">
        <v>1970</v>
      </c>
    </row>
    <row r="313" spans="1:4" ht="19.95" customHeight="1" x14ac:dyDescent="0.25">
      <c r="A313" s="9" t="s">
        <v>9</v>
      </c>
      <c r="B313" s="10" t="s">
        <v>40</v>
      </c>
      <c r="C313" s="10">
        <v>146.80000000000001</v>
      </c>
      <c r="D313" s="10">
        <v>1971</v>
      </c>
    </row>
    <row r="314" spans="1:4" ht="19.95" customHeight="1" x14ac:dyDescent="0.25">
      <c r="A314" s="9" t="s">
        <v>12</v>
      </c>
      <c r="B314" s="10" t="s">
        <v>40</v>
      </c>
      <c r="C314" s="10">
        <v>121.1</v>
      </c>
      <c r="D314" s="10">
        <v>1971</v>
      </c>
    </row>
    <row r="315" spans="1:4" ht="19.95" customHeight="1" x14ac:dyDescent="0.25">
      <c r="A315" s="9" t="s">
        <v>13</v>
      </c>
      <c r="B315" s="10" t="s">
        <v>40</v>
      </c>
      <c r="C315" s="10"/>
      <c r="D315" s="10">
        <v>1971</v>
      </c>
    </row>
    <row r="316" spans="1:4" ht="19.95" customHeight="1" x14ac:dyDescent="0.25">
      <c r="A316" s="9" t="s">
        <v>15</v>
      </c>
      <c r="B316" s="10" t="s">
        <v>40</v>
      </c>
      <c r="C316" s="10">
        <v>147.1</v>
      </c>
      <c r="D316" s="10">
        <v>1971</v>
      </c>
    </row>
    <row r="317" spans="1:4" ht="19.95" customHeight="1" x14ac:dyDescent="0.25">
      <c r="A317" s="9" t="s">
        <v>16</v>
      </c>
      <c r="B317" s="10" t="s">
        <v>40</v>
      </c>
      <c r="C317" s="10"/>
      <c r="D317" s="10">
        <v>1971</v>
      </c>
    </row>
    <row r="318" spans="1:4" ht="19.95" customHeight="1" x14ac:dyDescent="0.25">
      <c r="A318" s="9" t="s">
        <v>1</v>
      </c>
      <c r="B318" s="10" t="s">
        <v>40</v>
      </c>
      <c r="C318" s="10">
        <v>143.4</v>
      </c>
      <c r="D318" s="10">
        <v>1971</v>
      </c>
    </row>
    <row r="319" spans="1:4" ht="19.95" customHeight="1" x14ac:dyDescent="0.25">
      <c r="A319" s="9" t="s">
        <v>17</v>
      </c>
      <c r="B319" s="10" t="s">
        <v>40</v>
      </c>
      <c r="C319" s="10">
        <v>190.2</v>
      </c>
      <c r="D319" s="10">
        <v>1971</v>
      </c>
    </row>
    <row r="320" spans="1:4" ht="19.95" customHeight="1" x14ac:dyDescent="0.25">
      <c r="A320" s="9" t="s">
        <v>18</v>
      </c>
      <c r="B320" s="10" t="s">
        <v>40</v>
      </c>
      <c r="C320" s="10">
        <v>156.9</v>
      </c>
      <c r="D320" s="10">
        <v>1971</v>
      </c>
    </row>
    <row r="321" spans="1:4" ht="19.95" customHeight="1" x14ac:dyDescent="0.25">
      <c r="A321" s="9" t="s">
        <v>19</v>
      </c>
      <c r="B321" s="10" t="s">
        <v>40</v>
      </c>
      <c r="C321" s="10">
        <v>90.4</v>
      </c>
      <c r="D321" s="10">
        <v>1971</v>
      </c>
    </row>
    <row r="322" spans="1:4" ht="19.95" customHeight="1" x14ac:dyDescent="0.25">
      <c r="A322" s="9" t="s">
        <v>20</v>
      </c>
      <c r="B322" s="10" t="s">
        <v>40</v>
      </c>
      <c r="C322" s="10"/>
      <c r="D322" s="10">
        <v>1971</v>
      </c>
    </row>
    <row r="323" spans="1:4" ht="19.95" customHeight="1" x14ac:dyDescent="0.25">
      <c r="A323" s="9" t="s">
        <v>21</v>
      </c>
      <c r="B323" s="10" t="s">
        <v>40</v>
      </c>
      <c r="C323" s="10">
        <v>187</v>
      </c>
      <c r="D323" s="10">
        <v>1971</v>
      </c>
    </row>
    <row r="324" spans="1:4" ht="19.95" customHeight="1" x14ac:dyDescent="0.25">
      <c r="A324" s="9" t="s">
        <v>22</v>
      </c>
      <c r="B324" s="10" t="s">
        <v>40</v>
      </c>
      <c r="C324" s="10">
        <v>93.6</v>
      </c>
      <c r="D324" s="10">
        <v>1971</v>
      </c>
    </row>
    <row r="325" spans="1:4" ht="19.95" customHeight="1" x14ac:dyDescent="0.25">
      <c r="A325" s="9" t="s">
        <v>23</v>
      </c>
      <c r="B325" s="10" t="s">
        <v>40</v>
      </c>
      <c r="C325" s="10">
        <v>199.7</v>
      </c>
      <c r="D325" s="10">
        <v>1971</v>
      </c>
    </row>
    <row r="326" spans="1:4" ht="19.95" customHeight="1" x14ac:dyDescent="0.25">
      <c r="A326" s="9" t="s">
        <v>24</v>
      </c>
      <c r="B326" s="10" t="s">
        <v>40</v>
      </c>
      <c r="C326" s="10">
        <v>192.3</v>
      </c>
      <c r="D326" s="10">
        <v>1971</v>
      </c>
    </row>
    <row r="327" spans="1:4" ht="19.95" customHeight="1" x14ac:dyDescent="0.25">
      <c r="A327" s="9" t="s">
        <v>25</v>
      </c>
      <c r="B327" s="10" t="s">
        <v>40</v>
      </c>
      <c r="C327" s="10">
        <v>49.3</v>
      </c>
      <c r="D327" s="10">
        <v>1971</v>
      </c>
    </row>
    <row r="328" spans="1:4" ht="19.95" customHeight="1" x14ac:dyDescent="0.25">
      <c r="A328" s="9" t="s">
        <v>26</v>
      </c>
      <c r="B328" s="10" t="s">
        <v>40</v>
      </c>
      <c r="C328" s="10">
        <v>181.8</v>
      </c>
      <c r="D328" s="10">
        <v>1971</v>
      </c>
    </row>
    <row r="329" spans="1:4" ht="19.95" customHeight="1" x14ac:dyDescent="0.25">
      <c r="A329" s="9" t="s">
        <v>28</v>
      </c>
      <c r="B329" s="10" t="s">
        <v>40</v>
      </c>
      <c r="C329" s="10">
        <v>116.5</v>
      </c>
      <c r="D329" s="10">
        <v>1971</v>
      </c>
    </row>
    <row r="330" spans="1:4" ht="19.95" customHeight="1" x14ac:dyDescent="0.25">
      <c r="A330" s="9" t="s">
        <v>29</v>
      </c>
      <c r="B330" s="10" t="s">
        <v>40</v>
      </c>
      <c r="C330" s="10">
        <v>172.5</v>
      </c>
      <c r="D330" s="10">
        <v>1971</v>
      </c>
    </row>
    <row r="331" spans="1:4" ht="19.95" customHeight="1" x14ac:dyDescent="0.25">
      <c r="A331" s="9" t="s">
        <v>30</v>
      </c>
      <c r="B331" s="10" t="s">
        <v>40</v>
      </c>
      <c r="C331" s="10">
        <v>113.7</v>
      </c>
      <c r="D331" s="10">
        <v>1971</v>
      </c>
    </row>
    <row r="332" spans="1:4" ht="19.95" customHeight="1" x14ac:dyDescent="0.25">
      <c r="A332" s="9" t="s">
        <v>31</v>
      </c>
      <c r="B332" s="10" t="s">
        <v>40</v>
      </c>
      <c r="C332" s="10">
        <v>132.4</v>
      </c>
      <c r="D332" s="10">
        <v>1971</v>
      </c>
    </row>
    <row r="333" spans="1:4" ht="19.95" customHeight="1" x14ac:dyDescent="0.25">
      <c r="A333" s="9" t="s">
        <v>32</v>
      </c>
      <c r="B333" s="10" t="s">
        <v>40</v>
      </c>
      <c r="C333" s="10">
        <v>132.6</v>
      </c>
      <c r="D333" s="10">
        <v>1971</v>
      </c>
    </row>
    <row r="334" spans="1:4" ht="19.95" customHeight="1" x14ac:dyDescent="0.25">
      <c r="A334" s="9" t="s">
        <v>33</v>
      </c>
      <c r="B334" s="10" t="s">
        <v>40</v>
      </c>
      <c r="C334" s="10">
        <v>56.8</v>
      </c>
      <c r="D334" s="10">
        <v>1971</v>
      </c>
    </row>
    <row r="335" spans="1:4" ht="19.95" customHeight="1" x14ac:dyDescent="0.25">
      <c r="A335" s="9" t="s">
        <v>34</v>
      </c>
      <c r="B335" s="10" t="s">
        <v>40</v>
      </c>
      <c r="C335" s="10">
        <v>53.3</v>
      </c>
      <c r="D335" s="10">
        <v>1971</v>
      </c>
    </row>
    <row r="336" spans="1:4" ht="19.95" customHeight="1" x14ac:dyDescent="0.25">
      <c r="A336" s="9" t="s">
        <v>35</v>
      </c>
      <c r="B336" s="10" t="s">
        <v>40</v>
      </c>
      <c r="C336" s="10"/>
      <c r="D336" s="10">
        <v>1971</v>
      </c>
    </row>
    <row r="337" spans="1:4" ht="19.95" customHeight="1" x14ac:dyDescent="0.25">
      <c r="A337" s="9" t="s">
        <v>36</v>
      </c>
      <c r="B337" s="10" t="s">
        <v>40</v>
      </c>
      <c r="C337" s="10">
        <v>124.1</v>
      </c>
      <c r="D337" s="10">
        <v>1971</v>
      </c>
    </row>
    <row r="338" spans="1:4" ht="19.95" customHeight="1" x14ac:dyDescent="0.25">
      <c r="A338" s="9" t="s">
        <v>37</v>
      </c>
      <c r="B338" s="10" t="s">
        <v>40</v>
      </c>
      <c r="C338" s="10">
        <v>112.7</v>
      </c>
      <c r="D338" s="10">
        <v>1971</v>
      </c>
    </row>
    <row r="339" spans="1:4" ht="19.95" customHeight="1" x14ac:dyDescent="0.25">
      <c r="A339" s="9" t="s">
        <v>38</v>
      </c>
      <c r="B339" s="10" t="s">
        <v>40</v>
      </c>
      <c r="C339" s="10">
        <v>106.2</v>
      </c>
      <c r="D339" s="10">
        <v>1971</v>
      </c>
    </row>
    <row r="340" spans="1:4" ht="19.95" customHeight="1" x14ac:dyDescent="0.25">
      <c r="A340" s="9" t="s">
        <v>39</v>
      </c>
      <c r="B340" s="10" t="s">
        <v>40</v>
      </c>
      <c r="C340" s="10">
        <v>71.3</v>
      </c>
      <c r="D340" s="10">
        <v>1971</v>
      </c>
    </row>
    <row r="341" spans="1:4" ht="19.95" customHeight="1" x14ac:dyDescent="0.25">
      <c r="A341" s="9" t="s">
        <v>9</v>
      </c>
      <c r="B341" s="10" t="s">
        <v>40</v>
      </c>
      <c r="C341" s="10">
        <v>147.1</v>
      </c>
      <c r="D341" s="10">
        <v>1972</v>
      </c>
    </row>
    <row r="342" spans="1:4" ht="19.95" customHeight="1" x14ac:dyDescent="0.25">
      <c r="A342" s="9" t="s">
        <v>12</v>
      </c>
      <c r="B342" s="10" t="s">
        <v>40</v>
      </c>
      <c r="C342" s="10">
        <v>117.9</v>
      </c>
      <c r="D342" s="10">
        <v>1972</v>
      </c>
    </row>
    <row r="343" spans="1:4" ht="19.95" customHeight="1" x14ac:dyDescent="0.25">
      <c r="A343" s="9" t="s">
        <v>13</v>
      </c>
      <c r="B343" s="10" t="s">
        <v>40</v>
      </c>
      <c r="C343" s="10">
        <v>128</v>
      </c>
      <c r="D343" s="10">
        <v>1972</v>
      </c>
    </row>
    <row r="344" spans="1:4" ht="19.95" customHeight="1" x14ac:dyDescent="0.25">
      <c r="A344" s="9" t="s">
        <v>15</v>
      </c>
      <c r="B344" s="10" t="s">
        <v>40</v>
      </c>
      <c r="C344" s="10">
        <v>144.1</v>
      </c>
      <c r="D344" s="10">
        <v>1972</v>
      </c>
    </row>
    <row r="345" spans="1:4" ht="19.95" customHeight="1" x14ac:dyDescent="0.25">
      <c r="A345" s="9" t="s">
        <v>16</v>
      </c>
      <c r="B345" s="10" t="s">
        <v>40</v>
      </c>
      <c r="C345" s="10"/>
      <c r="D345" s="10">
        <v>1972</v>
      </c>
    </row>
    <row r="346" spans="1:4" ht="19.95" customHeight="1" x14ac:dyDescent="0.25">
      <c r="A346" s="9" t="s">
        <v>1</v>
      </c>
      <c r="B346" s="10" t="s">
        <v>40</v>
      </c>
      <c r="C346" s="10">
        <v>143.4</v>
      </c>
      <c r="D346" s="10">
        <v>1972</v>
      </c>
    </row>
    <row r="347" spans="1:4" ht="19.95" customHeight="1" x14ac:dyDescent="0.25">
      <c r="A347" s="9" t="s">
        <v>17</v>
      </c>
      <c r="B347" s="10" t="s">
        <v>40</v>
      </c>
      <c r="C347" s="10">
        <v>188.1</v>
      </c>
      <c r="D347" s="10">
        <v>1972</v>
      </c>
    </row>
    <row r="348" spans="1:4" ht="19.95" customHeight="1" x14ac:dyDescent="0.25">
      <c r="A348" s="9" t="s">
        <v>18</v>
      </c>
      <c r="B348" s="10" t="s">
        <v>40</v>
      </c>
      <c r="C348" s="10">
        <v>153.5</v>
      </c>
      <c r="D348" s="10">
        <v>1972</v>
      </c>
    </row>
    <row r="349" spans="1:4" ht="19.95" customHeight="1" x14ac:dyDescent="0.25">
      <c r="A349" s="9" t="s">
        <v>19</v>
      </c>
      <c r="B349" s="10" t="s">
        <v>40</v>
      </c>
      <c r="C349" s="10">
        <v>88.4</v>
      </c>
      <c r="D349" s="10">
        <v>1972</v>
      </c>
    </row>
    <row r="350" spans="1:4" ht="19.95" customHeight="1" x14ac:dyDescent="0.25">
      <c r="A350" s="9" t="s">
        <v>20</v>
      </c>
      <c r="B350" s="10" t="s">
        <v>40</v>
      </c>
      <c r="C350" s="10"/>
      <c r="D350" s="10">
        <v>1972</v>
      </c>
    </row>
    <row r="351" spans="1:4" ht="19.95" customHeight="1" x14ac:dyDescent="0.25">
      <c r="A351" s="9" t="s">
        <v>21</v>
      </c>
      <c r="B351" s="10" t="s">
        <v>40</v>
      </c>
      <c r="C351" s="10">
        <v>183.9</v>
      </c>
      <c r="D351" s="10">
        <v>1972</v>
      </c>
    </row>
    <row r="352" spans="1:4" ht="19.95" customHeight="1" x14ac:dyDescent="0.25">
      <c r="A352" s="9" t="s">
        <v>22</v>
      </c>
      <c r="B352" s="10" t="s">
        <v>40</v>
      </c>
      <c r="C352" s="10">
        <v>94.8</v>
      </c>
      <c r="D352" s="10">
        <v>1972</v>
      </c>
    </row>
    <row r="353" spans="1:4" ht="19.95" customHeight="1" x14ac:dyDescent="0.25">
      <c r="A353" s="9" t="s">
        <v>23</v>
      </c>
      <c r="B353" s="10" t="s">
        <v>40</v>
      </c>
      <c r="C353" s="10">
        <v>195.4</v>
      </c>
      <c r="D353" s="10">
        <v>1972</v>
      </c>
    </row>
    <row r="354" spans="1:4" ht="19.95" customHeight="1" x14ac:dyDescent="0.25">
      <c r="A354" s="9" t="s">
        <v>24</v>
      </c>
      <c r="B354" s="10" t="s">
        <v>40</v>
      </c>
      <c r="C354" s="10">
        <v>189.9</v>
      </c>
      <c r="D354" s="10">
        <v>1972</v>
      </c>
    </row>
    <row r="355" spans="1:4" ht="19.95" customHeight="1" x14ac:dyDescent="0.25">
      <c r="A355" s="9" t="s">
        <v>25</v>
      </c>
      <c r="B355" s="10" t="s">
        <v>40</v>
      </c>
      <c r="C355" s="10">
        <v>48.2</v>
      </c>
      <c r="D355" s="10">
        <v>1972</v>
      </c>
    </row>
    <row r="356" spans="1:4" ht="19.95" customHeight="1" x14ac:dyDescent="0.25">
      <c r="A356" s="9" t="s">
        <v>26</v>
      </c>
      <c r="B356" s="10" t="s">
        <v>40</v>
      </c>
      <c r="C356" s="10">
        <v>180.9</v>
      </c>
      <c r="D356" s="10">
        <v>1972</v>
      </c>
    </row>
    <row r="357" spans="1:4" ht="19.95" customHeight="1" x14ac:dyDescent="0.25">
      <c r="A357" s="9" t="s">
        <v>28</v>
      </c>
      <c r="B357" s="10" t="s">
        <v>40</v>
      </c>
      <c r="C357" s="10">
        <v>114.4</v>
      </c>
      <c r="D357" s="10">
        <v>1972</v>
      </c>
    </row>
    <row r="358" spans="1:4" ht="19.95" customHeight="1" x14ac:dyDescent="0.25">
      <c r="A358" s="9" t="s">
        <v>29</v>
      </c>
      <c r="B358" s="10" t="s">
        <v>40</v>
      </c>
      <c r="C358" s="10">
        <v>168.8</v>
      </c>
      <c r="D358" s="10">
        <v>1972</v>
      </c>
    </row>
    <row r="359" spans="1:4" ht="19.95" customHeight="1" x14ac:dyDescent="0.25">
      <c r="A359" s="9" t="s">
        <v>30</v>
      </c>
      <c r="B359" s="10" t="s">
        <v>40</v>
      </c>
      <c r="C359" s="10">
        <v>110.8</v>
      </c>
      <c r="D359" s="10">
        <v>1972</v>
      </c>
    </row>
    <row r="360" spans="1:4" ht="19.95" customHeight="1" x14ac:dyDescent="0.25">
      <c r="A360" s="9" t="s">
        <v>31</v>
      </c>
      <c r="B360" s="10" t="s">
        <v>40</v>
      </c>
      <c r="C360" s="10">
        <v>133.69999999999999</v>
      </c>
      <c r="D360" s="10">
        <v>1972</v>
      </c>
    </row>
    <row r="361" spans="1:4" ht="19.95" customHeight="1" x14ac:dyDescent="0.25">
      <c r="A361" s="9" t="s">
        <v>32</v>
      </c>
      <c r="B361" s="10" t="s">
        <v>40</v>
      </c>
      <c r="C361" s="10">
        <v>135.1</v>
      </c>
      <c r="D361" s="10">
        <v>1972</v>
      </c>
    </row>
    <row r="362" spans="1:4" ht="19.95" customHeight="1" x14ac:dyDescent="0.25">
      <c r="A362" s="9" t="s">
        <v>33</v>
      </c>
      <c r="B362" s="10" t="s">
        <v>40</v>
      </c>
      <c r="C362" s="10">
        <v>57</v>
      </c>
      <c r="D362" s="10">
        <v>1972</v>
      </c>
    </row>
    <row r="363" spans="1:4" ht="19.95" customHeight="1" x14ac:dyDescent="0.25">
      <c r="A363" s="9" t="s">
        <v>34</v>
      </c>
      <c r="B363" s="10" t="s">
        <v>40</v>
      </c>
      <c r="C363" s="10">
        <v>52.5</v>
      </c>
      <c r="D363" s="10">
        <v>1972</v>
      </c>
    </row>
    <row r="364" spans="1:4" ht="19.95" customHeight="1" x14ac:dyDescent="0.25">
      <c r="A364" s="9" t="s">
        <v>35</v>
      </c>
      <c r="B364" s="10" t="s">
        <v>40</v>
      </c>
      <c r="C364" s="10">
        <v>119</v>
      </c>
      <c r="D364" s="10">
        <v>1972</v>
      </c>
    </row>
    <row r="365" spans="1:4" ht="19.95" customHeight="1" x14ac:dyDescent="0.25">
      <c r="A365" s="9" t="s">
        <v>36</v>
      </c>
      <c r="B365" s="10" t="s">
        <v>40</v>
      </c>
      <c r="C365" s="10">
        <v>122.2</v>
      </c>
      <c r="D365" s="10">
        <v>1972</v>
      </c>
    </row>
    <row r="366" spans="1:4" ht="19.95" customHeight="1" x14ac:dyDescent="0.25">
      <c r="A366" s="9" t="s">
        <v>37</v>
      </c>
      <c r="B366" s="10" t="s">
        <v>40</v>
      </c>
      <c r="C366" s="10">
        <v>113.1</v>
      </c>
      <c r="D366" s="10">
        <v>1972</v>
      </c>
    </row>
    <row r="367" spans="1:4" ht="19.95" customHeight="1" x14ac:dyDescent="0.25">
      <c r="A367" s="9" t="s">
        <v>38</v>
      </c>
      <c r="B367" s="10" t="s">
        <v>40</v>
      </c>
      <c r="C367" s="10">
        <v>103.3</v>
      </c>
      <c r="D367" s="10">
        <v>1972</v>
      </c>
    </row>
    <row r="368" spans="1:4" ht="19.95" customHeight="1" x14ac:dyDescent="0.25">
      <c r="A368" s="9" t="s">
        <v>39</v>
      </c>
      <c r="B368" s="10" t="s">
        <v>40</v>
      </c>
      <c r="C368" s="10">
        <v>70.8</v>
      </c>
      <c r="D368" s="10">
        <v>1972</v>
      </c>
    </row>
    <row r="369" spans="1:4" ht="19.95" customHeight="1" x14ac:dyDescent="0.25">
      <c r="A369" s="9" t="s">
        <v>9</v>
      </c>
      <c r="B369" s="10" t="s">
        <v>40</v>
      </c>
      <c r="C369" s="10">
        <v>147.4</v>
      </c>
      <c r="D369" s="10">
        <v>1973</v>
      </c>
    </row>
    <row r="370" spans="1:4" ht="19.95" customHeight="1" x14ac:dyDescent="0.25">
      <c r="A370" s="9" t="s">
        <v>12</v>
      </c>
      <c r="B370" s="10" t="s">
        <v>40</v>
      </c>
      <c r="C370" s="10">
        <v>115.8</v>
      </c>
      <c r="D370" s="10">
        <v>1973</v>
      </c>
    </row>
    <row r="371" spans="1:4" ht="19.95" customHeight="1" x14ac:dyDescent="0.25">
      <c r="A371" s="9" t="s">
        <v>13</v>
      </c>
      <c r="B371" s="10" t="s">
        <v>40</v>
      </c>
      <c r="C371" s="10">
        <v>127.5</v>
      </c>
      <c r="D371" s="10">
        <v>1973</v>
      </c>
    </row>
    <row r="372" spans="1:4" ht="19.95" customHeight="1" x14ac:dyDescent="0.25">
      <c r="A372" s="9" t="s">
        <v>15</v>
      </c>
      <c r="B372" s="10" t="s">
        <v>40</v>
      </c>
      <c r="C372" s="10">
        <v>141.30000000000001</v>
      </c>
      <c r="D372" s="10">
        <v>1973</v>
      </c>
    </row>
    <row r="373" spans="1:4" ht="19.95" customHeight="1" x14ac:dyDescent="0.25">
      <c r="A373" s="9" t="s">
        <v>16</v>
      </c>
      <c r="B373" s="10" t="s">
        <v>40</v>
      </c>
      <c r="C373" s="10"/>
      <c r="D373" s="10">
        <v>1973</v>
      </c>
    </row>
    <row r="374" spans="1:4" ht="19.95" customHeight="1" x14ac:dyDescent="0.25">
      <c r="A374" s="9" t="s">
        <v>1</v>
      </c>
      <c r="B374" s="10" t="s">
        <v>40</v>
      </c>
      <c r="C374" s="10">
        <v>143.30000000000001</v>
      </c>
      <c r="D374" s="10">
        <v>1973</v>
      </c>
    </row>
    <row r="375" spans="1:4" ht="19.95" customHeight="1" x14ac:dyDescent="0.25">
      <c r="A375" s="9" t="s">
        <v>17</v>
      </c>
      <c r="B375" s="10" t="s">
        <v>40</v>
      </c>
      <c r="C375" s="10">
        <v>186</v>
      </c>
      <c r="D375" s="10">
        <v>1973</v>
      </c>
    </row>
    <row r="376" spans="1:4" ht="19.95" customHeight="1" x14ac:dyDescent="0.25">
      <c r="A376" s="9" t="s">
        <v>18</v>
      </c>
      <c r="B376" s="10" t="s">
        <v>40</v>
      </c>
      <c r="C376" s="10">
        <v>150.1</v>
      </c>
      <c r="D376" s="10">
        <v>1973</v>
      </c>
    </row>
    <row r="377" spans="1:4" ht="19.95" customHeight="1" x14ac:dyDescent="0.25">
      <c r="A377" s="9" t="s">
        <v>19</v>
      </c>
      <c r="B377" s="10" t="s">
        <v>40</v>
      </c>
      <c r="C377" s="10">
        <v>86.3</v>
      </c>
      <c r="D377" s="10">
        <v>1973</v>
      </c>
    </row>
    <row r="378" spans="1:4" ht="19.95" customHeight="1" x14ac:dyDescent="0.25">
      <c r="A378" s="9" t="s">
        <v>20</v>
      </c>
      <c r="B378" s="10" t="s">
        <v>40</v>
      </c>
      <c r="C378" s="10"/>
      <c r="D378" s="10">
        <v>1973</v>
      </c>
    </row>
    <row r="379" spans="1:4" ht="19.95" customHeight="1" x14ac:dyDescent="0.25">
      <c r="A379" s="9" t="s">
        <v>21</v>
      </c>
      <c r="B379" s="10" t="s">
        <v>40</v>
      </c>
      <c r="C379" s="10">
        <v>180.9</v>
      </c>
      <c r="D379" s="10">
        <v>1973</v>
      </c>
    </row>
    <row r="380" spans="1:4" ht="19.95" customHeight="1" x14ac:dyDescent="0.25">
      <c r="A380" s="9" t="s">
        <v>22</v>
      </c>
      <c r="B380" s="10" t="s">
        <v>40</v>
      </c>
      <c r="C380" s="10">
        <v>96.1</v>
      </c>
      <c r="D380" s="10">
        <v>1973</v>
      </c>
    </row>
    <row r="381" spans="1:4" ht="19.95" customHeight="1" x14ac:dyDescent="0.25">
      <c r="A381" s="9" t="s">
        <v>23</v>
      </c>
      <c r="B381" s="10" t="s">
        <v>40</v>
      </c>
      <c r="C381" s="10">
        <v>190.5</v>
      </c>
      <c r="D381" s="10">
        <v>1973</v>
      </c>
    </row>
    <row r="382" spans="1:4" ht="19.95" customHeight="1" x14ac:dyDescent="0.25">
      <c r="A382" s="9" t="s">
        <v>24</v>
      </c>
      <c r="B382" s="10" t="s">
        <v>40</v>
      </c>
      <c r="C382" s="10">
        <v>187.3</v>
      </c>
      <c r="D382" s="10">
        <v>1973</v>
      </c>
    </row>
    <row r="383" spans="1:4" ht="19.95" customHeight="1" x14ac:dyDescent="0.25">
      <c r="A383" s="9" t="s">
        <v>25</v>
      </c>
      <c r="B383" s="10" t="s">
        <v>40</v>
      </c>
      <c r="C383" s="10">
        <v>47</v>
      </c>
      <c r="D383" s="10">
        <v>1973</v>
      </c>
    </row>
    <row r="384" spans="1:4" ht="19.95" customHeight="1" x14ac:dyDescent="0.25">
      <c r="A384" s="9" t="s">
        <v>26</v>
      </c>
      <c r="B384" s="10" t="s">
        <v>40</v>
      </c>
      <c r="C384" s="10">
        <v>179.9</v>
      </c>
      <c r="D384" s="10">
        <v>1973</v>
      </c>
    </row>
    <row r="385" spans="1:4" ht="19.95" customHeight="1" x14ac:dyDescent="0.25">
      <c r="A385" s="9" t="s">
        <v>28</v>
      </c>
      <c r="B385" s="10" t="s">
        <v>40</v>
      </c>
      <c r="C385" s="10">
        <v>112.4</v>
      </c>
      <c r="D385" s="10">
        <v>1973</v>
      </c>
    </row>
    <row r="386" spans="1:4" ht="19.95" customHeight="1" x14ac:dyDescent="0.25">
      <c r="A386" s="9" t="s">
        <v>29</v>
      </c>
      <c r="B386" s="10" t="s">
        <v>40</v>
      </c>
      <c r="C386" s="10">
        <v>165.2</v>
      </c>
      <c r="D386" s="10">
        <v>1973</v>
      </c>
    </row>
    <row r="387" spans="1:4" ht="19.95" customHeight="1" x14ac:dyDescent="0.25">
      <c r="A387" s="9" t="s">
        <v>30</v>
      </c>
      <c r="B387" s="10" t="s">
        <v>40</v>
      </c>
      <c r="C387" s="10">
        <v>107.5</v>
      </c>
      <c r="D387" s="10">
        <v>1973</v>
      </c>
    </row>
    <row r="388" spans="1:4" ht="19.95" customHeight="1" x14ac:dyDescent="0.25">
      <c r="A388" s="9" t="s">
        <v>31</v>
      </c>
      <c r="B388" s="10" t="s">
        <v>40</v>
      </c>
      <c r="C388" s="10">
        <v>134.6</v>
      </c>
      <c r="D388" s="10">
        <v>1973</v>
      </c>
    </row>
    <row r="389" spans="1:4" ht="19.95" customHeight="1" x14ac:dyDescent="0.25">
      <c r="A389" s="9" t="s">
        <v>32</v>
      </c>
      <c r="B389" s="10" t="s">
        <v>40</v>
      </c>
      <c r="C389" s="10">
        <v>138.19999999999999</v>
      </c>
      <c r="D389" s="10">
        <v>1973</v>
      </c>
    </row>
    <row r="390" spans="1:4" ht="19.95" customHeight="1" x14ac:dyDescent="0.25">
      <c r="A390" s="9" t="s">
        <v>33</v>
      </c>
      <c r="B390" s="10" t="s">
        <v>40</v>
      </c>
      <c r="C390" s="10">
        <v>57.4</v>
      </c>
      <c r="D390" s="10">
        <v>1973</v>
      </c>
    </row>
    <row r="391" spans="1:4" ht="19.95" customHeight="1" x14ac:dyDescent="0.25">
      <c r="A391" s="9" t="s">
        <v>34</v>
      </c>
      <c r="B391" s="10" t="s">
        <v>40</v>
      </c>
      <c r="C391" s="10">
        <v>51.7</v>
      </c>
      <c r="D391" s="10">
        <v>1973</v>
      </c>
    </row>
    <row r="392" spans="1:4" ht="19.95" customHeight="1" x14ac:dyDescent="0.25">
      <c r="A392" s="9" t="s">
        <v>35</v>
      </c>
      <c r="B392" s="10" t="s">
        <v>40</v>
      </c>
      <c r="C392" s="10">
        <v>115.2</v>
      </c>
      <c r="D392" s="10">
        <v>1973</v>
      </c>
    </row>
    <row r="393" spans="1:4" ht="19.95" customHeight="1" x14ac:dyDescent="0.25">
      <c r="A393" s="9" t="s">
        <v>36</v>
      </c>
      <c r="B393" s="10" t="s">
        <v>40</v>
      </c>
      <c r="C393" s="10">
        <v>120.2</v>
      </c>
      <c r="D393" s="10">
        <v>1973</v>
      </c>
    </row>
    <row r="394" spans="1:4" ht="19.95" customHeight="1" x14ac:dyDescent="0.25">
      <c r="A394" s="9" t="s">
        <v>37</v>
      </c>
      <c r="B394" s="10" t="s">
        <v>40</v>
      </c>
      <c r="C394" s="10">
        <v>114.1</v>
      </c>
      <c r="D394" s="10">
        <v>1973</v>
      </c>
    </row>
    <row r="395" spans="1:4" ht="19.95" customHeight="1" x14ac:dyDescent="0.25">
      <c r="A395" s="9" t="s">
        <v>38</v>
      </c>
      <c r="B395" s="10" t="s">
        <v>40</v>
      </c>
      <c r="C395" s="10">
        <v>100.3</v>
      </c>
      <c r="D395" s="10">
        <v>1973</v>
      </c>
    </row>
    <row r="396" spans="1:4" ht="19.95" customHeight="1" x14ac:dyDescent="0.25">
      <c r="A396" s="9" t="s">
        <v>39</v>
      </c>
      <c r="B396" s="10" t="s">
        <v>40</v>
      </c>
      <c r="C396" s="10">
        <v>70.599999999999994</v>
      </c>
      <c r="D396" s="10">
        <v>1973</v>
      </c>
    </row>
    <row r="397" spans="1:4" ht="19.95" customHeight="1" x14ac:dyDescent="0.25">
      <c r="A397" s="9" t="s">
        <v>9</v>
      </c>
      <c r="B397" s="10" t="s">
        <v>40</v>
      </c>
      <c r="C397" s="10">
        <v>147.9</v>
      </c>
      <c r="D397" s="10">
        <v>1974</v>
      </c>
    </row>
    <row r="398" spans="1:4" ht="19.95" customHeight="1" x14ac:dyDescent="0.25">
      <c r="A398" s="9" t="s">
        <v>12</v>
      </c>
      <c r="B398" s="10" t="s">
        <v>40</v>
      </c>
      <c r="C398" s="10">
        <v>114.5</v>
      </c>
      <c r="D398" s="10">
        <v>1974</v>
      </c>
    </row>
    <row r="399" spans="1:4" ht="19.95" customHeight="1" x14ac:dyDescent="0.25">
      <c r="A399" s="9" t="s">
        <v>13</v>
      </c>
      <c r="B399" s="10" t="s">
        <v>40</v>
      </c>
      <c r="C399" s="10">
        <v>127</v>
      </c>
      <c r="D399" s="10">
        <v>1974</v>
      </c>
    </row>
    <row r="400" spans="1:4" ht="19.95" customHeight="1" x14ac:dyDescent="0.25">
      <c r="A400" s="9" t="s">
        <v>15</v>
      </c>
      <c r="B400" s="10" t="s">
        <v>40</v>
      </c>
      <c r="C400" s="10">
        <v>138.4</v>
      </c>
      <c r="D400" s="10">
        <v>1974</v>
      </c>
    </row>
    <row r="401" spans="1:4" ht="19.95" customHeight="1" x14ac:dyDescent="0.25">
      <c r="A401" s="9" t="s">
        <v>16</v>
      </c>
      <c r="B401" s="10" t="s">
        <v>40</v>
      </c>
      <c r="C401" s="10"/>
      <c r="D401" s="10">
        <v>1974</v>
      </c>
    </row>
    <row r="402" spans="1:4" ht="19.95" customHeight="1" x14ac:dyDescent="0.25">
      <c r="A402" s="9" t="s">
        <v>1</v>
      </c>
      <c r="B402" s="10" t="s">
        <v>40</v>
      </c>
      <c r="C402" s="10">
        <v>143.19999999999999</v>
      </c>
      <c r="D402" s="10">
        <v>1974</v>
      </c>
    </row>
    <row r="403" spans="1:4" ht="19.95" customHeight="1" x14ac:dyDescent="0.25">
      <c r="A403" s="9" t="s">
        <v>17</v>
      </c>
      <c r="B403" s="10" t="s">
        <v>40</v>
      </c>
      <c r="C403" s="10">
        <v>183.9</v>
      </c>
      <c r="D403" s="10">
        <v>1974</v>
      </c>
    </row>
    <row r="404" spans="1:4" ht="19.95" customHeight="1" x14ac:dyDescent="0.25">
      <c r="A404" s="9" t="s">
        <v>18</v>
      </c>
      <c r="B404" s="10" t="s">
        <v>40</v>
      </c>
      <c r="C404" s="10">
        <v>146.80000000000001</v>
      </c>
      <c r="D404" s="10">
        <v>1974</v>
      </c>
    </row>
    <row r="405" spans="1:4" ht="19.95" customHeight="1" x14ac:dyDescent="0.25">
      <c r="A405" s="9" t="s">
        <v>19</v>
      </c>
      <c r="B405" s="10" t="s">
        <v>40</v>
      </c>
      <c r="C405" s="10">
        <v>84</v>
      </c>
      <c r="D405" s="10">
        <v>1974</v>
      </c>
    </row>
    <row r="406" spans="1:4" ht="19.95" customHeight="1" x14ac:dyDescent="0.25">
      <c r="A406" s="9" t="s">
        <v>20</v>
      </c>
      <c r="B406" s="10" t="s">
        <v>40</v>
      </c>
      <c r="C406" s="10"/>
      <c r="D406" s="10">
        <v>1974</v>
      </c>
    </row>
    <row r="407" spans="1:4" ht="19.95" customHeight="1" x14ac:dyDescent="0.25">
      <c r="A407" s="9" t="s">
        <v>21</v>
      </c>
      <c r="B407" s="10" t="s">
        <v>40</v>
      </c>
      <c r="C407" s="10">
        <v>177.7</v>
      </c>
      <c r="D407" s="10">
        <v>1974</v>
      </c>
    </row>
    <row r="408" spans="1:4" ht="19.95" customHeight="1" x14ac:dyDescent="0.25">
      <c r="A408" s="9" t="s">
        <v>22</v>
      </c>
      <c r="B408" s="10" t="s">
        <v>40</v>
      </c>
      <c r="C408" s="10">
        <v>97.6</v>
      </c>
      <c r="D408" s="10">
        <v>1974</v>
      </c>
    </row>
    <row r="409" spans="1:4" ht="19.95" customHeight="1" x14ac:dyDescent="0.25">
      <c r="A409" s="9" t="s">
        <v>23</v>
      </c>
      <c r="B409" s="10" t="s">
        <v>40</v>
      </c>
      <c r="C409" s="10">
        <v>185.1</v>
      </c>
      <c r="D409" s="10">
        <v>1974</v>
      </c>
    </row>
    <row r="410" spans="1:4" ht="19.95" customHeight="1" x14ac:dyDescent="0.25">
      <c r="A410" s="9" t="s">
        <v>24</v>
      </c>
      <c r="B410" s="10" t="s">
        <v>40</v>
      </c>
      <c r="C410" s="10">
        <v>184</v>
      </c>
      <c r="D410" s="10">
        <v>1974</v>
      </c>
    </row>
    <row r="411" spans="1:4" ht="19.95" customHeight="1" x14ac:dyDescent="0.25">
      <c r="A411" s="9" t="s">
        <v>25</v>
      </c>
      <c r="B411" s="10" t="s">
        <v>40</v>
      </c>
      <c r="C411" s="10">
        <v>45.8</v>
      </c>
      <c r="D411" s="10">
        <v>1974</v>
      </c>
    </row>
    <row r="412" spans="1:4" ht="19.95" customHeight="1" x14ac:dyDescent="0.25">
      <c r="A412" s="9" t="s">
        <v>26</v>
      </c>
      <c r="B412" s="10" t="s">
        <v>40</v>
      </c>
      <c r="C412" s="10">
        <v>178.9</v>
      </c>
      <c r="D412" s="10">
        <v>1974</v>
      </c>
    </row>
    <row r="413" spans="1:4" ht="19.95" customHeight="1" x14ac:dyDescent="0.25">
      <c r="A413" s="9" t="s">
        <v>28</v>
      </c>
      <c r="B413" s="10" t="s">
        <v>40</v>
      </c>
      <c r="C413" s="10">
        <v>110.4</v>
      </c>
      <c r="D413" s="10">
        <v>1974</v>
      </c>
    </row>
    <row r="414" spans="1:4" ht="19.95" customHeight="1" x14ac:dyDescent="0.25">
      <c r="A414" s="9" t="s">
        <v>29</v>
      </c>
      <c r="B414" s="10" t="s">
        <v>40</v>
      </c>
      <c r="C414" s="10">
        <v>161.6</v>
      </c>
      <c r="D414" s="10">
        <v>1974</v>
      </c>
    </row>
    <row r="415" spans="1:4" ht="19.95" customHeight="1" x14ac:dyDescent="0.25">
      <c r="A415" s="9" t="s">
        <v>30</v>
      </c>
      <c r="B415" s="10" t="s">
        <v>40</v>
      </c>
      <c r="C415" s="10">
        <v>103.9</v>
      </c>
      <c r="D415" s="10">
        <v>1974</v>
      </c>
    </row>
    <row r="416" spans="1:4" ht="19.95" customHeight="1" x14ac:dyDescent="0.25">
      <c r="A416" s="9" t="s">
        <v>31</v>
      </c>
      <c r="B416" s="10" t="s">
        <v>40</v>
      </c>
      <c r="C416" s="10">
        <v>135</v>
      </c>
      <c r="D416" s="10">
        <v>1974</v>
      </c>
    </row>
    <row r="417" spans="1:4" ht="19.95" customHeight="1" x14ac:dyDescent="0.25">
      <c r="A417" s="9" t="s">
        <v>32</v>
      </c>
      <c r="B417" s="10" t="s">
        <v>40</v>
      </c>
      <c r="C417" s="10">
        <v>141.69999999999999</v>
      </c>
      <c r="D417" s="10">
        <v>1974</v>
      </c>
    </row>
    <row r="418" spans="1:4" ht="19.95" customHeight="1" x14ac:dyDescent="0.25">
      <c r="A418" s="9" t="s">
        <v>33</v>
      </c>
      <c r="B418" s="10" t="s">
        <v>40</v>
      </c>
      <c r="C418" s="10">
        <v>57.8</v>
      </c>
      <c r="D418" s="10">
        <v>1974</v>
      </c>
    </row>
    <row r="419" spans="1:4" ht="19.95" customHeight="1" x14ac:dyDescent="0.25">
      <c r="A419" s="9" t="s">
        <v>34</v>
      </c>
      <c r="B419" s="10" t="s">
        <v>40</v>
      </c>
      <c r="C419" s="10">
        <v>50.7</v>
      </c>
      <c r="D419" s="10">
        <v>1974</v>
      </c>
    </row>
    <row r="420" spans="1:4" ht="19.95" customHeight="1" x14ac:dyDescent="0.25">
      <c r="A420" s="9" t="s">
        <v>35</v>
      </c>
      <c r="B420" s="10" t="s">
        <v>40</v>
      </c>
      <c r="C420" s="10">
        <v>111.6</v>
      </c>
      <c r="D420" s="10">
        <v>1974</v>
      </c>
    </row>
    <row r="421" spans="1:4" ht="19.95" customHeight="1" x14ac:dyDescent="0.25">
      <c r="A421" s="9" t="s">
        <v>36</v>
      </c>
      <c r="B421" s="10" t="s">
        <v>40</v>
      </c>
      <c r="C421" s="10">
        <v>118</v>
      </c>
      <c r="D421" s="10">
        <v>1974</v>
      </c>
    </row>
    <row r="422" spans="1:4" ht="19.95" customHeight="1" x14ac:dyDescent="0.25">
      <c r="A422" s="9" t="s">
        <v>37</v>
      </c>
      <c r="B422" s="10" t="s">
        <v>40</v>
      </c>
      <c r="C422" s="10">
        <v>115.6</v>
      </c>
      <c r="D422" s="10">
        <v>1974</v>
      </c>
    </row>
    <row r="423" spans="1:4" ht="19.95" customHeight="1" x14ac:dyDescent="0.25">
      <c r="A423" s="9" t="s">
        <v>38</v>
      </c>
      <c r="B423" s="10" t="s">
        <v>40</v>
      </c>
      <c r="C423" s="10">
        <v>97.9</v>
      </c>
      <c r="D423" s="10">
        <v>1974</v>
      </c>
    </row>
    <row r="424" spans="1:4" ht="19.95" customHeight="1" x14ac:dyDescent="0.25">
      <c r="A424" s="9" t="s">
        <v>39</v>
      </c>
      <c r="B424" s="10" t="s">
        <v>40</v>
      </c>
      <c r="C424" s="10">
        <v>70.599999999999994</v>
      </c>
      <c r="D424" s="10">
        <v>1974</v>
      </c>
    </row>
    <row r="425" spans="1:4" ht="19.95" customHeight="1" x14ac:dyDescent="0.25">
      <c r="A425" s="9" t="s">
        <v>9</v>
      </c>
      <c r="B425" s="10" t="s">
        <v>40</v>
      </c>
      <c r="C425" s="10">
        <v>148.19999999999999</v>
      </c>
      <c r="D425" s="10">
        <v>1975</v>
      </c>
    </row>
    <row r="426" spans="1:4" ht="19.95" customHeight="1" x14ac:dyDescent="0.25">
      <c r="A426" s="9" t="s">
        <v>12</v>
      </c>
      <c r="B426" s="10" t="s">
        <v>40</v>
      </c>
      <c r="C426" s="10">
        <v>113.9</v>
      </c>
      <c r="D426" s="10">
        <v>1975</v>
      </c>
    </row>
    <row r="427" spans="1:4" ht="19.95" customHeight="1" x14ac:dyDescent="0.25">
      <c r="A427" s="9" t="s">
        <v>13</v>
      </c>
      <c r="B427" s="10" t="s">
        <v>40</v>
      </c>
      <c r="C427" s="10">
        <v>126.4</v>
      </c>
      <c r="D427" s="10">
        <v>1975</v>
      </c>
    </row>
    <row r="428" spans="1:4" ht="19.95" customHeight="1" x14ac:dyDescent="0.25">
      <c r="A428" s="9" t="s">
        <v>15</v>
      </c>
      <c r="B428" s="10" t="s">
        <v>40</v>
      </c>
      <c r="C428" s="10">
        <v>135.30000000000001</v>
      </c>
      <c r="D428" s="10">
        <v>1975</v>
      </c>
    </row>
    <row r="429" spans="1:4" ht="19.95" customHeight="1" x14ac:dyDescent="0.25">
      <c r="A429" s="9" t="s">
        <v>16</v>
      </c>
      <c r="B429" s="10" t="s">
        <v>40</v>
      </c>
      <c r="C429" s="10"/>
      <c r="D429" s="10">
        <v>1975</v>
      </c>
    </row>
    <row r="430" spans="1:4" ht="19.95" customHeight="1" x14ac:dyDescent="0.25">
      <c r="A430" s="9" t="s">
        <v>1</v>
      </c>
      <c r="B430" s="10" t="s">
        <v>40</v>
      </c>
      <c r="C430" s="10">
        <v>143.19999999999999</v>
      </c>
      <c r="D430" s="10">
        <v>1975</v>
      </c>
    </row>
    <row r="431" spans="1:4" ht="19.95" customHeight="1" x14ac:dyDescent="0.25">
      <c r="A431" s="9" t="s">
        <v>17</v>
      </c>
      <c r="B431" s="10" t="s">
        <v>40</v>
      </c>
      <c r="C431" s="10">
        <v>181.4</v>
      </c>
      <c r="D431" s="10">
        <v>1975</v>
      </c>
    </row>
    <row r="432" spans="1:4" ht="19.95" customHeight="1" x14ac:dyDescent="0.25">
      <c r="A432" s="9" t="s">
        <v>18</v>
      </c>
      <c r="B432" s="10" t="s">
        <v>40</v>
      </c>
      <c r="C432" s="10">
        <v>143.5</v>
      </c>
      <c r="D432" s="10">
        <v>1975</v>
      </c>
    </row>
    <row r="433" spans="1:4" ht="19.95" customHeight="1" x14ac:dyDescent="0.25">
      <c r="A433" s="9" t="s">
        <v>19</v>
      </c>
      <c r="B433" s="10" t="s">
        <v>40</v>
      </c>
      <c r="C433" s="10">
        <v>81.599999999999994</v>
      </c>
      <c r="D433" s="10">
        <v>1975</v>
      </c>
    </row>
    <row r="434" spans="1:4" ht="19.95" customHeight="1" x14ac:dyDescent="0.25">
      <c r="A434" s="9" t="s">
        <v>20</v>
      </c>
      <c r="B434" s="10" t="s">
        <v>40</v>
      </c>
      <c r="C434" s="10"/>
      <c r="D434" s="10">
        <v>1975</v>
      </c>
    </row>
    <row r="435" spans="1:4" ht="19.95" customHeight="1" x14ac:dyDescent="0.25">
      <c r="A435" s="9" t="s">
        <v>21</v>
      </c>
      <c r="B435" s="10" t="s">
        <v>40</v>
      </c>
      <c r="C435" s="10">
        <v>174.5</v>
      </c>
      <c r="D435" s="10">
        <v>1975</v>
      </c>
    </row>
    <row r="436" spans="1:4" ht="19.95" customHeight="1" x14ac:dyDescent="0.25">
      <c r="A436" s="9" t="s">
        <v>22</v>
      </c>
      <c r="B436" s="10" t="s">
        <v>40</v>
      </c>
      <c r="C436" s="10">
        <v>99.1</v>
      </c>
      <c r="D436" s="10">
        <v>1975</v>
      </c>
    </row>
    <row r="437" spans="1:4" ht="19.95" customHeight="1" x14ac:dyDescent="0.25">
      <c r="A437" s="9" t="s">
        <v>23</v>
      </c>
      <c r="B437" s="10" t="s">
        <v>40</v>
      </c>
      <c r="C437" s="10">
        <v>179.4</v>
      </c>
      <c r="D437" s="10">
        <v>1975</v>
      </c>
    </row>
    <row r="438" spans="1:4" ht="19.95" customHeight="1" x14ac:dyDescent="0.25">
      <c r="A438" s="9" t="s">
        <v>24</v>
      </c>
      <c r="B438" s="10" t="s">
        <v>40</v>
      </c>
      <c r="C438" s="10">
        <v>180.3</v>
      </c>
      <c r="D438" s="10">
        <v>1975</v>
      </c>
    </row>
    <row r="439" spans="1:4" ht="19.95" customHeight="1" x14ac:dyDescent="0.25">
      <c r="A439" s="9" t="s">
        <v>25</v>
      </c>
      <c r="B439" s="10" t="s">
        <v>40</v>
      </c>
      <c r="C439" s="10">
        <v>44.7</v>
      </c>
      <c r="D439" s="10">
        <v>1975</v>
      </c>
    </row>
    <row r="440" spans="1:4" ht="19.95" customHeight="1" x14ac:dyDescent="0.25">
      <c r="A440" s="9" t="s">
        <v>26</v>
      </c>
      <c r="B440" s="10" t="s">
        <v>40</v>
      </c>
      <c r="C440" s="10">
        <v>177.8</v>
      </c>
      <c r="D440" s="10">
        <v>1975</v>
      </c>
    </row>
    <row r="441" spans="1:4" ht="19.95" customHeight="1" x14ac:dyDescent="0.25">
      <c r="A441" s="9" t="s">
        <v>28</v>
      </c>
      <c r="B441" s="10" t="s">
        <v>40</v>
      </c>
      <c r="C441" s="10">
        <v>108.1</v>
      </c>
      <c r="D441" s="10">
        <v>1975</v>
      </c>
    </row>
    <row r="442" spans="1:4" ht="19.95" customHeight="1" x14ac:dyDescent="0.25">
      <c r="A442" s="9" t="s">
        <v>29</v>
      </c>
      <c r="B442" s="10" t="s">
        <v>40</v>
      </c>
      <c r="C442" s="10">
        <v>158.19999999999999</v>
      </c>
      <c r="D442" s="10">
        <v>1975</v>
      </c>
    </row>
    <row r="443" spans="1:4" ht="19.95" customHeight="1" x14ac:dyDescent="0.25">
      <c r="A443" s="9" t="s">
        <v>30</v>
      </c>
      <c r="B443" s="10" t="s">
        <v>40</v>
      </c>
      <c r="C443" s="10">
        <v>99.8</v>
      </c>
      <c r="D443" s="10">
        <v>1975</v>
      </c>
    </row>
    <row r="444" spans="1:4" ht="19.95" customHeight="1" x14ac:dyDescent="0.25">
      <c r="A444" s="9" t="s">
        <v>31</v>
      </c>
      <c r="B444" s="10" t="s">
        <v>40</v>
      </c>
      <c r="C444" s="10">
        <v>134.80000000000001</v>
      </c>
      <c r="D444" s="10">
        <v>1975</v>
      </c>
    </row>
    <row r="445" spans="1:4" ht="19.95" customHeight="1" x14ac:dyDescent="0.25">
      <c r="A445" s="9" t="s">
        <v>32</v>
      </c>
      <c r="B445" s="10" t="s">
        <v>40</v>
      </c>
      <c r="C445" s="10">
        <v>145</v>
      </c>
      <c r="D445" s="10">
        <v>1975</v>
      </c>
    </row>
    <row r="446" spans="1:4" ht="19.95" customHeight="1" x14ac:dyDescent="0.25">
      <c r="A446" s="9" t="s">
        <v>33</v>
      </c>
      <c r="B446" s="10" t="s">
        <v>40</v>
      </c>
      <c r="C446" s="10">
        <v>58.1</v>
      </c>
      <c r="D446" s="10">
        <v>1975</v>
      </c>
    </row>
    <row r="447" spans="1:4" ht="19.95" customHeight="1" x14ac:dyDescent="0.25">
      <c r="A447" s="9" t="s">
        <v>34</v>
      </c>
      <c r="B447" s="10" t="s">
        <v>40</v>
      </c>
      <c r="C447" s="10">
        <v>49.5</v>
      </c>
      <c r="D447" s="10">
        <v>1975</v>
      </c>
    </row>
    <row r="448" spans="1:4" ht="19.95" customHeight="1" x14ac:dyDescent="0.25">
      <c r="A448" s="9" t="s">
        <v>35</v>
      </c>
      <c r="B448" s="10" t="s">
        <v>40</v>
      </c>
      <c r="C448" s="10">
        <v>108.3</v>
      </c>
      <c r="D448" s="10">
        <v>1975</v>
      </c>
    </row>
    <row r="449" spans="1:4" ht="19.95" customHeight="1" x14ac:dyDescent="0.25">
      <c r="A449" s="9" t="s">
        <v>36</v>
      </c>
      <c r="B449" s="10" t="s">
        <v>40</v>
      </c>
      <c r="C449" s="10">
        <v>115.7</v>
      </c>
      <c r="D449" s="10">
        <v>1975</v>
      </c>
    </row>
    <row r="450" spans="1:4" ht="19.95" customHeight="1" x14ac:dyDescent="0.25">
      <c r="A450" s="9" t="s">
        <v>37</v>
      </c>
      <c r="B450" s="10" t="s">
        <v>40</v>
      </c>
      <c r="C450" s="10">
        <v>117.5</v>
      </c>
      <c r="D450" s="10">
        <v>1975</v>
      </c>
    </row>
    <row r="451" spans="1:4" ht="19.95" customHeight="1" x14ac:dyDescent="0.25">
      <c r="A451" s="9" t="s">
        <v>38</v>
      </c>
      <c r="B451" s="10" t="s">
        <v>40</v>
      </c>
      <c r="C451" s="10">
        <v>96.1</v>
      </c>
      <c r="D451" s="10">
        <v>1975</v>
      </c>
    </row>
    <row r="452" spans="1:4" ht="19.95" customHeight="1" x14ac:dyDescent="0.25">
      <c r="A452" s="9" t="s">
        <v>39</v>
      </c>
      <c r="B452" s="10" t="s">
        <v>40</v>
      </c>
      <c r="C452" s="10">
        <v>70.599999999999994</v>
      </c>
      <c r="D452" s="10">
        <v>1975</v>
      </c>
    </row>
    <row r="453" spans="1:4" ht="19.95" customHeight="1" x14ac:dyDescent="0.25">
      <c r="A453" s="9" t="s">
        <v>9</v>
      </c>
      <c r="B453" s="10" t="s">
        <v>40</v>
      </c>
      <c r="C453" s="10">
        <v>147.69999999999999</v>
      </c>
      <c r="D453" s="10">
        <v>1976</v>
      </c>
    </row>
    <row r="454" spans="1:4" ht="19.95" customHeight="1" x14ac:dyDescent="0.25">
      <c r="A454" s="9" t="s">
        <v>12</v>
      </c>
      <c r="B454" s="10" t="s">
        <v>40</v>
      </c>
      <c r="C454" s="10">
        <v>113.7</v>
      </c>
      <c r="D454" s="10">
        <v>1976</v>
      </c>
    </row>
    <row r="455" spans="1:4" ht="19.95" customHeight="1" x14ac:dyDescent="0.25">
      <c r="A455" s="9" t="s">
        <v>13</v>
      </c>
      <c r="B455" s="10" t="s">
        <v>40</v>
      </c>
      <c r="C455" s="10">
        <v>125.9</v>
      </c>
      <c r="D455" s="10">
        <v>1976</v>
      </c>
    </row>
    <row r="456" spans="1:4" ht="19.95" customHeight="1" x14ac:dyDescent="0.25">
      <c r="A456" s="9" t="s">
        <v>15</v>
      </c>
      <c r="B456" s="10" t="s">
        <v>40</v>
      </c>
      <c r="C456" s="10">
        <v>132.1</v>
      </c>
      <c r="D456" s="10">
        <v>1976</v>
      </c>
    </row>
    <row r="457" spans="1:4" ht="19.95" customHeight="1" x14ac:dyDescent="0.25">
      <c r="A457" s="9" t="s">
        <v>16</v>
      </c>
      <c r="B457" s="10" t="s">
        <v>40</v>
      </c>
      <c r="C457" s="10">
        <v>130</v>
      </c>
      <c r="D457" s="10">
        <v>1976</v>
      </c>
    </row>
    <row r="458" spans="1:4" ht="19.95" customHeight="1" x14ac:dyDescent="0.25">
      <c r="A458" s="9" t="s">
        <v>1</v>
      </c>
      <c r="B458" s="10" t="s">
        <v>40</v>
      </c>
      <c r="C458" s="10">
        <v>143.19999999999999</v>
      </c>
      <c r="D458" s="10">
        <v>1976</v>
      </c>
    </row>
    <row r="459" spans="1:4" ht="19.95" customHeight="1" x14ac:dyDescent="0.25">
      <c r="A459" s="9" t="s">
        <v>17</v>
      </c>
      <c r="B459" s="10" t="s">
        <v>40</v>
      </c>
      <c r="C459" s="10">
        <v>178.8</v>
      </c>
      <c r="D459" s="10">
        <v>1976</v>
      </c>
    </row>
    <row r="460" spans="1:4" ht="19.95" customHeight="1" x14ac:dyDescent="0.25">
      <c r="A460" s="9" t="s">
        <v>18</v>
      </c>
      <c r="B460" s="10" t="s">
        <v>40</v>
      </c>
      <c r="C460" s="10">
        <v>140.19999999999999</v>
      </c>
      <c r="D460" s="10">
        <v>1976</v>
      </c>
    </row>
    <row r="461" spans="1:4" ht="19.95" customHeight="1" x14ac:dyDescent="0.25">
      <c r="A461" s="9" t="s">
        <v>19</v>
      </c>
      <c r="B461" s="10" t="s">
        <v>40</v>
      </c>
      <c r="C461" s="10">
        <v>79.2</v>
      </c>
      <c r="D461" s="10">
        <v>1976</v>
      </c>
    </row>
    <row r="462" spans="1:4" ht="19.95" customHeight="1" x14ac:dyDescent="0.25">
      <c r="A462" s="9" t="s">
        <v>20</v>
      </c>
      <c r="B462" s="10" t="s">
        <v>40</v>
      </c>
      <c r="C462" s="10"/>
      <c r="D462" s="10">
        <v>1976</v>
      </c>
    </row>
    <row r="463" spans="1:4" ht="19.95" customHeight="1" x14ac:dyDescent="0.25">
      <c r="A463" s="9" t="s">
        <v>21</v>
      </c>
      <c r="B463" s="10" t="s">
        <v>40</v>
      </c>
      <c r="C463" s="10">
        <v>171.5</v>
      </c>
      <c r="D463" s="10">
        <v>1976</v>
      </c>
    </row>
    <row r="464" spans="1:4" ht="19.95" customHeight="1" x14ac:dyDescent="0.25">
      <c r="A464" s="9" t="s">
        <v>22</v>
      </c>
      <c r="B464" s="10" t="s">
        <v>40</v>
      </c>
      <c r="C464" s="10">
        <v>100.4</v>
      </c>
      <c r="D464" s="10">
        <v>1976</v>
      </c>
    </row>
    <row r="465" spans="1:4" ht="19.95" customHeight="1" x14ac:dyDescent="0.25">
      <c r="A465" s="9" t="s">
        <v>23</v>
      </c>
      <c r="B465" s="10" t="s">
        <v>40</v>
      </c>
      <c r="C465" s="10">
        <v>173.5</v>
      </c>
      <c r="D465" s="10">
        <v>1976</v>
      </c>
    </row>
    <row r="466" spans="1:4" ht="19.95" customHeight="1" x14ac:dyDescent="0.25">
      <c r="A466" s="9" t="s">
        <v>24</v>
      </c>
      <c r="B466" s="10" t="s">
        <v>40</v>
      </c>
      <c r="C466" s="10">
        <v>176.3</v>
      </c>
      <c r="D466" s="10">
        <v>1976</v>
      </c>
    </row>
    <row r="467" spans="1:4" ht="19.95" customHeight="1" x14ac:dyDescent="0.25">
      <c r="A467" s="9" t="s">
        <v>25</v>
      </c>
      <c r="B467" s="10" t="s">
        <v>40</v>
      </c>
      <c r="C467" s="10">
        <v>43.5</v>
      </c>
      <c r="D467" s="10">
        <v>1976</v>
      </c>
    </row>
    <row r="468" spans="1:4" ht="19.95" customHeight="1" x14ac:dyDescent="0.25">
      <c r="A468" s="9" t="s">
        <v>26</v>
      </c>
      <c r="B468" s="10" t="s">
        <v>40</v>
      </c>
      <c r="C468" s="10">
        <v>176.8</v>
      </c>
      <c r="D468" s="10">
        <v>1976</v>
      </c>
    </row>
    <row r="469" spans="1:4" ht="19.95" customHeight="1" x14ac:dyDescent="0.25">
      <c r="A469" s="9" t="s">
        <v>28</v>
      </c>
      <c r="B469" s="10" t="s">
        <v>40</v>
      </c>
      <c r="C469" s="10">
        <v>106</v>
      </c>
      <c r="D469" s="10">
        <v>1976</v>
      </c>
    </row>
    <row r="470" spans="1:4" ht="19.95" customHeight="1" x14ac:dyDescent="0.25">
      <c r="A470" s="9" t="s">
        <v>29</v>
      </c>
      <c r="B470" s="10" t="s">
        <v>40</v>
      </c>
      <c r="C470" s="10">
        <v>154.69999999999999</v>
      </c>
      <c r="D470" s="10">
        <v>1976</v>
      </c>
    </row>
    <row r="471" spans="1:4" ht="19.95" customHeight="1" x14ac:dyDescent="0.25">
      <c r="A471" s="9" t="s">
        <v>30</v>
      </c>
      <c r="B471" s="10" t="s">
        <v>40</v>
      </c>
      <c r="C471" s="10">
        <v>95.4</v>
      </c>
      <c r="D471" s="10">
        <v>1976</v>
      </c>
    </row>
    <row r="472" spans="1:4" ht="19.95" customHeight="1" x14ac:dyDescent="0.25">
      <c r="A472" s="9" t="s">
        <v>31</v>
      </c>
      <c r="B472" s="10" t="s">
        <v>40</v>
      </c>
      <c r="C472" s="10">
        <v>134</v>
      </c>
      <c r="D472" s="10">
        <v>1976</v>
      </c>
    </row>
    <row r="473" spans="1:4" ht="19.95" customHeight="1" x14ac:dyDescent="0.25">
      <c r="A473" s="9" t="s">
        <v>32</v>
      </c>
      <c r="B473" s="10" t="s">
        <v>40</v>
      </c>
      <c r="C473" s="10">
        <v>147.30000000000001</v>
      </c>
      <c r="D473" s="10">
        <v>1976</v>
      </c>
    </row>
    <row r="474" spans="1:4" ht="19.95" customHeight="1" x14ac:dyDescent="0.25">
      <c r="A474" s="9" t="s">
        <v>33</v>
      </c>
      <c r="B474" s="10" t="s">
        <v>40</v>
      </c>
      <c r="C474" s="10">
        <v>58.3</v>
      </c>
      <c r="D474" s="10">
        <v>1976</v>
      </c>
    </row>
    <row r="475" spans="1:4" ht="19.95" customHeight="1" x14ac:dyDescent="0.25">
      <c r="A475" s="9" t="s">
        <v>34</v>
      </c>
      <c r="B475" s="10" t="s">
        <v>40</v>
      </c>
      <c r="C475" s="10">
        <v>48</v>
      </c>
      <c r="D475" s="10">
        <v>1976</v>
      </c>
    </row>
    <row r="476" spans="1:4" ht="19.95" customHeight="1" x14ac:dyDescent="0.25">
      <c r="A476" s="9" t="s">
        <v>35</v>
      </c>
      <c r="B476" s="10" t="s">
        <v>40</v>
      </c>
      <c r="C476" s="10">
        <v>105.5</v>
      </c>
      <c r="D476" s="10">
        <v>1976</v>
      </c>
    </row>
    <row r="477" spans="1:4" ht="19.95" customHeight="1" x14ac:dyDescent="0.25">
      <c r="A477" s="9" t="s">
        <v>36</v>
      </c>
      <c r="B477" s="10" t="s">
        <v>40</v>
      </c>
      <c r="C477" s="10">
        <v>113.5</v>
      </c>
      <c r="D477" s="10">
        <v>1976</v>
      </c>
    </row>
    <row r="478" spans="1:4" ht="19.95" customHeight="1" x14ac:dyDescent="0.25">
      <c r="A478" s="9" t="s">
        <v>37</v>
      </c>
      <c r="B478" s="10" t="s">
        <v>40</v>
      </c>
      <c r="C478" s="10">
        <v>119.7</v>
      </c>
      <c r="D478" s="10">
        <v>1976</v>
      </c>
    </row>
    <row r="479" spans="1:4" ht="19.95" customHeight="1" x14ac:dyDescent="0.25">
      <c r="A479" s="9" t="s">
        <v>38</v>
      </c>
      <c r="B479" s="10" t="s">
        <v>40</v>
      </c>
      <c r="C479" s="10">
        <v>95.1</v>
      </c>
      <c r="D479" s="10">
        <v>1976</v>
      </c>
    </row>
    <row r="480" spans="1:4" ht="19.95" customHeight="1" x14ac:dyDescent="0.25">
      <c r="A480" s="9" t="s">
        <v>39</v>
      </c>
      <c r="B480" s="10" t="s">
        <v>40</v>
      </c>
      <c r="C480" s="10">
        <v>70.5</v>
      </c>
      <c r="D480" s="10">
        <v>1976</v>
      </c>
    </row>
    <row r="481" spans="1:4" ht="19.95" customHeight="1" x14ac:dyDescent="0.25">
      <c r="A481" s="9" t="s">
        <v>9</v>
      </c>
      <c r="B481" s="10" t="s">
        <v>40</v>
      </c>
      <c r="C481" s="10">
        <v>146.1</v>
      </c>
      <c r="D481" s="10">
        <v>1977</v>
      </c>
    </row>
    <row r="482" spans="1:4" ht="19.95" customHeight="1" x14ac:dyDescent="0.25">
      <c r="A482" s="9" t="s">
        <v>12</v>
      </c>
      <c r="B482" s="10" t="s">
        <v>40</v>
      </c>
      <c r="C482" s="10">
        <v>113.2</v>
      </c>
      <c r="D482" s="10">
        <v>1977</v>
      </c>
    </row>
    <row r="483" spans="1:4" ht="19.95" customHeight="1" x14ac:dyDescent="0.25">
      <c r="A483" s="9" t="s">
        <v>13</v>
      </c>
      <c r="B483" s="10" t="s">
        <v>40</v>
      </c>
      <c r="C483" s="10">
        <v>125.2</v>
      </c>
      <c r="D483" s="10">
        <v>1977</v>
      </c>
    </row>
    <row r="484" spans="1:4" ht="19.95" customHeight="1" x14ac:dyDescent="0.25">
      <c r="A484" s="9" t="s">
        <v>15</v>
      </c>
      <c r="B484" s="10" t="s">
        <v>40</v>
      </c>
      <c r="C484" s="10">
        <v>128.80000000000001</v>
      </c>
      <c r="D484" s="10">
        <v>1977</v>
      </c>
    </row>
    <row r="485" spans="1:4" ht="19.95" customHeight="1" x14ac:dyDescent="0.25">
      <c r="A485" s="9" t="s">
        <v>16</v>
      </c>
      <c r="B485" s="10" t="s">
        <v>40</v>
      </c>
      <c r="C485" s="10">
        <v>126.6</v>
      </c>
      <c r="D485" s="10">
        <v>1977</v>
      </c>
    </row>
    <row r="486" spans="1:4" ht="19.95" customHeight="1" x14ac:dyDescent="0.25">
      <c r="A486" s="9" t="s">
        <v>1</v>
      </c>
      <c r="B486" s="10" t="s">
        <v>40</v>
      </c>
      <c r="C486" s="10">
        <v>143.1</v>
      </c>
      <c r="D486" s="10">
        <v>1977</v>
      </c>
    </row>
    <row r="487" spans="1:4" ht="19.95" customHeight="1" x14ac:dyDescent="0.25">
      <c r="A487" s="9" t="s">
        <v>17</v>
      </c>
      <c r="B487" s="10" t="s">
        <v>40</v>
      </c>
      <c r="C487" s="10">
        <v>176</v>
      </c>
      <c r="D487" s="10">
        <v>1977</v>
      </c>
    </row>
    <row r="488" spans="1:4" ht="19.95" customHeight="1" x14ac:dyDescent="0.25">
      <c r="A488" s="9" t="s">
        <v>18</v>
      </c>
      <c r="B488" s="10" t="s">
        <v>40</v>
      </c>
      <c r="C488" s="10">
        <v>136.9</v>
      </c>
      <c r="D488" s="10">
        <v>1977</v>
      </c>
    </row>
    <row r="489" spans="1:4" ht="19.95" customHeight="1" x14ac:dyDescent="0.25">
      <c r="A489" s="9" t="s">
        <v>19</v>
      </c>
      <c r="B489" s="10" t="s">
        <v>40</v>
      </c>
      <c r="C489" s="10">
        <v>76.599999999999994</v>
      </c>
      <c r="D489" s="10">
        <v>1977</v>
      </c>
    </row>
    <row r="490" spans="1:4" ht="19.95" customHeight="1" x14ac:dyDescent="0.25">
      <c r="A490" s="9" t="s">
        <v>20</v>
      </c>
      <c r="B490" s="10" t="s">
        <v>40</v>
      </c>
      <c r="C490" s="10"/>
      <c r="D490" s="10">
        <v>1977</v>
      </c>
    </row>
    <row r="491" spans="1:4" ht="19.95" customHeight="1" x14ac:dyDescent="0.25">
      <c r="A491" s="9" t="s">
        <v>21</v>
      </c>
      <c r="B491" s="10" t="s">
        <v>40</v>
      </c>
      <c r="C491" s="10">
        <v>168.9</v>
      </c>
      <c r="D491" s="10">
        <v>1977</v>
      </c>
    </row>
    <row r="492" spans="1:4" ht="19.95" customHeight="1" x14ac:dyDescent="0.25">
      <c r="A492" s="9" t="s">
        <v>22</v>
      </c>
      <c r="B492" s="10" t="s">
        <v>40</v>
      </c>
      <c r="C492" s="10">
        <v>101.7</v>
      </c>
      <c r="D492" s="10">
        <v>1977</v>
      </c>
    </row>
    <row r="493" spans="1:4" ht="19.95" customHeight="1" x14ac:dyDescent="0.25">
      <c r="A493" s="9" t="s">
        <v>23</v>
      </c>
      <c r="B493" s="10" t="s">
        <v>40</v>
      </c>
      <c r="C493" s="10">
        <v>167.6</v>
      </c>
      <c r="D493" s="10">
        <v>1977</v>
      </c>
    </row>
    <row r="494" spans="1:4" ht="19.95" customHeight="1" x14ac:dyDescent="0.25">
      <c r="A494" s="9" t="s">
        <v>24</v>
      </c>
      <c r="B494" s="10" t="s">
        <v>40</v>
      </c>
      <c r="C494" s="10">
        <v>172.2</v>
      </c>
      <c r="D494" s="10">
        <v>1977</v>
      </c>
    </row>
    <row r="495" spans="1:4" ht="19.95" customHeight="1" x14ac:dyDescent="0.25">
      <c r="A495" s="9" t="s">
        <v>25</v>
      </c>
      <c r="B495" s="10" t="s">
        <v>40</v>
      </c>
      <c r="C495" s="10">
        <v>42.4</v>
      </c>
      <c r="D495" s="10">
        <v>1977</v>
      </c>
    </row>
    <row r="496" spans="1:4" ht="19.95" customHeight="1" x14ac:dyDescent="0.25">
      <c r="A496" s="9" t="s">
        <v>26</v>
      </c>
      <c r="B496" s="10" t="s">
        <v>40</v>
      </c>
      <c r="C496" s="10">
        <v>175.9</v>
      </c>
      <c r="D496" s="10">
        <v>1977</v>
      </c>
    </row>
    <row r="497" spans="1:4" ht="19.95" customHeight="1" x14ac:dyDescent="0.25">
      <c r="A497" s="9" t="s">
        <v>28</v>
      </c>
      <c r="B497" s="10" t="s">
        <v>40</v>
      </c>
      <c r="C497" s="10">
        <v>103.9</v>
      </c>
      <c r="D497" s="10">
        <v>1977</v>
      </c>
    </row>
    <row r="498" spans="1:4" ht="19.95" customHeight="1" x14ac:dyDescent="0.25">
      <c r="A498" s="9" t="s">
        <v>29</v>
      </c>
      <c r="B498" s="10" t="s">
        <v>40</v>
      </c>
      <c r="C498" s="10">
        <v>151</v>
      </c>
      <c r="D498" s="10">
        <v>1977</v>
      </c>
    </row>
    <row r="499" spans="1:4" ht="19.95" customHeight="1" x14ac:dyDescent="0.25">
      <c r="A499" s="9" t="s">
        <v>30</v>
      </c>
      <c r="B499" s="10" t="s">
        <v>40</v>
      </c>
      <c r="C499" s="10">
        <v>90.8</v>
      </c>
      <c r="D499" s="10">
        <v>1977</v>
      </c>
    </row>
    <row r="500" spans="1:4" ht="19.95" customHeight="1" x14ac:dyDescent="0.25">
      <c r="A500" s="9" t="s">
        <v>31</v>
      </c>
      <c r="B500" s="10" t="s">
        <v>40</v>
      </c>
      <c r="C500" s="10">
        <v>132.6</v>
      </c>
      <c r="D500" s="10">
        <v>1977</v>
      </c>
    </row>
    <row r="501" spans="1:4" ht="19.95" customHeight="1" x14ac:dyDescent="0.25">
      <c r="A501" s="9" t="s">
        <v>32</v>
      </c>
      <c r="B501" s="10" t="s">
        <v>40</v>
      </c>
      <c r="C501" s="10">
        <v>147.19999999999999</v>
      </c>
      <c r="D501" s="10">
        <v>1977</v>
      </c>
    </row>
    <row r="502" spans="1:4" ht="19.95" customHeight="1" x14ac:dyDescent="0.25">
      <c r="A502" s="9" t="s">
        <v>33</v>
      </c>
      <c r="B502" s="10" t="s">
        <v>40</v>
      </c>
      <c r="C502" s="10">
        <v>58.5</v>
      </c>
      <c r="D502" s="10">
        <v>1977</v>
      </c>
    </row>
    <row r="503" spans="1:4" ht="19.95" customHeight="1" x14ac:dyDescent="0.25">
      <c r="A503" s="9" t="s">
        <v>34</v>
      </c>
      <c r="B503" s="10" t="s">
        <v>40</v>
      </c>
      <c r="C503" s="10">
        <v>46.1</v>
      </c>
      <c r="D503" s="10">
        <v>1977</v>
      </c>
    </row>
    <row r="504" spans="1:4" ht="19.95" customHeight="1" x14ac:dyDescent="0.25">
      <c r="A504" s="9" t="s">
        <v>35</v>
      </c>
      <c r="B504" s="10" t="s">
        <v>40</v>
      </c>
      <c r="C504" s="10">
        <v>103.4</v>
      </c>
      <c r="D504" s="10">
        <v>1977</v>
      </c>
    </row>
    <row r="505" spans="1:4" ht="19.95" customHeight="1" x14ac:dyDescent="0.25">
      <c r="A505" s="9" t="s">
        <v>36</v>
      </c>
      <c r="B505" s="10" t="s">
        <v>40</v>
      </c>
      <c r="C505" s="10">
        <v>111.2</v>
      </c>
      <c r="D505" s="10">
        <v>1977</v>
      </c>
    </row>
    <row r="506" spans="1:4" ht="19.95" customHeight="1" x14ac:dyDescent="0.25">
      <c r="A506" s="9" t="s">
        <v>37</v>
      </c>
      <c r="B506" s="10" t="s">
        <v>40</v>
      </c>
      <c r="C506" s="10">
        <v>122</v>
      </c>
      <c r="D506" s="10">
        <v>1977</v>
      </c>
    </row>
    <row r="507" spans="1:4" ht="19.95" customHeight="1" x14ac:dyDescent="0.25">
      <c r="A507" s="9" t="s">
        <v>38</v>
      </c>
      <c r="B507" s="10" t="s">
        <v>40</v>
      </c>
      <c r="C507" s="10">
        <v>94.8</v>
      </c>
      <c r="D507" s="10">
        <v>1977</v>
      </c>
    </row>
    <row r="508" spans="1:4" ht="19.95" customHeight="1" x14ac:dyDescent="0.25">
      <c r="A508" s="9" t="s">
        <v>39</v>
      </c>
      <c r="B508" s="10" t="s">
        <v>40</v>
      </c>
      <c r="C508" s="10">
        <v>70.3</v>
      </c>
      <c r="D508" s="10">
        <v>1977</v>
      </c>
    </row>
    <row r="509" spans="1:4" ht="19.95" customHeight="1" x14ac:dyDescent="0.25">
      <c r="A509" s="9" t="s">
        <v>9</v>
      </c>
      <c r="B509" s="10" t="s">
        <v>40</v>
      </c>
      <c r="C509" s="10">
        <v>143</v>
      </c>
      <c r="D509" s="10">
        <v>1978</v>
      </c>
    </row>
    <row r="510" spans="1:4" ht="19.95" customHeight="1" x14ac:dyDescent="0.25">
      <c r="A510" s="9" t="s">
        <v>12</v>
      </c>
      <c r="B510" s="10" t="s">
        <v>40</v>
      </c>
      <c r="C510" s="10">
        <v>112.4</v>
      </c>
      <c r="D510" s="10">
        <v>1978</v>
      </c>
    </row>
    <row r="511" spans="1:4" ht="19.95" customHeight="1" x14ac:dyDescent="0.25">
      <c r="A511" s="9" t="s">
        <v>13</v>
      </c>
      <c r="B511" s="10" t="s">
        <v>40</v>
      </c>
      <c r="C511" s="10">
        <v>124.7</v>
      </c>
      <c r="D511" s="10">
        <v>1978</v>
      </c>
    </row>
    <row r="512" spans="1:4" ht="19.95" customHeight="1" x14ac:dyDescent="0.25">
      <c r="A512" s="9" t="s">
        <v>15</v>
      </c>
      <c r="B512" s="10" t="s">
        <v>40</v>
      </c>
      <c r="C512" s="10">
        <v>125.4</v>
      </c>
      <c r="D512" s="10">
        <v>1978</v>
      </c>
    </row>
    <row r="513" spans="1:4" ht="19.95" customHeight="1" x14ac:dyDescent="0.25">
      <c r="A513" s="9" t="s">
        <v>16</v>
      </c>
      <c r="B513" s="10" t="s">
        <v>40</v>
      </c>
      <c r="C513" s="10">
        <v>123.4</v>
      </c>
      <c r="D513" s="10">
        <v>1978</v>
      </c>
    </row>
    <row r="514" spans="1:4" ht="19.95" customHeight="1" x14ac:dyDescent="0.25">
      <c r="A514" s="9" t="s">
        <v>1</v>
      </c>
      <c r="B514" s="10" t="s">
        <v>40</v>
      </c>
      <c r="C514" s="10">
        <v>142.80000000000001</v>
      </c>
      <c r="D514" s="10">
        <v>1978</v>
      </c>
    </row>
    <row r="515" spans="1:4" ht="19.95" customHeight="1" x14ac:dyDescent="0.25">
      <c r="A515" s="9" t="s">
        <v>17</v>
      </c>
      <c r="B515" s="10" t="s">
        <v>40</v>
      </c>
      <c r="C515" s="10">
        <v>173.1</v>
      </c>
      <c r="D515" s="10">
        <v>1978</v>
      </c>
    </row>
    <row r="516" spans="1:4" ht="19.95" customHeight="1" x14ac:dyDescent="0.25">
      <c r="A516" s="9" t="s">
        <v>18</v>
      </c>
      <c r="B516" s="10" t="s">
        <v>40</v>
      </c>
      <c r="C516" s="10">
        <v>133.69999999999999</v>
      </c>
      <c r="D516" s="10">
        <v>1978</v>
      </c>
    </row>
    <row r="517" spans="1:4" ht="19.95" customHeight="1" x14ac:dyDescent="0.25">
      <c r="A517" s="9" t="s">
        <v>19</v>
      </c>
      <c r="B517" s="10" t="s">
        <v>40</v>
      </c>
      <c r="C517" s="10">
        <v>74.099999999999994</v>
      </c>
      <c r="D517" s="10">
        <v>1978</v>
      </c>
    </row>
    <row r="518" spans="1:4" ht="19.95" customHeight="1" x14ac:dyDescent="0.25">
      <c r="A518" s="9" t="s">
        <v>20</v>
      </c>
      <c r="B518" s="10" t="s">
        <v>40</v>
      </c>
      <c r="C518" s="10"/>
      <c r="D518" s="10">
        <v>1978</v>
      </c>
    </row>
    <row r="519" spans="1:4" ht="19.95" customHeight="1" x14ac:dyDescent="0.25">
      <c r="A519" s="9" t="s">
        <v>21</v>
      </c>
      <c r="B519" s="10" t="s">
        <v>40</v>
      </c>
      <c r="C519" s="10">
        <v>166.3</v>
      </c>
      <c r="D519" s="10">
        <v>1978</v>
      </c>
    </row>
    <row r="520" spans="1:4" ht="19.95" customHeight="1" x14ac:dyDescent="0.25">
      <c r="A520" s="9" t="s">
        <v>22</v>
      </c>
      <c r="B520" s="10" t="s">
        <v>40</v>
      </c>
      <c r="C520" s="10">
        <v>102.8</v>
      </c>
      <c r="D520" s="10">
        <v>1978</v>
      </c>
    </row>
    <row r="521" spans="1:4" ht="19.95" customHeight="1" x14ac:dyDescent="0.25">
      <c r="A521" s="9" t="s">
        <v>23</v>
      </c>
      <c r="B521" s="10" t="s">
        <v>40</v>
      </c>
      <c r="C521" s="10">
        <v>161.19999999999999</v>
      </c>
      <c r="D521" s="10">
        <v>1978</v>
      </c>
    </row>
    <row r="522" spans="1:4" ht="19.95" customHeight="1" x14ac:dyDescent="0.25">
      <c r="A522" s="9" t="s">
        <v>24</v>
      </c>
      <c r="B522" s="10" t="s">
        <v>40</v>
      </c>
      <c r="C522" s="10">
        <v>168.2</v>
      </c>
      <c r="D522" s="10">
        <v>1978</v>
      </c>
    </row>
    <row r="523" spans="1:4" ht="19.95" customHeight="1" x14ac:dyDescent="0.25">
      <c r="A523" s="9" t="s">
        <v>25</v>
      </c>
      <c r="B523" s="10" t="s">
        <v>40</v>
      </c>
      <c r="C523" s="10">
        <v>41.3</v>
      </c>
      <c r="D523" s="10">
        <v>1978</v>
      </c>
    </row>
    <row r="524" spans="1:4" ht="19.95" customHeight="1" x14ac:dyDescent="0.25">
      <c r="A524" s="9" t="s">
        <v>26</v>
      </c>
      <c r="B524" s="10" t="s">
        <v>40</v>
      </c>
      <c r="C524" s="10">
        <v>175.3</v>
      </c>
      <c r="D524" s="10">
        <v>1978</v>
      </c>
    </row>
    <row r="525" spans="1:4" ht="19.95" customHeight="1" x14ac:dyDescent="0.25">
      <c r="A525" s="9" t="s">
        <v>28</v>
      </c>
      <c r="B525" s="10" t="s">
        <v>40</v>
      </c>
      <c r="C525" s="10">
        <v>101.7</v>
      </c>
      <c r="D525" s="10">
        <v>1978</v>
      </c>
    </row>
    <row r="526" spans="1:4" ht="19.95" customHeight="1" x14ac:dyDescent="0.25">
      <c r="A526" s="9" t="s">
        <v>29</v>
      </c>
      <c r="B526" s="10" t="s">
        <v>40</v>
      </c>
      <c r="C526" s="10">
        <v>147.19999999999999</v>
      </c>
      <c r="D526" s="10">
        <v>1978</v>
      </c>
    </row>
    <row r="527" spans="1:4" ht="19.95" customHeight="1" x14ac:dyDescent="0.25">
      <c r="A527" s="9" t="s">
        <v>30</v>
      </c>
      <c r="B527" s="10" t="s">
        <v>40</v>
      </c>
      <c r="C527" s="10">
        <v>86.1</v>
      </c>
      <c r="D527" s="10">
        <v>1978</v>
      </c>
    </row>
    <row r="528" spans="1:4" ht="19.95" customHeight="1" x14ac:dyDescent="0.25">
      <c r="A528" s="9" t="s">
        <v>31</v>
      </c>
      <c r="B528" s="10" t="s">
        <v>40</v>
      </c>
      <c r="C528" s="10">
        <v>131.1</v>
      </c>
      <c r="D528" s="10">
        <v>1978</v>
      </c>
    </row>
    <row r="529" spans="1:4" ht="19.95" customHeight="1" x14ac:dyDescent="0.25">
      <c r="A529" s="9" t="s">
        <v>32</v>
      </c>
      <c r="B529" s="10" t="s">
        <v>40</v>
      </c>
      <c r="C529" s="10">
        <v>143.6</v>
      </c>
      <c r="D529" s="10">
        <v>1978</v>
      </c>
    </row>
    <row r="530" spans="1:4" ht="19.95" customHeight="1" x14ac:dyDescent="0.25">
      <c r="A530" s="9" t="s">
        <v>33</v>
      </c>
      <c r="B530" s="10" t="s">
        <v>40</v>
      </c>
      <c r="C530" s="10">
        <v>58.6</v>
      </c>
      <c r="D530" s="10">
        <v>1978</v>
      </c>
    </row>
    <row r="531" spans="1:4" ht="19.95" customHeight="1" x14ac:dyDescent="0.25">
      <c r="A531" s="9" t="s">
        <v>34</v>
      </c>
      <c r="B531" s="10" t="s">
        <v>40</v>
      </c>
      <c r="C531" s="10">
        <v>44.2</v>
      </c>
      <c r="D531" s="10">
        <v>1978</v>
      </c>
    </row>
    <row r="532" spans="1:4" ht="19.95" customHeight="1" x14ac:dyDescent="0.25">
      <c r="A532" s="9" t="s">
        <v>35</v>
      </c>
      <c r="B532" s="10" t="s">
        <v>40</v>
      </c>
      <c r="C532" s="10">
        <v>101.9</v>
      </c>
      <c r="D532" s="10">
        <v>1978</v>
      </c>
    </row>
    <row r="533" spans="1:4" ht="19.95" customHeight="1" x14ac:dyDescent="0.25">
      <c r="A533" s="9" t="s">
        <v>36</v>
      </c>
      <c r="B533" s="10" t="s">
        <v>40</v>
      </c>
      <c r="C533" s="10">
        <v>109.3</v>
      </c>
      <c r="D533" s="10">
        <v>1978</v>
      </c>
    </row>
    <row r="534" spans="1:4" ht="19.95" customHeight="1" x14ac:dyDescent="0.25">
      <c r="A534" s="9" t="s">
        <v>37</v>
      </c>
      <c r="B534" s="10" t="s">
        <v>40</v>
      </c>
      <c r="C534" s="10">
        <v>123.8</v>
      </c>
      <c r="D534" s="10">
        <v>1978</v>
      </c>
    </row>
    <row r="535" spans="1:4" ht="19.95" customHeight="1" x14ac:dyDescent="0.25">
      <c r="A535" s="9" t="s">
        <v>38</v>
      </c>
      <c r="B535" s="10" t="s">
        <v>40</v>
      </c>
      <c r="C535" s="10">
        <v>95</v>
      </c>
      <c r="D535" s="10">
        <v>1978</v>
      </c>
    </row>
    <row r="536" spans="1:4" ht="19.95" customHeight="1" x14ac:dyDescent="0.25">
      <c r="A536" s="9" t="s">
        <v>39</v>
      </c>
      <c r="B536" s="10" t="s">
        <v>40</v>
      </c>
      <c r="C536" s="10">
        <v>69.900000000000006</v>
      </c>
      <c r="D536" s="10">
        <v>1978</v>
      </c>
    </row>
    <row r="537" spans="1:4" ht="19.95" customHeight="1" x14ac:dyDescent="0.25">
      <c r="A537" s="9" t="s">
        <v>9</v>
      </c>
      <c r="B537" s="10" t="s">
        <v>40</v>
      </c>
      <c r="C537" s="10">
        <v>138.69999999999999</v>
      </c>
      <c r="D537" s="10">
        <v>1979</v>
      </c>
    </row>
    <row r="538" spans="1:4" ht="19.95" customHeight="1" x14ac:dyDescent="0.25">
      <c r="A538" s="9" t="s">
        <v>12</v>
      </c>
      <c r="B538" s="10" t="s">
        <v>40</v>
      </c>
      <c r="C538" s="10">
        <v>110.9</v>
      </c>
      <c r="D538" s="10">
        <v>1979</v>
      </c>
    </row>
    <row r="539" spans="1:4" ht="19.95" customHeight="1" x14ac:dyDescent="0.25">
      <c r="A539" s="9" t="s">
        <v>13</v>
      </c>
      <c r="B539" s="10" t="s">
        <v>40</v>
      </c>
      <c r="C539" s="10">
        <v>124</v>
      </c>
      <c r="D539" s="10">
        <v>1979</v>
      </c>
    </row>
    <row r="540" spans="1:4" ht="19.95" customHeight="1" x14ac:dyDescent="0.25">
      <c r="A540" s="9" t="s">
        <v>15</v>
      </c>
      <c r="B540" s="10" t="s">
        <v>40</v>
      </c>
      <c r="C540" s="10">
        <v>121.8</v>
      </c>
      <c r="D540" s="10">
        <v>1979</v>
      </c>
    </row>
    <row r="541" spans="1:4" ht="19.95" customHeight="1" x14ac:dyDescent="0.25">
      <c r="A541" s="9" t="s">
        <v>16</v>
      </c>
      <c r="B541" s="10" t="s">
        <v>40</v>
      </c>
      <c r="C541" s="10">
        <v>120.1</v>
      </c>
      <c r="D541" s="10">
        <v>1979</v>
      </c>
    </row>
    <row r="542" spans="1:4" ht="19.95" customHeight="1" x14ac:dyDescent="0.25">
      <c r="A542" s="9" t="s">
        <v>1</v>
      </c>
      <c r="B542" s="10" t="s">
        <v>40</v>
      </c>
      <c r="C542" s="10">
        <v>142.19999999999999</v>
      </c>
      <c r="D542" s="10">
        <v>1979</v>
      </c>
    </row>
    <row r="543" spans="1:4" ht="19.95" customHeight="1" x14ac:dyDescent="0.25">
      <c r="A543" s="9" t="s">
        <v>17</v>
      </c>
      <c r="B543" s="10" t="s">
        <v>40</v>
      </c>
      <c r="C543" s="10">
        <v>170.2</v>
      </c>
      <c r="D543" s="10">
        <v>1979</v>
      </c>
    </row>
    <row r="544" spans="1:4" ht="19.95" customHeight="1" x14ac:dyDescent="0.25">
      <c r="A544" s="9" t="s">
        <v>18</v>
      </c>
      <c r="B544" s="10" t="s">
        <v>40</v>
      </c>
      <c r="C544" s="10">
        <v>130.5</v>
      </c>
      <c r="D544" s="10">
        <v>1979</v>
      </c>
    </row>
    <row r="545" spans="1:4" ht="19.95" customHeight="1" x14ac:dyDescent="0.25">
      <c r="A545" s="9" t="s">
        <v>19</v>
      </c>
      <c r="B545" s="10" t="s">
        <v>40</v>
      </c>
      <c r="C545" s="10">
        <v>71.599999999999994</v>
      </c>
      <c r="D545" s="10">
        <v>1979</v>
      </c>
    </row>
    <row r="546" spans="1:4" ht="19.95" customHeight="1" x14ac:dyDescent="0.25">
      <c r="A546" s="9" t="s">
        <v>20</v>
      </c>
      <c r="B546" s="10" t="s">
        <v>40</v>
      </c>
      <c r="C546" s="10"/>
      <c r="D546" s="10">
        <v>1979</v>
      </c>
    </row>
    <row r="547" spans="1:4" ht="19.95" customHeight="1" x14ac:dyDescent="0.25">
      <c r="A547" s="9" t="s">
        <v>21</v>
      </c>
      <c r="B547" s="10" t="s">
        <v>40</v>
      </c>
      <c r="C547" s="10">
        <v>164</v>
      </c>
      <c r="D547" s="10">
        <v>1979</v>
      </c>
    </row>
    <row r="548" spans="1:4" ht="19.95" customHeight="1" x14ac:dyDescent="0.25">
      <c r="A548" s="9" t="s">
        <v>22</v>
      </c>
      <c r="B548" s="10" t="s">
        <v>40</v>
      </c>
      <c r="C548" s="10">
        <v>103.8</v>
      </c>
      <c r="D548" s="10">
        <v>1979</v>
      </c>
    </row>
    <row r="549" spans="1:4" ht="19.95" customHeight="1" x14ac:dyDescent="0.25">
      <c r="A549" s="9" t="s">
        <v>23</v>
      </c>
      <c r="B549" s="10" t="s">
        <v>40</v>
      </c>
      <c r="C549" s="10">
        <v>155.30000000000001</v>
      </c>
      <c r="D549" s="10">
        <v>1979</v>
      </c>
    </row>
    <row r="550" spans="1:4" ht="19.95" customHeight="1" x14ac:dyDescent="0.25">
      <c r="A550" s="9" t="s">
        <v>24</v>
      </c>
      <c r="B550" s="10" t="s">
        <v>40</v>
      </c>
      <c r="C550" s="10">
        <v>164.5</v>
      </c>
      <c r="D550" s="10">
        <v>1979</v>
      </c>
    </row>
    <row r="551" spans="1:4" ht="19.95" customHeight="1" x14ac:dyDescent="0.25">
      <c r="A551" s="9" t="s">
        <v>25</v>
      </c>
      <c r="B551" s="10" t="s">
        <v>40</v>
      </c>
      <c r="C551" s="10">
        <v>40.4</v>
      </c>
      <c r="D551" s="10">
        <v>1979</v>
      </c>
    </row>
    <row r="552" spans="1:4" ht="19.95" customHeight="1" x14ac:dyDescent="0.25">
      <c r="A552" s="9" t="s">
        <v>26</v>
      </c>
      <c r="B552" s="10" t="s">
        <v>40</v>
      </c>
      <c r="C552" s="10">
        <v>174.7</v>
      </c>
      <c r="D552" s="10">
        <v>1979</v>
      </c>
    </row>
    <row r="553" spans="1:4" ht="19.95" customHeight="1" x14ac:dyDescent="0.25">
      <c r="A553" s="9" t="s">
        <v>28</v>
      </c>
      <c r="B553" s="10" t="s">
        <v>40</v>
      </c>
      <c r="C553" s="10">
        <v>99.7</v>
      </c>
      <c r="D553" s="10">
        <v>1979</v>
      </c>
    </row>
    <row r="554" spans="1:4" ht="19.95" customHeight="1" x14ac:dyDescent="0.25">
      <c r="A554" s="9" t="s">
        <v>29</v>
      </c>
      <c r="B554" s="10" t="s">
        <v>40</v>
      </c>
      <c r="C554" s="10">
        <v>143.4</v>
      </c>
      <c r="D554" s="10">
        <v>1979</v>
      </c>
    </row>
    <row r="555" spans="1:4" ht="19.95" customHeight="1" x14ac:dyDescent="0.25">
      <c r="A555" s="9" t="s">
        <v>30</v>
      </c>
      <c r="B555" s="10" t="s">
        <v>40</v>
      </c>
      <c r="C555" s="10">
        <v>81.599999999999994</v>
      </c>
      <c r="D555" s="10">
        <v>1979</v>
      </c>
    </row>
    <row r="556" spans="1:4" ht="19.95" customHeight="1" x14ac:dyDescent="0.25">
      <c r="A556" s="9" t="s">
        <v>31</v>
      </c>
      <c r="B556" s="10" t="s">
        <v>40</v>
      </c>
      <c r="C556" s="10">
        <v>129.80000000000001</v>
      </c>
      <c r="D556" s="10">
        <v>1979</v>
      </c>
    </row>
    <row r="557" spans="1:4" ht="19.95" customHeight="1" x14ac:dyDescent="0.25">
      <c r="A557" s="9" t="s">
        <v>32</v>
      </c>
      <c r="B557" s="10" t="s">
        <v>40</v>
      </c>
      <c r="C557" s="10">
        <v>136.69999999999999</v>
      </c>
      <c r="D557" s="10">
        <v>1979</v>
      </c>
    </row>
    <row r="558" spans="1:4" ht="19.95" customHeight="1" x14ac:dyDescent="0.25">
      <c r="A558" s="9" t="s">
        <v>33</v>
      </c>
      <c r="B558" s="10" t="s">
        <v>40</v>
      </c>
      <c r="C558" s="10">
        <v>58.9</v>
      </c>
      <c r="D558" s="10">
        <v>1979</v>
      </c>
    </row>
    <row r="559" spans="1:4" ht="19.95" customHeight="1" x14ac:dyDescent="0.25">
      <c r="A559" s="9" t="s">
        <v>34</v>
      </c>
      <c r="B559" s="10" t="s">
        <v>40</v>
      </c>
      <c r="C559" s="10">
        <v>42</v>
      </c>
      <c r="D559" s="10">
        <v>1979</v>
      </c>
    </row>
    <row r="560" spans="1:4" ht="19.95" customHeight="1" x14ac:dyDescent="0.25">
      <c r="A560" s="9" t="s">
        <v>35</v>
      </c>
      <c r="B560" s="10" t="s">
        <v>40</v>
      </c>
      <c r="C560" s="10">
        <v>101.1</v>
      </c>
      <c r="D560" s="10">
        <v>1979</v>
      </c>
    </row>
    <row r="561" spans="1:4" ht="19.95" customHeight="1" x14ac:dyDescent="0.25">
      <c r="A561" s="9" t="s">
        <v>36</v>
      </c>
      <c r="B561" s="10" t="s">
        <v>40</v>
      </c>
      <c r="C561" s="10">
        <v>107.7</v>
      </c>
      <c r="D561" s="10">
        <v>1979</v>
      </c>
    </row>
    <row r="562" spans="1:4" ht="19.95" customHeight="1" x14ac:dyDescent="0.25">
      <c r="A562" s="9" t="s">
        <v>37</v>
      </c>
      <c r="B562" s="10" t="s">
        <v>40</v>
      </c>
      <c r="C562" s="10">
        <v>125.1</v>
      </c>
      <c r="D562" s="10">
        <v>1979</v>
      </c>
    </row>
    <row r="563" spans="1:4" ht="19.95" customHeight="1" x14ac:dyDescent="0.25">
      <c r="A563" s="9" t="s">
        <v>38</v>
      </c>
      <c r="B563" s="10" t="s">
        <v>40</v>
      </c>
      <c r="C563" s="10">
        <v>95.3</v>
      </c>
      <c r="D563" s="10">
        <v>1979</v>
      </c>
    </row>
    <row r="564" spans="1:4" ht="19.95" customHeight="1" x14ac:dyDescent="0.25">
      <c r="A564" s="9" t="s">
        <v>39</v>
      </c>
      <c r="B564" s="10" t="s">
        <v>40</v>
      </c>
      <c r="C564" s="10">
        <v>69</v>
      </c>
      <c r="D564" s="10">
        <v>1979</v>
      </c>
    </row>
    <row r="565" spans="1:4" ht="19.95" customHeight="1" x14ac:dyDescent="0.25">
      <c r="A565" s="9" t="s">
        <v>9</v>
      </c>
      <c r="B565" s="10" t="s">
        <v>40</v>
      </c>
      <c r="C565" s="10">
        <v>133.1</v>
      </c>
      <c r="D565" s="10">
        <v>1980</v>
      </c>
    </row>
    <row r="566" spans="1:4" ht="19.95" customHeight="1" x14ac:dyDescent="0.25">
      <c r="A566" s="9" t="s">
        <v>12</v>
      </c>
      <c r="B566" s="10" t="s">
        <v>40</v>
      </c>
      <c r="C566" s="10">
        <v>108.8</v>
      </c>
      <c r="D566" s="10">
        <v>1980</v>
      </c>
    </row>
    <row r="567" spans="1:4" ht="19.95" customHeight="1" x14ac:dyDescent="0.25">
      <c r="A567" s="9" t="s">
        <v>13</v>
      </c>
      <c r="B567" s="10" t="s">
        <v>40</v>
      </c>
      <c r="C567" s="10">
        <v>123.3</v>
      </c>
      <c r="D567" s="10">
        <v>1980</v>
      </c>
    </row>
    <row r="568" spans="1:4" ht="19.95" customHeight="1" x14ac:dyDescent="0.25">
      <c r="A568" s="9" t="s">
        <v>15</v>
      </c>
      <c r="B568" s="10" t="s">
        <v>40</v>
      </c>
      <c r="C568" s="10">
        <v>118.3</v>
      </c>
      <c r="D568" s="10">
        <v>1980</v>
      </c>
    </row>
    <row r="569" spans="1:4" ht="19.95" customHeight="1" x14ac:dyDescent="0.25">
      <c r="A569" s="9" t="s">
        <v>16</v>
      </c>
      <c r="B569" s="10" t="s">
        <v>40</v>
      </c>
      <c r="C569" s="10">
        <v>117.1</v>
      </c>
      <c r="D569" s="10">
        <v>1980</v>
      </c>
    </row>
    <row r="570" spans="1:4" ht="19.95" customHeight="1" x14ac:dyDescent="0.25">
      <c r="A570" s="9" t="s">
        <v>1</v>
      </c>
      <c r="B570" s="10" t="s">
        <v>40</v>
      </c>
      <c r="C570" s="10">
        <v>141.19999999999999</v>
      </c>
      <c r="D570" s="10">
        <v>1980</v>
      </c>
    </row>
    <row r="571" spans="1:4" ht="19.95" customHeight="1" x14ac:dyDescent="0.25">
      <c r="A571" s="9" t="s">
        <v>17</v>
      </c>
      <c r="B571" s="10" t="s">
        <v>40</v>
      </c>
      <c r="C571" s="10">
        <v>167.1</v>
      </c>
      <c r="D571" s="10">
        <v>1980</v>
      </c>
    </row>
    <row r="572" spans="1:4" ht="19.95" customHeight="1" x14ac:dyDescent="0.25">
      <c r="A572" s="9" t="s">
        <v>18</v>
      </c>
      <c r="B572" s="10" t="s">
        <v>40</v>
      </c>
      <c r="C572" s="10">
        <v>127.4</v>
      </c>
      <c r="D572" s="10">
        <v>1980</v>
      </c>
    </row>
    <row r="573" spans="1:4" ht="19.95" customHeight="1" x14ac:dyDescent="0.25">
      <c r="A573" s="9" t="s">
        <v>19</v>
      </c>
      <c r="B573" s="10" t="s">
        <v>40</v>
      </c>
      <c r="C573" s="10">
        <v>69.8</v>
      </c>
      <c r="D573" s="10">
        <v>1980</v>
      </c>
    </row>
    <row r="574" spans="1:4" ht="19.95" customHeight="1" x14ac:dyDescent="0.25">
      <c r="A574" s="9" t="s">
        <v>20</v>
      </c>
      <c r="B574" s="10" t="s">
        <v>40</v>
      </c>
      <c r="C574" s="10"/>
      <c r="D574" s="10">
        <v>1980</v>
      </c>
    </row>
    <row r="575" spans="1:4" ht="19.95" customHeight="1" x14ac:dyDescent="0.25">
      <c r="A575" s="9" t="s">
        <v>21</v>
      </c>
      <c r="B575" s="10" t="s">
        <v>40</v>
      </c>
      <c r="C575" s="10">
        <v>161.69999999999999</v>
      </c>
      <c r="D575" s="10">
        <v>1980</v>
      </c>
    </row>
    <row r="576" spans="1:4" ht="19.95" customHeight="1" x14ac:dyDescent="0.25">
      <c r="A576" s="9" t="s">
        <v>22</v>
      </c>
      <c r="B576" s="10" t="s">
        <v>40</v>
      </c>
      <c r="C576" s="10">
        <v>105.1</v>
      </c>
      <c r="D576" s="10">
        <v>1980</v>
      </c>
    </row>
    <row r="577" spans="1:4" ht="19.95" customHeight="1" x14ac:dyDescent="0.25">
      <c r="A577" s="9" t="s">
        <v>23</v>
      </c>
      <c r="B577" s="10" t="s">
        <v>40</v>
      </c>
      <c r="C577" s="10">
        <v>149.9</v>
      </c>
      <c r="D577" s="10">
        <v>1980</v>
      </c>
    </row>
    <row r="578" spans="1:4" ht="19.95" customHeight="1" x14ac:dyDescent="0.25">
      <c r="A578" s="9" t="s">
        <v>24</v>
      </c>
      <c r="B578" s="10" t="s">
        <v>40</v>
      </c>
      <c r="C578" s="10">
        <v>160.9</v>
      </c>
      <c r="D578" s="10">
        <v>1980</v>
      </c>
    </row>
    <row r="579" spans="1:4" ht="19.95" customHeight="1" x14ac:dyDescent="0.25">
      <c r="A579" s="9" t="s">
        <v>25</v>
      </c>
      <c r="B579" s="10" t="s">
        <v>40</v>
      </c>
      <c r="C579" s="10">
        <v>39.5</v>
      </c>
      <c r="D579" s="10">
        <v>1980</v>
      </c>
    </row>
    <row r="580" spans="1:4" ht="19.95" customHeight="1" x14ac:dyDescent="0.25">
      <c r="A580" s="9" t="s">
        <v>26</v>
      </c>
      <c r="B580" s="10" t="s">
        <v>40</v>
      </c>
      <c r="C580" s="10">
        <v>174.5</v>
      </c>
      <c r="D580" s="10">
        <v>1980</v>
      </c>
    </row>
    <row r="581" spans="1:4" ht="19.95" customHeight="1" x14ac:dyDescent="0.25">
      <c r="A581" s="9" t="s">
        <v>28</v>
      </c>
      <c r="B581" s="10" t="s">
        <v>40</v>
      </c>
      <c r="C581" s="10">
        <v>97.8</v>
      </c>
      <c r="D581" s="10">
        <v>1980</v>
      </c>
    </row>
    <row r="582" spans="1:4" ht="19.95" customHeight="1" x14ac:dyDescent="0.25">
      <c r="A582" s="9" t="s">
        <v>29</v>
      </c>
      <c r="B582" s="10" t="s">
        <v>40</v>
      </c>
      <c r="C582" s="10">
        <v>139.4</v>
      </c>
      <c r="D582" s="10">
        <v>1980</v>
      </c>
    </row>
    <row r="583" spans="1:4" ht="19.95" customHeight="1" x14ac:dyDescent="0.25">
      <c r="A583" s="9" t="s">
        <v>30</v>
      </c>
      <c r="B583" s="10" t="s">
        <v>40</v>
      </c>
      <c r="C583" s="10">
        <v>77.2</v>
      </c>
      <c r="D583" s="10">
        <v>1980</v>
      </c>
    </row>
    <row r="584" spans="1:4" ht="19.95" customHeight="1" x14ac:dyDescent="0.25">
      <c r="A584" s="9" t="s">
        <v>31</v>
      </c>
      <c r="B584" s="10" t="s">
        <v>40</v>
      </c>
      <c r="C584" s="10">
        <v>128.9</v>
      </c>
      <c r="D584" s="10">
        <v>1980</v>
      </c>
    </row>
    <row r="585" spans="1:4" ht="19.95" customHeight="1" x14ac:dyDescent="0.25">
      <c r="A585" s="9" t="s">
        <v>32</v>
      </c>
      <c r="B585" s="10" t="s">
        <v>40</v>
      </c>
      <c r="C585" s="10">
        <v>128.19999999999999</v>
      </c>
      <c r="D585" s="10">
        <v>1980</v>
      </c>
    </row>
    <row r="586" spans="1:4" ht="19.95" customHeight="1" x14ac:dyDescent="0.25">
      <c r="A586" s="9" t="s">
        <v>33</v>
      </c>
      <c r="B586" s="10" t="s">
        <v>40</v>
      </c>
      <c r="C586" s="10">
        <v>59.4</v>
      </c>
      <c r="D586" s="10">
        <v>1980</v>
      </c>
    </row>
    <row r="587" spans="1:4" ht="19.95" customHeight="1" x14ac:dyDescent="0.25">
      <c r="A587" s="9" t="s">
        <v>34</v>
      </c>
      <c r="B587" s="10" t="s">
        <v>40</v>
      </c>
      <c r="C587" s="10">
        <v>39.6</v>
      </c>
      <c r="D587" s="10">
        <v>1980</v>
      </c>
    </row>
    <row r="588" spans="1:4" ht="19.95" customHeight="1" x14ac:dyDescent="0.25">
      <c r="A588" s="9" t="s">
        <v>35</v>
      </c>
      <c r="B588" s="10" t="s">
        <v>40</v>
      </c>
      <c r="C588" s="10">
        <v>100.4</v>
      </c>
      <c r="D588" s="10">
        <v>1980</v>
      </c>
    </row>
    <row r="589" spans="1:4" ht="19.95" customHeight="1" x14ac:dyDescent="0.25">
      <c r="A589" s="9" t="s">
        <v>36</v>
      </c>
      <c r="B589" s="10" t="s">
        <v>40</v>
      </c>
      <c r="C589" s="10">
        <v>106.6</v>
      </c>
      <c r="D589" s="10">
        <v>1980</v>
      </c>
    </row>
    <row r="590" spans="1:4" ht="19.95" customHeight="1" x14ac:dyDescent="0.25">
      <c r="A590" s="9" t="s">
        <v>37</v>
      </c>
      <c r="B590" s="10" t="s">
        <v>40</v>
      </c>
      <c r="C590" s="10">
        <v>126</v>
      </c>
      <c r="D590" s="10">
        <v>1980</v>
      </c>
    </row>
    <row r="591" spans="1:4" ht="19.95" customHeight="1" x14ac:dyDescent="0.25">
      <c r="A591" s="9" t="s">
        <v>38</v>
      </c>
      <c r="B591" s="10" t="s">
        <v>40</v>
      </c>
      <c r="C591" s="10">
        <v>95.8</v>
      </c>
      <c r="D591" s="10">
        <v>1980</v>
      </c>
    </row>
    <row r="592" spans="1:4" ht="19.95" customHeight="1" x14ac:dyDescent="0.25">
      <c r="A592" s="9" t="s">
        <v>39</v>
      </c>
      <c r="B592" s="10" t="s">
        <v>40</v>
      </c>
      <c r="C592" s="10">
        <v>67.400000000000006</v>
      </c>
      <c r="D592" s="10">
        <v>1980</v>
      </c>
    </row>
    <row r="593" spans="1:4" ht="19.95" customHeight="1" x14ac:dyDescent="0.25">
      <c r="A593" s="9" t="s">
        <v>9</v>
      </c>
      <c r="B593" s="10" t="s">
        <v>40</v>
      </c>
      <c r="C593" s="10">
        <v>127.3</v>
      </c>
      <c r="D593" s="10">
        <v>1981</v>
      </c>
    </row>
    <row r="594" spans="1:4" ht="19.95" customHeight="1" x14ac:dyDescent="0.25">
      <c r="A594" s="9" t="s">
        <v>12</v>
      </c>
      <c r="B594" s="10" t="s">
        <v>40</v>
      </c>
      <c r="C594" s="10">
        <v>106.2</v>
      </c>
      <c r="D594" s="10">
        <v>1981</v>
      </c>
    </row>
    <row r="595" spans="1:4" ht="19.95" customHeight="1" x14ac:dyDescent="0.25">
      <c r="A595" s="9" t="s">
        <v>13</v>
      </c>
      <c r="B595" s="10" t="s">
        <v>40</v>
      </c>
      <c r="C595" s="10">
        <v>122.4</v>
      </c>
      <c r="D595" s="10">
        <v>1981</v>
      </c>
    </row>
    <row r="596" spans="1:4" ht="19.95" customHeight="1" x14ac:dyDescent="0.25">
      <c r="A596" s="9" t="s">
        <v>15</v>
      </c>
      <c r="B596" s="10" t="s">
        <v>40</v>
      </c>
      <c r="C596" s="10">
        <v>114.8</v>
      </c>
      <c r="D596" s="10">
        <v>1981</v>
      </c>
    </row>
    <row r="597" spans="1:4" ht="19.95" customHeight="1" x14ac:dyDescent="0.25">
      <c r="A597" s="9" t="s">
        <v>16</v>
      </c>
      <c r="B597" s="10" t="s">
        <v>40</v>
      </c>
      <c r="C597" s="10">
        <v>114.2</v>
      </c>
      <c r="D597" s="10">
        <v>1981</v>
      </c>
    </row>
    <row r="598" spans="1:4" ht="19.95" customHeight="1" x14ac:dyDescent="0.25">
      <c r="A598" s="9" t="s">
        <v>1</v>
      </c>
      <c r="B598" s="10" t="s">
        <v>40</v>
      </c>
      <c r="C598" s="10">
        <v>139.80000000000001</v>
      </c>
      <c r="D598" s="10">
        <v>1981</v>
      </c>
    </row>
    <row r="599" spans="1:4" ht="19.95" customHeight="1" x14ac:dyDescent="0.25">
      <c r="A599" s="9" t="s">
        <v>17</v>
      </c>
      <c r="B599" s="10" t="s">
        <v>40</v>
      </c>
      <c r="C599" s="10">
        <v>164.2</v>
      </c>
      <c r="D599" s="10">
        <v>1981</v>
      </c>
    </row>
    <row r="600" spans="1:4" ht="19.95" customHeight="1" x14ac:dyDescent="0.25">
      <c r="A600" s="9" t="s">
        <v>18</v>
      </c>
      <c r="B600" s="10" t="s">
        <v>40</v>
      </c>
      <c r="C600" s="10">
        <v>124.4</v>
      </c>
      <c r="D600" s="10">
        <v>1981</v>
      </c>
    </row>
    <row r="601" spans="1:4" ht="19.95" customHeight="1" x14ac:dyDescent="0.25">
      <c r="A601" s="9" t="s">
        <v>19</v>
      </c>
      <c r="B601" s="10" t="s">
        <v>40</v>
      </c>
      <c r="C601" s="10">
        <v>67.8</v>
      </c>
      <c r="D601" s="10">
        <v>1981</v>
      </c>
    </row>
    <row r="602" spans="1:4" ht="19.95" customHeight="1" x14ac:dyDescent="0.25">
      <c r="A602" s="9" t="s">
        <v>20</v>
      </c>
      <c r="B602" s="10" t="s">
        <v>40</v>
      </c>
      <c r="C602" s="10"/>
      <c r="D602" s="10">
        <v>1981</v>
      </c>
    </row>
    <row r="603" spans="1:4" ht="19.95" customHeight="1" x14ac:dyDescent="0.25">
      <c r="A603" s="9" t="s">
        <v>21</v>
      </c>
      <c r="B603" s="10" t="s">
        <v>40</v>
      </c>
      <c r="C603" s="10">
        <v>159.80000000000001</v>
      </c>
      <c r="D603" s="10">
        <v>1981</v>
      </c>
    </row>
    <row r="604" spans="1:4" ht="19.95" customHeight="1" x14ac:dyDescent="0.25">
      <c r="A604" s="9" t="s">
        <v>22</v>
      </c>
      <c r="B604" s="10" t="s">
        <v>40</v>
      </c>
      <c r="C604" s="10">
        <v>106.7</v>
      </c>
      <c r="D604" s="10">
        <v>1981</v>
      </c>
    </row>
    <row r="605" spans="1:4" ht="19.95" customHeight="1" x14ac:dyDescent="0.25">
      <c r="A605" s="9" t="s">
        <v>23</v>
      </c>
      <c r="B605" s="10" t="s">
        <v>40</v>
      </c>
      <c r="C605" s="10">
        <v>145.80000000000001</v>
      </c>
      <c r="D605" s="10">
        <v>1981</v>
      </c>
    </row>
    <row r="606" spans="1:4" ht="19.95" customHeight="1" x14ac:dyDescent="0.25">
      <c r="A606" s="9" t="s">
        <v>24</v>
      </c>
      <c r="B606" s="10" t="s">
        <v>40</v>
      </c>
      <c r="C606" s="10">
        <v>157.5</v>
      </c>
      <c r="D606" s="10">
        <v>1981</v>
      </c>
    </row>
    <row r="607" spans="1:4" ht="19.95" customHeight="1" x14ac:dyDescent="0.25">
      <c r="A607" s="9" t="s">
        <v>25</v>
      </c>
      <c r="B607" s="10" t="s">
        <v>40</v>
      </c>
      <c r="C607" s="10">
        <v>38.5</v>
      </c>
      <c r="D607" s="10">
        <v>1981</v>
      </c>
    </row>
    <row r="608" spans="1:4" ht="19.95" customHeight="1" x14ac:dyDescent="0.25">
      <c r="A608" s="9" t="s">
        <v>26</v>
      </c>
      <c r="B608" s="10" t="s">
        <v>40</v>
      </c>
      <c r="C608" s="10">
        <v>174.2</v>
      </c>
      <c r="D608" s="10">
        <v>1981</v>
      </c>
    </row>
    <row r="609" spans="1:4" ht="19.95" customHeight="1" x14ac:dyDescent="0.25">
      <c r="A609" s="9" t="s">
        <v>28</v>
      </c>
      <c r="B609" s="10" t="s">
        <v>40</v>
      </c>
      <c r="C609" s="10">
        <v>96</v>
      </c>
      <c r="D609" s="10">
        <v>1981</v>
      </c>
    </row>
    <row r="610" spans="1:4" ht="19.95" customHeight="1" x14ac:dyDescent="0.25">
      <c r="A610" s="9" t="s">
        <v>29</v>
      </c>
      <c r="B610" s="10" t="s">
        <v>40</v>
      </c>
      <c r="C610" s="10">
        <v>135.5</v>
      </c>
      <c r="D610" s="10">
        <v>1981</v>
      </c>
    </row>
    <row r="611" spans="1:4" ht="19.95" customHeight="1" x14ac:dyDescent="0.25">
      <c r="A611" s="9" t="s">
        <v>30</v>
      </c>
      <c r="B611" s="10" t="s">
        <v>40</v>
      </c>
      <c r="C611" s="10">
        <v>73.2</v>
      </c>
      <c r="D611" s="10">
        <v>1981</v>
      </c>
    </row>
    <row r="612" spans="1:4" ht="19.95" customHeight="1" x14ac:dyDescent="0.25">
      <c r="A612" s="9" t="s">
        <v>31</v>
      </c>
      <c r="B612" s="10" t="s">
        <v>40</v>
      </c>
      <c r="C612" s="10">
        <v>128.80000000000001</v>
      </c>
      <c r="D612" s="10">
        <v>1981</v>
      </c>
    </row>
    <row r="613" spans="1:4" ht="19.95" customHeight="1" x14ac:dyDescent="0.25">
      <c r="A613" s="9" t="s">
        <v>32</v>
      </c>
      <c r="B613" s="10" t="s">
        <v>40</v>
      </c>
      <c r="C613" s="10">
        <v>119.3</v>
      </c>
      <c r="D613" s="10">
        <v>1981</v>
      </c>
    </row>
    <row r="614" spans="1:4" ht="19.95" customHeight="1" x14ac:dyDescent="0.25">
      <c r="A614" s="9" t="s">
        <v>33</v>
      </c>
      <c r="B614" s="10" t="s">
        <v>40</v>
      </c>
      <c r="C614" s="10">
        <v>60.1</v>
      </c>
      <c r="D614" s="10">
        <v>1981</v>
      </c>
    </row>
    <row r="615" spans="1:4" ht="19.95" customHeight="1" x14ac:dyDescent="0.25">
      <c r="A615" s="9" t="s">
        <v>34</v>
      </c>
      <c r="B615" s="10" t="s">
        <v>40</v>
      </c>
      <c r="C615" s="10">
        <v>37</v>
      </c>
      <c r="D615" s="10">
        <v>1981</v>
      </c>
    </row>
    <row r="616" spans="1:4" ht="19.95" customHeight="1" x14ac:dyDescent="0.25">
      <c r="A616" s="9" t="s">
        <v>35</v>
      </c>
      <c r="B616" s="10" t="s">
        <v>40</v>
      </c>
      <c r="C616" s="10">
        <v>99.9</v>
      </c>
      <c r="D616" s="10">
        <v>1981</v>
      </c>
    </row>
    <row r="617" spans="1:4" ht="19.95" customHeight="1" x14ac:dyDescent="0.25">
      <c r="A617" s="9" t="s">
        <v>36</v>
      </c>
      <c r="B617" s="10" t="s">
        <v>40</v>
      </c>
      <c r="C617" s="10">
        <v>106.2</v>
      </c>
      <c r="D617" s="10">
        <v>1981</v>
      </c>
    </row>
    <row r="618" spans="1:4" ht="19.95" customHeight="1" x14ac:dyDescent="0.25">
      <c r="A618" s="9" t="s">
        <v>37</v>
      </c>
      <c r="B618" s="10" t="s">
        <v>40</v>
      </c>
      <c r="C618" s="10">
        <v>125.3</v>
      </c>
      <c r="D618" s="10">
        <v>1981</v>
      </c>
    </row>
    <row r="619" spans="1:4" ht="19.95" customHeight="1" x14ac:dyDescent="0.25">
      <c r="A619" s="9" t="s">
        <v>38</v>
      </c>
      <c r="B619" s="10" t="s">
        <v>40</v>
      </c>
      <c r="C619" s="10">
        <v>96.4</v>
      </c>
      <c r="D619" s="10">
        <v>1981</v>
      </c>
    </row>
    <row r="620" spans="1:4" ht="19.95" customHeight="1" x14ac:dyDescent="0.25">
      <c r="A620" s="9" t="s">
        <v>39</v>
      </c>
      <c r="B620" s="10" t="s">
        <v>40</v>
      </c>
      <c r="C620" s="10">
        <v>65.099999999999994</v>
      </c>
      <c r="D620" s="10">
        <v>1981</v>
      </c>
    </row>
    <row r="621" spans="1:4" ht="19.95" customHeight="1" x14ac:dyDescent="0.25">
      <c r="A621" s="9" t="s">
        <v>9</v>
      </c>
      <c r="B621" s="10" t="s">
        <v>40</v>
      </c>
      <c r="C621" s="10">
        <v>121.2</v>
      </c>
      <c r="D621" s="10">
        <v>1982</v>
      </c>
    </row>
    <row r="622" spans="1:4" ht="19.95" customHeight="1" x14ac:dyDescent="0.25">
      <c r="A622" s="9" t="s">
        <v>12</v>
      </c>
      <c r="B622" s="10" t="s">
        <v>40</v>
      </c>
      <c r="C622" s="10">
        <v>103.1</v>
      </c>
      <c r="D622" s="10">
        <v>1982</v>
      </c>
    </row>
    <row r="623" spans="1:4" ht="19.95" customHeight="1" x14ac:dyDescent="0.25">
      <c r="A623" s="9" t="s">
        <v>13</v>
      </c>
      <c r="B623" s="10" t="s">
        <v>40</v>
      </c>
      <c r="C623" s="10">
        <v>121.4</v>
      </c>
      <c r="D623" s="10">
        <v>1982</v>
      </c>
    </row>
    <row r="624" spans="1:4" ht="19.95" customHeight="1" x14ac:dyDescent="0.25">
      <c r="A624" s="9" t="s">
        <v>15</v>
      </c>
      <c r="B624" s="10" t="s">
        <v>40</v>
      </c>
      <c r="C624" s="10">
        <v>111.4</v>
      </c>
      <c r="D624" s="10">
        <v>1982</v>
      </c>
    </row>
    <row r="625" spans="1:4" ht="19.95" customHeight="1" x14ac:dyDescent="0.25">
      <c r="A625" s="9" t="s">
        <v>16</v>
      </c>
      <c r="B625" s="10" t="s">
        <v>40</v>
      </c>
      <c r="C625" s="10">
        <v>111.4</v>
      </c>
      <c r="D625" s="10">
        <v>1982</v>
      </c>
    </row>
    <row r="626" spans="1:4" ht="19.95" customHeight="1" x14ac:dyDescent="0.25">
      <c r="A626" s="9" t="s">
        <v>1</v>
      </c>
      <c r="B626" s="10" t="s">
        <v>40</v>
      </c>
      <c r="C626" s="10">
        <v>138</v>
      </c>
      <c r="D626" s="10">
        <v>1982</v>
      </c>
    </row>
    <row r="627" spans="1:4" ht="19.95" customHeight="1" x14ac:dyDescent="0.25">
      <c r="A627" s="9" t="s">
        <v>17</v>
      </c>
      <c r="B627" s="10" t="s">
        <v>40</v>
      </c>
      <c r="C627" s="10">
        <v>161.4</v>
      </c>
      <c r="D627" s="10">
        <v>1982</v>
      </c>
    </row>
    <row r="628" spans="1:4" ht="19.95" customHeight="1" x14ac:dyDescent="0.25">
      <c r="A628" s="9" t="s">
        <v>18</v>
      </c>
      <c r="B628" s="10" t="s">
        <v>40</v>
      </c>
      <c r="C628" s="10">
        <v>121.5</v>
      </c>
      <c r="D628" s="10">
        <v>1982</v>
      </c>
    </row>
    <row r="629" spans="1:4" ht="19.95" customHeight="1" x14ac:dyDescent="0.25">
      <c r="A629" s="9" t="s">
        <v>19</v>
      </c>
      <c r="B629" s="10" t="s">
        <v>40</v>
      </c>
      <c r="C629" s="10">
        <v>66</v>
      </c>
      <c r="D629" s="10">
        <v>1982</v>
      </c>
    </row>
    <row r="630" spans="1:4" ht="19.95" customHeight="1" x14ac:dyDescent="0.25">
      <c r="A630" s="9" t="s">
        <v>20</v>
      </c>
      <c r="B630" s="10" t="s">
        <v>40</v>
      </c>
      <c r="C630" s="10"/>
      <c r="D630" s="10">
        <v>1982</v>
      </c>
    </row>
    <row r="631" spans="1:4" ht="19.95" customHeight="1" x14ac:dyDescent="0.25">
      <c r="A631" s="9" t="s">
        <v>21</v>
      </c>
      <c r="B631" s="10" t="s">
        <v>40</v>
      </c>
      <c r="C631" s="10">
        <v>158.30000000000001</v>
      </c>
      <c r="D631" s="10">
        <v>1982</v>
      </c>
    </row>
    <row r="632" spans="1:4" ht="19.95" customHeight="1" x14ac:dyDescent="0.25">
      <c r="A632" s="9" t="s">
        <v>22</v>
      </c>
      <c r="B632" s="10" t="s">
        <v>40</v>
      </c>
      <c r="C632" s="10">
        <v>108.2</v>
      </c>
      <c r="D632" s="10">
        <v>1982</v>
      </c>
    </row>
    <row r="633" spans="1:4" ht="19.95" customHeight="1" x14ac:dyDescent="0.25">
      <c r="A633" s="9" t="s">
        <v>23</v>
      </c>
      <c r="B633" s="10" t="s">
        <v>40</v>
      </c>
      <c r="C633" s="10">
        <v>143.30000000000001</v>
      </c>
      <c r="D633" s="10">
        <v>1982</v>
      </c>
    </row>
    <row r="634" spans="1:4" ht="19.95" customHeight="1" x14ac:dyDescent="0.25">
      <c r="A634" s="9" t="s">
        <v>24</v>
      </c>
      <c r="B634" s="10" t="s">
        <v>40</v>
      </c>
      <c r="C634" s="10">
        <v>153.9</v>
      </c>
      <c r="D634" s="10">
        <v>1982</v>
      </c>
    </row>
    <row r="635" spans="1:4" ht="19.95" customHeight="1" x14ac:dyDescent="0.25">
      <c r="A635" s="9" t="s">
        <v>25</v>
      </c>
      <c r="B635" s="10" t="s">
        <v>40</v>
      </c>
      <c r="C635" s="10">
        <v>37.200000000000003</v>
      </c>
      <c r="D635" s="10">
        <v>1982</v>
      </c>
    </row>
    <row r="636" spans="1:4" ht="19.95" customHeight="1" x14ac:dyDescent="0.25">
      <c r="A636" s="9" t="s">
        <v>26</v>
      </c>
      <c r="B636" s="10" t="s">
        <v>40</v>
      </c>
      <c r="C636" s="10">
        <v>173.5</v>
      </c>
      <c r="D636" s="10">
        <v>1982</v>
      </c>
    </row>
    <row r="637" spans="1:4" ht="19.95" customHeight="1" x14ac:dyDescent="0.25">
      <c r="A637" s="9" t="s">
        <v>28</v>
      </c>
      <c r="B637" s="10" t="s">
        <v>40</v>
      </c>
      <c r="C637" s="10">
        <v>94.2</v>
      </c>
      <c r="D637" s="10">
        <v>1982</v>
      </c>
    </row>
    <row r="638" spans="1:4" ht="19.95" customHeight="1" x14ac:dyDescent="0.25">
      <c r="A638" s="9" t="s">
        <v>29</v>
      </c>
      <c r="B638" s="10" t="s">
        <v>40</v>
      </c>
      <c r="C638" s="10">
        <v>131.5</v>
      </c>
      <c r="D638" s="10">
        <v>1982</v>
      </c>
    </row>
    <row r="639" spans="1:4" ht="19.95" customHeight="1" x14ac:dyDescent="0.25">
      <c r="A639" s="9" t="s">
        <v>30</v>
      </c>
      <c r="B639" s="10" t="s">
        <v>40</v>
      </c>
      <c r="C639" s="10">
        <v>69.5</v>
      </c>
      <c r="D639" s="10">
        <v>1982</v>
      </c>
    </row>
    <row r="640" spans="1:4" ht="19.95" customHeight="1" x14ac:dyDescent="0.25">
      <c r="A640" s="9" t="s">
        <v>31</v>
      </c>
      <c r="B640" s="10" t="s">
        <v>40</v>
      </c>
      <c r="C640" s="10">
        <v>129.4</v>
      </c>
      <c r="D640" s="10">
        <v>1982</v>
      </c>
    </row>
    <row r="641" spans="1:4" ht="19.95" customHeight="1" x14ac:dyDescent="0.25">
      <c r="A641" s="9" t="s">
        <v>32</v>
      </c>
      <c r="B641" s="10" t="s">
        <v>40</v>
      </c>
      <c r="C641" s="10">
        <v>111.3</v>
      </c>
      <c r="D641" s="10">
        <v>1982</v>
      </c>
    </row>
    <row r="642" spans="1:4" ht="19.95" customHeight="1" x14ac:dyDescent="0.25">
      <c r="A642" s="9" t="s">
        <v>33</v>
      </c>
      <c r="B642" s="10" t="s">
        <v>40</v>
      </c>
      <c r="C642" s="10">
        <v>60.9</v>
      </c>
      <c r="D642" s="10">
        <v>1982</v>
      </c>
    </row>
    <row r="643" spans="1:4" ht="19.95" customHeight="1" x14ac:dyDescent="0.25">
      <c r="A643" s="9" t="s">
        <v>34</v>
      </c>
      <c r="B643" s="10" t="s">
        <v>40</v>
      </c>
      <c r="C643" s="10">
        <v>34.200000000000003</v>
      </c>
      <c r="D643" s="10">
        <v>1982</v>
      </c>
    </row>
    <row r="644" spans="1:4" ht="19.95" customHeight="1" x14ac:dyDescent="0.25">
      <c r="A644" s="9" t="s">
        <v>35</v>
      </c>
      <c r="B644" s="10" t="s">
        <v>40</v>
      </c>
      <c r="C644" s="10">
        <v>99.2</v>
      </c>
      <c r="D644" s="10">
        <v>1982</v>
      </c>
    </row>
    <row r="645" spans="1:4" ht="19.95" customHeight="1" x14ac:dyDescent="0.25">
      <c r="A645" s="9" t="s">
        <v>36</v>
      </c>
      <c r="B645" s="10" t="s">
        <v>40</v>
      </c>
      <c r="C645" s="10">
        <v>106.1</v>
      </c>
      <c r="D645" s="10">
        <v>1982</v>
      </c>
    </row>
    <row r="646" spans="1:4" ht="19.95" customHeight="1" x14ac:dyDescent="0.25">
      <c r="A646" s="9" t="s">
        <v>37</v>
      </c>
      <c r="B646" s="10" t="s">
        <v>40</v>
      </c>
      <c r="C646" s="10">
        <v>123.2</v>
      </c>
      <c r="D646" s="10">
        <v>1982</v>
      </c>
    </row>
    <row r="647" spans="1:4" ht="19.95" customHeight="1" x14ac:dyDescent="0.25">
      <c r="A647" s="9" t="s">
        <v>38</v>
      </c>
      <c r="B647" s="10" t="s">
        <v>40</v>
      </c>
      <c r="C647" s="10">
        <v>97.3</v>
      </c>
      <c r="D647" s="10">
        <v>1982</v>
      </c>
    </row>
    <row r="648" spans="1:4" ht="19.95" customHeight="1" x14ac:dyDescent="0.25">
      <c r="A648" s="9" t="s">
        <v>39</v>
      </c>
      <c r="B648" s="10" t="s">
        <v>40</v>
      </c>
      <c r="C648" s="10">
        <v>62.3</v>
      </c>
      <c r="D648" s="10">
        <v>1982</v>
      </c>
    </row>
    <row r="649" spans="1:4" ht="19.95" customHeight="1" x14ac:dyDescent="0.25">
      <c r="A649" s="9" t="s">
        <v>9</v>
      </c>
      <c r="B649" s="10" t="s">
        <v>40</v>
      </c>
      <c r="C649" s="10">
        <v>115.3</v>
      </c>
      <c r="D649" s="10">
        <v>1983</v>
      </c>
    </row>
    <row r="650" spans="1:4" ht="19.95" customHeight="1" x14ac:dyDescent="0.25">
      <c r="A650" s="9" t="s">
        <v>12</v>
      </c>
      <c r="B650" s="10" t="s">
        <v>40</v>
      </c>
      <c r="C650" s="10">
        <v>99.7</v>
      </c>
      <c r="D650" s="10">
        <v>1983</v>
      </c>
    </row>
    <row r="651" spans="1:4" ht="19.95" customHeight="1" x14ac:dyDescent="0.25">
      <c r="A651" s="9" t="s">
        <v>13</v>
      </c>
      <c r="B651" s="10" t="s">
        <v>40</v>
      </c>
      <c r="C651" s="10">
        <v>120.3</v>
      </c>
      <c r="D651" s="10">
        <v>1983</v>
      </c>
    </row>
    <row r="652" spans="1:4" ht="19.95" customHeight="1" x14ac:dyDescent="0.25">
      <c r="A652" s="9" t="s">
        <v>15</v>
      </c>
      <c r="B652" s="10" t="s">
        <v>40</v>
      </c>
      <c r="C652" s="10">
        <v>108</v>
      </c>
      <c r="D652" s="10">
        <v>1983</v>
      </c>
    </row>
    <row r="653" spans="1:4" ht="19.95" customHeight="1" x14ac:dyDescent="0.25">
      <c r="A653" s="9" t="s">
        <v>16</v>
      </c>
      <c r="B653" s="10" t="s">
        <v>40</v>
      </c>
      <c r="C653" s="10">
        <v>108.5</v>
      </c>
      <c r="D653" s="10">
        <v>1983</v>
      </c>
    </row>
    <row r="654" spans="1:4" ht="19.95" customHeight="1" x14ac:dyDescent="0.25">
      <c r="A654" s="9" t="s">
        <v>1</v>
      </c>
      <c r="B654" s="10" t="s">
        <v>40</v>
      </c>
      <c r="C654" s="10">
        <v>135.80000000000001</v>
      </c>
      <c r="D654" s="10">
        <v>1983</v>
      </c>
    </row>
    <row r="655" spans="1:4" ht="19.95" customHeight="1" x14ac:dyDescent="0.25">
      <c r="A655" s="9" t="s">
        <v>17</v>
      </c>
      <c r="B655" s="10" t="s">
        <v>40</v>
      </c>
      <c r="C655" s="10">
        <v>158.6</v>
      </c>
      <c r="D655" s="10">
        <v>1983</v>
      </c>
    </row>
    <row r="656" spans="1:4" ht="19.95" customHeight="1" x14ac:dyDescent="0.25">
      <c r="A656" s="9" t="s">
        <v>18</v>
      </c>
      <c r="B656" s="10" t="s">
        <v>40</v>
      </c>
      <c r="C656" s="10">
        <v>118.6</v>
      </c>
      <c r="D656" s="10">
        <v>1983</v>
      </c>
    </row>
    <row r="657" spans="1:4" ht="19.95" customHeight="1" x14ac:dyDescent="0.25">
      <c r="A657" s="9" t="s">
        <v>19</v>
      </c>
      <c r="B657" s="10" t="s">
        <v>40</v>
      </c>
      <c r="C657" s="10">
        <v>64.599999999999994</v>
      </c>
      <c r="D657" s="10">
        <v>1983</v>
      </c>
    </row>
    <row r="658" spans="1:4" ht="19.95" customHeight="1" x14ac:dyDescent="0.25">
      <c r="A658" s="9" t="s">
        <v>20</v>
      </c>
      <c r="B658" s="10" t="s">
        <v>40</v>
      </c>
      <c r="C658" s="10"/>
      <c r="D658" s="10">
        <v>1983</v>
      </c>
    </row>
    <row r="659" spans="1:4" ht="19.95" customHeight="1" x14ac:dyDescent="0.25">
      <c r="A659" s="9" t="s">
        <v>21</v>
      </c>
      <c r="B659" s="10" t="s">
        <v>40</v>
      </c>
      <c r="C659" s="10">
        <v>157.5</v>
      </c>
      <c r="D659" s="10">
        <v>1983</v>
      </c>
    </row>
    <row r="660" spans="1:4" ht="19.95" customHeight="1" x14ac:dyDescent="0.25">
      <c r="A660" s="9" t="s">
        <v>22</v>
      </c>
      <c r="B660" s="10" t="s">
        <v>40</v>
      </c>
      <c r="C660" s="10">
        <v>109.2</v>
      </c>
      <c r="D660" s="10">
        <v>1983</v>
      </c>
    </row>
    <row r="661" spans="1:4" ht="19.95" customHeight="1" x14ac:dyDescent="0.25">
      <c r="A661" s="9" t="s">
        <v>23</v>
      </c>
      <c r="B661" s="10" t="s">
        <v>40</v>
      </c>
      <c r="C661" s="10">
        <v>142.80000000000001</v>
      </c>
      <c r="D661" s="10">
        <v>1983</v>
      </c>
    </row>
    <row r="662" spans="1:4" ht="19.95" customHeight="1" x14ac:dyDescent="0.25">
      <c r="A662" s="9" t="s">
        <v>24</v>
      </c>
      <c r="B662" s="10" t="s">
        <v>40</v>
      </c>
      <c r="C662" s="10">
        <v>150.30000000000001</v>
      </c>
      <c r="D662" s="10">
        <v>1983</v>
      </c>
    </row>
    <row r="663" spans="1:4" ht="19.95" customHeight="1" x14ac:dyDescent="0.25">
      <c r="A663" s="9" t="s">
        <v>25</v>
      </c>
      <c r="B663" s="10" t="s">
        <v>40</v>
      </c>
      <c r="C663" s="10">
        <v>35.799999999999997</v>
      </c>
      <c r="D663" s="10">
        <v>1983</v>
      </c>
    </row>
    <row r="664" spans="1:4" ht="19.95" customHeight="1" x14ac:dyDescent="0.25">
      <c r="A664" s="9" t="s">
        <v>26</v>
      </c>
      <c r="B664" s="10" t="s">
        <v>40</v>
      </c>
      <c r="C664" s="10">
        <v>172.6</v>
      </c>
      <c r="D664" s="10">
        <v>1983</v>
      </c>
    </row>
    <row r="665" spans="1:4" ht="19.95" customHeight="1" x14ac:dyDescent="0.25">
      <c r="A665" s="9" t="s">
        <v>28</v>
      </c>
      <c r="B665" s="10" t="s">
        <v>40</v>
      </c>
      <c r="C665" s="10">
        <v>92.6</v>
      </c>
      <c r="D665" s="10">
        <v>1983</v>
      </c>
    </row>
    <row r="666" spans="1:4" ht="19.95" customHeight="1" x14ac:dyDescent="0.25">
      <c r="A666" s="9" t="s">
        <v>29</v>
      </c>
      <c r="B666" s="10" t="s">
        <v>40</v>
      </c>
      <c r="C666" s="10">
        <v>127.5</v>
      </c>
      <c r="D666" s="10">
        <v>1983</v>
      </c>
    </row>
    <row r="667" spans="1:4" ht="19.95" customHeight="1" x14ac:dyDescent="0.25">
      <c r="A667" s="9" t="s">
        <v>30</v>
      </c>
      <c r="B667" s="10" t="s">
        <v>40</v>
      </c>
      <c r="C667" s="10">
        <v>66.2</v>
      </c>
      <c r="D667" s="10">
        <v>1983</v>
      </c>
    </row>
    <row r="668" spans="1:4" ht="19.95" customHeight="1" x14ac:dyDescent="0.25">
      <c r="A668" s="9" t="s">
        <v>31</v>
      </c>
      <c r="B668" s="10" t="s">
        <v>40</v>
      </c>
      <c r="C668" s="10">
        <v>130.69999999999999</v>
      </c>
      <c r="D668" s="10">
        <v>1983</v>
      </c>
    </row>
    <row r="669" spans="1:4" ht="19.95" customHeight="1" x14ac:dyDescent="0.25">
      <c r="A669" s="9" t="s">
        <v>32</v>
      </c>
      <c r="B669" s="10" t="s">
        <v>40</v>
      </c>
      <c r="C669" s="10">
        <v>105.1</v>
      </c>
      <c r="D669" s="10">
        <v>1983</v>
      </c>
    </row>
    <row r="670" spans="1:4" ht="19.95" customHeight="1" x14ac:dyDescent="0.25">
      <c r="A670" s="9" t="s">
        <v>33</v>
      </c>
      <c r="B670" s="10" t="s">
        <v>40</v>
      </c>
      <c r="C670" s="10">
        <v>62</v>
      </c>
      <c r="D670" s="10">
        <v>1983</v>
      </c>
    </row>
    <row r="671" spans="1:4" ht="19.95" customHeight="1" x14ac:dyDescent="0.25">
      <c r="A671" s="9" t="s">
        <v>34</v>
      </c>
      <c r="B671" s="10" t="s">
        <v>40</v>
      </c>
      <c r="C671" s="10">
        <v>31.2</v>
      </c>
      <c r="D671" s="10">
        <v>1983</v>
      </c>
    </row>
    <row r="672" spans="1:4" ht="19.95" customHeight="1" x14ac:dyDescent="0.25">
      <c r="A672" s="9" t="s">
        <v>35</v>
      </c>
      <c r="B672" s="10" t="s">
        <v>40</v>
      </c>
      <c r="C672" s="10">
        <v>97.9</v>
      </c>
      <c r="D672" s="10">
        <v>1983</v>
      </c>
    </row>
    <row r="673" spans="1:4" ht="19.95" customHeight="1" x14ac:dyDescent="0.25">
      <c r="A673" s="9" t="s">
        <v>36</v>
      </c>
      <c r="B673" s="10" t="s">
        <v>40</v>
      </c>
      <c r="C673" s="10">
        <v>106.2</v>
      </c>
      <c r="D673" s="10">
        <v>1983</v>
      </c>
    </row>
    <row r="674" spans="1:4" ht="19.95" customHeight="1" x14ac:dyDescent="0.25">
      <c r="A674" s="9" t="s">
        <v>37</v>
      </c>
      <c r="B674" s="10" t="s">
        <v>40</v>
      </c>
      <c r="C674" s="10">
        <v>120.2</v>
      </c>
      <c r="D674" s="10">
        <v>1983</v>
      </c>
    </row>
    <row r="675" spans="1:4" ht="19.95" customHeight="1" x14ac:dyDescent="0.25">
      <c r="A675" s="9" t="s">
        <v>38</v>
      </c>
      <c r="B675" s="10" t="s">
        <v>40</v>
      </c>
      <c r="C675" s="10">
        <v>98.6</v>
      </c>
      <c r="D675" s="10">
        <v>1983</v>
      </c>
    </row>
    <row r="676" spans="1:4" ht="19.95" customHeight="1" x14ac:dyDescent="0.25">
      <c r="A676" s="9" t="s">
        <v>39</v>
      </c>
      <c r="B676" s="10" t="s">
        <v>40</v>
      </c>
      <c r="C676" s="10">
        <v>59.3</v>
      </c>
      <c r="D676" s="10">
        <v>1983</v>
      </c>
    </row>
    <row r="677" spans="1:4" ht="19.95" customHeight="1" x14ac:dyDescent="0.25">
      <c r="A677" s="9" t="s">
        <v>9</v>
      </c>
      <c r="B677" s="10" t="s">
        <v>40</v>
      </c>
      <c r="C677" s="10">
        <v>110.1</v>
      </c>
      <c r="D677" s="10">
        <v>1984</v>
      </c>
    </row>
    <row r="678" spans="1:4" ht="19.95" customHeight="1" x14ac:dyDescent="0.25">
      <c r="A678" s="9" t="s">
        <v>12</v>
      </c>
      <c r="B678" s="10" t="s">
        <v>40</v>
      </c>
      <c r="C678" s="10">
        <v>96.2</v>
      </c>
      <c r="D678" s="10">
        <v>1984</v>
      </c>
    </row>
    <row r="679" spans="1:4" ht="19.95" customHeight="1" x14ac:dyDescent="0.25">
      <c r="A679" s="9" t="s">
        <v>13</v>
      </c>
      <c r="B679" s="10" t="s">
        <v>40</v>
      </c>
      <c r="C679" s="10">
        <v>119.2</v>
      </c>
      <c r="D679" s="10">
        <v>1984</v>
      </c>
    </row>
    <row r="680" spans="1:4" ht="19.95" customHeight="1" x14ac:dyDescent="0.25">
      <c r="A680" s="9" t="s">
        <v>15</v>
      </c>
      <c r="B680" s="10" t="s">
        <v>40</v>
      </c>
      <c r="C680" s="10">
        <v>104.7</v>
      </c>
      <c r="D680" s="10">
        <v>1984</v>
      </c>
    </row>
    <row r="681" spans="1:4" ht="19.95" customHeight="1" x14ac:dyDescent="0.25">
      <c r="A681" s="9" t="s">
        <v>16</v>
      </c>
      <c r="B681" s="10" t="s">
        <v>40</v>
      </c>
      <c r="C681" s="10">
        <v>105.7</v>
      </c>
      <c r="D681" s="10">
        <v>1984</v>
      </c>
    </row>
    <row r="682" spans="1:4" ht="19.95" customHeight="1" x14ac:dyDescent="0.25">
      <c r="A682" s="9" t="s">
        <v>1</v>
      </c>
      <c r="B682" s="10" t="s">
        <v>40</v>
      </c>
      <c r="C682" s="10">
        <v>133.4</v>
      </c>
      <c r="D682" s="10">
        <v>1984</v>
      </c>
    </row>
    <row r="683" spans="1:4" ht="19.95" customHeight="1" x14ac:dyDescent="0.25">
      <c r="A683" s="9" t="s">
        <v>17</v>
      </c>
      <c r="B683" s="10" t="s">
        <v>40</v>
      </c>
      <c r="C683" s="10">
        <v>155.80000000000001</v>
      </c>
      <c r="D683" s="10">
        <v>1984</v>
      </c>
    </row>
    <row r="684" spans="1:4" ht="19.95" customHeight="1" x14ac:dyDescent="0.25">
      <c r="A684" s="9" t="s">
        <v>18</v>
      </c>
      <c r="B684" s="10" t="s">
        <v>40</v>
      </c>
      <c r="C684" s="10">
        <v>115.8</v>
      </c>
      <c r="D684" s="10">
        <v>1984</v>
      </c>
    </row>
    <row r="685" spans="1:4" ht="19.95" customHeight="1" x14ac:dyDescent="0.25">
      <c r="A685" s="9" t="s">
        <v>19</v>
      </c>
      <c r="B685" s="10" t="s">
        <v>40</v>
      </c>
      <c r="C685" s="10">
        <v>63.5</v>
      </c>
      <c r="D685" s="10">
        <v>1984</v>
      </c>
    </row>
    <row r="686" spans="1:4" ht="19.95" customHeight="1" x14ac:dyDescent="0.25">
      <c r="A686" s="9" t="s">
        <v>20</v>
      </c>
      <c r="B686" s="10" t="s">
        <v>40</v>
      </c>
      <c r="C686" s="10"/>
      <c r="D686" s="10">
        <v>1984</v>
      </c>
    </row>
    <row r="687" spans="1:4" ht="19.95" customHeight="1" x14ac:dyDescent="0.25">
      <c r="A687" s="9" t="s">
        <v>21</v>
      </c>
      <c r="B687" s="10" t="s">
        <v>40</v>
      </c>
      <c r="C687" s="10">
        <v>157.5</v>
      </c>
      <c r="D687" s="10">
        <v>1984</v>
      </c>
    </row>
    <row r="688" spans="1:4" ht="19.95" customHeight="1" x14ac:dyDescent="0.25">
      <c r="A688" s="9" t="s">
        <v>22</v>
      </c>
      <c r="B688" s="10" t="s">
        <v>40</v>
      </c>
      <c r="C688" s="10">
        <v>109.5</v>
      </c>
      <c r="D688" s="10">
        <v>1984</v>
      </c>
    </row>
    <row r="689" spans="1:4" ht="19.95" customHeight="1" x14ac:dyDescent="0.25">
      <c r="A689" s="9" t="s">
        <v>23</v>
      </c>
      <c r="B689" s="10" t="s">
        <v>40</v>
      </c>
      <c r="C689" s="10">
        <v>143.69999999999999</v>
      </c>
      <c r="D689" s="10">
        <v>1984</v>
      </c>
    </row>
    <row r="690" spans="1:4" ht="19.95" customHeight="1" x14ac:dyDescent="0.25">
      <c r="A690" s="9" t="s">
        <v>24</v>
      </c>
      <c r="B690" s="10" t="s">
        <v>40</v>
      </c>
      <c r="C690" s="10">
        <v>146.80000000000001</v>
      </c>
      <c r="D690" s="10">
        <v>1984</v>
      </c>
    </row>
    <row r="691" spans="1:4" ht="19.95" customHeight="1" x14ac:dyDescent="0.25">
      <c r="A691" s="9" t="s">
        <v>25</v>
      </c>
      <c r="B691" s="10" t="s">
        <v>40</v>
      </c>
      <c r="C691" s="10">
        <v>34.299999999999997</v>
      </c>
      <c r="D691" s="10">
        <v>1984</v>
      </c>
    </row>
    <row r="692" spans="1:4" ht="19.95" customHeight="1" x14ac:dyDescent="0.25">
      <c r="A692" s="9" t="s">
        <v>26</v>
      </c>
      <c r="B692" s="10" t="s">
        <v>40</v>
      </c>
      <c r="C692" s="10">
        <v>171.1</v>
      </c>
      <c r="D692" s="10">
        <v>1984</v>
      </c>
    </row>
    <row r="693" spans="1:4" ht="19.95" customHeight="1" x14ac:dyDescent="0.25">
      <c r="A693" s="9" t="s">
        <v>28</v>
      </c>
      <c r="B693" s="10" t="s">
        <v>40</v>
      </c>
      <c r="C693" s="10">
        <v>91</v>
      </c>
      <c r="D693" s="10">
        <v>1984</v>
      </c>
    </row>
    <row r="694" spans="1:4" ht="19.95" customHeight="1" x14ac:dyDescent="0.25">
      <c r="A694" s="9" t="s">
        <v>29</v>
      </c>
      <c r="B694" s="10" t="s">
        <v>40</v>
      </c>
      <c r="C694" s="10">
        <v>123.4</v>
      </c>
      <c r="D694" s="10">
        <v>1984</v>
      </c>
    </row>
    <row r="695" spans="1:4" ht="19.95" customHeight="1" x14ac:dyDescent="0.25">
      <c r="A695" s="9" t="s">
        <v>30</v>
      </c>
      <c r="B695" s="10" t="s">
        <v>40</v>
      </c>
      <c r="C695" s="10">
        <v>63.3</v>
      </c>
      <c r="D695" s="10">
        <v>1984</v>
      </c>
    </row>
    <row r="696" spans="1:4" ht="19.95" customHeight="1" x14ac:dyDescent="0.25">
      <c r="A696" s="9" t="s">
        <v>31</v>
      </c>
      <c r="B696" s="10" t="s">
        <v>40</v>
      </c>
      <c r="C696" s="10">
        <v>132.19999999999999</v>
      </c>
      <c r="D696" s="10">
        <v>1984</v>
      </c>
    </row>
    <row r="697" spans="1:4" ht="19.95" customHeight="1" x14ac:dyDescent="0.25">
      <c r="A697" s="9" t="s">
        <v>32</v>
      </c>
      <c r="B697" s="10" t="s">
        <v>40</v>
      </c>
      <c r="C697" s="10">
        <v>100.7</v>
      </c>
      <c r="D697" s="10">
        <v>1984</v>
      </c>
    </row>
    <row r="698" spans="1:4" ht="19.95" customHeight="1" x14ac:dyDescent="0.25">
      <c r="A698" s="9" t="s">
        <v>33</v>
      </c>
      <c r="B698" s="10" t="s">
        <v>40</v>
      </c>
      <c r="C698" s="10">
        <v>63.3</v>
      </c>
      <c r="D698" s="10">
        <v>1984</v>
      </c>
    </row>
    <row r="699" spans="1:4" ht="19.95" customHeight="1" x14ac:dyDescent="0.25">
      <c r="A699" s="9" t="s">
        <v>34</v>
      </c>
      <c r="B699" s="10" t="s">
        <v>40</v>
      </c>
      <c r="C699" s="10">
        <v>28.2</v>
      </c>
      <c r="D699" s="10">
        <v>1984</v>
      </c>
    </row>
    <row r="700" spans="1:4" ht="19.95" customHeight="1" x14ac:dyDescent="0.25">
      <c r="A700" s="9" t="s">
        <v>35</v>
      </c>
      <c r="B700" s="10" t="s">
        <v>40</v>
      </c>
      <c r="C700" s="10">
        <v>95.9</v>
      </c>
      <c r="D700" s="10">
        <v>1984</v>
      </c>
    </row>
    <row r="701" spans="1:4" ht="19.95" customHeight="1" x14ac:dyDescent="0.25">
      <c r="A701" s="9" t="s">
        <v>36</v>
      </c>
      <c r="B701" s="10" t="s">
        <v>40</v>
      </c>
      <c r="C701" s="10">
        <v>106.3</v>
      </c>
      <c r="D701" s="10">
        <v>1984</v>
      </c>
    </row>
    <row r="702" spans="1:4" ht="19.95" customHeight="1" x14ac:dyDescent="0.25">
      <c r="A702" s="9" t="s">
        <v>37</v>
      </c>
      <c r="B702" s="10" t="s">
        <v>40</v>
      </c>
      <c r="C702" s="10">
        <v>117.1</v>
      </c>
      <c r="D702" s="10">
        <v>1984</v>
      </c>
    </row>
    <row r="703" spans="1:4" ht="19.95" customHeight="1" x14ac:dyDescent="0.25">
      <c r="A703" s="9" t="s">
        <v>38</v>
      </c>
      <c r="B703" s="10" t="s">
        <v>40</v>
      </c>
      <c r="C703" s="10">
        <v>100.4</v>
      </c>
      <c r="D703" s="10">
        <v>1984</v>
      </c>
    </row>
    <row r="704" spans="1:4" ht="19.95" customHeight="1" x14ac:dyDescent="0.25">
      <c r="A704" s="9" t="s">
        <v>39</v>
      </c>
      <c r="B704" s="10" t="s">
        <v>40</v>
      </c>
      <c r="C704" s="10">
        <v>56.4</v>
      </c>
      <c r="D704" s="10">
        <v>1984</v>
      </c>
    </row>
    <row r="705" spans="1:4" ht="19.95" customHeight="1" x14ac:dyDescent="0.25">
      <c r="A705" s="9" t="s">
        <v>9</v>
      </c>
      <c r="B705" s="10" t="s">
        <v>40</v>
      </c>
      <c r="C705" s="10">
        <v>106.3</v>
      </c>
      <c r="D705" s="10">
        <v>1985</v>
      </c>
    </row>
    <row r="706" spans="1:4" ht="19.95" customHeight="1" x14ac:dyDescent="0.25">
      <c r="A706" s="9" t="s">
        <v>12</v>
      </c>
      <c r="B706" s="10" t="s">
        <v>40</v>
      </c>
      <c r="C706" s="10">
        <v>92.9</v>
      </c>
      <c r="D706" s="10">
        <v>1985</v>
      </c>
    </row>
    <row r="707" spans="1:4" ht="19.95" customHeight="1" x14ac:dyDescent="0.25">
      <c r="A707" s="9" t="s">
        <v>13</v>
      </c>
      <c r="B707" s="10" t="s">
        <v>40</v>
      </c>
      <c r="C707" s="10">
        <v>118.1</v>
      </c>
      <c r="D707" s="10">
        <v>1985</v>
      </c>
    </row>
    <row r="708" spans="1:4" ht="19.95" customHeight="1" x14ac:dyDescent="0.25">
      <c r="A708" s="9" t="s">
        <v>15</v>
      </c>
      <c r="B708" s="10" t="s">
        <v>40</v>
      </c>
      <c r="C708" s="10">
        <v>101.5</v>
      </c>
      <c r="D708" s="10">
        <v>1985</v>
      </c>
    </row>
    <row r="709" spans="1:4" ht="19.95" customHeight="1" x14ac:dyDescent="0.25">
      <c r="A709" s="9" t="s">
        <v>16</v>
      </c>
      <c r="B709" s="10" t="s">
        <v>40</v>
      </c>
      <c r="C709" s="10">
        <v>103</v>
      </c>
      <c r="D709" s="10">
        <v>1985</v>
      </c>
    </row>
    <row r="710" spans="1:4" ht="19.95" customHeight="1" x14ac:dyDescent="0.25">
      <c r="A710" s="9" t="s">
        <v>1</v>
      </c>
      <c r="B710" s="10" t="s">
        <v>40</v>
      </c>
      <c r="C710" s="10">
        <v>131.1</v>
      </c>
      <c r="D710" s="10">
        <v>1985</v>
      </c>
    </row>
    <row r="711" spans="1:4" ht="19.95" customHeight="1" x14ac:dyDescent="0.25">
      <c r="A711" s="9" t="s">
        <v>17</v>
      </c>
      <c r="B711" s="10" t="s">
        <v>40</v>
      </c>
      <c r="C711" s="10">
        <v>153.1</v>
      </c>
      <c r="D711" s="10">
        <v>1985</v>
      </c>
    </row>
    <row r="712" spans="1:4" ht="19.95" customHeight="1" x14ac:dyDescent="0.25">
      <c r="A712" s="9" t="s">
        <v>18</v>
      </c>
      <c r="B712" s="10" t="s">
        <v>40</v>
      </c>
      <c r="C712" s="10">
        <v>113.1</v>
      </c>
      <c r="D712" s="10">
        <v>1985</v>
      </c>
    </row>
    <row r="713" spans="1:4" ht="19.95" customHeight="1" x14ac:dyDescent="0.25">
      <c r="A713" s="9" t="s">
        <v>19</v>
      </c>
      <c r="B713" s="10" t="s">
        <v>40</v>
      </c>
      <c r="C713" s="10">
        <v>62.8</v>
      </c>
      <c r="D713" s="10">
        <v>1985</v>
      </c>
    </row>
    <row r="714" spans="1:4" ht="19.95" customHeight="1" x14ac:dyDescent="0.25">
      <c r="A714" s="9" t="s">
        <v>20</v>
      </c>
      <c r="B714" s="10" t="s">
        <v>40</v>
      </c>
      <c r="C714" s="10"/>
      <c r="D714" s="10">
        <v>1985</v>
      </c>
    </row>
    <row r="715" spans="1:4" ht="19.95" customHeight="1" x14ac:dyDescent="0.25">
      <c r="A715" s="9" t="s">
        <v>21</v>
      </c>
      <c r="B715" s="10" t="s">
        <v>40</v>
      </c>
      <c r="C715" s="10">
        <v>158.5</v>
      </c>
      <c r="D715" s="10">
        <v>1985</v>
      </c>
    </row>
    <row r="716" spans="1:4" ht="19.95" customHeight="1" x14ac:dyDescent="0.25">
      <c r="A716" s="9" t="s">
        <v>22</v>
      </c>
      <c r="B716" s="10" t="s">
        <v>40</v>
      </c>
      <c r="C716" s="10">
        <v>109.1</v>
      </c>
      <c r="D716" s="10">
        <v>1985</v>
      </c>
    </row>
    <row r="717" spans="1:4" ht="19.95" customHeight="1" x14ac:dyDescent="0.25">
      <c r="A717" s="9" t="s">
        <v>23</v>
      </c>
      <c r="B717" s="10" t="s">
        <v>40</v>
      </c>
      <c r="C717" s="10">
        <v>145.19999999999999</v>
      </c>
      <c r="D717" s="10">
        <v>1985</v>
      </c>
    </row>
    <row r="718" spans="1:4" ht="19.95" customHeight="1" x14ac:dyDescent="0.25">
      <c r="A718" s="9" t="s">
        <v>24</v>
      </c>
      <c r="B718" s="10" t="s">
        <v>40</v>
      </c>
      <c r="C718" s="10">
        <v>143.5</v>
      </c>
      <c r="D718" s="10">
        <v>1985</v>
      </c>
    </row>
    <row r="719" spans="1:4" ht="19.95" customHeight="1" x14ac:dyDescent="0.25">
      <c r="A719" s="9" t="s">
        <v>25</v>
      </c>
      <c r="B719" s="10" t="s">
        <v>40</v>
      </c>
      <c r="C719" s="10">
        <v>32.799999999999997</v>
      </c>
      <c r="D719" s="10">
        <v>1985</v>
      </c>
    </row>
    <row r="720" spans="1:4" ht="19.95" customHeight="1" x14ac:dyDescent="0.25">
      <c r="A720" s="9" t="s">
        <v>26</v>
      </c>
      <c r="B720" s="10" t="s">
        <v>40</v>
      </c>
      <c r="C720" s="10">
        <v>169.4</v>
      </c>
      <c r="D720" s="10">
        <v>1985</v>
      </c>
    </row>
    <row r="721" spans="1:4" ht="19.95" customHeight="1" x14ac:dyDescent="0.25">
      <c r="A721" s="9" t="s">
        <v>28</v>
      </c>
      <c r="B721" s="10" t="s">
        <v>40</v>
      </c>
      <c r="C721" s="10">
        <v>89.5</v>
      </c>
      <c r="D721" s="10">
        <v>1985</v>
      </c>
    </row>
    <row r="722" spans="1:4" ht="19.95" customHeight="1" x14ac:dyDescent="0.25">
      <c r="A722" s="9" t="s">
        <v>29</v>
      </c>
      <c r="B722" s="10" t="s">
        <v>40</v>
      </c>
      <c r="C722" s="10">
        <v>119.2</v>
      </c>
      <c r="D722" s="10">
        <v>1985</v>
      </c>
    </row>
    <row r="723" spans="1:4" ht="19.95" customHeight="1" x14ac:dyDescent="0.25">
      <c r="A723" s="9" t="s">
        <v>30</v>
      </c>
      <c r="B723" s="10" t="s">
        <v>40</v>
      </c>
      <c r="C723" s="10">
        <v>60.8</v>
      </c>
      <c r="D723" s="10">
        <v>1985</v>
      </c>
    </row>
    <row r="724" spans="1:4" ht="19.95" customHeight="1" x14ac:dyDescent="0.25">
      <c r="A724" s="9" t="s">
        <v>31</v>
      </c>
      <c r="B724" s="10" t="s">
        <v>40</v>
      </c>
      <c r="C724" s="10">
        <v>133.6</v>
      </c>
      <c r="D724" s="10">
        <v>1985</v>
      </c>
    </row>
    <row r="725" spans="1:4" ht="19.95" customHeight="1" x14ac:dyDescent="0.25">
      <c r="A725" s="9" t="s">
        <v>32</v>
      </c>
      <c r="B725" s="10" t="s">
        <v>40</v>
      </c>
      <c r="C725" s="10">
        <v>97.3</v>
      </c>
      <c r="D725" s="10">
        <v>1985</v>
      </c>
    </row>
    <row r="726" spans="1:4" ht="19.95" customHeight="1" x14ac:dyDescent="0.25">
      <c r="A726" s="9" t="s">
        <v>33</v>
      </c>
      <c r="B726" s="10" t="s">
        <v>40</v>
      </c>
      <c r="C726" s="10">
        <v>64.599999999999994</v>
      </c>
      <c r="D726" s="10">
        <v>1985</v>
      </c>
    </row>
    <row r="727" spans="1:4" ht="19.95" customHeight="1" x14ac:dyDescent="0.25">
      <c r="A727" s="9" t="s">
        <v>34</v>
      </c>
      <c r="B727" s="10" t="s">
        <v>40</v>
      </c>
      <c r="C727" s="10">
        <v>25.2</v>
      </c>
      <c r="D727" s="10">
        <v>1985</v>
      </c>
    </row>
    <row r="728" spans="1:4" ht="19.95" customHeight="1" x14ac:dyDescent="0.25">
      <c r="A728" s="9" t="s">
        <v>35</v>
      </c>
      <c r="B728" s="10" t="s">
        <v>40</v>
      </c>
      <c r="C728" s="10">
        <v>93.1</v>
      </c>
      <c r="D728" s="10">
        <v>1985</v>
      </c>
    </row>
    <row r="729" spans="1:4" ht="19.95" customHeight="1" x14ac:dyDescent="0.25">
      <c r="A729" s="9" t="s">
        <v>36</v>
      </c>
      <c r="B729" s="10" t="s">
        <v>40</v>
      </c>
      <c r="C729" s="10">
        <v>106</v>
      </c>
      <c r="D729" s="10">
        <v>1985</v>
      </c>
    </row>
    <row r="730" spans="1:4" ht="19.95" customHeight="1" x14ac:dyDescent="0.25">
      <c r="A730" s="9" t="s">
        <v>37</v>
      </c>
      <c r="B730" s="10" t="s">
        <v>40</v>
      </c>
      <c r="C730" s="10">
        <v>114.6</v>
      </c>
      <c r="D730" s="10">
        <v>1985</v>
      </c>
    </row>
    <row r="731" spans="1:4" ht="19.95" customHeight="1" x14ac:dyDescent="0.25">
      <c r="A731" s="9" t="s">
        <v>38</v>
      </c>
      <c r="B731" s="10" t="s">
        <v>40</v>
      </c>
      <c r="C731" s="10">
        <v>102.6</v>
      </c>
      <c r="D731" s="10">
        <v>1985</v>
      </c>
    </row>
    <row r="732" spans="1:4" ht="19.95" customHeight="1" x14ac:dyDescent="0.25">
      <c r="A732" s="9" t="s">
        <v>39</v>
      </c>
      <c r="B732" s="10" t="s">
        <v>40</v>
      </c>
      <c r="C732" s="10">
        <v>53.9</v>
      </c>
      <c r="D732" s="10">
        <v>1985</v>
      </c>
    </row>
    <row r="733" spans="1:4" ht="19.95" customHeight="1" x14ac:dyDescent="0.25">
      <c r="A733" s="9" t="s">
        <v>9</v>
      </c>
      <c r="B733" s="10" t="s">
        <v>40</v>
      </c>
      <c r="C733" s="10">
        <v>104</v>
      </c>
      <c r="D733" s="10">
        <v>1986</v>
      </c>
    </row>
    <row r="734" spans="1:4" ht="19.95" customHeight="1" x14ac:dyDescent="0.25">
      <c r="A734" s="9" t="s">
        <v>12</v>
      </c>
      <c r="B734" s="10" t="s">
        <v>40</v>
      </c>
      <c r="C734" s="10">
        <v>90</v>
      </c>
      <c r="D734" s="10">
        <v>1986</v>
      </c>
    </row>
    <row r="735" spans="1:4" ht="19.95" customHeight="1" x14ac:dyDescent="0.25">
      <c r="A735" s="9" t="s">
        <v>13</v>
      </c>
      <c r="B735" s="10" t="s">
        <v>40</v>
      </c>
      <c r="C735" s="10">
        <v>116.9</v>
      </c>
      <c r="D735" s="10">
        <v>1986</v>
      </c>
    </row>
    <row r="736" spans="1:4" ht="19.95" customHeight="1" x14ac:dyDescent="0.25">
      <c r="A736" s="9" t="s">
        <v>15</v>
      </c>
      <c r="B736" s="10" t="s">
        <v>40</v>
      </c>
      <c r="C736" s="10">
        <v>98.4</v>
      </c>
      <c r="D736" s="10">
        <v>1986</v>
      </c>
    </row>
    <row r="737" spans="1:4" ht="19.95" customHeight="1" x14ac:dyDescent="0.25">
      <c r="A737" s="9" t="s">
        <v>16</v>
      </c>
      <c r="B737" s="10" t="s">
        <v>40</v>
      </c>
      <c r="C737" s="10">
        <v>100.5</v>
      </c>
      <c r="D737" s="10">
        <v>1986</v>
      </c>
    </row>
    <row r="738" spans="1:4" ht="19.95" customHeight="1" x14ac:dyDescent="0.25">
      <c r="A738" s="9" t="s">
        <v>1</v>
      </c>
      <c r="B738" s="10" t="s">
        <v>40</v>
      </c>
      <c r="C738" s="10">
        <v>128.9</v>
      </c>
      <c r="D738" s="10">
        <v>1986</v>
      </c>
    </row>
    <row r="739" spans="1:4" ht="19.95" customHeight="1" x14ac:dyDescent="0.25">
      <c r="A739" s="9" t="s">
        <v>17</v>
      </c>
      <c r="B739" s="10" t="s">
        <v>40</v>
      </c>
      <c r="C739" s="10">
        <v>150.4</v>
      </c>
      <c r="D739" s="10">
        <v>1986</v>
      </c>
    </row>
    <row r="740" spans="1:4" ht="19.95" customHeight="1" x14ac:dyDescent="0.25">
      <c r="A740" s="9" t="s">
        <v>18</v>
      </c>
      <c r="B740" s="10" t="s">
        <v>40</v>
      </c>
      <c r="C740" s="10">
        <v>110.4</v>
      </c>
      <c r="D740" s="10">
        <v>1986</v>
      </c>
    </row>
    <row r="741" spans="1:4" ht="19.95" customHeight="1" x14ac:dyDescent="0.25">
      <c r="A741" s="9" t="s">
        <v>19</v>
      </c>
      <c r="B741" s="10" t="s">
        <v>40</v>
      </c>
      <c r="C741" s="10">
        <v>62.6</v>
      </c>
      <c r="D741" s="10">
        <v>1986</v>
      </c>
    </row>
    <row r="742" spans="1:4" ht="19.95" customHeight="1" x14ac:dyDescent="0.25">
      <c r="A742" s="9" t="s">
        <v>20</v>
      </c>
      <c r="B742" s="10" t="s">
        <v>40</v>
      </c>
      <c r="C742" s="10"/>
      <c r="D742" s="10">
        <v>1986</v>
      </c>
    </row>
    <row r="743" spans="1:4" ht="19.95" customHeight="1" x14ac:dyDescent="0.25">
      <c r="A743" s="9" t="s">
        <v>21</v>
      </c>
      <c r="B743" s="10" t="s">
        <v>40</v>
      </c>
      <c r="C743" s="10">
        <v>160.69999999999999</v>
      </c>
      <c r="D743" s="10">
        <v>1986</v>
      </c>
    </row>
    <row r="744" spans="1:4" ht="19.95" customHeight="1" x14ac:dyDescent="0.25">
      <c r="A744" s="9" t="s">
        <v>22</v>
      </c>
      <c r="B744" s="10" t="s">
        <v>40</v>
      </c>
      <c r="C744" s="10">
        <v>108</v>
      </c>
      <c r="D744" s="10">
        <v>1986</v>
      </c>
    </row>
    <row r="745" spans="1:4" ht="19.95" customHeight="1" x14ac:dyDescent="0.25">
      <c r="A745" s="9" t="s">
        <v>23</v>
      </c>
      <c r="B745" s="10" t="s">
        <v>40</v>
      </c>
      <c r="C745" s="10">
        <v>146.30000000000001</v>
      </c>
      <c r="D745" s="10">
        <v>1986</v>
      </c>
    </row>
    <row r="746" spans="1:4" ht="19.95" customHeight="1" x14ac:dyDescent="0.25">
      <c r="A746" s="9" t="s">
        <v>24</v>
      </c>
      <c r="B746" s="10" t="s">
        <v>40</v>
      </c>
      <c r="C746" s="10">
        <v>140.4</v>
      </c>
      <c r="D746" s="10">
        <v>1986</v>
      </c>
    </row>
    <row r="747" spans="1:4" ht="19.95" customHeight="1" x14ac:dyDescent="0.25">
      <c r="A747" s="9" t="s">
        <v>25</v>
      </c>
      <c r="B747" s="10" t="s">
        <v>40</v>
      </c>
      <c r="C747" s="10">
        <v>31.3</v>
      </c>
      <c r="D747" s="10">
        <v>1986</v>
      </c>
    </row>
    <row r="748" spans="1:4" ht="19.95" customHeight="1" x14ac:dyDescent="0.25">
      <c r="A748" s="9" t="s">
        <v>26</v>
      </c>
      <c r="B748" s="10" t="s">
        <v>40</v>
      </c>
      <c r="C748" s="10">
        <v>167.5</v>
      </c>
      <c r="D748" s="10">
        <v>1986</v>
      </c>
    </row>
    <row r="749" spans="1:4" ht="19.95" customHeight="1" x14ac:dyDescent="0.25">
      <c r="A749" s="9" t="s">
        <v>28</v>
      </c>
      <c r="B749" s="10" t="s">
        <v>40</v>
      </c>
      <c r="C749" s="10">
        <v>88</v>
      </c>
      <c r="D749" s="10">
        <v>1986</v>
      </c>
    </row>
    <row r="750" spans="1:4" ht="19.95" customHeight="1" x14ac:dyDescent="0.25">
      <c r="A750" s="9" t="s">
        <v>29</v>
      </c>
      <c r="B750" s="10" t="s">
        <v>40</v>
      </c>
      <c r="C750" s="10">
        <v>115.1</v>
      </c>
      <c r="D750" s="10">
        <v>1986</v>
      </c>
    </row>
    <row r="751" spans="1:4" ht="19.95" customHeight="1" x14ac:dyDescent="0.25">
      <c r="A751" s="9" t="s">
        <v>30</v>
      </c>
      <c r="B751" s="10" t="s">
        <v>40</v>
      </c>
      <c r="C751" s="10">
        <v>58.6</v>
      </c>
      <c r="D751" s="10">
        <v>1986</v>
      </c>
    </row>
    <row r="752" spans="1:4" ht="19.95" customHeight="1" x14ac:dyDescent="0.25">
      <c r="A752" s="9" t="s">
        <v>31</v>
      </c>
      <c r="B752" s="10" t="s">
        <v>40</v>
      </c>
      <c r="C752" s="10">
        <v>134.69999999999999</v>
      </c>
      <c r="D752" s="10">
        <v>1986</v>
      </c>
    </row>
    <row r="753" spans="1:4" ht="19.95" customHeight="1" x14ac:dyDescent="0.25">
      <c r="A753" s="9" t="s">
        <v>32</v>
      </c>
      <c r="B753" s="10" t="s">
        <v>40</v>
      </c>
      <c r="C753" s="10">
        <v>94.7</v>
      </c>
      <c r="D753" s="10">
        <v>1986</v>
      </c>
    </row>
    <row r="754" spans="1:4" ht="19.95" customHeight="1" x14ac:dyDescent="0.25">
      <c r="A754" s="9" t="s">
        <v>33</v>
      </c>
      <c r="B754" s="10" t="s">
        <v>40</v>
      </c>
      <c r="C754" s="10">
        <v>65.8</v>
      </c>
      <c r="D754" s="10">
        <v>1986</v>
      </c>
    </row>
    <row r="755" spans="1:4" ht="19.95" customHeight="1" x14ac:dyDescent="0.25">
      <c r="A755" s="9" t="s">
        <v>34</v>
      </c>
      <c r="B755" s="10" t="s">
        <v>40</v>
      </c>
      <c r="C755" s="10">
        <v>22.6</v>
      </c>
      <c r="D755" s="10">
        <v>1986</v>
      </c>
    </row>
    <row r="756" spans="1:4" ht="19.95" customHeight="1" x14ac:dyDescent="0.25">
      <c r="A756" s="9" t="s">
        <v>35</v>
      </c>
      <c r="B756" s="10" t="s">
        <v>40</v>
      </c>
      <c r="C756" s="10">
        <v>89.9</v>
      </c>
      <c r="D756" s="10">
        <v>1986</v>
      </c>
    </row>
    <row r="757" spans="1:4" ht="19.95" customHeight="1" x14ac:dyDescent="0.25">
      <c r="A757" s="9" t="s">
        <v>36</v>
      </c>
      <c r="B757" s="10" t="s">
        <v>40</v>
      </c>
      <c r="C757" s="10">
        <v>105.2</v>
      </c>
      <c r="D757" s="10">
        <v>1986</v>
      </c>
    </row>
    <row r="758" spans="1:4" ht="19.95" customHeight="1" x14ac:dyDescent="0.25">
      <c r="A758" s="9" t="s">
        <v>37</v>
      </c>
      <c r="B758" s="10" t="s">
        <v>40</v>
      </c>
      <c r="C758" s="10">
        <v>112.6</v>
      </c>
      <c r="D758" s="10">
        <v>1986</v>
      </c>
    </row>
    <row r="759" spans="1:4" ht="19.95" customHeight="1" x14ac:dyDescent="0.25">
      <c r="A759" s="9" t="s">
        <v>38</v>
      </c>
      <c r="B759" s="10" t="s">
        <v>40</v>
      </c>
      <c r="C759" s="10">
        <v>105</v>
      </c>
      <c r="D759" s="10">
        <v>1986</v>
      </c>
    </row>
    <row r="760" spans="1:4" ht="19.95" customHeight="1" x14ac:dyDescent="0.25">
      <c r="A760" s="9" t="s">
        <v>39</v>
      </c>
      <c r="B760" s="10" t="s">
        <v>40</v>
      </c>
      <c r="C760" s="10">
        <v>52</v>
      </c>
      <c r="D760" s="10">
        <v>1986</v>
      </c>
    </row>
    <row r="761" spans="1:4" ht="19.95" customHeight="1" x14ac:dyDescent="0.25">
      <c r="A761" s="9" t="s">
        <v>9</v>
      </c>
      <c r="B761" s="10" t="s">
        <v>40</v>
      </c>
      <c r="C761" s="10">
        <v>103</v>
      </c>
      <c r="D761" s="10">
        <v>1987</v>
      </c>
    </row>
    <row r="762" spans="1:4" ht="19.95" customHeight="1" x14ac:dyDescent="0.25">
      <c r="A762" s="9" t="s">
        <v>12</v>
      </c>
      <c r="B762" s="10" t="s">
        <v>40</v>
      </c>
      <c r="C762" s="10">
        <v>87.8</v>
      </c>
      <c r="D762" s="10">
        <v>1987</v>
      </c>
    </row>
    <row r="763" spans="1:4" ht="19.95" customHeight="1" x14ac:dyDescent="0.25">
      <c r="A763" s="9" t="s">
        <v>13</v>
      </c>
      <c r="B763" s="10" t="s">
        <v>40</v>
      </c>
      <c r="C763" s="10">
        <v>115.7</v>
      </c>
      <c r="D763" s="10">
        <v>1987</v>
      </c>
    </row>
    <row r="764" spans="1:4" ht="19.95" customHeight="1" x14ac:dyDescent="0.25">
      <c r="A764" s="9" t="s">
        <v>15</v>
      </c>
      <c r="B764" s="10" t="s">
        <v>40</v>
      </c>
      <c r="C764" s="10">
        <v>95.6</v>
      </c>
      <c r="D764" s="10">
        <v>1987</v>
      </c>
    </row>
    <row r="765" spans="1:4" ht="19.95" customHeight="1" x14ac:dyDescent="0.25">
      <c r="A765" s="9" t="s">
        <v>16</v>
      </c>
      <c r="B765" s="10" t="s">
        <v>40</v>
      </c>
      <c r="C765" s="10">
        <v>98.2</v>
      </c>
      <c r="D765" s="10">
        <v>1987</v>
      </c>
    </row>
    <row r="766" spans="1:4" ht="19.95" customHeight="1" x14ac:dyDescent="0.25">
      <c r="A766" s="9" t="s">
        <v>1</v>
      </c>
      <c r="B766" s="10" t="s">
        <v>40</v>
      </c>
      <c r="C766" s="10">
        <v>126.8</v>
      </c>
      <c r="D766" s="10">
        <v>1987</v>
      </c>
    </row>
    <row r="767" spans="1:4" ht="19.95" customHeight="1" x14ac:dyDescent="0.25">
      <c r="A767" s="9" t="s">
        <v>17</v>
      </c>
      <c r="B767" s="10" t="s">
        <v>40</v>
      </c>
      <c r="C767" s="10">
        <v>147.6</v>
      </c>
      <c r="D767" s="10">
        <v>1987</v>
      </c>
    </row>
    <row r="768" spans="1:4" ht="19.95" customHeight="1" x14ac:dyDescent="0.25">
      <c r="A768" s="9" t="s">
        <v>18</v>
      </c>
      <c r="B768" s="10" t="s">
        <v>40</v>
      </c>
      <c r="C768" s="10">
        <v>107.8</v>
      </c>
      <c r="D768" s="10">
        <v>1987</v>
      </c>
    </row>
    <row r="769" spans="1:4" ht="19.95" customHeight="1" x14ac:dyDescent="0.25">
      <c r="A769" s="9" t="s">
        <v>19</v>
      </c>
      <c r="B769" s="10" t="s">
        <v>40</v>
      </c>
      <c r="C769" s="10">
        <v>62.8</v>
      </c>
      <c r="D769" s="10">
        <v>1987</v>
      </c>
    </row>
    <row r="770" spans="1:4" ht="19.95" customHeight="1" x14ac:dyDescent="0.25">
      <c r="A770" s="9" t="s">
        <v>20</v>
      </c>
      <c r="B770" s="10" t="s">
        <v>40</v>
      </c>
      <c r="C770" s="10"/>
      <c r="D770" s="10">
        <v>1987</v>
      </c>
    </row>
    <row r="771" spans="1:4" ht="19.95" customHeight="1" x14ac:dyDescent="0.25">
      <c r="A771" s="9" t="s">
        <v>21</v>
      </c>
      <c r="B771" s="10" t="s">
        <v>40</v>
      </c>
      <c r="C771" s="10">
        <v>163.80000000000001</v>
      </c>
      <c r="D771" s="10">
        <v>1987</v>
      </c>
    </row>
    <row r="772" spans="1:4" ht="19.95" customHeight="1" x14ac:dyDescent="0.25">
      <c r="A772" s="9" t="s">
        <v>22</v>
      </c>
      <c r="B772" s="10" t="s">
        <v>40</v>
      </c>
      <c r="C772" s="10">
        <v>106</v>
      </c>
      <c r="D772" s="10">
        <v>1987</v>
      </c>
    </row>
    <row r="773" spans="1:4" ht="19.95" customHeight="1" x14ac:dyDescent="0.25">
      <c r="A773" s="9" t="s">
        <v>23</v>
      </c>
      <c r="B773" s="10" t="s">
        <v>40</v>
      </c>
      <c r="C773" s="10">
        <v>146.5</v>
      </c>
      <c r="D773" s="10">
        <v>1987</v>
      </c>
    </row>
    <row r="774" spans="1:4" ht="19.95" customHeight="1" x14ac:dyDescent="0.25">
      <c r="A774" s="9" t="s">
        <v>24</v>
      </c>
      <c r="B774" s="10" t="s">
        <v>40</v>
      </c>
      <c r="C774" s="10">
        <v>137.5</v>
      </c>
      <c r="D774" s="10">
        <v>1987</v>
      </c>
    </row>
    <row r="775" spans="1:4" ht="19.95" customHeight="1" x14ac:dyDescent="0.25">
      <c r="A775" s="9" t="s">
        <v>25</v>
      </c>
      <c r="B775" s="10" t="s">
        <v>40</v>
      </c>
      <c r="C775" s="10">
        <v>29.8</v>
      </c>
      <c r="D775" s="10">
        <v>1987</v>
      </c>
    </row>
    <row r="776" spans="1:4" ht="19.95" customHeight="1" x14ac:dyDescent="0.25">
      <c r="A776" s="9" t="s">
        <v>26</v>
      </c>
      <c r="B776" s="10" t="s">
        <v>40</v>
      </c>
      <c r="C776" s="10">
        <v>165.5</v>
      </c>
      <c r="D776" s="10">
        <v>1987</v>
      </c>
    </row>
    <row r="777" spans="1:4" ht="19.95" customHeight="1" x14ac:dyDescent="0.25">
      <c r="A777" s="9" t="s">
        <v>28</v>
      </c>
      <c r="B777" s="10" t="s">
        <v>40</v>
      </c>
      <c r="C777" s="10">
        <v>86.6</v>
      </c>
      <c r="D777" s="10">
        <v>1987</v>
      </c>
    </row>
    <row r="778" spans="1:4" ht="19.95" customHeight="1" x14ac:dyDescent="0.25">
      <c r="A778" s="9" t="s">
        <v>29</v>
      </c>
      <c r="B778" s="10" t="s">
        <v>40</v>
      </c>
      <c r="C778" s="10">
        <v>110.8</v>
      </c>
      <c r="D778" s="10">
        <v>1987</v>
      </c>
    </row>
    <row r="779" spans="1:4" ht="19.95" customHeight="1" x14ac:dyDescent="0.25">
      <c r="A779" s="9" t="s">
        <v>30</v>
      </c>
      <c r="B779" s="10" t="s">
        <v>40</v>
      </c>
      <c r="C779" s="10">
        <v>56.6</v>
      </c>
      <c r="D779" s="10">
        <v>1987</v>
      </c>
    </row>
    <row r="780" spans="1:4" ht="19.95" customHeight="1" x14ac:dyDescent="0.25">
      <c r="A780" s="9" t="s">
        <v>31</v>
      </c>
      <c r="B780" s="10" t="s">
        <v>40</v>
      </c>
      <c r="C780" s="10">
        <v>135.1</v>
      </c>
      <c r="D780" s="10">
        <v>1987</v>
      </c>
    </row>
    <row r="781" spans="1:4" ht="19.95" customHeight="1" x14ac:dyDescent="0.25">
      <c r="A781" s="9" t="s">
        <v>32</v>
      </c>
      <c r="B781" s="10" t="s">
        <v>40</v>
      </c>
      <c r="C781" s="10">
        <v>92.7</v>
      </c>
      <c r="D781" s="10">
        <v>1987</v>
      </c>
    </row>
    <row r="782" spans="1:4" ht="19.95" customHeight="1" x14ac:dyDescent="0.25">
      <c r="A782" s="9" t="s">
        <v>33</v>
      </c>
      <c r="B782" s="10" t="s">
        <v>40</v>
      </c>
      <c r="C782" s="10">
        <v>66.900000000000006</v>
      </c>
      <c r="D782" s="10">
        <v>1987</v>
      </c>
    </row>
    <row r="783" spans="1:4" ht="19.95" customHeight="1" x14ac:dyDescent="0.25">
      <c r="A783" s="9" t="s">
        <v>34</v>
      </c>
      <c r="B783" s="10" t="s">
        <v>40</v>
      </c>
      <c r="C783" s="10">
        <v>20.5</v>
      </c>
      <c r="D783" s="10">
        <v>1987</v>
      </c>
    </row>
    <row r="784" spans="1:4" ht="19.95" customHeight="1" x14ac:dyDescent="0.25">
      <c r="A784" s="9" t="s">
        <v>35</v>
      </c>
      <c r="B784" s="10" t="s">
        <v>40</v>
      </c>
      <c r="C784" s="10">
        <v>86.4</v>
      </c>
      <c r="D784" s="10">
        <v>1987</v>
      </c>
    </row>
    <row r="785" spans="1:4" ht="19.95" customHeight="1" x14ac:dyDescent="0.25">
      <c r="A785" s="9" t="s">
        <v>36</v>
      </c>
      <c r="B785" s="10" t="s">
        <v>40</v>
      </c>
      <c r="C785" s="10">
        <v>104.2</v>
      </c>
      <c r="D785" s="10">
        <v>1987</v>
      </c>
    </row>
    <row r="786" spans="1:4" ht="19.95" customHeight="1" x14ac:dyDescent="0.25">
      <c r="A786" s="9" t="s">
        <v>37</v>
      </c>
      <c r="B786" s="10" t="s">
        <v>40</v>
      </c>
      <c r="C786" s="10">
        <v>111.3</v>
      </c>
      <c r="D786" s="10">
        <v>1987</v>
      </c>
    </row>
    <row r="787" spans="1:4" ht="19.95" customHeight="1" x14ac:dyDescent="0.25">
      <c r="A787" s="9" t="s">
        <v>38</v>
      </c>
      <c r="B787" s="10" t="s">
        <v>40</v>
      </c>
      <c r="C787" s="10">
        <v>107</v>
      </c>
      <c r="D787" s="10">
        <v>1987</v>
      </c>
    </row>
    <row r="788" spans="1:4" ht="19.95" customHeight="1" x14ac:dyDescent="0.25">
      <c r="A788" s="9" t="s">
        <v>39</v>
      </c>
      <c r="B788" s="10" t="s">
        <v>40</v>
      </c>
      <c r="C788" s="10">
        <v>50.7</v>
      </c>
      <c r="D788" s="10">
        <v>1987</v>
      </c>
    </row>
    <row r="789" spans="1:4" ht="19.95" customHeight="1" x14ac:dyDescent="0.25">
      <c r="A789" s="9" t="s">
        <v>9</v>
      </c>
      <c r="B789" s="10" t="s">
        <v>40</v>
      </c>
      <c r="C789" s="10">
        <v>103.2</v>
      </c>
      <c r="D789" s="10">
        <v>1988</v>
      </c>
    </row>
    <row r="790" spans="1:4" ht="19.95" customHeight="1" x14ac:dyDescent="0.25">
      <c r="A790" s="9" t="s">
        <v>12</v>
      </c>
      <c r="B790" s="10" t="s">
        <v>40</v>
      </c>
      <c r="C790" s="10">
        <v>86.3</v>
      </c>
      <c r="D790" s="10">
        <v>1988</v>
      </c>
    </row>
    <row r="791" spans="1:4" ht="19.95" customHeight="1" x14ac:dyDescent="0.25">
      <c r="A791" s="9" t="s">
        <v>13</v>
      </c>
      <c r="B791" s="10" t="s">
        <v>40</v>
      </c>
      <c r="C791" s="10">
        <v>114.5</v>
      </c>
      <c r="D791" s="10">
        <v>1988</v>
      </c>
    </row>
    <row r="792" spans="1:4" ht="19.95" customHeight="1" x14ac:dyDescent="0.25">
      <c r="A792" s="9" t="s">
        <v>15</v>
      </c>
      <c r="B792" s="10" t="s">
        <v>40</v>
      </c>
      <c r="C792" s="10">
        <v>92.9</v>
      </c>
      <c r="D792" s="10">
        <v>1988</v>
      </c>
    </row>
    <row r="793" spans="1:4" ht="19.95" customHeight="1" x14ac:dyDescent="0.25">
      <c r="A793" s="9" t="s">
        <v>16</v>
      </c>
      <c r="B793" s="10" t="s">
        <v>40</v>
      </c>
      <c r="C793" s="10">
        <v>96</v>
      </c>
      <c r="D793" s="10">
        <v>1988</v>
      </c>
    </row>
    <row r="794" spans="1:4" ht="19.95" customHeight="1" x14ac:dyDescent="0.25">
      <c r="A794" s="9" t="s">
        <v>1</v>
      </c>
      <c r="B794" s="10" t="s">
        <v>40</v>
      </c>
      <c r="C794" s="10">
        <v>124.7</v>
      </c>
      <c r="D794" s="10">
        <v>1988</v>
      </c>
    </row>
    <row r="795" spans="1:4" ht="19.95" customHeight="1" x14ac:dyDescent="0.25">
      <c r="A795" s="9" t="s">
        <v>17</v>
      </c>
      <c r="B795" s="10" t="s">
        <v>40</v>
      </c>
      <c r="C795" s="10">
        <v>144.80000000000001</v>
      </c>
      <c r="D795" s="10">
        <v>1988</v>
      </c>
    </row>
    <row r="796" spans="1:4" ht="19.95" customHeight="1" x14ac:dyDescent="0.25">
      <c r="A796" s="9" t="s">
        <v>18</v>
      </c>
      <c r="B796" s="10" t="s">
        <v>40</v>
      </c>
      <c r="C796" s="10">
        <v>105.3</v>
      </c>
      <c r="D796" s="10">
        <v>1988</v>
      </c>
    </row>
    <row r="797" spans="1:4" ht="19.95" customHeight="1" x14ac:dyDescent="0.25">
      <c r="A797" s="9" t="s">
        <v>19</v>
      </c>
      <c r="B797" s="10" t="s">
        <v>40</v>
      </c>
      <c r="C797" s="10">
        <v>63.5</v>
      </c>
      <c r="D797" s="10">
        <v>1988</v>
      </c>
    </row>
    <row r="798" spans="1:4" ht="19.95" customHeight="1" x14ac:dyDescent="0.25">
      <c r="A798" s="9" t="s">
        <v>20</v>
      </c>
      <c r="B798" s="10" t="s">
        <v>40</v>
      </c>
      <c r="C798" s="10"/>
      <c r="D798" s="10">
        <v>1988</v>
      </c>
    </row>
    <row r="799" spans="1:4" ht="19.95" customHeight="1" x14ac:dyDescent="0.25">
      <c r="A799" s="9" t="s">
        <v>21</v>
      </c>
      <c r="B799" s="10" t="s">
        <v>40</v>
      </c>
      <c r="C799" s="10">
        <v>167.4</v>
      </c>
      <c r="D799" s="10">
        <v>1988</v>
      </c>
    </row>
    <row r="800" spans="1:4" ht="19.95" customHeight="1" x14ac:dyDescent="0.25">
      <c r="A800" s="9" t="s">
        <v>22</v>
      </c>
      <c r="B800" s="10" t="s">
        <v>40</v>
      </c>
      <c r="C800" s="10">
        <v>103.4</v>
      </c>
      <c r="D800" s="10">
        <v>1988</v>
      </c>
    </row>
    <row r="801" spans="1:4" ht="19.95" customHeight="1" x14ac:dyDescent="0.25">
      <c r="A801" s="9" t="s">
        <v>23</v>
      </c>
      <c r="B801" s="10" t="s">
        <v>40</v>
      </c>
      <c r="C801" s="10">
        <v>145</v>
      </c>
      <c r="D801" s="10">
        <v>1988</v>
      </c>
    </row>
    <row r="802" spans="1:4" ht="19.95" customHeight="1" x14ac:dyDescent="0.25">
      <c r="A802" s="9" t="s">
        <v>24</v>
      </c>
      <c r="B802" s="10" t="s">
        <v>40</v>
      </c>
      <c r="C802" s="10">
        <v>134.9</v>
      </c>
      <c r="D802" s="10">
        <v>1988</v>
      </c>
    </row>
    <row r="803" spans="1:4" ht="19.95" customHeight="1" x14ac:dyDescent="0.25">
      <c r="A803" s="9" t="s">
        <v>25</v>
      </c>
      <c r="B803" s="10" t="s">
        <v>40</v>
      </c>
      <c r="C803" s="10">
        <v>28.7</v>
      </c>
      <c r="D803" s="10">
        <v>1988</v>
      </c>
    </row>
    <row r="804" spans="1:4" ht="19.95" customHeight="1" x14ac:dyDescent="0.25">
      <c r="A804" s="9" t="s">
        <v>26</v>
      </c>
      <c r="B804" s="10" t="s">
        <v>40</v>
      </c>
      <c r="C804" s="10">
        <v>163.6</v>
      </c>
      <c r="D804" s="10">
        <v>1988</v>
      </c>
    </row>
    <row r="805" spans="1:4" ht="19.95" customHeight="1" x14ac:dyDescent="0.25">
      <c r="A805" s="9" t="s">
        <v>28</v>
      </c>
      <c r="B805" s="10" t="s">
        <v>40</v>
      </c>
      <c r="C805" s="10">
        <v>85.1</v>
      </c>
      <c r="D805" s="10">
        <v>1988</v>
      </c>
    </row>
    <row r="806" spans="1:4" ht="19.95" customHeight="1" x14ac:dyDescent="0.25">
      <c r="A806" s="9" t="s">
        <v>29</v>
      </c>
      <c r="B806" s="10" t="s">
        <v>40</v>
      </c>
      <c r="C806" s="10">
        <v>106.5</v>
      </c>
      <c r="D806" s="10">
        <v>1988</v>
      </c>
    </row>
    <row r="807" spans="1:4" ht="19.95" customHeight="1" x14ac:dyDescent="0.25">
      <c r="A807" s="9" t="s">
        <v>30</v>
      </c>
      <c r="B807" s="10" t="s">
        <v>40</v>
      </c>
      <c r="C807" s="10">
        <v>54.7</v>
      </c>
      <c r="D807" s="10">
        <v>1988</v>
      </c>
    </row>
    <row r="808" spans="1:4" ht="19.95" customHeight="1" x14ac:dyDescent="0.25">
      <c r="A808" s="9" t="s">
        <v>31</v>
      </c>
      <c r="B808" s="10" t="s">
        <v>40</v>
      </c>
      <c r="C808" s="10">
        <v>134.69999999999999</v>
      </c>
      <c r="D808" s="10">
        <v>1988</v>
      </c>
    </row>
    <row r="809" spans="1:4" ht="19.95" customHeight="1" x14ac:dyDescent="0.25">
      <c r="A809" s="9" t="s">
        <v>32</v>
      </c>
      <c r="B809" s="10" t="s">
        <v>40</v>
      </c>
      <c r="C809" s="10">
        <v>91.5</v>
      </c>
      <c r="D809" s="10">
        <v>1988</v>
      </c>
    </row>
    <row r="810" spans="1:4" ht="19.95" customHeight="1" x14ac:dyDescent="0.25">
      <c r="A810" s="9" t="s">
        <v>33</v>
      </c>
      <c r="B810" s="10" t="s">
        <v>40</v>
      </c>
      <c r="C810" s="10">
        <v>67.900000000000006</v>
      </c>
      <c r="D810" s="10">
        <v>1988</v>
      </c>
    </row>
    <row r="811" spans="1:4" ht="19.95" customHeight="1" x14ac:dyDescent="0.25">
      <c r="A811" s="9" t="s">
        <v>34</v>
      </c>
      <c r="B811" s="10" t="s">
        <v>40</v>
      </c>
      <c r="C811" s="10">
        <v>19.2</v>
      </c>
      <c r="D811" s="10">
        <v>1988</v>
      </c>
    </row>
    <row r="812" spans="1:4" ht="19.95" customHeight="1" x14ac:dyDescent="0.25">
      <c r="A812" s="9" t="s">
        <v>35</v>
      </c>
      <c r="B812" s="10" t="s">
        <v>40</v>
      </c>
      <c r="C812" s="10">
        <v>83.5</v>
      </c>
      <c r="D812" s="10">
        <v>1988</v>
      </c>
    </row>
    <row r="813" spans="1:4" ht="19.95" customHeight="1" x14ac:dyDescent="0.25">
      <c r="A813" s="9" t="s">
        <v>36</v>
      </c>
      <c r="B813" s="10" t="s">
        <v>40</v>
      </c>
      <c r="C813" s="10">
        <v>102.9</v>
      </c>
      <c r="D813" s="10">
        <v>1988</v>
      </c>
    </row>
    <row r="814" spans="1:4" ht="19.95" customHeight="1" x14ac:dyDescent="0.25">
      <c r="A814" s="9" t="s">
        <v>37</v>
      </c>
      <c r="B814" s="10" t="s">
        <v>40</v>
      </c>
      <c r="C814" s="10">
        <v>110.2</v>
      </c>
      <c r="D814" s="10">
        <v>1988</v>
      </c>
    </row>
    <row r="815" spans="1:4" ht="19.95" customHeight="1" x14ac:dyDescent="0.25">
      <c r="A815" s="9" t="s">
        <v>38</v>
      </c>
      <c r="B815" s="10" t="s">
        <v>40</v>
      </c>
      <c r="C815" s="10">
        <v>108.7</v>
      </c>
      <c r="D815" s="10">
        <v>1988</v>
      </c>
    </row>
    <row r="816" spans="1:4" ht="19.95" customHeight="1" x14ac:dyDescent="0.25">
      <c r="A816" s="9" t="s">
        <v>39</v>
      </c>
      <c r="B816" s="10" t="s">
        <v>40</v>
      </c>
      <c r="C816" s="10">
        <v>50.1</v>
      </c>
      <c r="D816" s="10">
        <v>1988</v>
      </c>
    </row>
    <row r="817" spans="1:4" ht="19.95" customHeight="1" x14ac:dyDescent="0.25">
      <c r="A817" s="9" t="s">
        <v>9</v>
      </c>
      <c r="B817" s="10" t="s">
        <v>40</v>
      </c>
      <c r="C817" s="10">
        <v>104.1</v>
      </c>
      <c r="D817" s="10">
        <v>1989</v>
      </c>
    </row>
    <row r="818" spans="1:4" ht="19.95" customHeight="1" x14ac:dyDescent="0.25">
      <c r="A818" s="9" t="s">
        <v>12</v>
      </c>
      <c r="B818" s="10" t="s">
        <v>40</v>
      </c>
      <c r="C818" s="10">
        <v>85.8</v>
      </c>
      <c r="D818" s="10">
        <v>1989</v>
      </c>
    </row>
    <row r="819" spans="1:4" ht="19.95" customHeight="1" x14ac:dyDescent="0.25">
      <c r="A819" s="9" t="s">
        <v>13</v>
      </c>
      <c r="B819" s="10" t="s">
        <v>40</v>
      </c>
      <c r="C819" s="10">
        <v>113.3</v>
      </c>
      <c r="D819" s="10">
        <v>1989</v>
      </c>
    </row>
    <row r="820" spans="1:4" ht="19.95" customHeight="1" x14ac:dyDescent="0.25">
      <c r="A820" s="9" t="s">
        <v>15</v>
      </c>
      <c r="B820" s="10" t="s">
        <v>40</v>
      </c>
      <c r="C820" s="10">
        <v>90.3</v>
      </c>
      <c r="D820" s="10">
        <v>1989</v>
      </c>
    </row>
    <row r="821" spans="1:4" ht="19.95" customHeight="1" x14ac:dyDescent="0.25">
      <c r="A821" s="9" t="s">
        <v>16</v>
      </c>
      <c r="B821" s="10" t="s">
        <v>40</v>
      </c>
      <c r="C821" s="10">
        <v>94</v>
      </c>
      <c r="D821" s="10">
        <v>1989</v>
      </c>
    </row>
    <row r="822" spans="1:4" ht="19.95" customHeight="1" x14ac:dyDescent="0.25">
      <c r="A822" s="9" t="s">
        <v>1</v>
      </c>
      <c r="B822" s="10" t="s">
        <v>40</v>
      </c>
      <c r="C822" s="10">
        <v>122.5</v>
      </c>
      <c r="D822" s="10">
        <v>1989</v>
      </c>
    </row>
    <row r="823" spans="1:4" ht="19.95" customHeight="1" x14ac:dyDescent="0.25">
      <c r="A823" s="9" t="s">
        <v>17</v>
      </c>
      <c r="B823" s="10" t="s">
        <v>40</v>
      </c>
      <c r="C823" s="10">
        <v>141.80000000000001</v>
      </c>
      <c r="D823" s="10">
        <v>1989</v>
      </c>
    </row>
    <row r="824" spans="1:4" ht="19.95" customHeight="1" x14ac:dyDescent="0.25">
      <c r="A824" s="9" t="s">
        <v>18</v>
      </c>
      <c r="B824" s="10" t="s">
        <v>40</v>
      </c>
      <c r="C824" s="10">
        <v>102.8</v>
      </c>
      <c r="D824" s="10">
        <v>1989</v>
      </c>
    </row>
    <row r="825" spans="1:4" ht="19.95" customHeight="1" x14ac:dyDescent="0.25">
      <c r="A825" s="9" t="s">
        <v>19</v>
      </c>
      <c r="B825" s="10" t="s">
        <v>40</v>
      </c>
      <c r="C825" s="10">
        <v>64.599999999999994</v>
      </c>
      <c r="D825" s="10">
        <v>1989</v>
      </c>
    </row>
    <row r="826" spans="1:4" ht="19.95" customHeight="1" x14ac:dyDescent="0.25">
      <c r="A826" s="9" t="s">
        <v>20</v>
      </c>
      <c r="B826" s="10" t="s">
        <v>40</v>
      </c>
      <c r="C826" s="10"/>
      <c r="D826" s="10">
        <v>1989</v>
      </c>
    </row>
    <row r="827" spans="1:4" ht="19.95" customHeight="1" x14ac:dyDescent="0.25">
      <c r="A827" s="9" t="s">
        <v>21</v>
      </c>
      <c r="B827" s="10" t="s">
        <v>40</v>
      </c>
      <c r="C827" s="10">
        <v>171</v>
      </c>
      <c r="D827" s="10">
        <v>1989</v>
      </c>
    </row>
    <row r="828" spans="1:4" ht="19.95" customHeight="1" x14ac:dyDescent="0.25">
      <c r="A828" s="9" t="s">
        <v>22</v>
      </c>
      <c r="B828" s="10" t="s">
        <v>40</v>
      </c>
      <c r="C828" s="10">
        <v>100.6</v>
      </c>
      <c r="D828" s="10">
        <v>1989</v>
      </c>
    </row>
    <row r="829" spans="1:4" ht="19.95" customHeight="1" x14ac:dyDescent="0.25">
      <c r="A829" s="9" t="s">
        <v>23</v>
      </c>
      <c r="B829" s="10" t="s">
        <v>40</v>
      </c>
      <c r="C829" s="10">
        <v>142.1</v>
      </c>
      <c r="D829" s="10">
        <v>1989</v>
      </c>
    </row>
    <row r="830" spans="1:4" ht="19.95" customHeight="1" x14ac:dyDescent="0.25">
      <c r="A830" s="9" t="s">
        <v>24</v>
      </c>
      <c r="B830" s="10" t="s">
        <v>40</v>
      </c>
      <c r="C830" s="10">
        <v>132.4</v>
      </c>
      <c r="D830" s="10">
        <v>1989</v>
      </c>
    </row>
    <row r="831" spans="1:4" ht="19.95" customHeight="1" x14ac:dyDescent="0.25">
      <c r="A831" s="9" t="s">
        <v>25</v>
      </c>
      <c r="B831" s="10" t="s">
        <v>40</v>
      </c>
      <c r="C831" s="10">
        <v>27.8</v>
      </c>
      <c r="D831" s="10">
        <v>1989</v>
      </c>
    </row>
    <row r="832" spans="1:4" ht="19.95" customHeight="1" x14ac:dyDescent="0.25">
      <c r="A832" s="9" t="s">
        <v>26</v>
      </c>
      <c r="B832" s="10" t="s">
        <v>40</v>
      </c>
      <c r="C832" s="10">
        <v>161.5</v>
      </c>
      <c r="D832" s="10">
        <v>1989</v>
      </c>
    </row>
    <row r="833" spans="1:4" ht="19.95" customHeight="1" x14ac:dyDescent="0.25">
      <c r="A833" s="9" t="s">
        <v>28</v>
      </c>
      <c r="B833" s="10" t="s">
        <v>40</v>
      </c>
      <c r="C833" s="10">
        <v>83.6</v>
      </c>
      <c r="D833" s="10">
        <v>1989</v>
      </c>
    </row>
    <row r="834" spans="1:4" ht="19.95" customHeight="1" x14ac:dyDescent="0.25">
      <c r="A834" s="9" t="s">
        <v>29</v>
      </c>
      <c r="B834" s="10" t="s">
        <v>40</v>
      </c>
      <c r="C834" s="10">
        <v>102</v>
      </c>
      <c r="D834" s="10">
        <v>1989</v>
      </c>
    </row>
    <row r="835" spans="1:4" ht="19.95" customHeight="1" x14ac:dyDescent="0.25">
      <c r="A835" s="9" t="s">
        <v>30</v>
      </c>
      <c r="B835" s="10" t="s">
        <v>40</v>
      </c>
      <c r="C835" s="10">
        <v>52.8</v>
      </c>
      <c r="D835" s="10">
        <v>1989</v>
      </c>
    </row>
    <row r="836" spans="1:4" ht="19.95" customHeight="1" x14ac:dyDescent="0.25">
      <c r="A836" s="9" t="s">
        <v>31</v>
      </c>
      <c r="B836" s="10" t="s">
        <v>40</v>
      </c>
      <c r="C836" s="10">
        <v>133.69999999999999</v>
      </c>
      <c r="D836" s="10">
        <v>1989</v>
      </c>
    </row>
    <row r="837" spans="1:4" ht="19.95" customHeight="1" x14ac:dyDescent="0.25">
      <c r="A837" s="9" t="s">
        <v>32</v>
      </c>
      <c r="B837" s="10" t="s">
        <v>40</v>
      </c>
      <c r="C837" s="10">
        <v>91.2</v>
      </c>
      <c r="D837" s="10">
        <v>1989</v>
      </c>
    </row>
    <row r="838" spans="1:4" ht="19.95" customHeight="1" x14ac:dyDescent="0.25">
      <c r="A838" s="9" t="s">
        <v>33</v>
      </c>
      <c r="B838" s="10" t="s">
        <v>40</v>
      </c>
      <c r="C838" s="10">
        <v>68.7</v>
      </c>
      <c r="D838" s="10">
        <v>1989</v>
      </c>
    </row>
    <row r="839" spans="1:4" ht="19.95" customHeight="1" x14ac:dyDescent="0.25">
      <c r="A839" s="9" t="s">
        <v>34</v>
      </c>
      <c r="B839" s="10" t="s">
        <v>40</v>
      </c>
      <c r="C839" s="10">
        <v>18.399999999999999</v>
      </c>
      <c r="D839" s="10">
        <v>1989</v>
      </c>
    </row>
    <row r="840" spans="1:4" ht="19.95" customHeight="1" x14ac:dyDescent="0.25">
      <c r="A840" s="9" t="s">
        <v>35</v>
      </c>
      <c r="B840" s="10" t="s">
        <v>40</v>
      </c>
      <c r="C840" s="10">
        <v>82.2</v>
      </c>
      <c r="D840" s="10">
        <v>1989</v>
      </c>
    </row>
    <row r="841" spans="1:4" ht="19.95" customHeight="1" x14ac:dyDescent="0.25">
      <c r="A841" s="9" t="s">
        <v>36</v>
      </c>
      <c r="B841" s="10" t="s">
        <v>40</v>
      </c>
      <c r="C841" s="10">
        <v>101.5</v>
      </c>
      <c r="D841" s="10">
        <v>1989</v>
      </c>
    </row>
    <row r="842" spans="1:4" ht="19.95" customHeight="1" x14ac:dyDescent="0.25">
      <c r="A842" s="9" t="s">
        <v>37</v>
      </c>
      <c r="B842" s="10" t="s">
        <v>40</v>
      </c>
      <c r="C842" s="10">
        <v>109</v>
      </c>
      <c r="D842" s="10">
        <v>1989</v>
      </c>
    </row>
    <row r="843" spans="1:4" ht="19.95" customHeight="1" x14ac:dyDescent="0.25">
      <c r="A843" s="9" t="s">
        <v>38</v>
      </c>
      <c r="B843" s="10" t="s">
        <v>40</v>
      </c>
      <c r="C843" s="10">
        <v>109.9</v>
      </c>
      <c r="D843" s="10">
        <v>1989</v>
      </c>
    </row>
    <row r="844" spans="1:4" ht="19.95" customHeight="1" x14ac:dyDescent="0.25">
      <c r="A844" s="9" t="s">
        <v>39</v>
      </c>
      <c r="B844" s="10" t="s">
        <v>40</v>
      </c>
      <c r="C844" s="10">
        <v>50.1</v>
      </c>
      <c r="D844" s="10">
        <v>1989</v>
      </c>
    </row>
    <row r="845" spans="1:4" ht="19.95" customHeight="1" x14ac:dyDescent="0.25">
      <c r="A845" s="9" t="s">
        <v>9</v>
      </c>
      <c r="B845" s="10" t="s">
        <v>40</v>
      </c>
      <c r="C845" s="10">
        <v>105.4</v>
      </c>
      <c r="D845" s="10">
        <v>1990</v>
      </c>
    </row>
    <row r="846" spans="1:4" ht="19.95" customHeight="1" x14ac:dyDescent="0.25">
      <c r="A846" s="9" t="s">
        <v>12</v>
      </c>
      <c r="B846" s="10" t="s">
        <v>40</v>
      </c>
      <c r="C846" s="10">
        <v>86</v>
      </c>
      <c r="D846" s="10">
        <v>1990</v>
      </c>
    </row>
    <row r="847" spans="1:4" ht="19.95" customHeight="1" x14ac:dyDescent="0.25">
      <c r="A847" s="9" t="s">
        <v>13</v>
      </c>
      <c r="B847" s="10" t="s">
        <v>40</v>
      </c>
      <c r="C847" s="10">
        <v>112.1</v>
      </c>
      <c r="D847" s="10">
        <v>1990</v>
      </c>
    </row>
    <row r="848" spans="1:4" ht="19.95" customHeight="1" x14ac:dyDescent="0.25">
      <c r="A848" s="9" t="s">
        <v>15</v>
      </c>
      <c r="B848" s="10" t="s">
        <v>40</v>
      </c>
      <c r="C848" s="10">
        <v>87.7</v>
      </c>
      <c r="D848" s="10">
        <v>1990</v>
      </c>
    </row>
    <row r="849" spans="1:4" ht="19.95" customHeight="1" x14ac:dyDescent="0.25">
      <c r="A849" s="9" t="s">
        <v>16</v>
      </c>
      <c r="B849" s="10" t="s">
        <v>40</v>
      </c>
      <c r="C849" s="10">
        <v>92.2</v>
      </c>
      <c r="D849" s="10">
        <v>1990</v>
      </c>
    </row>
    <row r="850" spans="1:4" ht="19.95" customHeight="1" x14ac:dyDescent="0.25">
      <c r="A850" s="9" t="s">
        <v>1</v>
      </c>
      <c r="B850" s="10" t="s">
        <v>40</v>
      </c>
      <c r="C850" s="10">
        <v>120.2</v>
      </c>
      <c r="D850" s="10">
        <v>1990</v>
      </c>
    </row>
    <row r="851" spans="1:4" ht="19.95" customHeight="1" x14ac:dyDescent="0.25">
      <c r="A851" s="9" t="s">
        <v>17</v>
      </c>
      <c r="B851" s="10" t="s">
        <v>40</v>
      </c>
      <c r="C851" s="10">
        <v>138.6</v>
      </c>
      <c r="D851" s="10">
        <v>1990</v>
      </c>
    </row>
    <row r="852" spans="1:4" ht="19.95" customHeight="1" x14ac:dyDescent="0.25">
      <c r="A852" s="9" t="s">
        <v>18</v>
      </c>
      <c r="B852" s="10" t="s">
        <v>40</v>
      </c>
      <c r="C852" s="10">
        <v>100.3</v>
      </c>
      <c r="D852" s="10">
        <v>1990</v>
      </c>
    </row>
    <row r="853" spans="1:4" ht="19.95" customHeight="1" x14ac:dyDescent="0.25">
      <c r="A853" s="9" t="s">
        <v>19</v>
      </c>
      <c r="B853" s="10" t="s">
        <v>40</v>
      </c>
      <c r="C853" s="10">
        <v>65.900000000000006</v>
      </c>
      <c r="D853" s="10">
        <v>1990</v>
      </c>
    </row>
    <row r="854" spans="1:4" ht="19.95" customHeight="1" x14ac:dyDescent="0.25">
      <c r="A854" s="9" t="s">
        <v>20</v>
      </c>
      <c r="B854" s="10" t="s">
        <v>40</v>
      </c>
      <c r="C854" s="10"/>
      <c r="D854" s="10">
        <v>1990</v>
      </c>
    </row>
    <row r="855" spans="1:4" ht="19.95" customHeight="1" x14ac:dyDescent="0.25">
      <c r="A855" s="9" t="s">
        <v>21</v>
      </c>
      <c r="B855" s="10" t="s">
        <v>40</v>
      </c>
      <c r="C855" s="10">
        <v>173.7</v>
      </c>
      <c r="D855" s="10">
        <v>1990</v>
      </c>
    </row>
    <row r="856" spans="1:4" ht="19.95" customHeight="1" x14ac:dyDescent="0.25">
      <c r="A856" s="9" t="s">
        <v>22</v>
      </c>
      <c r="B856" s="10" t="s">
        <v>40</v>
      </c>
      <c r="C856" s="10">
        <v>97.7</v>
      </c>
      <c r="D856" s="10">
        <v>1990</v>
      </c>
    </row>
    <row r="857" spans="1:4" ht="19.95" customHeight="1" x14ac:dyDescent="0.25">
      <c r="A857" s="9" t="s">
        <v>23</v>
      </c>
      <c r="B857" s="10" t="s">
        <v>40</v>
      </c>
      <c r="C857" s="10">
        <v>138.19999999999999</v>
      </c>
      <c r="D857" s="10">
        <v>1990</v>
      </c>
    </row>
    <row r="858" spans="1:4" ht="19.95" customHeight="1" x14ac:dyDescent="0.25">
      <c r="A858" s="9" t="s">
        <v>24</v>
      </c>
      <c r="B858" s="10" t="s">
        <v>40</v>
      </c>
      <c r="C858" s="10">
        <v>130.1</v>
      </c>
      <c r="D858" s="10">
        <v>1990</v>
      </c>
    </row>
    <row r="859" spans="1:4" ht="19.95" customHeight="1" x14ac:dyDescent="0.25">
      <c r="A859" s="9" t="s">
        <v>25</v>
      </c>
      <c r="B859" s="10" t="s">
        <v>40</v>
      </c>
      <c r="C859" s="10">
        <v>27.5</v>
      </c>
      <c r="D859" s="10">
        <v>1990</v>
      </c>
    </row>
    <row r="860" spans="1:4" ht="19.95" customHeight="1" x14ac:dyDescent="0.25">
      <c r="A860" s="9" t="s">
        <v>26</v>
      </c>
      <c r="B860" s="10" t="s">
        <v>40</v>
      </c>
      <c r="C860" s="10">
        <v>159.4</v>
      </c>
      <c r="D860" s="10">
        <v>1990</v>
      </c>
    </row>
    <row r="861" spans="1:4" ht="19.95" customHeight="1" x14ac:dyDescent="0.25">
      <c r="A861" s="9" t="s">
        <v>28</v>
      </c>
      <c r="B861" s="10" t="s">
        <v>40</v>
      </c>
      <c r="C861" s="10">
        <v>81.900000000000006</v>
      </c>
      <c r="D861" s="10">
        <v>1990</v>
      </c>
    </row>
    <row r="862" spans="1:4" ht="19.95" customHeight="1" x14ac:dyDescent="0.25">
      <c r="A862" s="9" t="s">
        <v>29</v>
      </c>
      <c r="B862" s="10" t="s">
        <v>40</v>
      </c>
      <c r="C862" s="10">
        <v>97.5</v>
      </c>
      <c r="D862" s="10">
        <v>1990</v>
      </c>
    </row>
    <row r="863" spans="1:4" ht="19.95" customHeight="1" x14ac:dyDescent="0.25">
      <c r="A863" s="9" t="s">
        <v>30</v>
      </c>
      <c r="B863" s="10" t="s">
        <v>40</v>
      </c>
      <c r="C863" s="10">
        <v>50.9</v>
      </c>
      <c r="D863" s="10">
        <v>1990</v>
      </c>
    </row>
    <row r="864" spans="1:4" ht="19.95" customHeight="1" x14ac:dyDescent="0.25">
      <c r="A864" s="9" t="s">
        <v>31</v>
      </c>
      <c r="B864" s="10" t="s">
        <v>40</v>
      </c>
      <c r="C864" s="10">
        <v>132</v>
      </c>
      <c r="D864" s="10">
        <v>1990</v>
      </c>
    </row>
    <row r="865" spans="1:4" ht="19.95" customHeight="1" x14ac:dyDescent="0.25">
      <c r="A865" s="9" t="s">
        <v>32</v>
      </c>
      <c r="B865" s="10" t="s">
        <v>40</v>
      </c>
      <c r="C865" s="10">
        <v>92.6</v>
      </c>
      <c r="D865" s="10">
        <v>1990</v>
      </c>
    </row>
    <row r="866" spans="1:4" ht="19.95" customHeight="1" x14ac:dyDescent="0.25">
      <c r="A866" s="9" t="s">
        <v>33</v>
      </c>
      <c r="B866" s="10" t="s">
        <v>40</v>
      </c>
      <c r="C866" s="10">
        <v>69.400000000000006</v>
      </c>
      <c r="D866" s="10">
        <v>1990</v>
      </c>
    </row>
    <row r="867" spans="1:4" ht="19.95" customHeight="1" x14ac:dyDescent="0.25">
      <c r="A867" s="9" t="s">
        <v>34</v>
      </c>
      <c r="B867" s="10" t="s">
        <v>40</v>
      </c>
      <c r="C867" s="10">
        <v>18.100000000000001</v>
      </c>
      <c r="D867" s="10">
        <v>1990</v>
      </c>
    </row>
    <row r="868" spans="1:4" ht="19.95" customHeight="1" x14ac:dyDescent="0.25">
      <c r="A868" s="9" t="s">
        <v>35</v>
      </c>
      <c r="B868" s="10" t="s">
        <v>40</v>
      </c>
      <c r="C868" s="10">
        <v>82.6</v>
      </c>
      <c r="D868" s="10">
        <v>1990</v>
      </c>
    </row>
    <row r="869" spans="1:4" ht="19.95" customHeight="1" x14ac:dyDescent="0.25">
      <c r="A869" s="9" t="s">
        <v>36</v>
      </c>
      <c r="B869" s="10" t="s">
        <v>40</v>
      </c>
      <c r="C869" s="10">
        <v>100.3</v>
      </c>
      <c r="D869" s="10">
        <v>1990</v>
      </c>
    </row>
    <row r="870" spans="1:4" ht="19.95" customHeight="1" x14ac:dyDescent="0.25">
      <c r="A870" s="9" t="s">
        <v>37</v>
      </c>
      <c r="B870" s="10" t="s">
        <v>40</v>
      </c>
      <c r="C870" s="10">
        <v>107.2</v>
      </c>
      <c r="D870" s="10">
        <v>1990</v>
      </c>
    </row>
    <row r="871" spans="1:4" ht="19.95" customHeight="1" x14ac:dyDescent="0.25">
      <c r="A871" s="9" t="s">
        <v>38</v>
      </c>
      <c r="B871" s="10" t="s">
        <v>40</v>
      </c>
      <c r="C871" s="10">
        <v>110.5</v>
      </c>
      <c r="D871" s="10">
        <v>1990</v>
      </c>
    </row>
    <row r="872" spans="1:4" ht="19.95" customHeight="1" x14ac:dyDescent="0.25">
      <c r="A872" s="9" t="s">
        <v>39</v>
      </c>
      <c r="B872" s="10" t="s">
        <v>40</v>
      </c>
      <c r="C872" s="10">
        <v>50.8</v>
      </c>
      <c r="D872" s="10">
        <v>1990</v>
      </c>
    </row>
    <row r="873" spans="1:4" ht="19.95" customHeight="1" x14ac:dyDescent="0.25">
      <c r="A873" s="9" t="s">
        <v>9</v>
      </c>
      <c r="B873" s="10" t="s">
        <v>40</v>
      </c>
      <c r="C873" s="10">
        <v>106.6</v>
      </c>
      <c r="D873" s="10">
        <v>1991</v>
      </c>
    </row>
    <row r="874" spans="1:4" ht="19.95" customHeight="1" x14ac:dyDescent="0.25">
      <c r="A874" s="9" t="s">
        <v>12</v>
      </c>
      <c r="B874" s="10" t="s">
        <v>40</v>
      </c>
      <c r="C874" s="10">
        <v>86.9</v>
      </c>
      <c r="D874" s="10">
        <v>1991</v>
      </c>
    </row>
    <row r="875" spans="1:4" ht="19.95" customHeight="1" x14ac:dyDescent="0.25">
      <c r="A875" s="9" t="s">
        <v>13</v>
      </c>
      <c r="B875" s="10" t="s">
        <v>40</v>
      </c>
      <c r="C875" s="10">
        <v>110.9</v>
      </c>
      <c r="D875" s="10">
        <v>1991</v>
      </c>
    </row>
    <row r="876" spans="1:4" ht="19.95" customHeight="1" x14ac:dyDescent="0.25">
      <c r="A876" s="9" t="s">
        <v>15</v>
      </c>
      <c r="B876" s="10" t="s">
        <v>40</v>
      </c>
      <c r="C876" s="10">
        <v>85.2</v>
      </c>
      <c r="D876" s="10">
        <v>1991</v>
      </c>
    </row>
    <row r="877" spans="1:4" ht="19.95" customHeight="1" x14ac:dyDescent="0.25">
      <c r="A877" s="9" t="s">
        <v>16</v>
      </c>
      <c r="B877" s="10" t="s">
        <v>40</v>
      </c>
      <c r="C877" s="10">
        <v>90.6</v>
      </c>
      <c r="D877" s="10">
        <v>1991</v>
      </c>
    </row>
    <row r="878" spans="1:4" ht="19.95" customHeight="1" x14ac:dyDescent="0.25">
      <c r="A878" s="9" t="s">
        <v>1</v>
      </c>
      <c r="B878" s="10" t="s">
        <v>40</v>
      </c>
      <c r="C878" s="10">
        <v>117.7</v>
      </c>
      <c r="D878" s="10">
        <v>1991</v>
      </c>
    </row>
    <row r="879" spans="1:4" ht="19.95" customHeight="1" x14ac:dyDescent="0.25">
      <c r="A879" s="9" t="s">
        <v>17</v>
      </c>
      <c r="B879" s="10" t="s">
        <v>40</v>
      </c>
      <c r="C879" s="10">
        <v>135.19999999999999</v>
      </c>
      <c r="D879" s="10">
        <v>1991</v>
      </c>
    </row>
    <row r="880" spans="1:4" ht="19.95" customHeight="1" x14ac:dyDescent="0.25">
      <c r="A880" s="9" t="s">
        <v>18</v>
      </c>
      <c r="B880" s="10" t="s">
        <v>40</v>
      </c>
      <c r="C880" s="10">
        <v>97.8</v>
      </c>
      <c r="D880" s="10">
        <v>1991</v>
      </c>
    </row>
    <row r="881" spans="1:4" ht="19.95" customHeight="1" x14ac:dyDescent="0.25">
      <c r="A881" s="9" t="s">
        <v>19</v>
      </c>
      <c r="B881" s="10" t="s">
        <v>40</v>
      </c>
      <c r="C881" s="10">
        <v>67.3</v>
      </c>
      <c r="D881" s="10">
        <v>1991</v>
      </c>
    </row>
    <row r="882" spans="1:4" ht="19.95" customHeight="1" x14ac:dyDescent="0.25">
      <c r="A882" s="9" t="s">
        <v>20</v>
      </c>
      <c r="B882" s="10" t="s">
        <v>40</v>
      </c>
      <c r="C882" s="10"/>
      <c r="D882" s="10">
        <v>1991</v>
      </c>
    </row>
    <row r="883" spans="1:4" ht="19.95" customHeight="1" x14ac:dyDescent="0.25">
      <c r="A883" s="9" t="s">
        <v>21</v>
      </c>
      <c r="B883" s="10" t="s">
        <v>40</v>
      </c>
      <c r="C883" s="10">
        <v>175</v>
      </c>
      <c r="D883" s="10">
        <v>1991</v>
      </c>
    </row>
    <row r="884" spans="1:4" ht="19.95" customHeight="1" x14ac:dyDescent="0.25">
      <c r="A884" s="9" t="s">
        <v>22</v>
      </c>
      <c r="B884" s="10" t="s">
        <v>40</v>
      </c>
      <c r="C884" s="10">
        <v>95</v>
      </c>
      <c r="D884" s="10">
        <v>1991</v>
      </c>
    </row>
    <row r="885" spans="1:4" ht="19.95" customHeight="1" x14ac:dyDescent="0.25">
      <c r="A885" s="9" t="s">
        <v>23</v>
      </c>
      <c r="B885" s="10" t="s">
        <v>40</v>
      </c>
      <c r="C885" s="10">
        <v>133.69999999999999</v>
      </c>
      <c r="D885" s="10">
        <v>1991</v>
      </c>
    </row>
    <row r="886" spans="1:4" ht="19.95" customHeight="1" x14ac:dyDescent="0.25">
      <c r="A886" s="9" t="s">
        <v>24</v>
      </c>
      <c r="B886" s="10" t="s">
        <v>40</v>
      </c>
      <c r="C886" s="10">
        <v>128.19999999999999</v>
      </c>
      <c r="D886" s="10">
        <v>1991</v>
      </c>
    </row>
    <row r="887" spans="1:4" ht="19.95" customHeight="1" x14ac:dyDescent="0.25">
      <c r="A887" s="9" t="s">
        <v>25</v>
      </c>
      <c r="B887" s="10" t="s">
        <v>40</v>
      </c>
      <c r="C887" s="10">
        <v>27.7</v>
      </c>
      <c r="D887" s="10">
        <v>1991</v>
      </c>
    </row>
    <row r="888" spans="1:4" ht="19.95" customHeight="1" x14ac:dyDescent="0.25">
      <c r="A888" s="9" t="s">
        <v>26</v>
      </c>
      <c r="B888" s="10" t="s">
        <v>40</v>
      </c>
      <c r="C888" s="10">
        <v>157.1</v>
      </c>
      <c r="D888" s="10">
        <v>1991</v>
      </c>
    </row>
    <row r="889" spans="1:4" ht="19.95" customHeight="1" x14ac:dyDescent="0.25">
      <c r="A889" s="9" t="s">
        <v>28</v>
      </c>
      <c r="B889" s="10" t="s">
        <v>40</v>
      </c>
      <c r="C889" s="10">
        <v>80.2</v>
      </c>
      <c r="D889" s="10">
        <v>1991</v>
      </c>
    </row>
    <row r="890" spans="1:4" ht="19.95" customHeight="1" x14ac:dyDescent="0.25">
      <c r="A890" s="9" t="s">
        <v>29</v>
      </c>
      <c r="B890" s="10" t="s">
        <v>40</v>
      </c>
      <c r="C890" s="10">
        <v>93.1</v>
      </c>
      <c r="D890" s="10">
        <v>1991</v>
      </c>
    </row>
    <row r="891" spans="1:4" ht="19.95" customHeight="1" x14ac:dyDescent="0.25">
      <c r="A891" s="9" t="s">
        <v>30</v>
      </c>
      <c r="B891" s="10" t="s">
        <v>40</v>
      </c>
      <c r="C891" s="10">
        <v>48.9</v>
      </c>
      <c r="D891" s="10">
        <v>1991</v>
      </c>
    </row>
    <row r="892" spans="1:4" ht="19.95" customHeight="1" x14ac:dyDescent="0.25">
      <c r="A892" s="9" t="s">
        <v>31</v>
      </c>
      <c r="B892" s="10" t="s">
        <v>40</v>
      </c>
      <c r="C892" s="10">
        <v>129.69999999999999</v>
      </c>
      <c r="D892" s="10">
        <v>1991</v>
      </c>
    </row>
    <row r="893" spans="1:4" ht="19.95" customHeight="1" x14ac:dyDescent="0.25">
      <c r="A893" s="9" t="s">
        <v>32</v>
      </c>
      <c r="B893" s="10" t="s">
        <v>40</v>
      </c>
      <c r="C893" s="10">
        <v>95.7</v>
      </c>
      <c r="D893" s="10">
        <v>1991</v>
      </c>
    </row>
    <row r="894" spans="1:4" ht="19.95" customHeight="1" x14ac:dyDescent="0.25">
      <c r="A894" s="9" t="s">
        <v>33</v>
      </c>
      <c r="B894" s="10" t="s">
        <v>40</v>
      </c>
      <c r="C894" s="10">
        <v>69.8</v>
      </c>
      <c r="D894" s="10">
        <v>1991</v>
      </c>
    </row>
    <row r="895" spans="1:4" ht="19.95" customHeight="1" x14ac:dyDescent="0.25">
      <c r="A895" s="9" t="s">
        <v>34</v>
      </c>
      <c r="B895" s="10" t="s">
        <v>40</v>
      </c>
      <c r="C895" s="10">
        <v>18.100000000000001</v>
      </c>
      <c r="D895" s="10">
        <v>1991</v>
      </c>
    </row>
    <row r="896" spans="1:4" ht="19.95" customHeight="1" x14ac:dyDescent="0.25">
      <c r="A896" s="9" t="s">
        <v>35</v>
      </c>
      <c r="B896" s="10" t="s">
        <v>40</v>
      </c>
      <c r="C896" s="10">
        <v>84.5</v>
      </c>
      <c r="D896" s="10">
        <v>1991</v>
      </c>
    </row>
    <row r="897" spans="1:4" ht="19.95" customHeight="1" x14ac:dyDescent="0.25">
      <c r="A897" s="9" t="s">
        <v>36</v>
      </c>
      <c r="B897" s="10" t="s">
        <v>40</v>
      </c>
      <c r="C897" s="10">
        <v>99.3</v>
      </c>
      <c r="D897" s="10">
        <v>1991</v>
      </c>
    </row>
    <row r="898" spans="1:4" ht="19.95" customHeight="1" x14ac:dyDescent="0.25">
      <c r="A898" s="9" t="s">
        <v>37</v>
      </c>
      <c r="B898" s="10" t="s">
        <v>40</v>
      </c>
      <c r="C898" s="10">
        <v>105.1</v>
      </c>
      <c r="D898" s="10">
        <v>1991</v>
      </c>
    </row>
    <row r="899" spans="1:4" ht="19.95" customHeight="1" x14ac:dyDescent="0.25">
      <c r="A899" s="9" t="s">
        <v>38</v>
      </c>
      <c r="B899" s="10" t="s">
        <v>40</v>
      </c>
      <c r="C899" s="10">
        <v>110.8</v>
      </c>
      <c r="D899" s="10">
        <v>1991</v>
      </c>
    </row>
    <row r="900" spans="1:4" ht="19.95" customHeight="1" x14ac:dyDescent="0.25">
      <c r="A900" s="9" t="s">
        <v>39</v>
      </c>
      <c r="B900" s="10" t="s">
        <v>40</v>
      </c>
      <c r="C900" s="10">
        <v>51.9</v>
      </c>
      <c r="D900" s="10">
        <v>1991</v>
      </c>
    </row>
    <row r="901" spans="1:4" ht="19.95" customHeight="1" x14ac:dyDescent="0.25">
      <c r="A901" s="9" t="s">
        <v>9</v>
      </c>
      <c r="B901" s="10" t="s">
        <v>40</v>
      </c>
      <c r="C901" s="10">
        <v>107.6</v>
      </c>
      <c r="D901" s="10">
        <v>1992</v>
      </c>
    </row>
    <row r="902" spans="1:4" ht="19.95" customHeight="1" x14ac:dyDescent="0.25">
      <c r="A902" s="9" t="s">
        <v>12</v>
      </c>
      <c r="B902" s="10" t="s">
        <v>40</v>
      </c>
      <c r="C902" s="10">
        <v>88.2</v>
      </c>
      <c r="D902" s="10">
        <v>1992</v>
      </c>
    </row>
    <row r="903" spans="1:4" ht="19.95" customHeight="1" x14ac:dyDescent="0.25">
      <c r="A903" s="9" t="s">
        <v>13</v>
      </c>
      <c r="B903" s="10" t="s">
        <v>40</v>
      </c>
      <c r="C903" s="10">
        <v>109.8</v>
      </c>
      <c r="D903" s="10">
        <v>1992</v>
      </c>
    </row>
    <row r="904" spans="1:4" ht="19.95" customHeight="1" x14ac:dyDescent="0.25">
      <c r="A904" s="9" t="s">
        <v>15</v>
      </c>
      <c r="B904" s="10" t="s">
        <v>40</v>
      </c>
      <c r="C904" s="10">
        <v>82.8</v>
      </c>
      <c r="D904" s="10">
        <v>1992</v>
      </c>
    </row>
    <row r="905" spans="1:4" ht="19.95" customHeight="1" x14ac:dyDescent="0.25">
      <c r="A905" s="9" t="s">
        <v>16</v>
      </c>
      <c r="B905" s="10" t="s">
        <v>40</v>
      </c>
      <c r="C905" s="10">
        <v>89.3</v>
      </c>
      <c r="D905" s="10">
        <v>1992</v>
      </c>
    </row>
    <row r="906" spans="1:4" ht="19.95" customHeight="1" x14ac:dyDescent="0.25">
      <c r="A906" s="9" t="s">
        <v>1</v>
      </c>
      <c r="B906" s="10" t="s">
        <v>40</v>
      </c>
      <c r="C906" s="10">
        <v>114.8</v>
      </c>
      <c r="D906" s="10">
        <v>1992</v>
      </c>
    </row>
    <row r="907" spans="1:4" ht="19.95" customHeight="1" x14ac:dyDescent="0.25">
      <c r="A907" s="9" t="s">
        <v>17</v>
      </c>
      <c r="B907" s="10" t="s">
        <v>40</v>
      </c>
      <c r="C907" s="10">
        <v>131.5</v>
      </c>
      <c r="D907" s="10">
        <v>1992</v>
      </c>
    </row>
    <row r="908" spans="1:4" ht="19.95" customHeight="1" x14ac:dyDescent="0.25">
      <c r="A908" s="9" t="s">
        <v>18</v>
      </c>
      <c r="B908" s="10" t="s">
        <v>40</v>
      </c>
      <c r="C908" s="10">
        <v>95.2</v>
      </c>
      <c r="D908" s="10">
        <v>1992</v>
      </c>
    </row>
    <row r="909" spans="1:4" ht="19.95" customHeight="1" x14ac:dyDescent="0.25">
      <c r="A909" s="9" t="s">
        <v>19</v>
      </c>
      <c r="B909" s="10" t="s">
        <v>40</v>
      </c>
      <c r="C909" s="10">
        <v>68.599999999999994</v>
      </c>
      <c r="D909" s="10">
        <v>1992</v>
      </c>
    </row>
    <row r="910" spans="1:4" ht="19.95" customHeight="1" x14ac:dyDescent="0.25">
      <c r="A910" s="9" t="s">
        <v>20</v>
      </c>
      <c r="B910" s="10" t="s">
        <v>40</v>
      </c>
      <c r="C910" s="10"/>
      <c r="D910" s="10">
        <v>1992</v>
      </c>
    </row>
    <row r="911" spans="1:4" ht="19.95" customHeight="1" x14ac:dyDescent="0.25">
      <c r="A911" s="9" t="s">
        <v>21</v>
      </c>
      <c r="B911" s="10" t="s">
        <v>40</v>
      </c>
      <c r="C911" s="10">
        <v>174.4</v>
      </c>
      <c r="D911" s="10">
        <v>1992</v>
      </c>
    </row>
    <row r="912" spans="1:4" ht="19.95" customHeight="1" x14ac:dyDescent="0.25">
      <c r="A912" s="9" t="s">
        <v>22</v>
      </c>
      <c r="B912" s="10" t="s">
        <v>40</v>
      </c>
      <c r="C912" s="10">
        <v>92.4</v>
      </c>
      <c r="D912" s="10">
        <v>1992</v>
      </c>
    </row>
    <row r="913" spans="1:4" ht="19.95" customHeight="1" x14ac:dyDescent="0.25">
      <c r="A913" s="9" t="s">
        <v>23</v>
      </c>
      <c r="B913" s="10" t="s">
        <v>40</v>
      </c>
      <c r="C913" s="10">
        <v>129.1</v>
      </c>
      <c r="D913" s="10">
        <v>1992</v>
      </c>
    </row>
    <row r="914" spans="1:4" ht="19.95" customHeight="1" x14ac:dyDescent="0.25">
      <c r="A914" s="9" t="s">
        <v>24</v>
      </c>
      <c r="B914" s="10" t="s">
        <v>40</v>
      </c>
      <c r="C914" s="10">
        <v>126.7</v>
      </c>
      <c r="D914" s="10">
        <v>1992</v>
      </c>
    </row>
    <row r="915" spans="1:4" ht="19.95" customHeight="1" x14ac:dyDescent="0.25">
      <c r="A915" s="9" t="s">
        <v>25</v>
      </c>
      <c r="B915" s="10" t="s">
        <v>40</v>
      </c>
      <c r="C915" s="10">
        <v>28.4</v>
      </c>
      <c r="D915" s="10">
        <v>1992</v>
      </c>
    </row>
    <row r="916" spans="1:4" ht="19.95" customHeight="1" x14ac:dyDescent="0.25">
      <c r="A916" s="9" t="s">
        <v>26</v>
      </c>
      <c r="B916" s="10" t="s">
        <v>40</v>
      </c>
      <c r="C916" s="10">
        <v>154.4</v>
      </c>
      <c r="D916" s="10">
        <v>1992</v>
      </c>
    </row>
    <row r="917" spans="1:4" ht="19.95" customHeight="1" x14ac:dyDescent="0.25">
      <c r="A917" s="9" t="s">
        <v>28</v>
      </c>
      <c r="B917" s="10" t="s">
        <v>40</v>
      </c>
      <c r="C917" s="10">
        <v>78.5</v>
      </c>
      <c r="D917" s="10">
        <v>1992</v>
      </c>
    </row>
    <row r="918" spans="1:4" ht="19.95" customHeight="1" x14ac:dyDescent="0.25">
      <c r="A918" s="9" t="s">
        <v>29</v>
      </c>
      <c r="B918" s="10" t="s">
        <v>40</v>
      </c>
      <c r="C918" s="10">
        <v>88.8</v>
      </c>
      <c r="D918" s="10">
        <v>1992</v>
      </c>
    </row>
    <row r="919" spans="1:4" ht="19.95" customHeight="1" x14ac:dyDescent="0.25">
      <c r="A919" s="9" t="s">
        <v>30</v>
      </c>
      <c r="B919" s="10" t="s">
        <v>40</v>
      </c>
      <c r="C919" s="10">
        <v>46.8</v>
      </c>
      <c r="D919" s="10">
        <v>1992</v>
      </c>
    </row>
    <row r="920" spans="1:4" ht="19.95" customHeight="1" x14ac:dyDescent="0.25">
      <c r="A920" s="9" t="s">
        <v>31</v>
      </c>
      <c r="B920" s="10" t="s">
        <v>40</v>
      </c>
      <c r="C920" s="10">
        <v>126.7</v>
      </c>
      <c r="D920" s="10">
        <v>1992</v>
      </c>
    </row>
    <row r="921" spans="1:4" ht="19.95" customHeight="1" x14ac:dyDescent="0.25">
      <c r="A921" s="9" t="s">
        <v>32</v>
      </c>
      <c r="B921" s="10" t="s">
        <v>40</v>
      </c>
      <c r="C921" s="10">
        <v>100.3</v>
      </c>
      <c r="D921" s="10">
        <v>1992</v>
      </c>
    </row>
    <row r="922" spans="1:4" ht="19.95" customHeight="1" x14ac:dyDescent="0.25">
      <c r="A922" s="9" t="s">
        <v>33</v>
      </c>
      <c r="B922" s="10" t="s">
        <v>40</v>
      </c>
      <c r="C922" s="10">
        <v>69.8</v>
      </c>
      <c r="D922" s="10">
        <v>1992</v>
      </c>
    </row>
    <row r="923" spans="1:4" ht="19.95" customHeight="1" x14ac:dyDescent="0.25">
      <c r="A923" s="9" t="s">
        <v>34</v>
      </c>
      <c r="B923" s="10" t="s">
        <v>40</v>
      </c>
      <c r="C923" s="10">
        <v>18.100000000000001</v>
      </c>
      <c r="D923" s="10">
        <v>1992</v>
      </c>
    </row>
    <row r="924" spans="1:4" ht="19.95" customHeight="1" x14ac:dyDescent="0.25">
      <c r="A924" s="9" t="s">
        <v>35</v>
      </c>
      <c r="B924" s="10" t="s">
        <v>40</v>
      </c>
      <c r="C924" s="10">
        <v>87.4</v>
      </c>
      <c r="D924" s="10">
        <v>1992</v>
      </c>
    </row>
    <row r="925" spans="1:4" ht="19.95" customHeight="1" x14ac:dyDescent="0.25">
      <c r="A925" s="9" t="s">
        <v>36</v>
      </c>
      <c r="B925" s="10" t="s">
        <v>40</v>
      </c>
      <c r="C925" s="10">
        <v>98.3</v>
      </c>
      <c r="D925" s="10">
        <v>1992</v>
      </c>
    </row>
    <row r="926" spans="1:4" ht="19.95" customHeight="1" x14ac:dyDescent="0.25">
      <c r="A926" s="9" t="s">
        <v>37</v>
      </c>
      <c r="B926" s="10" t="s">
        <v>40</v>
      </c>
      <c r="C926" s="10">
        <v>103</v>
      </c>
      <c r="D926" s="10">
        <v>1992</v>
      </c>
    </row>
    <row r="927" spans="1:4" ht="19.95" customHeight="1" x14ac:dyDescent="0.25">
      <c r="A927" s="9" t="s">
        <v>38</v>
      </c>
      <c r="B927" s="10" t="s">
        <v>40</v>
      </c>
      <c r="C927" s="10">
        <v>110.7</v>
      </c>
      <c r="D927" s="10">
        <v>1992</v>
      </c>
    </row>
    <row r="928" spans="1:4" ht="19.95" customHeight="1" x14ac:dyDescent="0.25">
      <c r="A928" s="9" t="s">
        <v>39</v>
      </c>
      <c r="B928" s="10" t="s">
        <v>40</v>
      </c>
      <c r="C928" s="10">
        <v>53.3</v>
      </c>
      <c r="D928" s="10">
        <v>1992</v>
      </c>
    </row>
    <row r="929" spans="1:4" ht="19.95" customHeight="1" x14ac:dyDescent="0.25">
      <c r="A929" s="9" t="s">
        <v>9</v>
      </c>
      <c r="B929" s="10" t="s">
        <v>40</v>
      </c>
      <c r="C929" s="10">
        <v>108</v>
      </c>
      <c r="D929" s="10">
        <v>1993</v>
      </c>
    </row>
    <row r="930" spans="1:4" ht="19.95" customHeight="1" x14ac:dyDescent="0.25">
      <c r="A930" s="9" t="s">
        <v>12</v>
      </c>
      <c r="B930" s="10" t="s">
        <v>40</v>
      </c>
      <c r="C930" s="10">
        <v>89.6</v>
      </c>
      <c r="D930" s="10">
        <v>1993</v>
      </c>
    </row>
    <row r="931" spans="1:4" ht="19.95" customHeight="1" x14ac:dyDescent="0.25">
      <c r="A931" s="9" t="s">
        <v>13</v>
      </c>
      <c r="B931" s="10" t="s">
        <v>40</v>
      </c>
      <c r="C931" s="10">
        <v>108.7</v>
      </c>
      <c r="D931" s="10">
        <v>1993</v>
      </c>
    </row>
    <row r="932" spans="1:4" ht="19.95" customHeight="1" x14ac:dyDescent="0.25">
      <c r="A932" s="9" t="s">
        <v>15</v>
      </c>
      <c r="B932" s="10" t="s">
        <v>40</v>
      </c>
      <c r="C932" s="10">
        <v>80.599999999999994</v>
      </c>
      <c r="D932" s="10">
        <v>1993</v>
      </c>
    </row>
    <row r="933" spans="1:4" ht="19.95" customHeight="1" x14ac:dyDescent="0.25">
      <c r="A933" s="9" t="s">
        <v>16</v>
      </c>
      <c r="B933" s="10" t="s">
        <v>40</v>
      </c>
      <c r="C933" s="10">
        <v>88.2</v>
      </c>
      <c r="D933" s="10">
        <v>1993</v>
      </c>
    </row>
    <row r="934" spans="1:4" ht="19.95" customHeight="1" x14ac:dyDescent="0.25">
      <c r="A934" s="9" t="s">
        <v>1</v>
      </c>
      <c r="B934" s="10" t="s">
        <v>40</v>
      </c>
      <c r="C934" s="10">
        <v>111.7</v>
      </c>
      <c r="D934" s="10">
        <v>1993</v>
      </c>
    </row>
    <row r="935" spans="1:4" ht="19.95" customHeight="1" x14ac:dyDescent="0.25">
      <c r="A935" s="9" t="s">
        <v>17</v>
      </c>
      <c r="B935" s="10" t="s">
        <v>40</v>
      </c>
      <c r="C935" s="10">
        <v>127.8</v>
      </c>
      <c r="D935" s="10">
        <v>1993</v>
      </c>
    </row>
    <row r="936" spans="1:4" ht="19.95" customHeight="1" x14ac:dyDescent="0.25">
      <c r="A936" s="9" t="s">
        <v>18</v>
      </c>
      <c r="B936" s="10" t="s">
        <v>40</v>
      </c>
      <c r="C936" s="10">
        <v>92.5</v>
      </c>
      <c r="D936" s="10">
        <v>1993</v>
      </c>
    </row>
    <row r="937" spans="1:4" ht="19.95" customHeight="1" x14ac:dyDescent="0.25">
      <c r="A937" s="9" t="s">
        <v>19</v>
      </c>
      <c r="B937" s="10" t="s">
        <v>40</v>
      </c>
      <c r="C937" s="10">
        <v>69.599999999999994</v>
      </c>
      <c r="D937" s="10">
        <v>1993</v>
      </c>
    </row>
    <row r="938" spans="1:4" ht="19.95" customHeight="1" x14ac:dyDescent="0.25">
      <c r="A938" s="9" t="s">
        <v>20</v>
      </c>
      <c r="B938" s="10" t="s">
        <v>40</v>
      </c>
      <c r="C938" s="10"/>
      <c r="D938" s="10">
        <v>1993</v>
      </c>
    </row>
    <row r="939" spans="1:4" ht="19.95" customHeight="1" x14ac:dyDescent="0.25">
      <c r="A939" s="9" t="s">
        <v>21</v>
      </c>
      <c r="B939" s="10" t="s">
        <v>40</v>
      </c>
      <c r="C939" s="10">
        <v>171.9</v>
      </c>
      <c r="D939" s="10">
        <v>1993</v>
      </c>
    </row>
    <row r="940" spans="1:4" ht="19.95" customHeight="1" x14ac:dyDescent="0.25">
      <c r="A940" s="9" t="s">
        <v>22</v>
      </c>
      <c r="B940" s="10" t="s">
        <v>40</v>
      </c>
      <c r="C940" s="10">
        <v>90</v>
      </c>
      <c r="D940" s="10">
        <v>1993</v>
      </c>
    </row>
    <row r="941" spans="1:4" ht="19.95" customHeight="1" x14ac:dyDescent="0.25">
      <c r="A941" s="9" t="s">
        <v>23</v>
      </c>
      <c r="B941" s="10" t="s">
        <v>40</v>
      </c>
      <c r="C941" s="10">
        <v>124.9</v>
      </c>
      <c r="D941" s="10">
        <v>1993</v>
      </c>
    </row>
    <row r="942" spans="1:4" ht="19.95" customHeight="1" x14ac:dyDescent="0.25">
      <c r="A942" s="9" t="s">
        <v>24</v>
      </c>
      <c r="B942" s="10" t="s">
        <v>40</v>
      </c>
      <c r="C942" s="10">
        <v>125.5</v>
      </c>
      <c r="D942" s="10">
        <v>1993</v>
      </c>
    </row>
    <row r="943" spans="1:4" ht="19.95" customHeight="1" x14ac:dyDescent="0.25">
      <c r="A943" s="9" t="s">
        <v>25</v>
      </c>
      <c r="B943" s="10" t="s">
        <v>40</v>
      </c>
      <c r="C943" s="10">
        <v>29.5</v>
      </c>
      <c r="D943" s="10">
        <v>1993</v>
      </c>
    </row>
    <row r="944" spans="1:4" ht="19.95" customHeight="1" x14ac:dyDescent="0.25">
      <c r="A944" s="9" t="s">
        <v>26</v>
      </c>
      <c r="B944" s="10" t="s">
        <v>40</v>
      </c>
      <c r="C944" s="10">
        <v>151.19999999999999</v>
      </c>
      <c r="D944" s="10">
        <v>1993</v>
      </c>
    </row>
    <row r="945" spans="1:4" ht="19.95" customHeight="1" x14ac:dyDescent="0.25">
      <c r="A945" s="9" t="s">
        <v>28</v>
      </c>
      <c r="B945" s="10" t="s">
        <v>40</v>
      </c>
      <c r="C945" s="10">
        <v>76.8</v>
      </c>
      <c r="D945" s="10">
        <v>1993</v>
      </c>
    </row>
    <row r="946" spans="1:4" ht="19.95" customHeight="1" x14ac:dyDescent="0.25">
      <c r="A946" s="9" t="s">
        <v>29</v>
      </c>
      <c r="B946" s="10" t="s">
        <v>40</v>
      </c>
      <c r="C946" s="10">
        <v>84.6</v>
      </c>
      <c r="D946" s="10">
        <v>1993</v>
      </c>
    </row>
    <row r="947" spans="1:4" ht="19.95" customHeight="1" x14ac:dyDescent="0.25">
      <c r="A947" s="9" t="s">
        <v>30</v>
      </c>
      <c r="B947" s="10" t="s">
        <v>40</v>
      </c>
      <c r="C947" s="10">
        <v>44.7</v>
      </c>
      <c r="D947" s="10">
        <v>1993</v>
      </c>
    </row>
    <row r="948" spans="1:4" ht="19.95" customHeight="1" x14ac:dyDescent="0.25">
      <c r="A948" s="9" t="s">
        <v>31</v>
      </c>
      <c r="B948" s="10" t="s">
        <v>40</v>
      </c>
      <c r="C948" s="10">
        <v>123.3</v>
      </c>
      <c r="D948" s="10">
        <v>1993</v>
      </c>
    </row>
    <row r="949" spans="1:4" ht="19.95" customHeight="1" x14ac:dyDescent="0.25">
      <c r="A949" s="9" t="s">
        <v>32</v>
      </c>
      <c r="B949" s="10" t="s">
        <v>40</v>
      </c>
      <c r="C949" s="10">
        <v>106.9</v>
      </c>
      <c r="D949" s="10">
        <v>1993</v>
      </c>
    </row>
    <row r="950" spans="1:4" ht="19.95" customHeight="1" x14ac:dyDescent="0.25">
      <c r="A950" s="9" t="s">
        <v>33</v>
      </c>
      <c r="B950" s="10" t="s">
        <v>40</v>
      </c>
      <c r="C950" s="10">
        <v>69.5</v>
      </c>
      <c r="D950" s="10">
        <v>1993</v>
      </c>
    </row>
    <row r="951" spans="1:4" ht="19.95" customHeight="1" x14ac:dyDescent="0.25">
      <c r="A951" s="9" t="s">
        <v>34</v>
      </c>
      <c r="B951" s="10" t="s">
        <v>40</v>
      </c>
      <c r="C951" s="10">
        <v>18</v>
      </c>
      <c r="D951" s="10">
        <v>1993</v>
      </c>
    </row>
    <row r="952" spans="1:4" ht="19.95" customHeight="1" x14ac:dyDescent="0.25">
      <c r="A952" s="9" t="s">
        <v>35</v>
      </c>
      <c r="B952" s="10" t="s">
        <v>40</v>
      </c>
      <c r="C952" s="10">
        <v>90.1</v>
      </c>
      <c r="D952" s="10">
        <v>1993</v>
      </c>
    </row>
    <row r="953" spans="1:4" ht="19.95" customHeight="1" x14ac:dyDescent="0.25">
      <c r="A953" s="9" t="s">
        <v>36</v>
      </c>
      <c r="B953" s="10" t="s">
        <v>40</v>
      </c>
      <c r="C953" s="10">
        <v>97.2</v>
      </c>
      <c r="D953" s="10">
        <v>1993</v>
      </c>
    </row>
    <row r="954" spans="1:4" ht="19.95" customHeight="1" x14ac:dyDescent="0.25">
      <c r="A954" s="9" t="s">
        <v>37</v>
      </c>
      <c r="B954" s="10" t="s">
        <v>40</v>
      </c>
      <c r="C954" s="10">
        <v>101.1</v>
      </c>
      <c r="D954" s="10">
        <v>1993</v>
      </c>
    </row>
    <row r="955" spans="1:4" ht="19.95" customHeight="1" x14ac:dyDescent="0.25">
      <c r="A955" s="9" t="s">
        <v>38</v>
      </c>
      <c r="B955" s="10" t="s">
        <v>40</v>
      </c>
      <c r="C955" s="10">
        <v>110.1</v>
      </c>
      <c r="D955" s="10">
        <v>1993</v>
      </c>
    </row>
    <row r="956" spans="1:4" ht="19.95" customHeight="1" x14ac:dyDescent="0.25">
      <c r="A956" s="9" t="s">
        <v>39</v>
      </c>
      <c r="B956" s="10" t="s">
        <v>40</v>
      </c>
      <c r="C956" s="10">
        <v>55</v>
      </c>
      <c r="D956" s="10">
        <v>1993</v>
      </c>
    </row>
    <row r="957" spans="1:4" ht="19.95" customHeight="1" x14ac:dyDescent="0.25">
      <c r="A957" s="9" t="s">
        <v>9</v>
      </c>
      <c r="B957" s="10" t="s">
        <v>40</v>
      </c>
      <c r="C957" s="10">
        <v>107.8</v>
      </c>
      <c r="D957" s="10">
        <v>1994</v>
      </c>
    </row>
    <row r="958" spans="1:4" ht="19.95" customHeight="1" x14ac:dyDescent="0.25">
      <c r="A958" s="9" t="s">
        <v>12</v>
      </c>
      <c r="B958" s="10" t="s">
        <v>40</v>
      </c>
      <c r="C958" s="10">
        <v>91.1</v>
      </c>
      <c r="D958" s="10">
        <v>1994</v>
      </c>
    </row>
    <row r="959" spans="1:4" ht="19.95" customHeight="1" x14ac:dyDescent="0.25">
      <c r="A959" s="9" t="s">
        <v>13</v>
      </c>
      <c r="B959" s="10" t="s">
        <v>40</v>
      </c>
      <c r="C959" s="10">
        <v>107.7</v>
      </c>
      <c r="D959" s="10">
        <v>1994</v>
      </c>
    </row>
    <row r="960" spans="1:4" ht="19.95" customHeight="1" x14ac:dyDescent="0.25">
      <c r="A960" s="9" t="s">
        <v>15</v>
      </c>
      <c r="B960" s="10" t="s">
        <v>40</v>
      </c>
      <c r="C960" s="10">
        <v>78.599999999999994</v>
      </c>
      <c r="D960" s="10">
        <v>1994</v>
      </c>
    </row>
    <row r="961" spans="1:4" ht="19.95" customHeight="1" x14ac:dyDescent="0.25">
      <c r="A961" s="9" t="s">
        <v>16</v>
      </c>
      <c r="B961" s="10" t="s">
        <v>40</v>
      </c>
      <c r="C961" s="10">
        <v>87.3</v>
      </c>
      <c r="D961" s="10">
        <v>1994</v>
      </c>
    </row>
    <row r="962" spans="1:4" ht="19.95" customHeight="1" x14ac:dyDescent="0.25">
      <c r="A962" s="9" t="s">
        <v>1</v>
      </c>
      <c r="B962" s="10" t="s">
        <v>40</v>
      </c>
      <c r="C962" s="10">
        <v>108.2</v>
      </c>
      <c r="D962" s="10">
        <v>1994</v>
      </c>
    </row>
    <row r="963" spans="1:4" ht="19.95" customHeight="1" x14ac:dyDescent="0.25">
      <c r="A963" s="9" t="s">
        <v>17</v>
      </c>
      <c r="B963" s="10" t="s">
        <v>40</v>
      </c>
      <c r="C963" s="10">
        <v>124.1</v>
      </c>
      <c r="D963" s="10">
        <v>1994</v>
      </c>
    </row>
    <row r="964" spans="1:4" ht="19.95" customHeight="1" x14ac:dyDescent="0.25">
      <c r="A964" s="9" t="s">
        <v>18</v>
      </c>
      <c r="B964" s="10" t="s">
        <v>40</v>
      </c>
      <c r="C964" s="10">
        <v>89.9</v>
      </c>
      <c r="D964" s="10">
        <v>1994</v>
      </c>
    </row>
    <row r="965" spans="1:4" ht="19.95" customHeight="1" x14ac:dyDescent="0.25">
      <c r="A965" s="9" t="s">
        <v>19</v>
      </c>
      <c r="B965" s="10" t="s">
        <v>40</v>
      </c>
      <c r="C965" s="10">
        <v>70.2</v>
      </c>
      <c r="D965" s="10">
        <v>1994</v>
      </c>
    </row>
    <row r="966" spans="1:4" ht="19.95" customHeight="1" x14ac:dyDescent="0.25">
      <c r="A966" s="9" t="s">
        <v>20</v>
      </c>
      <c r="B966" s="10" t="s">
        <v>40</v>
      </c>
      <c r="C966" s="10"/>
      <c r="D966" s="10">
        <v>1994</v>
      </c>
    </row>
    <row r="967" spans="1:4" ht="19.95" customHeight="1" x14ac:dyDescent="0.25">
      <c r="A967" s="9" t="s">
        <v>21</v>
      </c>
      <c r="B967" s="10" t="s">
        <v>40</v>
      </c>
      <c r="C967" s="10">
        <v>167.7</v>
      </c>
      <c r="D967" s="10">
        <v>1994</v>
      </c>
    </row>
    <row r="968" spans="1:4" ht="19.95" customHeight="1" x14ac:dyDescent="0.25">
      <c r="A968" s="9" t="s">
        <v>22</v>
      </c>
      <c r="B968" s="10" t="s">
        <v>40</v>
      </c>
      <c r="C968" s="10">
        <v>87.7</v>
      </c>
      <c r="D968" s="10">
        <v>1994</v>
      </c>
    </row>
    <row r="969" spans="1:4" ht="19.95" customHeight="1" x14ac:dyDescent="0.25">
      <c r="A969" s="9" t="s">
        <v>23</v>
      </c>
      <c r="B969" s="10" t="s">
        <v>40</v>
      </c>
      <c r="C969" s="10">
        <v>121.2</v>
      </c>
      <c r="D969" s="10">
        <v>1994</v>
      </c>
    </row>
    <row r="970" spans="1:4" ht="19.95" customHeight="1" x14ac:dyDescent="0.25">
      <c r="A970" s="9" t="s">
        <v>24</v>
      </c>
      <c r="B970" s="10" t="s">
        <v>40</v>
      </c>
      <c r="C970" s="10">
        <v>124.7</v>
      </c>
      <c r="D970" s="10">
        <v>1994</v>
      </c>
    </row>
    <row r="971" spans="1:4" ht="19.95" customHeight="1" x14ac:dyDescent="0.25">
      <c r="A971" s="9" t="s">
        <v>25</v>
      </c>
      <c r="B971" s="10" t="s">
        <v>40</v>
      </c>
      <c r="C971" s="10">
        <v>30.5</v>
      </c>
      <c r="D971" s="10">
        <v>1994</v>
      </c>
    </row>
    <row r="972" spans="1:4" ht="19.95" customHeight="1" x14ac:dyDescent="0.25">
      <c r="A972" s="9" t="s">
        <v>26</v>
      </c>
      <c r="B972" s="10" t="s">
        <v>40</v>
      </c>
      <c r="C972" s="10">
        <v>147.4</v>
      </c>
      <c r="D972" s="10">
        <v>1994</v>
      </c>
    </row>
    <row r="973" spans="1:4" ht="19.95" customHeight="1" x14ac:dyDescent="0.25">
      <c r="A973" s="9" t="s">
        <v>28</v>
      </c>
      <c r="B973" s="10" t="s">
        <v>40</v>
      </c>
      <c r="C973" s="10">
        <v>75.099999999999994</v>
      </c>
      <c r="D973" s="10">
        <v>1994</v>
      </c>
    </row>
    <row r="974" spans="1:4" ht="19.95" customHeight="1" x14ac:dyDescent="0.25">
      <c r="A974" s="9" t="s">
        <v>29</v>
      </c>
      <c r="B974" s="10" t="s">
        <v>40</v>
      </c>
      <c r="C974" s="10">
        <v>80.7</v>
      </c>
      <c r="D974" s="10">
        <v>1994</v>
      </c>
    </row>
    <row r="975" spans="1:4" ht="19.95" customHeight="1" x14ac:dyDescent="0.25">
      <c r="A975" s="9" t="s">
        <v>30</v>
      </c>
      <c r="B975" s="10" t="s">
        <v>40</v>
      </c>
      <c r="C975" s="10">
        <v>42.7</v>
      </c>
      <c r="D975" s="10">
        <v>1994</v>
      </c>
    </row>
    <row r="976" spans="1:4" ht="19.95" customHeight="1" x14ac:dyDescent="0.25">
      <c r="A976" s="9" t="s">
        <v>31</v>
      </c>
      <c r="B976" s="10" t="s">
        <v>40</v>
      </c>
      <c r="C976" s="10">
        <v>119.2</v>
      </c>
      <c r="D976" s="10">
        <v>1994</v>
      </c>
    </row>
    <row r="977" spans="1:4" ht="19.95" customHeight="1" x14ac:dyDescent="0.25">
      <c r="A977" s="9" t="s">
        <v>32</v>
      </c>
      <c r="B977" s="10" t="s">
        <v>40</v>
      </c>
      <c r="C977" s="10">
        <v>124.8</v>
      </c>
      <c r="D977" s="10">
        <v>1994</v>
      </c>
    </row>
    <row r="978" spans="1:4" ht="19.95" customHeight="1" x14ac:dyDescent="0.25">
      <c r="A978" s="9" t="s">
        <v>33</v>
      </c>
      <c r="B978" s="10" t="s">
        <v>40</v>
      </c>
      <c r="C978" s="10">
        <v>68.7</v>
      </c>
      <c r="D978" s="10">
        <v>1994</v>
      </c>
    </row>
    <row r="979" spans="1:4" ht="19.95" customHeight="1" x14ac:dyDescent="0.25">
      <c r="A979" s="9" t="s">
        <v>34</v>
      </c>
      <c r="B979" s="10" t="s">
        <v>40</v>
      </c>
      <c r="C979" s="10">
        <v>17.600000000000001</v>
      </c>
      <c r="D979" s="10">
        <v>1994</v>
      </c>
    </row>
    <row r="980" spans="1:4" ht="19.95" customHeight="1" x14ac:dyDescent="0.25">
      <c r="A980" s="9" t="s">
        <v>35</v>
      </c>
      <c r="B980" s="10" t="s">
        <v>40</v>
      </c>
      <c r="C980" s="10">
        <v>91.1</v>
      </c>
      <c r="D980" s="10">
        <v>1994</v>
      </c>
    </row>
    <row r="981" spans="1:4" ht="19.95" customHeight="1" x14ac:dyDescent="0.25">
      <c r="A981" s="9" t="s">
        <v>36</v>
      </c>
      <c r="B981" s="10" t="s">
        <v>40</v>
      </c>
      <c r="C981" s="10">
        <v>96.1</v>
      </c>
      <c r="D981" s="10">
        <v>1994</v>
      </c>
    </row>
    <row r="982" spans="1:4" ht="19.95" customHeight="1" x14ac:dyDescent="0.25">
      <c r="A982" s="9" t="s">
        <v>37</v>
      </c>
      <c r="B982" s="10" t="s">
        <v>40</v>
      </c>
      <c r="C982" s="10">
        <v>99.4</v>
      </c>
      <c r="D982" s="10">
        <v>1994</v>
      </c>
    </row>
    <row r="983" spans="1:4" ht="19.95" customHeight="1" x14ac:dyDescent="0.25">
      <c r="A983" s="9" t="s">
        <v>38</v>
      </c>
      <c r="B983" s="10" t="s">
        <v>40</v>
      </c>
      <c r="C983" s="10">
        <v>108.8</v>
      </c>
      <c r="D983" s="10">
        <v>1994</v>
      </c>
    </row>
    <row r="984" spans="1:4" ht="19.95" customHeight="1" x14ac:dyDescent="0.25">
      <c r="A984" s="9" t="s">
        <v>39</v>
      </c>
      <c r="B984" s="10" t="s">
        <v>40</v>
      </c>
      <c r="C984" s="10">
        <v>56.6</v>
      </c>
      <c r="D984" s="10">
        <v>1994</v>
      </c>
    </row>
    <row r="985" spans="1:4" ht="19.95" customHeight="1" x14ac:dyDescent="0.25">
      <c r="A985" s="9" t="s">
        <v>9</v>
      </c>
      <c r="B985" s="10" t="s">
        <v>40</v>
      </c>
      <c r="C985" s="10">
        <v>107</v>
      </c>
      <c r="D985" s="10">
        <v>1995</v>
      </c>
    </row>
    <row r="986" spans="1:4" ht="19.95" customHeight="1" x14ac:dyDescent="0.25">
      <c r="A986" s="9" t="s">
        <v>12</v>
      </c>
      <c r="B986" s="10" t="s">
        <v>40</v>
      </c>
      <c r="C986" s="10">
        <v>92.3</v>
      </c>
      <c r="D986" s="10">
        <v>1995</v>
      </c>
    </row>
    <row r="987" spans="1:4" ht="19.95" customHeight="1" x14ac:dyDescent="0.25">
      <c r="A987" s="9" t="s">
        <v>13</v>
      </c>
      <c r="B987" s="10" t="s">
        <v>40</v>
      </c>
      <c r="C987" s="10">
        <v>106.8</v>
      </c>
      <c r="D987" s="10">
        <v>1995</v>
      </c>
    </row>
    <row r="988" spans="1:4" ht="19.95" customHeight="1" x14ac:dyDescent="0.25">
      <c r="A988" s="9" t="s">
        <v>15</v>
      </c>
      <c r="B988" s="10" t="s">
        <v>40</v>
      </c>
      <c r="C988" s="10">
        <v>76.900000000000006</v>
      </c>
      <c r="D988" s="10">
        <v>1995</v>
      </c>
    </row>
    <row r="989" spans="1:4" ht="19.95" customHeight="1" x14ac:dyDescent="0.25">
      <c r="A989" s="9" t="s">
        <v>16</v>
      </c>
      <c r="B989" s="10" t="s">
        <v>40</v>
      </c>
      <c r="C989" s="10">
        <v>86.4</v>
      </c>
      <c r="D989" s="10">
        <v>1995</v>
      </c>
    </row>
    <row r="990" spans="1:4" ht="19.95" customHeight="1" x14ac:dyDescent="0.25">
      <c r="A990" s="9" t="s">
        <v>1</v>
      </c>
      <c r="B990" s="10" t="s">
        <v>40</v>
      </c>
      <c r="C990" s="10">
        <v>104.7</v>
      </c>
      <c r="D990" s="10">
        <v>1995</v>
      </c>
    </row>
    <row r="991" spans="1:4" ht="19.95" customHeight="1" x14ac:dyDescent="0.25">
      <c r="A991" s="9" t="s">
        <v>17</v>
      </c>
      <c r="B991" s="10" t="s">
        <v>40</v>
      </c>
      <c r="C991" s="10">
        <v>120.2</v>
      </c>
      <c r="D991" s="10">
        <v>1995</v>
      </c>
    </row>
    <row r="992" spans="1:4" ht="19.95" customHeight="1" x14ac:dyDescent="0.25">
      <c r="A992" s="9" t="s">
        <v>18</v>
      </c>
      <c r="B992" s="10" t="s">
        <v>40</v>
      </c>
      <c r="C992" s="10">
        <v>87.3</v>
      </c>
      <c r="D992" s="10">
        <v>1995</v>
      </c>
    </row>
    <row r="993" spans="1:4" ht="19.95" customHeight="1" x14ac:dyDescent="0.25">
      <c r="A993" s="9" t="s">
        <v>19</v>
      </c>
      <c r="B993" s="10" t="s">
        <v>40</v>
      </c>
      <c r="C993" s="10">
        <v>70.3</v>
      </c>
      <c r="D993" s="10">
        <v>1995</v>
      </c>
    </row>
    <row r="994" spans="1:4" ht="19.95" customHeight="1" x14ac:dyDescent="0.25">
      <c r="A994" s="9" t="s">
        <v>20</v>
      </c>
      <c r="B994" s="10" t="s">
        <v>40</v>
      </c>
      <c r="C994" s="10"/>
      <c r="D994" s="10">
        <v>1995</v>
      </c>
    </row>
    <row r="995" spans="1:4" ht="19.95" customHeight="1" x14ac:dyDescent="0.25">
      <c r="A995" s="9" t="s">
        <v>21</v>
      </c>
      <c r="B995" s="10" t="s">
        <v>40</v>
      </c>
      <c r="C995" s="10">
        <v>162.19999999999999</v>
      </c>
      <c r="D995" s="10">
        <v>1995</v>
      </c>
    </row>
    <row r="996" spans="1:4" ht="19.95" customHeight="1" x14ac:dyDescent="0.25">
      <c r="A996" s="9" t="s">
        <v>22</v>
      </c>
      <c r="B996" s="10" t="s">
        <v>40</v>
      </c>
      <c r="C996" s="10">
        <v>85.1</v>
      </c>
      <c r="D996" s="10">
        <v>1995</v>
      </c>
    </row>
    <row r="997" spans="1:4" ht="19.95" customHeight="1" x14ac:dyDescent="0.25">
      <c r="A997" s="9" t="s">
        <v>23</v>
      </c>
      <c r="B997" s="10" t="s">
        <v>40</v>
      </c>
      <c r="C997" s="10">
        <v>118.1</v>
      </c>
      <c r="D997" s="10">
        <v>1995</v>
      </c>
    </row>
    <row r="998" spans="1:4" ht="19.95" customHeight="1" x14ac:dyDescent="0.25">
      <c r="A998" s="9" t="s">
        <v>24</v>
      </c>
      <c r="B998" s="10" t="s">
        <v>40</v>
      </c>
      <c r="C998" s="10">
        <v>123.9</v>
      </c>
      <c r="D998" s="10">
        <v>1995</v>
      </c>
    </row>
    <row r="999" spans="1:4" ht="19.95" customHeight="1" x14ac:dyDescent="0.25">
      <c r="A999" s="9" t="s">
        <v>25</v>
      </c>
      <c r="B999" s="10" t="s">
        <v>40</v>
      </c>
      <c r="C999" s="10">
        <v>31.2</v>
      </c>
      <c r="D999" s="10">
        <v>1995</v>
      </c>
    </row>
    <row r="1000" spans="1:4" ht="19.95" customHeight="1" x14ac:dyDescent="0.25">
      <c r="A1000" s="9" t="s">
        <v>26</v>
      </c>
      <c r="B1000" s="10" t="s">
        <v>40</v>
      </c>
      <c r="C1000" s="10">
        <v>143</v>
      </c>
      <c r="D1000" s="10">
        <v>1995</v>
      </c>
    </row>
    <row r="1001" spans="1:4" ht="19.95" customHeight="1" x14ac:dyDescent="0.25">
      <c r="A1001" s="9" t="s">
        <v>28</v>
      </c>
      <c r="B1001" s="10" t="s">
        <v>40</v>
      </c>
      <c r="C1001" s="10">
        <v>73.400000000000006</v>
      </c>
      <c r="D1001" s="10">
        <v>1995</v>
      </c>
    </row>
    <row r="1002" spans="1:4" ht="19.95" customHeight="1" x14ac:dyDescent="0.25">
      <c r="A1002" s="9" t="s">
        <v>29</v>
      </c>
      <c r="B1002" s="10" t="s">
        <v>40</v>
      </c>
      <c r="C1002" s="10">
        <v>76.900000000000006</v>
      </c>
      <c r="D1002" s="10">
        <v>1995</v>
      </c>
    </row>
    <row r="1003" spans="1:4" ht="19.95" customHeight="1" x14ac:dyDescent="0.25">
      <c r="A1003" s="9" t="s">
        <v>30</v>
      </c>
      <c r="B1003" s="10" t="s">
        <v>40</v>
      </c>
      <c r="C1003" s="10">
        <v>40.700000000000003</v>
      </c>
      <c r="D1003" s="10">
        <v>1995</v>
      </c>
    </row>
    <row r="1004" spans="1:4" ht="19.95" customHeight="1" x14ac:dyDescent="0.25">
      <c r="A1004" s="9" t="s">
        <v>31</v>
      </c>
      <c r="B1004" s="10" t="s">
        <v>40</v>
      </c>
      <c r="C1004" s="10">
        <v>114.9</v>
      </c>
      <c r="D1004" s="10">
        <v>1995</v>
      </c>
    </row>
    <row r="1005" spans="1:4" ht="19.95" customHeight="1" x14ac:dyDescent="0.25">
      <c r="A1005" s="9" t="s">
        <v>32</v>
      </c>
      <c r="B1005" s="10" t="s">
        <v>40</v>
      </c>
      <c r="C1005" s="10">
        <v>116.6</v>
      </c>
      <c r="D1005" s="10">
        <v>1995</v>
      </c>
    </row>
    <row r="1006" spans="1:4" ht="19.95" customHeight="1" x14ac:dyDescent="0.25">
      <c r="A1006" s="9" t="s">
        <v>33</v>
      </c>
      <c r="B1006" s="10" t="s">
        <v>40</v>
      </c>
      <c r="C1006" s="10">
        <v>67.400000000000006</v>
      </c>
      <c r="D1006" s="10">
        <v>1995</v>
      </c>
    </row>
    <row r="1007" spans="1:4" ht="19.95" customHeight="1" x14ac:dyDescent="0.25">
      <c r="A1007" s="9" t="s">
        <v>34</v>
      </c>
      <c r="B1007" s="10" t="s">
        <v>40</v>
      </c>
      <c r="C1007" s="10">
        <v>17.100000000000001</v>
      </c>
      <c r="D1007" s="10">
        <v>1995</v>
      </c>
    </row>
    <row r="1008" spans="1:4" ht="19.95" customHeight="1" x14ac:dyDescent="0.25">
      <c r="A1008" s="9" t="s">
        <v>35</v>
      </c>
      <c r="B1008" s="10" t="s">
        <v>40</v>
      </c>
      <c r="C1008" s="10">
        <v>89.9</v>
      </c>
      <c r="D1008" s="10">
        <v>1995</v>
      </c>
    </row>
    <row r="1009" spans="1:4" ht="19.95" customHeight="1" x14ac:dyDescent="0.25">
      <c r="A1009" s="9" t="s">
        <v>36</v>
      </c>
      <c r="B1009" s="10" t="s">
        <v>40</v>
      </c>
      <c r="C1009" s="10">
        <v>94.6</v>
      </c>
      <c r="D1009" s="10">
        <v>1995</v>
      </c>
    </row>
    <row r="1010" spans="1:4" ht="19.95" customHeight="1" x14ac:dyDescent="0.25">
      <c r="A1010" s="9" t="s">
        <v>37</v>
      </c>
      <c r="B1010" s="10" t="s">
        <v>40</v>
      </c>
      <c r="C1010" s="10">
        <v>98</v>
      </c>
      <c r="D1010" s="10">
        <v>1995</v>
      </c>
    </row>
    <row r="1011" spans="1:4" ht="19.95" customHeight="1" x14ac:dyDescent="0.25">
      <c r="A1011" s="9" t="s">
        <v>38</v>
      </c>
      <c r="B1011" s="10" t="s">
        <v>40</v>
      </c>
      <c r="C1011" s="10">
        <v>107.1</v>
      </c>
      <c r="D1011" s="10">
        <v>1995</v>
      </c>
    </row>
    <row r="1012" spans="1:4" ht="19.95" customHeight="1" x14ac:dyDescent="0.25">
      <c r="A1012" s="9" t="s">
        <v>39</v>
      </c>
      <c r="B1012" s="10" t="s">
        <v>40</v>
      </c>
      <c r="C1012" s="10">
        <v>58.3</v>
      </c>
      <c r="D1012" s="10">
        <v>1995</v>
      </c>
    </row>
    <row r="1013" spans="1:4" ht="19.95" customHeight="1" x14ac:dyDescent="0.25">
      <c r="A1013" s="9" t="s">
        <v>9</v>
      </c>
      <c r="B1013" s="10" t="s">
        <v>40</v>
      </c>
      <c r="C1013" s="10">
        <v>105.7</v>
      </c>
      <c r="D1013" s="10">
        <v>1996</v>
      </c>
    </row>
    <row r="1014" spans="1:4" ht="19.95" customHeight="1" x14ac:dyDescent="0.25">
      <c r="A1014" s="9" t="s">
        <v>12</v>
      </c>
      <c r="B1014" s="10" t="s">
        <v>40</v>
      </c>
      <c r="C1014" s="10">
        <v>93.2</v>
      </c>
      <c r="D1014" s="10">
        <v>1996</v>
      </c>
    </row>
    <row r="1015" spans="1:4" ht="19.95" customHeight="1" x14ac:dyDescent="0.25">
      <c r="A1015" s="9" t="s">
        <v>13</v>
      </c>
      <c r="B1015" s="10" t="s">
        <v>40</v>
      </c>
      <c r="C1015" s="10">
        <v>105.8</v>
      </c>
      <c r="D1015" s="10">
        <v>1996</v>
      </c>
    </row>
    <row r="1016" spans="1:4" ht="19.95" customHeight="1" x14ac:dyDescent="0.25">
      <c r="A1016" s="9" t="s">
        <v>15</v>
      </c>
      <c r="B1016" s="10" t="s">
        <v>40</v>
      </c>
      <c r="C1016" s="10">
        <v>75.5</v>
      </c>
      <c r="D1016" s="10">
        <v>1996</v>
      </c>
    </row>
    <row r="1017" spans="1:4" ht="19.95" customHeight="1" x14ac:dyDescent="0.25">
      <c r="A1017" s="9" t="s">
        <v>16</v>
      </c>
      <c r="B1017" s="10" t="s">
        <v>40</v>
      </c>
      <c r="C1017" s="10">
        <v>85.4</v>
      </c>
      <c r="D1017" s="10">
        <v>1996</v>
      </c>
    </row>
    <row r="1018" spans="1:4" ht="19.95" customHeight="1" x14ac:dyDescent="0.25">
      <c r="A1018" s="9" t="s">
        <v>1</v>
      </c>
      <c r="B1018" s="10" t="s">
        <v>40</v>
      </c>
      <c r="C1018" s="10">
        <v>101.2</v>
      </c>
      <c r="D1018" s="10">
        <v>1996</v>
      </c>
    </row>
    <row r="1019" spans="1:4" ht="19.95" customHeight="1" x14ac:dyDescent="0.25">
      <c r="A1019" s="9" t="s">
        <v>17</v>
      </c>
      <c r="B1019" s="10" t="s">
        <v>40</v>
      </c>
      <c r="C1019" s="10">
        <v>116.4</v>
      </c>
      <c r="D1019" s="10">
        <v>1996</v>
      </c>
    </row>
    <row r="1020" spans="1:4" ht="19.95" customHeight="1" x14ac:dyDescent="0.25">
      <c r="A1020" s="9" t="s">
        <v>18</v>
      </c>
      <c r="B1020" s="10" t="s">
        <v>40</v>
      </c>
      <c r="C1020" s="10">
        <v>84.6</v>
      </c>
      <c r="D1020" s="10">
        <v>1996</v>
      </c>
    </row>
    <row r="1021" spans="1:4" ht="19.95" customHeight="1" x14ac:dyDescent="0.25">
      <c r="A1021" s="9" t="s">
        <v>19</v>
      </c>
      <c r="B1021" s="10" t="s">
        <v>40</v>
      </c>
      <c r="C1021" s="10">
        <v>69.900000000000006</v>
      </c>
      <c r="D1021" s="10">
        <v>1996</v>
      </c>
    </row>
    <row r="1022" spans="1:4" ht="19.95" customHeight="1" x14ac:dyDescent="0.25">
      <c r="A1022" s="9" t="s">
        <v>20</v>
      </c>
      <c r="B1022" s="10" t="s">
        <v>40</v>
      </c>
      <c r="C1022" s="10"/>
      <c r="D1022" s="10">
        <v>1996</v>
      </c>
    </row>
    <row r="1023" spans="1:4" ht="19.95" customHeight="1" x14ac:dyDescent="0.25">
      <c r="A1023" s="9" t="s">
        <v>21</v>
      </c>
      <c r="B1023" s="10" t="s">
        <v>40</v>
      </c>
      <c r="C1023" s="10">
        <v>155.80000000000001</v>
      </c>
      <c r="D1023" s="10">
        <v>1996</v>
      </c>
    </row>
    <row r="1024" spans="1:4" ht="19.95" customHeight="1" x14ac:dyDescent="0.25">
      <c r="A1024" s="9" t="s">
        <v>22</v>
      </c>
      <c r="B1024" s="10" t="s">
        <v>40</v>
      </c>
      <c r="C1024" s="10">
        <v>82.2</v>
      </c>
      <c r="D1024" s="10">
        <v>1996</v>
      </c>
    </row>
    <row r="1025" spans="1:4" ht="19.95" customHeight="1" x14ac:dyDescent="0.25">
      <c r="A1025" s="9" t="s">
        <v>23</v>
      </c>
      <c r="B1025" s="10" t="s">
        <v>40</v>
      </c>
      <c r="C1025" s="10">
        <v>115.8</v>
      </c>
      <c r="D1025" s="10">
        <v>1996</v>
      </c>
    </row>
    <row r="1026" spans="1:4" ht="19.95" customHeight="1" x14ac:dyDescent="0.25">
      <c r="A1026" s="9" t="s">
        <v>24</v>
      </c>
      <c r="B1026" s="10" t="s">
        <v>40</v>
      </c>
      <c r="C1026" s="10">
        <v>123.1</v>
      </c>
      <c r="D1026" s="10">
        <v>1996</v>
      </c>
    </row>
    <row r="1027" spans="1:4" ht="19.95" customHeight="1" x14ac:dyDescent="0.25">
      <c r="A1027" s="9" t="s">
        <v>25</v>
      </c>
      <c r="B1027" s="10" t="s">
        <v>40</v>
      </c>
      <c r="C1027" s="10">
        <v>31.5</v>
      </c>
      <c r="D1027" s="10">
        <v>1996</v>
      </c>
    </row>
    <row r="1028" spans="1:4" ht="19.95" customHeight="1" x14ac:dyDescent="0.25">
      <c r="A1028" s="9" t="s">
        <v>26</v>
      </c>
      <c r="B1028" s="10" t="s">
        <v>40</v>
      </c>
      <c r="C1028" s="10">
        <v>137.69999999999999</v>
      </c>
      <c r="D1028" s="10">
        <v>1996</v>
      </c>
    </row>
    <row r="1029" spans="1:4" ht="19.95" customHeight="1" x14ac:dyDescent="0.25">
      <c r="A1029" s="9" t="s">
        <v>28</v>
      </c>
      <c r="B1029" s="10" t="s">
        <v>40</v>
      </c>
      <c r="C1029" s="10">
        <v>71.8</v>
      </c>
      <c r="D1029" s="10">
        <v>1996</v>
      </c>
    </row>
    <row r="1030" spans="1:4" ht="19.95" customHeight="1" x14ac:dyDescent="0.25">
      <c r="A1030" s="9" t="s">
        <v>29</v>
      </c>
      <c r="B1030" s="10" t="s">
        <v>40</v>
      </c>
      <c r="C1030" s="10">
        <v>73.3</v>
      </c>
      <c r="D1030" s="10">
        <v>1996</v>
      </c>
    </row>
    <row r="1031" spans="1:4" ht="19.95" customHeight="1" x14ac:dyDescent="0.25">
      <c r="A1031" s="9" t="s">
        <v>30</v>
      </c>
      <c r="B1031" s="10" t="s">
        <v>40</v>
      </c>
      <c r="C1031" s="10">
        <v>38.700000000000003</v>
      </c>
      <c r="D1031" s="10">
        <v>1996</v>
      </c>
    </row>
    <row r="1032" spans="1:4" ht="19.95" customHeight="1" x14ac:dyDescent="0.25">
      <c r="A1032" s="9" t="s">
        <v>31</v>
      </c>
      <c r="B1032" s="10" t="s">
        <v>40</v>
      </c>
      <c r="C1032" s="10">
        <v>110.5</v>
      </c>
      <c r="D1032" s="10">
        <v>1996</v>
      </c>
    </row>
    <row r="1033" spans="1:4" ht="19.95" customHeight="1" x14ac:dyDescent="0.25">
      <c r="A1033" s="9" t="s">
        <v>32</v>
      </c>
      <c r="B1033" s="10" t="s">
        <v>40</v>
      </c>
      <c r="C1033" s="10">
        <v>110.8</v>
      </c>
      <c r="D1033" s="10">
        <v>1996</v>
      </c>
    </row>
    <row r="1034" spans="1:4" ht="19.95" customHeight="1" x14ac:dyDescent="0.25">
      <c r="A1034" s="9" t="s">
        <v>33</v>
      </c>
      <c r="B1034" s="10" t="s">
        <v>40</v>
      </c>
      <c r="C1034" s="10">
        <v>65.7</v>
      </c>
      <c r="D1034" s="10">
        <v>1996</v>
      </c>
    </row>
    <row r="1035" spans="1:4" ht="19.95" customHeight="1" x14ac:dyDescent="0.25">
      <c r="A1035" s="9" t="s">
        <v>34</v>
      </c>
      <c r="B1035" s="10" t="s">
        <v>40</v>
      </c>
      <c r="C1035" s="10">
        <v>16.5</v>
      </c>
      <c r="D1035" s="10">
        <v>1996</v>
      </c>
    </row>
    <row r="1036" spans="1:4" ht="19.95" customHeight="1" x14ac:dyDescent="0.25">
      <c r="A1036" s="9" t="s">
        <v>35</v>
      </c>
      <c r="B1036" s="10" t="s">
        <v>40</v>
      </c>
      <c r="C1036" s="10">
        <v>87.2</v>
      </c>
      <c r="D1036" s="10">
        <v>1996</v>
      </c>
    </row>
    <row r="1037" spans="1:4" ht="19.95" customHeight="1" x14ac:dyDescent="0.25">
      <c r="A1037" s="9" t="s">
        <v>36</v>
      </c>
      <c r="B1037" s="10" t="s">
        <v>40</v>
      </c>
      <c r="C1037" s="10">
        <v>92.8</v>
      </c>
      <c r="D1037" s="10">
        <v>1996</v>
      </c>
    </row>
    <row r="1038" spans="1:4" ht="19.95" customHeight="1" x14ac:dyDescent="0.25">
      <c r="A1038" s="9" t="s">
        <v>37</v>
      </c>
      <c r="B1038" s="10" t="s">
        <v>40</v>
      </c>
      <c r="C1038" s="10">
        <v>96.8</v>
      </c>
      <c r="D1038" s="10">
        <v>1996</v>
      </c>
    </row>
    <row r="1039" spans="1:4" ht="19.95" customHeight="1" x14ac:dyDescent="0.25">
      <c r="A1039" s="9" t="s">
        <v>38</v>
      </c>
      <c r="B1039" s="10" t="s">
        <v>40</v>
      </c>
      <c r="C1039" s="10">
        <v>105.5</v>
      </c>
      <c r="D1039" s="10">
        <v>1996</v>
      </c>
    </row>
    <row r="1040" spans="1:4" ht="19.95" customHeight="1" x14ac:dyDescent="0.25">
      <c r="A1040" s="9" t="s">
        <v>39</v>
      </c>
      <c r="B1040" s="10" t="s">
        <v>40</v>
      </c>
      <c r="C1040" s="10">
        <v>59.2</v>
      </c>
      <c r="D1040" s="10">
        <v>1996</v>
      </c>
    </row>
    <row r="1041" spans="1:4" ht="19.95" customHeight="1" x14ac:dyDescent="0.25">
      <c r="A1041" s="9" t="s">
        <v>9</v>
      </c>
      <c r="B1041" s="10" t="s">
        <v>40</v>
      </c>
      <c r="C1041" s="10">
        <v>103.8</v>
      </c>
      <c r="D1041" s="10">
        <v>1997</v>
      </c>
    </row>
    <row r="1042" spans="1:4" ht="19.95" customHeight="1" x14ac:dyDescent="0.25">
      <c r="A1042" s="9" t="s">
        <v>12</v>
      </c>
      <c r="B1042" s="10" t="s">
        <v>40</v>
      </c>
      <c r="C1042" s="10">
        <v>93.7</v>
      </c>
      <c r="D1042" s="10">
        <v>1997</v>
      </c>
    </row>
    <row r="1043" spans="1:4" ht="19.95" customHeight="1" x14ac:dyDescent="0.25">
      <c r="A1043" s="9" t="s">
        <v>13</v>
      </c>
      <c r="B1043" s="10" t="s">
        <v>40</v>
      </c>
      <c r="C1043" s="10">
        <v>104.8</v>
      </c>
      <c r="D1043" s="10">
        <v>1997</v>
      </c>
    </row>
    <row r="1044" spans="1:4" ht="19.95" customHeight="1" x14ac:dyDescent="0.25">
      <c r="A1044" s="9" t="s">
        <v>15</v>
      </c>
      <c r="B1044" s="10" t="s">
        <v>40</v>
      </c>
      <c r="C1044" s="10">
        <v>74.5</v>
      </c>
      <c r="D1044" s="10">
        <v>1997</v>
      </c>
    </row>
    <row r="1045" spans="1:4" ht="19.95" customHeight="1" x14ac:dyDescent="0.25">
      <c r="A1045" s="9" t="s">
        <v>16</v>
      </c>
      <c r="B1045" s="10" t="s">
        <v>40</v>
      </c>
      <c r="C1045" s="10">
        <v>84.3</v>
      </c>
      <c r="D1045" s="10">
        <v>1997</v>
      </c>
    </row>
    <row r="1046" spans="1:4" ht="19.95" customHeight="1" x14ac:dyDescent="0.25">
      <c r="A1046" s="9" t="s">
        <v>1</v>
      </c>
      <c r="B1046" s="10" t="s">
        <v>40</v>
      </c>
      <c r="C1046" s="10">
        <v>97.8</v>
      </c>
      <c r="D1046" s="10">
        <v>1997</v>
      </c>
    </row>
    <row r="1047" spans="1:4" ht="19.95" customHeight="1" x14ac:dyDescent="0.25">
      <c r="A1047" s="9" t="s">
        <v>17</v>
      </c>
      <c r="B1047" s="10" t="s">
        <v>40</v>
      </c>
      <c r="C1047" s="10">
        <v>112.5</v>
      </c>
      <c r="D1047" s="10">
        <v>1997</v>
      </c>
    </row>
    <row r="1048" spans="1:4" ht="19.95" customHeight="1" x14ac:dyDescent="0.25">
      <c r="A1048" s="9" t="s">
        <v>18</v>
      </c>
      <c r="B1048" s="10" t="s">
        <v>40</v>
      </c>
      <c r="C1048" s="10">
        <v>81.900000000000006</v>
      </c>
      <c r="D1048" s="10">
        <v>1997</v>
      </c>
    </row>
    <row r="1049" spans="1:4" ht="19.95" customHeight="1" x14ac:dyDescent="0.25">
      <c r="A1049" s="9" t="s">
        <v>19</v>
      </c>
      <c r="B1049" s="10" t="s">
        <v>40</v>
      </c>
      <c r="C1049" s="10">
        <v>69</v>
      </c>
      <c r="D1049" s="10">
        <v>1997</v>
      </c>
    </row>
    <row r="1050" spans="1:4" ht="19.95" customHeight="1" x14ac:dyDescent="0.25">
      <c r="A1050" s="9" t="s">
        <v>20</v>
      </c>
      <c r="B1050" s="10" t="s">
        <v>40</v>
      </c>
      <c r="C1050" s="10"/>
      <c r="D1050" s="10">
        <v>1997</v>
      </c>
    </row>
    <row r="1051" spans="1:4" ht="19.95" customHeight="1" x14ac:dyDescent="0.25">
      <c r="A1051" s="9" t="s">
        <v>21</v>
      </c>
      <c r="B1051" s="10" t="s">
        <v>40</v>
      </c>
      <c r="C1051" s="10">
        <v>148.69999999999999</v>
      </c>
      <c r="D1051" s="10">
        <v>1997</v>
      </c>
    </row>
    <row r="1052" spans="1:4" ht="19.95" customHeight="1" x14ac:dyDescent="0.25">
      <c r="A1052" s="9" t="s">
        <v>22</v>
      </c>
      <c r="B1052" s="10" t="s">
        <v>40</v>
      </c>
      <c r="C1052" s="10">
        <v>79</v>
      </c>
      <c r="D1052" s="10">
        <v>1997</v>
      </c>
    </row>
    <row r="1053" spans="1:4" ht="19.95" customHeight="1" x14ac:dyDescent="0.25">
      <c r="A1053" s="9" t="s">
        <v>23</v>
      </c>
      <c r="B1053" s="10" t="s">
        <v>40</v>
      </c>
      <c r="C1053" s="10">
        <v>113.5</v>
      </c>
      <c r="D1053" s="10">
        <v>1997</v>
      </c>
    </row>
    <row r="1054" spans="1:4" ht="19.95" customHeight="1" x14ac:dyDescent="0.25">
      <c r="A1054" s="9" t="s">
        <v>24</v>
      </c>
      <c r="B1054" s="10" t="s">
        <v>40</v>
      </c>
      <c r="C1054" s="10">
        <v>122</v>
      </c>
      <c r="D1054" s="10">
        <v>1997</v>
      </c>
    </row>
    <row r="1055" spans="1:4" ht="19.95" customHeight="1" x14ac:dyDescent="0.25">
      <c r="A1055" s="9" t="s">
        <v>25</v>
      </c>
      <c r="B1055" s="10" t="s">
        <v>40</v>
      </c>
      <c r="C1055" s="10">
        <v>31</v>
      </c>
      <c r="D1055" s="10">
        <v>1997</v>
      </c>
    </row>
    <row r="1056" spans="1:4" ht="19.95" customHeight="1" x14ac:dyDescent="0.25">
      <c r="A1056" s="9" t="s">
        <v>26</v>
      </c>
      <c r="B1056" s="10" t="s">
        <v>40</v>
      </c>
      <c r="C1056" s="10">
        <v>131.69999999999999</v>
      </c>
      <c r="D1056" s="10">
        <v>1997</v>
      </c>
    </row>
    <row r="1057" spans="1:4" ht="19.95" customHeight="1" x14ac:dyDescent="0.25">
      <c r="A1057" s="9" t="s">
        <v>28</v>
      </c>
      <c r="B1057" s="10" t="s">
        <v>40</v>
      </c>
      <c r="C1057" s="10">
        <v>70.099999999999994</v>
      </c>
      <c r="D1057" s="10">
        <v>1997</v>
      </c>
    </row>
    <row r="1058" spans="1:4" ht="19.95" customHeight="1" x14ac:dyDescent="0.25">
      <c r="A1058" s="9" t="s">
        <v>29</v>
      </c>
      <c r="B1058" s="10" t="s">
        <v>40</v>
      </c>
      <c r="C1058" s="10">
        <v>69.8</v>
      </c>
      <c r="D1058" s="10">
        <v>1997</v>
      </c>
    </row>
    <row r="1059" spans="1:4" ht="19.95" customHeight="1" x14ac:dyDescent="0.25">
      <c r="A1059" s="9" t="s">
        <v>30</v>
      </c>
      <c r="B1059" s="10" t="s">
        <v>40</v>
      </c>
      <c r="C1059" s="10">
        <v>36.799999999999997</v>
      </c>
      <c r="D1059" s="10">
        <v>1997</v>
      </c>
    </row>
    <row r="1060" spans="1:4" ht="19.95" customHeight="1" x14ac:dyDescent="0.25">
      <c r="A1060" s="9" t="s">
        <v>31</v>
      </c>
      <c r="B1060" s="10" t="s">
        <v>40</v>
      </c>
      <c r="C1060" s="10">
        <v>106.6</v>
      </c>
      <c r="D1060" s="10">
        <v>1997</v>
      </c>
    </row>
    <row r="1061" spans="1:4" ht="19.95" customHeight="1" x14ac:dyDescent="0.25">
      <c r="A1061" s="9" t="s">
        <v>32</v>
      </c>
      <c r="B1061" s="10" t="s">
        <v>40</v>
      </c>
      <c r="C1061" s="10">
        <v>114.9</v>
      </c>
      <c r="D1061" s="10">
        <v>1997</v>
      </c>
    </row>
    <row r="1062" spans="1:4" ht="19.95" customHeight="1" x14ac:dyDescent="0.25">
      <c r="A1062" s="9" t="s">
        <v>33</v>
      </c>
      <c r="B1062" s="10" t="s">
        <v>40</v>
      </c>
      <c r="C1062" s="10">
        <v>63.6</v>
      </c>
      <c r="D1062" s="10">
        <v>1997</v>
      </c>
    </row>
    <row r="1063" spans="1:4" ht="19.95" customHeight="1" x14ac:dyDescent="0.25">
      <c r="A1063" s="9" t="s">
        <v>34</v>
      </c>
      <c r="B1063" s="10" t="s">
        <v>40</v>
      </c>
      <c r="C1063" s="10">
        <v>15.9</v>
      </c>
      <c r="D1063" s="10">
        <v>1997</v>
      </c>
    </row>
    <row r="1064" spans="1:4" ht="19.95" customHeight="1" x14ac:dyDescent="0.25">
      <c r="A1064" s="9" t="s">
        <v>35</v>
      </c>
      <c r="B1064" s="10" t="s">
        <v>40</v>
      </c>
      <c r="C1064" s="10">
        <v>83.7</v>
      </c>
      <c r="D1064" s="10">
        <v>1997</v>
      </c>
    </row>
    <row r="1065" spans="1:4" ht="19.95" customHeight="1" x14ac:dyDescent="0.25">
      <c r="A1065" s="9" t="s">
        <v>36</v>
      </c>
      <c r="B1065" s="10" t="s">
        <v>40</v>
      </c>
      <c r="C1065" s="10">
        <v>90.4</v>
      </c>
      <c r="D1065" s="10">
        <v>1997</v>
      </c>
    </row>
    <row r="1066" spans="1:4" ht="19.95" customHeight="1" x14ac:dyDescent="0.25">
      <c r="A1066" s="9" t="s">
        <v>37</v>
      </c>
      <c r="B1066" s="10" t="s">
        <v>40</v>
      </c>
      <c r="C1066" s="10">
        <v>95.4</v>
      </c>
      <c r="D1066" s="10">
        <v>1997</v>
      </c>
    </row>
    <row r="1067" spans="1:4" ht="19.95" customHeight="1" x14ac:dyDescent="0.25">
      <c r="A1067" s="9" t="s">
        <v>38</v>
      </c>
      <c r="B1067" s="10" t="s">
        <v>40</v>
      </c>
      <c r="C1067" s="10">
        <v>104</v>
      </c>
      <c r="D1067" s="10">
        <v>1997</v>
      </c>
    </row>
    <row r="1068" spans="1:4" ht="19.95" customHeight="1" x14ac:dyDescent="0.25">
      <c r="A1068" s="9" t="s">
        <v>39</v>
      </c>
      <c r="B1068" s="10" t="s">
        <v>40</v>
      </c>
      <c r="C1068" s="10">
        <v>59.6</v>
      </c>
      <c r="D1068" s="10">
        <v>1997</v>
      </c>
    </row>
    <row r="1069" spans="1:4" ht="19.95" customHeight="1" x14ac:dyDescent="0.25">
      <c r="A1069" s="9" t="s">
        <v>9</v>
      </c>
      <c r="B1069" s="10" t="s">
        <v>40</v>
      </c>
      <c r="C1069" s="10">
        <v>101.4</v>
      </c>
      <c r="D1069" s="10">
        <v>1998</v>
      </c>
    </row>
    <row r="1070" spans="1:4" ht="19.95" customHeight="1" x14ac:dyDescent="0.25">
      <c r="A1070" s="9" t="s">
        <v>12</v>
      </c>
      <c r="B1070" s="10" t="s">
        <v>40</v>
      </c>
      <c r="C1070" s="10">
        <v>93.6</v>
      </c>
      <c r="D1070" s="10">
        <v>1998</v>
      </c>
    </row>
    <row r="1071" spans="1:4" ht="19.95" customHeight="1" x14ac:dyDescent="0.25">
      <c r="A1071" s="9" t="s">
        <v>13</v>
      </c>
      <c r="B1071" s="10" t="s">
        <v>40</v>
      </c>
      <c r="C1071" s="10">
        <v>103.6</v>
      </c>
      <c r="D1071" s="10">
        <v>1998</v>
      </c>
    </row>
    <row r="1072" spans="1:4" ht="19.95" customHeight="1" x14ac:dyDescent="0.25">
      <c r="A1072" s="9" t="s">
        <v>15</v>
      </c>
      <c r="B1072" s="10" t="s">
        <v>40</v>
      </c>
      <c r="C1072" s="10">
        <v>73.599999999999994</v>
      </c>
      <c r="D1072" s="10">
        <v>1998</v>
      </c>
    </row>
    <row r="1073" spans="1:4" ht="19.95" customHeight="1" x14ac:dyDescent="0.25">
      <c r="A1073" s="9" t="s">
        <v>16</v>
      </c>
      <c r="B1073" s="10" t="s">
        <v>40</v>
      </c>
      <c r="C1073" s="10">
        <v>83.1</v>
      </c>
      <c r="D1073" s="10">
        <v>1998</v>
      </c>
    </row>
    <row r="1074" spans="1:4" ht="19.95" customHeight="1" x14ac:dyDescent="0.25">
      <c r="A1074" s="9" t="s">
        <v>1</v>
      </c>
      <c r="B1074" s="10" t="s">
        <v>40</v>
      </c>
      <c r="C1074" s="10">
        <v>94.6</v>
      </c>
      <c r="D1074" s="10">
        <v>1998</v>
      </c>
    </row>
    <row r="1075" spans="1:4" ht="19.95" customHeight="1" x14ac:dyDescent="0.25">
      <c r="A1075" s="9" t="s">
        <v>17</v>
      </c>
      <c r="B1075" s="10" t="s">
        <v>40</v>
      </c>
      <c r="C1075" s="10">
        <v>108.5</v>
      </c>
      <c r="D1075" s="10">
        <v>1998</v>
      </c>
    </row>
    <row r="1076" spans="1:4" ht="19.95" customHeight="1" x14ac:dyDescent="0.25">
      <c r="A1076" s="9" t="s">
        <v>18</v>
      </c>
      <c r="B1076" s="10" t="s">
        <v>40</v>
      </c>
      <c r="C1076" s="10">
        <v>79.400000000000006</v>
      </c>
      <c r="D1076" s="10">
        <v>1998</v>
      </c>
    </row>
    <row r="1077" spans="1:4" ht="19.95" customHeight="1" x14ac:dyDescent="0.25">
      <c r="A1077" s="9" t="s">
        <v>19</v>
      </c>
      <c r="B1077" s="10" t="s">
        <v>40</v>
      </c>
      <c r="C1077" s="10">
        <v>67.7</v>
      </c>
      <c r="D1077" s="10">
        <v>1998</v>
      </c>
    </row>
    <row r="1078" spans="1:4" ht="19.95" customHeight="1" x14ac:dyDescent="0.25">
      <c r="A1078" s="9" t="s">
        <v>20</v>
      </c>
      <c r="B1078" s="10" t="s">
        <v>40</v>
      </c>
      <c r="C1078" s="10"/>
      <c r="D1078" s="10">
        <v>1998</v>
      </c>
    </row>
    <row r="1079" spans="1:4" ht="19.95" customHeight="1" x14ac:dyDescent="0.25">
      <c r="A1079" s="9" t="s">
        <v>21</v>
      </c>
      <c r="B1079" s="10" t="s">
        <v>40</v>
      </c>
      <c r="C1079" s="10">
        <v>141.30000000000001</v>
      </c>
      <c r="D1079" s="10">
        <v>1998</v>
      </c>
    </row>
    <row r="1080" spans="1:4" ht="19.95" customHeight="1" x14ac:dyDescent="0.25">
      <c r="A1080" s="9" t="s">
        <v>22</v>
      </c>
      <c r="B1080" s="10" t="s">
        <v>40</v>
      </c>
      <c r="C1080" s="10">
        <v>75.5</v>
      </c>
      <c r="D1080" s="10">
        <v>1998</v>
      </c>
    </row>
    <row r="1081" spans="1:4" ht="19.95" customHeight="1" x14ac:dyDescent="0.25">
      <c r="A1081" s="9" t="s">
        <v>23</v>
      </c>
      <c r="B1081" s="10" t="s">
        <v>40</v>
      </c>
      <c r="C1081" s="10">
        <v>110.6</v>
      </c>
      <c r="D1081" s="10">
        <v>1998</v>
      </c>
    </row>
    <row r="1082" spans="1:4" ht="19.95" customHeight="1" x14ac:dyDescent="0.25">
      <c r="A1082" s="9" t="s">
        <v>24</v>
      </c>
      <c r="B1082" s="10" t="s">
        <v>40</v>
      </c>
      <c r="C1082" s="10">
        <v>120.5</v>
      </c>
      <c r="D1082" s="10">
        <v>1998</v>
      </c>
    </row>
    <row r="1083" spans="1:4" ht="19.95" customHeight="1" x14ac:dyDescent="0.25">
      <c r="A1083" s="9" t="s">
        <v>25</v>
      </c>
      <c r="B1083" s="10" t="s">
        <v>40</v>
      </c>
      <c r="C1083" s="10">
        <v>30</v>
      </c>
      <c r="D1083" s="10">
        <v>1998</v>
      </c>
    </row>
    <row r="1084" spans="1:4" ht="19.95" customHeight="1" x14ac:dyDescent="0.25">
      <c r="A1084" s="9" t="s">
        <v>26</v>
      </c>
      <c r="B1084" s="10" t="s">
        <v>40</v>
      </c>
      <c r="C1084" s="10">
        <v>125.4</v>
      </c>
      <c r="D1084" s="10">
        <v>1998</v>
      </c>
    </row>
    <row r="1085" spans="1:4" ht="19.95" customHeight="1" x14ac:dyDescent="0.25">
      <c r="A1085" s="9" t="s">
        <v>28</v>
      </c>
      <c r="B1085" s="10" t="s">
        <v>40</v>
      </c>
      <c r="C1085" s="10">
        <v>68.5</v>
      </c>
      <c r="D1085" s="10">
        <v>1998</v>
      </c>
    </row>
    <row r="1086" spans="1:4" ht="19.95" customHeight="1" x14ac:dyDescent="0.25">
      <c r="A1086" s="9" t="s">
        <v>29</v>
      </c>
      <c r="B1086" s="10" t="s">
        <v>40</v>
      </c>
      <c r="C1086" s="10">
        <v>66.5</v>
      </c>
      <c r="D1086" s="10">
        <v>1998</v>
      </c>
    </row>
    <row r="1087" spans="1:4" ht="19.95" customHeight="1" x14ac:dyDescent="0.25">
      <c r="A1087" s="9" t="s">
        <v>30</v>
      </c>
      <c r="B1087" s="10" t="s">
        <v>40</v>
      </c>
      <c r="C1087" s="10">
        <v>36.1</v>
      </c>
      <c r="D1087" s="10">
        <v>1998</v>
      </c>
    </row>
    <row r="1088" spans="1:4" ht="19.95" customHeight="1" x14ac:dyDescent="0.25">
      <c r="A1088" s="9" t="s">
        <v>31</v>
      </c>
      <c r="B1088" s="10" t="s">
        <v>40</v>
      </c>
      <c r="C1088" s="10">
        <v>103</v>
      </c>
      <c r="D1088" s="10">
        <v>1998</v>
      </c>
    </row>
    <row r="1089" spans="1:4" ht="19.95" customHeight="1" x14ac:dyDescent="0.25">
      <c r="A1089" s="9" t="s">
        <v>32</v>
      </c>
      <c r="B1089" s="10" t="s">
        <v>40</v>
      </c>
      <c r="C1089" s="10">
        <v>116.9</v>
      </c>
      <c r="D1089" s="10">
        <v>1998</v>
      </c>
    </row>
    <row r="1090" spans="1:4" ht="19.95" customHeight="1" x14ac:dyDescent="0.25">
      <c r="A1090" s="9" t="s">
        <v>33</v>
      </c>
      <c r="B1090" s="10" t="s">
        <v>40</v>
      </c>
      <c r="C1090" s="10">
        <v>61.2</v>
      </c>
      <c r="D1090" s="10">
        <v>1998</v>
      </c>
    </row>
    <row r="1091" spans="1:4" ht="19.95" customHeight="1" x14ac:dyDescent="0.25">
      <c r="A1091" s="9" t="s">
        <v>34</v>
      </c>
      <c r="B1091" s="10" t="s">
        <v>40</v>
      </c>
      <c r="C1091" s="10">
        <v>15.3</v>
      </c>
      <c r="D1091" s="10">
        <v>1998</v>
      </c>
    </row>
    <row r="1092" spans="1:4" ht="19.95" customHeight="1" x14ac:dyDescent="0.25">
      <c r="A1092" s="9" t="s">
        <v>35</v>
      </c>
      <c r="B1092" s="10" t="s">
        <v>40</v>
      </c>
      <c r="C1092" s="10">
        <v>79.7</v>
      </c>
      <c r="D1092" s="10">
        <v>1998</v>
      </c>
    </row>
    <row r="1093" spans="1:4" ht="19.95" customHeight="1" x14ac:dyDescent="0.25">
      <c r="A1093" s="9" t="s">
        <v>36</v>
      </c>
      <c r="B1093" s="10" t="s">
        <v>40</v>
      </c>
      <c r="C1093" s="10">
        <v>87.3</v>
      </c>
      <c r="D1093" s="10">
        <v>1998</v>
      </c>
    </row>
    <row r="1094" spans="1:4" ht="19.95" customHeight="1" x14ac:dyDescent="0.25">
      <c r="A1094" s="9" t="s">
        <v>37</v>
      </c>
      <c r="B1094" s="10" t="s">
        <v>40</v>
      </c>
      <c r="C1094" s="10">
        <v>93.7</v>
      </c>
      <c r="D1094" s="10">
        <v>1998</v>
      </c>
    </row>
    <row r="1095" spans="1:4" ht="19.95" customHeight="1" x14ac:dyDescent="0.25">
      <c r="A1095" s="9" t="s">
        <v>38</v>
      </c>
      <c r="B1095" s="10" t="s">
        <v>40</v>
      </c>
      <c r="C1095" s="10">
        <v>102.4</v>
      </c>
      <c r="D1095" s="10">
        <v>1998</v>
      </c>
    </row>
    <row r="1096" spans="1:4" ht="19.95" customHeight="1" x14ac:dyDescent="0.25">
      <c r="A1096" s="9" t="s">
        <v>39</v>
      </c>
      <c r="B1096" s="10" t="s">
        <v>40</v>
      </c>
      <c r="C1096" s="10">
        <v>59.4</v>
      </c>
      <c r="D1096" s="10">
        <v>1998</v>
      </c>
    </row>
    <row r="1097" spans="1:4" ht="19.95" customHeight="1" x14ac:dyDescent="0.25">
      <c r="A1097" s="9" t="s">
        <v>9</v>
      </c>
      <c r="B1097" s="10" t="s">
        <v>40</v>
      </c>
      <c r="C1097" s="10">
        <v>98.8</v>
      </c>
      <c r="D1097" s="10">
        <v>1999</v>
      </c>
    </row>
    <row r="1098" spans="1:4" ht="19.95" customHeight="1" x14ac:dyDescent="0.25">
      <c r="A1098" s="9" t="s">
        <v>12</v>
      </c>
      <c r="B1098" s="10" t="s">
        <v>40</v>
      </c>
      <c r="C1098" s="10">
        <v>92.9</v>
      </c>
      <c r="D1098" s="10">
        <v>1999</v>
      </c>
    </row>
    <row r="1099" spans="1:4" ht="19.95" customHeight="1" x14ac:dyDescent="0.25">
      <c r="A1099" s="9" t="s">
        <v>13</v>
      </c>
      <c r="B1099" s="10" t="s">
        <v>40</v>
      </c>
      <c r="C1099" s="10">
        <v>102.3</v>
      </c>
      <c r="D1099" s="10">
        <v>1999</v>
      </c>
    </row>
    <row r="1100" spans="1:4" ht="19.95" customHeight="1" x14ac:dyDescent="0.25">
      <c r="A1100" s="9" t="s">
        <v>15</v>
      </c>
      <c r="B1100" s="10" t="s">
        <v>40</v>
      </c>
      <c r="C1100" s="10">
        <v>73.099999999999994</v>
      </c>
      <c r="D1100" s="10">
        <v>1999</v>
      </c>
    </row>
    <row r="1101" spans="1:4" ht="19.95" customHeight="1" x14ac:dyDescent="0.25">
      <c r="A1101" s="9" t="s">
        <v>16</v>
      </c>
      <c r="B1101" s="10" t="s">
        <v>40</v>
      </c>
      <c r="C1101" s="10">
        <v>81.7</v>
      </c>
      <c r="D1101" s="10">
        <v>1999</v>
      </c>
    </row>
    <row r="1102" spans="1:4" ht="19.95" customHeight="1" x14ac:dyDescent="0.25">
      <c r="A1102" s="9" t="s">
        <v>1</v>
      </c>
      <c r="B1102" s="10" t="s">
        <v>40</v>
      </c>
      <c r="C1102" s="10">
        <v>91.4</v>
      </c>
      <c r="D1102" s="10">
        <v>1999</v>
      </c>
    </row>
    <row r="1103" spans="1:4" ht="19.95" customHeight="1" x14ac:dyDescent="0.25">
      <c r="A1103" s="9" t="s">
        <v>17</v>
      </c>
      <c r="B1103" s="10" t="s">
        <v>40</v>
      </c>
      <c r="C1103" s="10">
        <v>104.6</v>
      </c>
      <c r="D1103" s="10">
        <v>1999</v>
      </c>
    </row>
    <row r="1104" spans="1:4" ht="19.95" customHeight="1" x14ac:dyDescent="0.25">
      <c r="A1104" s="9" t="s">
        <v>18</v>
      </c>
      <c r="B1104" s="10" t="s">
        <v>40</v>
      </c>
      <c r="C1104" s="10">
        <v>76.8</v>
      </c>
      <c r="D1104" s="10">
        <v>1999</v>
      </c>
    </row>
    <row r="1105" spans="1:4" ht="19.95" customHeight="1" x14ac:dyDescent="0.25">
      <c r="A1105" s="9" t="s">
        <v>19</v>
      </c>
      <c r="B1105" s="10" t="s">
        <v>40</v>
      </c>
      <c r="C1105" s="10">
        <v>66</v>
      </c>
      <c r="D1105" s="10">
        <v>1999</v>
      </c>
    </row>
    <row r="1106" spans="1:4" ht="19.95" customHeight="1" x14ac:dyDescent="0.25">
      <c r="A1106" s="9" t="s">
        <v>20</v>
      </c>
      <c r="B1106" s="10" t="s">
        <v>40</v>
      </c>
      <c r="C1106" s="10"/>
      <c r="D1106" s="10">
        <v>1999</v>
      </c>
    </row>
    <row r="1107" spans="1:4" ht="19.95" customHeight="1" x14ac:dyDescent="0.25">
      <c r="A1107" s="9" t="s">
        <v>21</v>
      </c>
      <c r="B1107" s="10" t="s">
        <v>40</v>
      </c>
      <c r="C1107" s="10">
        <v>133.6</v>
      </c>
      <c r="D1107" s="10">
        <v>1999</v>
      </c>
    </row>
    <row r="1108" spans="1:4" ht="19.95" customHeight="1" x14ac:dyDescent="0.25">
      <c r="A1108" s="9" t="s">
        <v>22</v>
      </c>
      <c r="B1108" s="10" t="s">
        <v>40</v>
      </c>
      <c r="C1108" s="10">
        <v>71.900000000000006</v>
      </c>
      <c r="D1108" s="10">
        <v>1999</v>
      </c>
    </row>
    <row r="1109" spans="1:4" ht="19.95" customHeight="1" x14ac:dyDescent="0.25">
      <c r="A1109" s="9" t="s">
        <v>23</v>
      </c>
      <c r="B1109" s="10" t="s">
        <v>40</v>
      </c>
      <c r="C1109" s="10">
        <v>106.5</v>
      </c>
      <c r="D1109" s="10">
        <v>1999</v>
      </c>
    </row>
    <row r="1110" spans="1:4" ht="19.95" customHeight="1" x14ac:dyDescent="0.25">
      <c r="A1110" s="9" t="s">
        <v>24</v>
      </c>
      <c r="B1110" s="10" t="s">
        <v>40</v>
      </c>
      <c r="C1110" s="10">
        <v>118.3</v>
      </c>
      <c r="D1110" s="10">
        <v>1999</v>
      </c>
    </row>
    <row r="1111" spans="1:4" ht="19.95" customHeight="1" x14ac:dyDescent="0.25">
      <c r="A1111" s="9" t="s">
        <v>25</v>
      </c>
      <c r="B1111" s="10" t="s">
        <v>40</v>
      </c>
      <c r="C1111" s="10">
        <v>28.3</v>
      </c>
      <c r="D1111" s="10">
        <v>1999</v>
      </c>
    </row>
    <row r="1112" spans="1:4" ht="19.95" customHeight="1" x14ac:dyDescent="0.25">
      <c r="A1112" s="9" t="s">
        <v>26</v>
      </c>
      <c r="B1112" s="10" t="s">
        <v>40</v>
      </c>
      <c r="C1112" s="10">
        <v>119.3</v>
      </c>
      <c r="D1112" s="10">
        <v>1999</v>
      </c>
    </row>
    <row r="1113" spans="1:4" ht="19.95" customHeight="1" x14ac:dyDescent="0.25">
      <c r="A1113" s="9" t="s">
        <v>28</v>
      </c>
      <c r="B1113" s="10" t="s">
        <v>40</v>
      </c>
      <c r="C1113" s="10">
        <v>67</v>
      </c>
      <c r="D1113" s="10">
        <v>1999</v>
      </c>
    </row>
    <row r="1114" spans="1:4" ht="19.95" customHeight="1" x14ac:dyDescent="0.25">
      <c r="A1114" s="9" t="s">
        <v>29</v>
      </c>
      <c r="B1114" s="10" t="s">
        <v>40</v>
      </c>
      <c r="C1114" s="10">
        <v>63.3</v>
      </c>
      <c r="D1114" s="10">
        <v>1999</v>
      </c>
    </row>
    <row r="1115" spans="1:4" ht="19.95" customHeight="1" x14ac:dyDescent="0.25">
      <c r="A1115" s="9" t="s">
        <v>30</v>
      </c>
      <c r="B1115" s="10" t="s">
        <v>40</v>
      </c>
      <c r="C1115" s="10">
        <v>33.1</v>
      </c>
      <c r="D1115" s="10">
        <v>1999</v>
      </c>
    </row>
    <row r="1116" spans="1:4" ht="19.95" customHeight="1" x14ac:dyDescent="0.25">
      <c r="A1116" s="9" t="s">
        <v>31</v>
      </c>
      <c r="B1116" s="10" t="s">
        <v>40</v>
      </c>
      <c r="C1116" s="10">
        <v>99.8</v>
      </c>
      <c r="D1116" s="10">
        <v>1999</v>
      </c>
    </row>
    <row r="1117" spans="1:4" ht="19.95" customHeight="1" x14ac:dyDescent="0.25">
      <c r="A1117" s="9" t="s">
        <v>32</v>
      </c>
      <c r="B1117" s="10" t="s">
        <v>40</v>
      </c>
      <c r="C1117" s="10">
        <v>110.4</v>
      </c>
      <c r="D1117" s="10">
        <v>1999</v>
      </c>
    </row>
    <row r="1118" spans="1:4" ht="19.95" customHeight="1" x14ac:dyDescent="0.25">
      <c r="A1118" s="9" t="s">
        <v>33</v>
      </c>
      <c r="B1118" s="10" t="s">
        <v>40</v>
      </c>
      <c r="C1118" s="10">
        <v>58.7</v>
      </c>
      <c r="D1118" s="10">
        <v>1999</v>
      </c>
    </row>
    <row r="1119" spans="1:4" ht="19.95" customHeight="1" x14ac:dyDescent="0.25">
      <c r="A1119" s="9" t="s">
        <v>34</v>
      </c>
      <c r="B1119" s="10" t="s">
        <v>40</v>
      </c>
      <c r="C1119" s="10">
        <v>14.7</v>
      </c>
      <c r="D1119" s="10">
        <v>1999</v>
      </c>
    </row>
    <row r="1120" spans="1:4" ht="19.95" customHeight="1" x14ac:dyDescent="0.25">
      <c r="A1120" s="9" t="s">
        <v>35</v>
      </c>
      <c r="B1120" s="10" t="s">
        <v>40</v>
      </c>
      <c r="C1120" s="10">
        <v>75.2</v>
      </c>
      <c r="D1120" s="10">
        <v>1999</v>
      </c>
    </row>
    <row r="1121" spans="1:4" ht="19.95" customHeight="1" x14ac:dyDescent="0.25">
      <c r="A1121" s="9" t="s">
        <v>36</v>
      </c>
      <c r="B1121" s="10" t="s">
        <v>40</v>
      </c>
      <c r="C1121" s="10">
        <v>83.6</v>
      </c>
      <c r="D1121" s="10">
        <v>1999</v>
      </c>
    </row>
    <row r="1122" spans="1:4" ht="19.95" customHeight="1" x14ac:dyDescent="0.25">
      <c r="A1122" s="9" t="s">
        <v>37</v>
      </c>
      <c r="B1122" s="10" t="s">
        <v>40</v>
      </c>
      <c r="C1122" s="10">
        <v>91.4</v>
      </c>
      <c r="D1122" s="10">
        <v>1999</v>
      </c>
    </row>
    <row r="1123" spans="1:4" ht="19.95" customHeight="1" x14ac:dyDescent="0.25">
      <c r="A1123" s="9" t="s">
        <v>38</v>
      </c>
      <c r="B1123" s="10" t="s">
        <v>40</v>
      </c>
      <c r="C1123" s="10">
        <v>100</v>
      </c>
      <c r="D1123" s="10">
        <v>1999</v>
      </c>
    </row>
    <row r="1124" spans="1:4" ht="19.95" customHeight="1" x14ac:dyDescent="0.25">
      <c r="A1124" s="9" t="s">
        <v>39</v>
      </c>
      <c r="B1124" s="10" t="s">
        <v>40</v>
      </c>
      <c r="C1124" s="10">
        <v>58.9</v>
      </c>
      <c r="D1124" s="10">
        <v>1999</v>
      </c>
    </row>
    <row r="1125" spans="1:4" ht="19.95" customHeight="1" x14ac:dyDescent="0.25">
      <c r="A1125" s="9" t="s">
        <v>9</v>
      </c>
      <c r="B1125" s="10" t="s">
        <v>40</v>
      </c>
      <c r="C1125" s="10">
        <v>95.9</v>
      </c>
      <c r="D1125" s="10">
        <v>2000</v>
      </c>
    </row>
    <row r="1126" spans="1:4" ht="19.95" customHeight="1" x14ac:dyDescent="0.25">
      <c r="A1126" s="9" t="s">
        <v>12</v>
      </c>
      <c r="B1126" s="10" t="s">
        <v>40</v>
      </c>
      <c r="C1126" s="10">
        <v>91.6</v>
      </c>
      <c r="D1126" s="10">
        <v>2000</v>
      </c>
    </row>
    <row r="1127" spans="1:4" ht="19.95" customHeight="1" x14ac:dyDescent="0.25">
      <c r="A1127" s="9" t="s">
        <v>13</v>
      </c>
      <c r="B1127" s="10" t="s">
        <v>40</v>
      </c>
      <c r="C1127" s="10">
        <v>100.9</v>
      </c>
      <c r="D1127" s="10">
        <v>2000</v>
      </c>
    </row>
    <row r="1128" spans="1:4" ht="19.95" customHeight="1" x14ac:dyDescent="0.25">
      <c r="A1128" s="9" t="s">
        <v>15</v>
      </c>
      <c r="B1128" s="10" t="s">
        <v>40</v>
      </c>
      <c r="C1128" s="10">
        <v>72.7</v>
      </c>
      <c r="D1128" s="10">
        <v>2000</v>
      </c>
    </row>
    <row r="1129" spans="1:4" ht="19.95" customHeight="1" x14ac:dyDescent="0.25">
      <c r="A1129" s="9" t="s">
        <v>16</v>
      </c>
      <c r="B1129" s="10" t="s">
        <v>40</v>
      </c>
      <c r="C1129" s="10">
        <v>80.3</v>
      </c>
      <c r="D1129" s="10">
        <v>2000</v>
      </c>
    </row>
    <row r="1130" spans="1:4" ht="19.95" customHeight="1" x14ac:dyDescent="0.25">
      <c r="A1130" s="9" t="s">
        <v>1</v>
      </c>
      <c r="B1130" s="10" t="s">
        <v>40</v>
      </c>
      <c r="C1130" s="10">
        <v>88.2</v>
      </c>
      <c r="D1130" s="10">
        <v>2000</v>
      </c>
    </row>
    <row r="1131" spans="1:4" ht="19.95" customHeight="1" x14ac:dyDescent="0.25">
      <c r="A1131" s="9" t="s">
        <v>17</v>
      </c>
      <c r="B1131" s="10" t="s">
        <v>40</v>
      </c>
      <c r="C1131" s="10">
        <v>100.5</v>
      </c>
      <c r="D1131" s="10">
        <v>2000</v>
      </c>
    </row>
    <row r="1132" spans="1:4" ht="19.95" customHeight="1" x14ac:dyDescent="0.25">
      <c r="A1132" s="9" t="s">
        <v>18</v>
      </c>
      <c r="B1132" s="10" t="s">
        <v>40</v>
      </c>
      <c r="C1132" s="10">
        <v>74.5</v>
      </c>
      <c r="D1132" s="10">
        <v>2000</v>
      </c>
    </row>
    <row r="1133" spans="1:4" ht="19.95" customHeight="1" x14ac:dyDescent="0.25">
      <c r="A1133" s="9" t="s">
        <v>19</v>
      </c>
      <c r="B1133" s="10" t="s">
        <v>40</v>
      </c>
      <c r="C1133" s="10">
        <v>64</v>
      </c>
      <c r="D1133" s="10">
        <v>2000</v>
      </c>
    </row>
    <row r="1134" spans="1:4" ht="19.95" customHeight="1" x14ac:dyDescent="0.25">
      <c r="A1134" s="9" t="s">
        <v>20</v>
      </c>
      <c r="B1134" s="10" t="s">
        <v>40</v>
      </c>
      <c r="C1134" s="10"/>
      <c r="D1134" s="10">
        <v>2000</v>
      </c>
    </row>
    <row r="1135" spans="1:4" ht="19.95" customHeight="1" x14ac:dyDescent="0.25">
      <c r="A1135" s="9" t="s">
        <v>21</v>
      </c>
      <c r="B1135" s="10" t="s">
        <v>40</v>
      </c>
      <c r="C1135" s="10">
        <v>125.7</v>
      </c>
      <c r="D1135" s="10">
        <v>2000</v>
      </c>
    </row>
    <row r="1136" spans="1:4" ht="19.95" customHeight="1" x14ac:dyDescent="0.25">
      <c r="A1136" s="9" t="s">
        <v>22</v>
      </c>
      <c r="B1136" s="10" t="s">
        <v>40</v>
      </c>
      <c r="C1136" s="10">
        <v>68.5</v>
      </c>
      <c r="D1136" s="10">
        <v>2000</v>
      </c>
    </row>
    <row r="1137" spans="1:4" ht="19.95" customHeight="1" x14ac:dyDescent="0.25">
      <c r="A1137" s="9" t="s">
        <v>23</v>
      </c>
      <c r="B1137" s="10" t="s">
        <v>40</v>
      </c>
      <c r="C1137" s="10">
        <v>101.1</v>
      </c>
      <c r="D1137" s="10">
        <v>2000</v>
      </c>
    </row>
    <row r="1138" spans="1:4" ht="19.95" customHeight="1" x14ac:dyDescent="0.25">
      <c r="A1138" s="9" t="s">
        <v>24</v>
      </c>
      <c r="B1138" s="10" t="s">
        <v>40</v>
      </c>
      <c r="C1138" s="10">
        <v>115.3</v>
      </c>
      <c r="D1138" s="10">
        <v>2000</v>
      </c>
    </row>
    <row r="1139" spans="1:4" ht="19.95" customHeight="1" x14ac:dyDescent="0.25">
      <c r="A1139" s="9" t="s">
        <v>25</v>
      </c>
      <c r="B1139" s="10" t="s">
        <v>40</v>
      </c>
      <c r="C1139" s="10">
        <v>26.2</v>
      </c>
      <c r="D1139" s="10">
        <v>2000</v>
      </c>
    </row>
    <row r="1140" spans="1:4" ht="19.95" customHeight="1" x14ac:dyDescent="0.25">
      <c r="A1140" s="9" t="s">
        <v>26</v>
      </c>
      <c r="B1140" s="10" t="s">
        <v>40</v>
      </c>
      <c r="C1140" s="10">
        <v>113.3</v>
      </c>
      <c r="D1140" s="10">
        <v>2000</v>
      </c>
    </row>
    <row r="1141" spans="1:4" ht="19.95" customHeight="1" x14ac:dyDescent="0.25">
      <c r="A1141" s="9" t="s">
        <v>28</v>
      </c>
      <c r="B1141" s="10" t="s">
        <v>40</v>
      </c>
      <c r="C1141" s="10">
        <v>65.5</v>
      </c>
      <c r="D1141" s="10">
        <v>2000</v>
      </c>
    </row>
    <row r="1142" spans="1:4" ht="19.95" customHeight="1" x14ac:dyDescent="0.25">
      <c r="A1142" s="9" t="s">
        <v>29</v>
      </c>
      <c r="B1142" s="10" t="s">
        <v>40</v>
      </c>
      <c r="C1142" s="10">
        <v>60.2</v>
      </c>
      <c r="D1142" s="10">
        <v>2000</v>
      </c>
    </row>
    <row r="1143" spans="1:4" ht="19.95" customHeight="1" x14ac:dyDescent="0.25">
      <c r="A1143" s="9" t="s">
        <v>30</v>
      </c>
      <c r="B1143" s="10" t="s">
        <v>40</v>
      </c>
      <c r="C1143" s="10">
        <v>31.5</v>
      </c>
      <c r="D1143" s="10">
        <v>2000</v>
      </c>
    </row>
    <row r="1144" spans="1:4" ht="19.95" customHeight="1" x14ac:dyDescent="0.25">
      <c r="A1144" s="9" t="s">
        <v>31</v>
      </c>
      <c r="B1144" s="10" t="s">
        <v>40</v>
      </c>
      <c r="C1144" s="10">
        <v>96.5</v>
      </c>
      <c r="D1144" s="10">
        <v>2000</v>
      </c>
    </row>
    <row r="1145" spans="1:4" ht="19.95" customHeight="1" x14ac:dyDescent="0.25">
      <c r="A1145" s="9" t="s">
        <v>32</v>
      </c>
      <c r="B1145" s="10" t="s">
        <v>40</v>
      </c>
      <c r="C1145" s="10">
        <v>107.7</v>
      </c>
      <c r="D1145" s="10">
        <v>2000</v>
      </c>
    </row>
    <row r="1146" spans="1:4" ht="19.95" customHeight="1" x14ac:dyDescent="0.25">
      <c r="A1146" s="9" t="s">
        <v>33</v>
      </c>
      <c r="B1146" s="10" t="s">
        <v>40</v>
      </c>
      <c r="C1146" s="10">
        <v>56</v>
      </c>
      <c r="D1146" s="10">
        <v>2000</v>
      </c>
    </row>
    <row r="1147" spans="1:4" ht="19.95" customHeight="1" x14ac:dyDescent="0.25">
      <c r="A1147" s="9" t="s">
        <v>34</v>
      </c>
      <c r="B1147" s="10" t="s">
        <v>40</v>
      </c>
      <c r="C1147" s="10">
        <v>14.2</v>
      </c>
      <c r="D1147" s="10">
        <v>2000</v>
      </c>
    </row>
    <row r="1148" spans="1:4" ht="19.95" customHeight="1" x14ac:dyDescent="0.25">
      <c r="A1148" s="9" t="s">
        <v>35</v>
      </c>
      <c r="B1148" s="10" t="s">
        <v>40</v>
      </c>
      <c r="C1148" s="10">
        <v>70.5</v>
      </c>
      <c r="D1148" s="10">
        <v>2000</v>
      </c>
    </row>
    <row r="1149" spans="1:4" ht="19.95" customHeight="1" x14ac:dyDescent="0.25">
      <c r="A1149" s="9" t="s">
        <v>36</v>
      </c>
      <c r="B1149" s="10" t="s">
        <v>40</v>
      </c>
      <c r="C1149" s="10">
        <v>79.5</v>
      </c>
      <c r="D1149" s="10">
        <v>2000</v>
      </c>
    </row>
    <row r="1150" spans="1:4" ht="19.95" customHeight="1" x14ac:dyDescent="0.25">
      <c r="A1150" s="9" t="s">
        <v>37</v>
      </c>
      <c r="B1150" s="10" t="s">
        <v>40</v>
      </c>
      <c r="C1150" s="10">
        <v>88.4</v>
      </c>
      <c r="D1150" s="10">
        <v>2000</v>
      </c>
    </row>
    <row r="1151" spans="1:4" ht="19.95" customHeight="1" x14ac:dyDescent="0.25">
      <c r="A1151" s="9" t="s">
        <v>38</v>
      </c>
      <c r="B1151" s="10" t="s">
        <v>40</v>
      </c>
      <c r="C1151" s="10">
        <v>96.6</v>
      </c>
      <c r="D1151" s="10">
        <v>2000</v>
      </c>
    </row>
    <row r="1152" spans="1:4" ht="19.95" customHeight="1" x14ac:dyDescent="0.25">
      <c r="A1152" s="9" t="s">
        <v>39</v>
      </c>
      <c r="B1152" s="10" t="s">
        <v>40</v>
      </c>
      <c r="C1152" s="10">
        <v>58.4</v>
      </c>
      <c r="D1152" s="10">
        <v>2000</v>
      </c>
    </row>
    <row r="1153" spans="1:4" ht="19.95" customHeight="1" x14ac:dyDescent="0.25">
      <c r="A1153" s="9" t="s">
        <v>9</v>
      </c>
      <c r="B1153" s="10" t="s">
        <v>40</v>
      </c>
      <c r="C1153" s="10">
        <v>92.8</v>
      </c>
      <c r="D1153" s="10">
        <v>2001</v>
      </c>
    </row>
    <row r="1154" spans="1:4" ht="19.95" customHeight="1" x14ac:dyDescent="0.25">
      <c r="A1154" s="9" t="s">
        <v>12</v>
      </c>
      <c r="B1154" s="10" t="s">
        <v>40</v>
      </c>
      <c r="C1154" s="10">
        <v>89.8</v>
      </c>
      <c r="D1154" s="10">
        <v>2001</v>
      </c>
    </row>
    <row r="1155" spans="1:4" ht="19.95" customHeight="1" x14ac:dyDescent="0.25">
      <c r="A1155" s="9" t="s">
        <v>13</v>
      </c>
      <c r="B1155" s="10" t="s">
        <v>40</v>
      </c>
      <c r="C1155" s="10">
        <v>99.4</v>
      </c>
      <c r="D1155" s="10">
        <v>2001</v>
      </c>
    </row>
    <row r="1156" spans="1:4" ht="19.95" customHeight="1" x14ac:dyDescent="0.25">
      <c r="A1156" s="9" t="s">
        <v>15</v>
      </c>
      <c r="B1156" s="10" t="s">
        <v>40</v>
      </c>
      <c r="C1156" s="10">
        <v>72.400000000000006</v>
      </c>
      <c r="D1156" s="10">
        <v>2001</v>
      </c>
    </row>
    <row r="1157" spans="1:4" ht="19.95" customHeight="1" x14ac:dyDescent="0.25">
      <c r="A1157" s="9" t="s">
        <v>16</v>
      </c>
      <c r="B1157" s="10" t="s">
        <v>40</v>
      </c>
      <c r="C1157" s="10">
        <v>78.7</v>
      </c>
      <c r="D1157" s="10">
        <v>2001</v>
      </c>
    </row>
    <row r="1158" spans="1:4" ht="19.95" customHeight="1" x14ac:dyDescent="0.25">
      <c r="A1158" s="9" t="s">
        <v>1</v>
      </c>
      <c r="B1158" s="10" t="s">
        <v>40</v>
      </c>
      <c r="C1158" s="10">
        <v>84.9</v>
      </c>
      <c r="D1158" s="10">
        <v>2001</v>
      </c>
    </row>
    <row r="1159" spans="1:4" ht="19.95" customHeight="1" x14ac:dyDescent="0.25">
      <c r="A1159" s="9" t="s">
        <v>17</v>
      </c>
      <c r="B1159" s="10" t="s">
        <v>40</v>
      </c>
      <c r="C1159" s="10">
        <v>96.4</v>
      </c>
      <c r="D1159" s="10">
        <v>2001</v>
      </c>
    </row>
    <row r="1160" spans="1:4" ht="19.95" customHeight="1" x14ac:dyDescent="0.25">
      <c r="A1160" s="9" t="s">
        <v>18</v>
      </c>
      <c r="B1160" s="10" t="s">
        <v>40</v>
      </c>
      <c r="C1160" s="10">
        <v>72.3</v>
      </c>
      <c r="D1160" s="10">
        <v>2001</v>
      </c>
    </row>
    <row r="1161" spans="1:4" ht="19.95" customHeight="1" x14ac:dyDescent="0.25">
      <c r="A1161" s="9" t="s">
        <v>19</v>
      </c>
      <c r="B1161" s="10" t="s">
        <v>40</v>
      </c>
      <c r="C1161" s="10">
        <v>61.7</v>
      </c>
      <c r="D1161" s="10">
        <v>2001</v>
      </c>
    </row>
    <row r="1162" spans="1:4" ht="19.95" customHeight="1" x14ac:dyDescent="0.25">
      <c r="A1162" s="9" t="s">
        <v>20</v>
      </c>
      <c r="B1162" s="10" t="s">
        <v>40</v>
      </c>
      <c r="C1162" s="10"/>
      <c r="D1162" s="10">
        <v>2001</v>
      </c>
    </row>
    <row r="1163" spans="1:4" ht="19.95" customHeight="1" x14ac:dyDescent="0.25">
      <c r="A1163" s="9" t="s">
        <v>21</v>
      </c>
      <c r="B1163" s="10" t="s">
        <v>40</v>
      </c>
      <c r="C1163" s="10">
        <v>117.8</v>
      </c>
      <c r="D1163" s="10">
        <v>2001</v>
      </c>
    </row>
    <row r="1164" spans="1:4" ht="19.95" customHeight="1" x14ac:dyDescent="0.25">
      <c r="A1164" s="9" t="s">
        <v>22</v>
      </c>
      <c r="B1164" s="10" t="s">
        <v>40</v>
      </c>
      <c r="C1164" s="10">
        <v>65.2</v>
      </c>
      <c r="D1164" s="10">
        <v>2001</v>
      </c>
    </row>
    <row r="1165" spans="1:4" ht="19.95" customHeight="1" x14ac:dyDescent="0.25">
      <c r="A1165" s="9" t="s">
        <v>23</v>
      </c>
      <c r="B1165" s="10" t="s">
        <v>40</v>
      </c>
      <c r="C1165" s="10">
        <v>94.4</v>
      </c>
      <c r="D1165" s="10">
        <v>2001</v>
      </c>
    </row>
    <row r="1166" spans="1:4" ht="19.95" customHeight="1" x14ac:dyDescent="0.25">
      <c r="A1166" s="9" t="s">
        <v>24</v>
      </c>
      <c r="B1166" s="10" t="s">
        <v>40</v>
      </c>
      <c r="C1166" s="10">
        <v>111.7</v>
      </c>
      <c r="D1166" s="10">
        <v>2001</v>
      </c>
    </row>
    <row r="1167" spans="1:4" ht="19.95" customHeight="1" x14ac:dyDescent="0.25">
      <c r="A1167" s="9" t="s">
        <v>25</v>
      </c>
      <c r="B1167" s="10" t="s">
        <v>40</v>
      </c>
      <c r="C1167" s="10">
        <v>23.8</v>
      </c>
      <c r="D1167" s="10">
        <v>2001</v>
      </c>
    </row>
    <row r="1168" spans="1:4" ht="19.95" customHeight="1" x14ac:dyDescent="0.25">
      <c r="A1168" s="9" t="s">
        <v>26</v>
      </c>
      <c r="B1168" s="10" t="s">
        <v>40</v>
      </c>
      <c r="C1168" s="10">
        <v>107.6</v>
      </c>
      <c r="D1168" s="10">
        <v>2001</v>
      </c>
    </row>
    <row r="1169" spans="1:4" ht="19.95" customHeight="1" x14ac:dyDescent="0.25">
      <c r="A1169" s="9" t="s">
        <v>28</v>
      </c>
      <c r="B1169" s="10" t="s">
        <v>40</v>
      </c>
      <c r="C1169" s="10">
        <v>64</v>
      </c>
      <c r="D1169" s="10">
        <v>2001</v>
      </c>
    </row>
    <row r="1170" spans="1:4" ht="19.95" customHeight="1" x14ac:dyDescent="0.25">
      <c r="A1170" s="9" t="s">
        <v>29</v>
      </c>
      <c r="B1170" s="10" t="s">
        <v>40</v>
      </c>
      <c r="C1170" s="10">
        <v>57.3</v>
      </c>
      <c r="D1170" s="10">
        <v>2001</v>
      </c>
    </row>
    <row r="1171" spans="1:4" ht="19.95" customHeight="1" x14ac:dyDescent="0.25">
      <c r="A1171" s="9" t="s">
        <v>30</v>
      </c>
      <c r="B1171" s="10" t="s">
        <v>40</v>
      </c>
      <c r="C1171" s="10">
        <v>29.9</v>
      </c>
      <c r="D1171" s="10">
        <v>2001</v>
      </c>
    </row>
    <row r="1172" spans="1:4" ht="19.95" customHeight="1" x14ac:dyDescent="0.25">
      <c r="A1172" s="9" t="s">
        <v>31</v>
      </c>
      <c r="B1172" s="10" t="s">
        <v>40</v>
      </c>
      <c r="C1172" s="10">
        <v>93.2</v>
      </c>
      <c r="D1172" s="10">
        <v>2001</v>
      </c>
    </row>
    <row r="1173" spans="1:4" ht="19.95" customHeight="1" x14ac:dyDescent="0.25">
      <c r="A1173" s="9" t="s">
        <v>32</v>
      </c>
      <c r="B1173" s="10" t="s">
        <v>40</v>
      </c>
      <c r="C1173" s="10">
        <v>101</v>
      </c>
      <c r="D1173" s="10">
        <v>2001</v>
      </c>
    </row>
    <row r="1174" spans="1:4" ht="19.95" customHeight="1" x14ac:dyDescent="0.25">
      <c r="A1174" s="9" t="s">
        <v>33</v>
      </c>
      <c r="B1174" s="10" t="s">
        <v>40</v>
      </c>
      <c r="C1174" s="10">
        <v>53.3</v>
      </c>
      <c r="D1174" s="10">
        <v>2001</v>
      </c>
    </row>
    <row r="1175" spans="1:4" ht="19.95" customHeight="1" x14ac:dyDescent="0.25">
      <c r="A1175" s="9" t="s">
        <v>34</v>
      </c>
      <c r="B1175" s="10" t="s">
        <v>40</v>
      </c>
      <c r="C1175" s="10">
        <v>13.8</v>
      </c>
      <c r="D1175" s="10">
        <v>2001</v>
      </c>
    </row>
    <row r="1176" spans="1:4" ht="19.95" customHeight="1" x14ac:dyDescent="0.25">
      <c r="A1176" s="9" t="s">
        <v>35</v>
      </c>
      <c r="B1176" s="10" t="s">
        <v>40</v>
      </c>
      <c r="C1176" s="10">
        <v>65.599999999999994</v>
      </c>
      <c r="D1176" s="10">
        <v>2001</v>
      </c>
    </row>
    <row r="1177" spans="1:4" ht="19.95" customHeight="1" x14ac:dyDescent="0.25">
      <c r="A1177" s="9" t="s">
        <v>36</v>
      </c>
      <c r="B1177" s="10" t="s">
        <v>40</v>
      </c>
      <c r="C1177" s="10">
        <v>75.099999999999994</v>
      </c>
      <c r="D1177" s="10">
        <v>2001</v>
      </c>
    </row>
    <row r="1178" spans="1:4" ht="19.95" customHeight="1" x14ac:dyDescent="0.25">
      <c r="A1178" s="9" t="s">
        <v>37</v>
      </c>
      <c r="B1178" s="10" t="s">
        <v>40</v>
      </c>
      <c r="C1178" s="10">
        <v>84.9</v>
      </c>
      <c r="D1178" s="10">
        <v>2001</v>
      </c>
    </row>
    <row r="1179" spans="1:4" ht="19.95" customHeight="1" x14ac:dyDescent="0.25">
      <c r="A1179" s="9" t="s">
        <v>38</v>
      </c>
      <c r="B1179" s="10" t="s">
        <v>40</v>
      </c>
      <c r="C1179" s="10">
        <v>91.6</v>
      </c>
      <c r="D1179" s="10">
        <v>2001</v>
      </c>
    </row>
    <row r="1180" spans="1:4" ht="19.95" customHeight="1" x14ac:dyDescent="0.25">
      <c r="A1180" s="9" t="s">
        <v>39</v>
      </c>
      <c r="B1180" s="10" t="s">
        <v>40</v>
      </c>
      <c r="C1180" s="10">
        <v>58</v>
      </c>
      <c r="D1180" s="10">
        <v>2001</v>
      </c>
    </row>
    <row r="1181" spans="1:4" ht="19.95" customHeight="1" x14ac:dyDescent="0.25">
      <c r="A1181" s="9" t="s">
        <v>9</v>
      </c>
      <c r="B1181" s="10" t="s">
        <v>40</v>
      </c>
      <c r="C1181" s="10">
        <v>89.6</v>
      </c>
      <c r="D1181" s="10">
        <v>2002</v>
      </c>
    </row>
    <row r="1182" spans="1:4" ht="19.95" customHeight="1" x14ac:dyDescent="0.25">
      <c r="A1182" s="9" t="s">
        <v>12</v>
      </c>
      <c r="B1182" s="10" t="s">
        <v>40</v>
      </c>
      <c r="C1182" s="10">
        <v>87.7</v>
      </c>
      <c r="D1182" s="10">
        <v>2002</v>
      </c>
    </row>
    <row r="1183" spans="1:4" ht="19.95" customHeight="1" x14ac:dyDescent="0.25">
      <c r="A1183" s="9" t="s">
        <v>13</v>
      </c>
      <c r="B1183" s="10" t="s">
        <v>40</v>
      </c>
      <c r="C1183" s="10">
        <v>98</v>
      </c>
      <c r="D1183" s="10">
        <v>2002</v>
      </c>
    </row>
    <row r="1184" spans="1:4" ht="19.95" customHeight="1" x14ac:dyDescent="0.25">
      <c r="A1184" s="9" t="s">
        <v>15</v>
      </c>
      <c r="B1184" s="10" t="s">
        <v>40</v>
      </c>
      <c r="C1184" s="10">
        <v>72.3</v>
      </c>
      <c r="D1184" s="10">
        <v>2002</v>
      </c>
    </row>
    <row r="1185" spans="1:4" ht="19.95" customHeight="1" x14ac:dyDescent="0.25">
      <c r="A1185" s="9" t="s">
        <v>16</v>
      </c>
      <c r="B1185" s="10" t="s">
        <v>40</v>
      </c>
      <c r="C1185" s="10">
        <v>76.900000000000006</v>
      </c>
      <c r="D1185" s="10">
        <v>2002</v>
      </c>
    </row>
    <row r="1186" spans="1:4" ht="19.95" customHeight="1" x14ac:dyDescent="0.25">
      <c r="A1186" s="9" t="s">
        <v>1</v>
      </c>
      <c r="B1186" s="10" t="s">
        <v>40</v>
      </c>
      <c r="C1186" s="10">
        <v>81.5</v>
      </c>
      <c r="D1186" s="10">
        <v>2002</v>
      </c>
    </row>
    <row r="1187" spans="1:4" ht="19.95" customHeight="1" x14ac:dyDescent="0.25">
      <c r="A1187" s="9" t="s">
        <v>17</v>
      </c>
      <c r="B1187" s="10" t="s">
        <v>40</v>
      </c>
      <c r="C1187" s="10">
        <v>92.4</v>
      </c>
      <c r="D1187" s="10">
        <v>2002</v>
      </c>
    </row>
    <row r="1188" spans="1:4" ht="19.95" customHeight="1" x14ac:dyDescent="0.25">
      <c r="A1188" s="9" t="s">
        <v>18</v>
      </c>
      <c r="B1188" s="10" t="s">
        <v>40</v>
      </c>
      <c r="C1188" s="10">
        <v>70.400000000000006</v>
      </c>
      <c r="D1188" s="10">
        <v>2002</v>
      </c>
    </row>
    <row r="1189" spans="1:4" ht="19.95" customHeight="1" x14ac:dyDescent="0.25">
      <c r="A1189" s="9" t="s">
        <v>19</v>
      </c>
      <c r="B1189" s="10" t="s">
        <v>40</v>
      </c>
      <c r="C1189" s="10">
        <v>59.1</v>
      </c>
      <c r="D1189" s="10">
        <v>2002</v>
      </c>
    </row>
    <row r="1190" spans="1:4" ht="19.95" customHeight="1" x14ac:dyDescent="0.25">
      <c r="A1190" s="9" t="s">
        <v>20</v>
      </c>
      <c r="B1190" s="10" t="s">
        <v>40</v>
      </c>
      <c r="C1190" s="10"/>
      <c r="D1190" s="10">
        <v>2002</v>
      </c>
    </row>
    <row r="1191" spans="1:4" ht="19.95" customHeight="1" x14ac:dyDescent="0.25">
      <c r="A1191" s="9" t="s">
        <v>21</v>
      </c>
      <c r="B1191" s="10" t="s">
        <v>40</v>
      </c>
      <c r="C1191" s="10">
        <v>110.3</v>
      </c>
      <c r="D1191" s="10">
        <v>2002</v>
      </c>
    </row>
    <row r="1192" spans="1:4" ht="19.95" customHeight="1" x14ac:dyDescent="0.25">
      <c r="A1192" s="9" t="s">
        <v>22</v>
      </c>
      <c r="B1192" s="10" t="s">
        <v>40</v>
      </c>
      <c r="C1192" s="10">
        <v>62.1</v>
      </c>
      <c r="D1192" s="10">
        <v>2002</v>
      </c>
    </row>
    <row r="1193" spans="1:4" ht="19.95" customHeight="1" x14ac:dyDescent="0.25">
      <c r="A1193" s="9" t="s">
        <v>23</v>
      </c>
      <c r="B1193" s="10" t="s">
        <v>40</v>
      </c>
      <c r="C1193" s="10">
        <v>87.1</v>
      </c>
      <c r="D1193" s="10">
        <v>2002</v>
      </c>
    </row>
    <row r="1194" spans="1:4" ht="19.95" customHeight="1" x14ac:dyDescent="0.25">
      <c r="A1194" s="9" t="s">
        <v>24</v>
      </c>
      <c r="B1194" s="10" t="s">
        <v>40</v>
      </c>
      <c r="C1194" s="10">
        <v>107.7</v>
      </c>
      <c r="D1194" s="10">
        <v>2002</v>
      </c>
    </row>
    <row r="1195" spans="1:4" ht="19.95" customHeight="1" x14ac:dyDescent="0.25">
      <c r="A1195" s="9" t="s">
        <v>25</v>
      </c>
      <c r="B1195" s="10" t="s">
        <v>40</v>
      </c>
      <c r="C1195" s="10">
        <v>21.6</v>
      </c>
      <c r="D1195" s="10">
        <v>2002</v>
      </c>
    </row>
    <row r="1196" spans="1:4" ht="19.95" customHeight="1" x14ac:dyDescent="0.25">
      <c r="A1196" s="9" t="s">
        <v>26</v>
      </c>
      <c r="B1196" s="10" t="s">
        <v>40</v>
      </c>
      <c r="C1196" s="10">
        <v>102.3</v>
      </c>
      <c r="D1196" s="10">
        <v>2002</v>
      </c>
    </row>
    <row r="1197" spans="1:4" ht="19.95" customHeight="1" x14ac:dyDescent="0.25">
      <c r="A1197" s="9" t="s">
        <v>28</v>
      </c>
      <c r="B1197" s="10" t="s">
        <v>40</v>
      </c>
      <c r="C1197" s="10">
        <v>62.4</v>
      </c>
      <c r="D1197" s="10">
        <v>2002</v>
      </c>
    </row>
    <row r="1198" spans="1:4" ht="19.95" customHeight="1" x14ac:dyDescent="0.25">
      <c r="A1198" s="9" t="s">
        <v>29</v>
      </c>
      <c r="B1198" s="10" t="s">
        <v>40</v>
      </c>
      <c r="C1198" s="10">
        <v>54.6</v>
      </c>
      <c r="D1198" s="10">
        <v>2002</v>
      </c>
    </row>
    <row r="1199" spans="1:4" ht="19.95" customHeight="1" x14ac:dyDescent="0.25">
      <c r="A1199" s="9" t="s">
        <v>30</v>
      </c>
      <c r="B1199" s="10" t="s">
        <v>40</v>
      </c>
      <c r="C1199" s="10">
        <v>28.4</v>
      </c>
      <c r="D1199" s="10">
        <v>2002</v>
      </c>
    </row>
    <row r="1200" spans="1:4" ht="19.95" customHeight="1" x14ac:dyDescent="0.25">
      <c r="A1200" s="9" t="s">
        <v>31</v>
      </c>
      <c r="B1200" s="10" t="s">
        <v>40</v>
      </c>
      <c r="C1200" s="10">
        <v>89.6</v>
      </c>
      <c r="D1200" s="10">
        <v>2002</v>
      </c>
    </row>
    <row r="1201" spans="1:4" ht="19.95" customHeight="1" x14ac:dyDescent="0.25">
      <c r="A1201" s="9" t="s">
        <v>32</v>
      </c>
      <c r="B1201" s="10" t="s">
        <v>40</v>
      </c>
      <c r="C1201" s="10">
        <v>93.2</v>
      </c>
      <c r="D1201" s="10">
        <v>2002</v>
      </c>
    </row>
    <row r="1202" spans="1:4" ht="19.95" customHeight="1" x14ac:dyDescent="0.25">
      <c r="A1202" s="9" t="s">
        <v>33</v>
      </c>
      <c r="B1202" s="10" t="s">
        <v>40</v>
      </c>
      <c r="C1202" s="10">
        <v>50.5</v>
      </c>
      <c r="D1202" s="10">
        <v>2002</v>
      </c>
    </row>
    <row r="1203" spans="1:4" ht="19.95" customHeight="1" x14ac:dyDescent="0.25">
      <c r="A1203" s="9" t="s">
        <v>34</v>
      </c>
      <c r="B1203" s="10" t="s">
        <v>40</v>
      </c>
      <c r="C1203" s="10">
        <v>13.4</v>
      </c>
      <c r="D1203" s="10">
        <v>2002</v>
      </c>
    </row>
    <row r="1204" spans="1:4" ht="19.95" customHeight="1" x14ac:dyDescent="0.25">
      <c r="A1204" s="9" t="s">
        <v>35</v>
      </c>
      <c r="B1204" s="10" t="s">
        <v>40</v>
      </c>
      <c r="C1204" s="10">
        <v>60.8</v>
      </c>
      <c r="D1204" s="10">
        <v>2002</v>
      </c>
    </row>
    <row r="1205" spans="1:4" ht="19.95" customHeight="1" x14ac:dyDescent="0.25">
      <c r="A1205" s="9" t="s">
        <v>36</v>
      </c>
      <c r="B1205" s="10" t="s">
        <v>40</v>
      </c>
      <c r="C1205" s="10">
        <v>70.599999999999994</v>
      </c>
      <c r="D1205" s="10">
        <v>2002</v>
      </c>
    </row>
    <row r="1206" spans="1:4" ht="19.95" customHeight="1" x14ac:dyDescent="0.25">
      <c r="A1206" s="9" t="s">
        <v>37</v>
      </c>
      <c r="B1206" s="10" t="s">
        <v>40</v>
      </c>
      <c r="C1206" s="10">
        <v>80.900000000000006</v>
      </c>
      <c r="D1206" s="10">
        <v>2002</v>
      </c>
    </row>
    <row r="1207" spans="1:4" ht="19.95" customHeight="1" x14ac:dyDescent="0.25">
      <c r="A1207" s="9" t="s">
        <v>38</v>
      </c>
      <c r="B1207" s="10" t="s">
        <v>40</v>
      </c>
      <c r="C1207" s="10">
        <v>85.3</v>
      </c>
      <c r="D1207" s="10">
        <v>2002</v>
      </c>
    </row>
    <row r="1208" spans="1:4" ht="19.95" customHeight="1" x14ac:dyDescent="0.25">
      <c r="A1208" s="9" t="s">
        <v>39</v>
      </c>
      <c r="B1208" s="10" t="s">
        <v>40</v>
      </c>
      <c r="C1208" s="10">
        <v>57.9</v>
      </c>
      <c r="D1208" s="10">
        <v>2002</v>
      </c>
    </row>
    <row r="1209" spans="1:4" ht="19.95" customHeight="1" x14ac:dyDescent="0.25">
      <c r="A1209" s="9" t="s">
        <v>9</v>
      </c>
      <c r="B1209" s="10" t="s">
        <v>40</v>
      </c>
      <c r="C1209" s="10">
        <v>86.3</v>
      </c>
      <c r="D1209" s="10">
        <v>2003</v>
      </c>
    </row>
    <row r="1210" spans="1:4" ht="19.95" customHeight="1" x14ac:dyDescent="0.25">
      <c r="A1210" s="9" t="s">
        <v>12</v>
      </c>
      <c r="B1210" s="10" t="s">
        <v>40</v>
      </c>
      <c r="C1210" s="10">
        <v>85.5</v>
      </c>
      <c r="D1210" s="10">
        <v>2003</v>
      </c>
    </row>
    <row r="1211" spans="1:4" ht="19.95" customHeight="1" x14ac:dyDescent="0.25">
      <c r="A1211" s="9" t="s">
        <v>13</v>
      </c>
      <c r="B1211" s="10" t="s">
        <v>40</v>
      </c>
      <c r="C1211" s="10">
        <v>96.6</v>
      </c>
      <c r="D1211" s="10">
        <v>2003</v>
      </c>
    </row>
    <row r="1212" spans="1:4" ht="19.95" customHeight="1" x14ac:dyDescent="0.25">
      <c r="A1212" s="9" t="s">
        <v>15</v>
      </c>
      <c r="B1212" s="10" t="s">
        <v>40</v>
      </c>
      <c r="C1212" s="10">
        <v>72</v>
      </c>
      <c r="D1212" s="10">
        <v>2003</v>
      </c>
    </row>
    <row r="1213" spans="1:4" ht="19.95" customHeight="1" x14ac:dyDescent="0.25">
      <c r="A1213" s="9" t="s">
        <v>16</v>
      </c>
      <c r="B1213" s="10" t="s">
        <v>40</v>
      </c>
      <c r="C1213" s="10">
        <v>75.2</v>
      </c>
      <c r="D1213" s="10">
        <v>2003</v>
      </c>
    </row>
    <row r="1214" spans="1:4" ht="19.95" customHeight="1" x14ac:dyDescent="0.25">
      <c r="A1214" s="9" t="s">
        <v>1</v>
      </c>
      <c r="B1214" s="10" t="s">
        <v>40</v>
      </c>
      <c r="C1214" s="10">
        <v>77.900000000000006</v>
      </c>
      <c r="D1214" s="10">
        <v>2003</v>
      </c>
    </row>
    <row r="1215" spans="1:4" ht="19.95" customHeight="1" x14ac:dyDescent="0.25">
      <c r="A1215" s="9" t="s">
        <v>17</v>
      </c>
      <c r="B1215" s="10" t="s">
        <v>40</v>
      </c>
      <c r="C1215" s="10">
        <v>88.7</v>
      </c>
      <c r="D1215" s="10">
        <v>2003</v>
      </c>
    </row>
    <row r="1216" spans="1:4" ht="19.95" customHeight="1" x14ac:dyDescent="0.25">
      <c r="A1216" s="9" t="s">
        <v>18</v>
      </c>
      <c r="B1216" s="10" t="s">
        <v>40</v>
      </c>
      <c r="C1216" s="10">
        <v>68.7</v>
      </c>
      <c r="D1216" s="10">
        <v>2003</v>
      </c>
    </row>
    <row r="1217" spans="1:4" ht="19.95" customHeight="1" x14ac:dyDescent="0.25">
      <c r="A1217" s="9" t="s">
        <v>19</v>
      </c>
      <c r="B1217" s="10" t="s">
        <v>40</v>
      </c>
      <c r="C1217" s="10">
        <v>56.4</v>
      </c>
      <c r="D1217" s="10">
        <v>2003</v>
      </c>
    </row>
    <row r="1218" spans="1:4" ht="19.95" customHeight="1" x14ac:dyDescent="0.25">
      <c r="A1218" s="9" t="s">
        <v>20</v>
      </c>
      <c r="B1218" s="10" t="s">
        <v>40</v>
      </c>
      <c r="C1218" s="10"/>
      <c r="D1218" s="10">
        <v>2003</v>
      </c>
    </row>
    <row r="1219" spans="1:4" ht="19.95" customHeight="1" x14ac:dyDescent="0.25">
      <c r="A1219" s="9" t="s">
        <v>21</v>
      </c>
      <c r="B1219" s="10" t="s">
        <v>40</v>
      </c>
      <c r="C1219" s="10">
        <v>103</v>
      </c>
      <c r="D1219" s="10">
        <v>2003</v>
      </c>
    </row>
    <row r="1220" spans="1:4" ht="19.95" customHeight="1" x14ac:dyDescent="0.25">
      <c r="A1220" s="9" t="s">
        <v>22</v>
      </c>
      <c r="B1220" s="10" t="s">
        <v>40</v>
      </c>
      <c r="C1220" s="10">
        <v>59.3</v>
      </c>
      <c r="D1220" s="10">
        <v>2003</v>
      </c>
    </row>
    <row r="1221" spans="1:4" ht="19.95" customHeight="1" x14ac:dyDescent="0.25">
      <c r="A1221" s="9" t="s">
        <v>23</v>
      </c>
      <c r="B1221" s="10" t="s">
        <v>40</v>
      </c>
      <c r="C1221" s="10">
        <v>80.2</v>
      </c>
      <c r="D1221" s="10">
        <v>2003</v>
      </c>
    </row>
    <row r="1222" spans="1:4" ht="19.95" customHeight="1" x14ac:dyDescent="0.25">
      <c r="A1222" s="9" t="s">
        <v>24</v>
      </c>
      <c r="B1222" s="10" t="s">
        <v>40</v>
      </c>
      <c r="C1222" s="10">
        <v>103.3</v>
      </c>
      <c r="D1222" s="10">
        <v>2003</v>
      </c>
    </row>
    <row r="1223" spans="1:4" ht="19.95" customHeight="1" x14ac:dyDescent="0.25">
      <c r="A1223" s="9" t="s">
        <v>25</v>
      </c>
      <c r="B1223" s="10" t="s">
        <v>40</v>
      </c>
      <c r="C1223" s="10">
        <v>19.600000000000001</v>
      </c>
      <c r="D1223" s="10">
        <v>2003</v>
      </c>
    </row>
    <row r="1224" spans="1:4" ht="19.95" customHeight="1" x14ac:dyDescent="0.25">
      <c r="A1224" s="9" t="s">
        <v>26</v>
      </c>
      <c r="B1224" s="10" t="s">
        <v>40</v>
      </c>
      <c r="C1224" s="10">
        <v>97.4</v>
      </c>
      <c r="D1224" s="10">
        <v>2003</v>
      </c>
    </row>
    <row r="1225" spans="1:4" ht="19.95" customHeight="1" x14ac:dyDescent="0.25">
      <c r="A1225" s="9" t="s">
        <v>28</v>
      </c>
      <c r="B1225" s="10" t="s">
        <v>40</v>
      </c>
      <c r="C1225" s="10">
        <v>60.8</v>
      </c>
      <c r="D1225" s="10">
        <v>2003</v>
      </c>
    </row>
    <row r="1226" spans="1:4" ht="19.95" customHeight="1" x14ac:dyDescent="0.25">
      <c r="A1226" s="9" t="s">
        <v>29</v>
      </c>
      <c r="B1226" s="10" t="s">
        <v>40</v>
      </c>
      <c r="C1226" s="10">
        <v>52.1</v>
      </c>
      <c r="D1226" s="10">
        <v>2003</v>
      </c>
    </row>
    <row r="1227" spans="1:4" ht="19.95" customHeight="1" x14ac:dyDescent="0.25">
      <c r="A1227" s="9" t="s">
        <v>30</v>
      </c>
      <c r="B1227" s="10" t="s">
        <v>40</v>
      </c>
      <c r="C1227" s="10">
        <v>27</v>
      </c>
      <c r="D1227" s="10">
        <v>2003</v>
      </c>
    </row>
    <row r="1228" spans="1:4" ht="19.95" customHeight="1" x14ac:dyDescent="0.25">
      <c r="A1228" s="9" t="s">
        <v>31</v>
      </c>
      <c r="B1228" s="10" t="s">
        <v>40</v>
      </c>
      <c r="C1228" s="10">
        <v>85.7</v>
      </c>
      <c r="D1228" s="10">
        <v>2003</v>
      </c>
    </row>
    <row r="1229" spans="1:4" ht="19.95" customHeight="1" x14ac:dyDescent="0.25">
      <c r="A1229" s="9" t="s">
        <v>32</v>
      </c>
      <c r="B1229" s="10" t="s">
        <v>40</v>
      </c>
      <c r="C1229" s="10">
        <v>85</v>
      </c>
      <c r="D1229" s="10">
        <v>2003</v>
      </c>
    </row>
    <row r="1230" spans="1:4" ht="19.95" customHeight="1" x14ac:dyDescent="0.25">
      <c r="A1230" s="9" t="s">
        <v>33</v>
      </c>
      <c r="B1230" s="10" t="s">
        <v>40</v>
      </c>
      <c r="C1230" s="10">
        <v>47.8</v>
      </c>
      <c r="D1230" s="10">
        <v>2003</v>
      </c>
    </row>
    <row r="1231" spans="1:4" ht="19.95" customHeight="1" x14ac:dyDescent="0.25">
      <c r="A1231" s="9" t="s">
        <v>34</v>
      </c>
      <c r="B1231" s="10" t="s">
        <v>40</v>
      </c>
      <c r="C1231" s="10">
        <v>13.1</v>
      </c>
      <c r="D1231" s="10">
        <v>2003</v>
      </c>
    </row>
    <row r="1232" spans="1:4" ht="19.95" customHeight="1" x14ac:dyDescent="0.25">
      <c r="A1232" s="9" t="s">
        <v>35</v>
      </c>
      <c r="B1232" s="10" t="s">
        <v>40</v>
      </c>
      <c r="C1232" s="10">
        <v>56.3</v>
      </c>
      <c r="D1232" s="10">
        <v>2003</v>
      </c>
    </row>
    <row r="1233" spans="1:4" ht="19.95" customHeight="1" x14ac:dyDescent="0.25">
      <c r="A1233" s="9" t="s">
        <v>36</v>
      </c>
      <c r="B1233" s="10" t="s">
        <v>40</v>
      </c>
      <c r="C1233" s="10">
        <v>66.5</v>
      </c>
      <c r="D1233" s="10">
        <v>2003</v>
      </c>
    </row>
    <row r="1234" spans="1:4" ht="19.95" customHeight="1" x14ac:dyDescent="0.25">
      <c r="A1234" s="9" t="s">
        <v>37</v>
      </c>
      <c r="B1234" s="10" t="s">
        <v>40</v>
      </c>
      <c r="C1234" s="10">
        <v>76.7</v>
      </c>
      <c r="D1234" s="10">
        <v>2003</v>
      </c>
    </row>
    <row r="1235" spans="1:4" ht="19.95" customHeight="1" x14ac:dyDescent="0.25">
      <c r="A1235" s="9" t="s">
        <v>38</v>
      </c>
      <c r="B1235" s="10" t="s">
        <v>40</v>
      </c>
      <c r="C1235" s="10">
        <v>79</v>
      </c>
      <c r="D1235" s="10">
        <v>2003</v>
      </c>
    </row>
    <row r="1236" spans="1:4" ht="19.95" customHeight="1" x14ac:dyDescent="0.25">
      <c r="A1236" s="9" t="s">
        <v>39</v>
      </c>
      <c r="B1236" s="10" t="s">
        <v>40</v>
      </c>
      <c r="C1236" s="10">
        <v>57.7</v>
      </c>
      <c r="D1236" s="10">
        <v>2003</v>
      </c>
    </row>
    <row r="1237" spans="1:4" ht="19.95" customHeight="1" x14ac:dyDescent="0.25">
      <c r="A1237" s="9" t="s">
        <v>9</v>
      </c>
      <c r="B1237" s="10" t="s">
        <v>40</v>
      </c>
      <c r="C1237" s="10">
        <v>82.6</v>
      </c>
      <c r="D1237" s="10">
        <v>2004</v>
      </c>
    </row>
    <row r="1238" spans="1:4" ht="19.95" customHeight="1" x14ac:dyDescent="0.25">
      <c r="A1238" s="9" t="s">
        <v>12</v>
      </c>
      <c r="B1238" s="10" t="s">
        <v>40</v>
      </c>
      <c r="C1238" s="10">
        <v>83.3</v>
      </c>
      <c r="D1238" s="10">
        <v>2004</v>
      </c>
    </row>
    <row r="1239" spans="1:4" ht="19.95" customHeight="1" x14ac:dyDescent="0.25">
      <c r="A1239" s="9" t="s">
        <v>13</v>
      </c>
      <c r="B1239" s="10" t="s">
        <v>40</v>
      </c>
      <c r="C1239" s="10">
        <v>95.1</v>
      </c>
      <c r="D1239" s="10">
        <v>2004</v>
      </c>
    </row>
    <row r="1240" spans="1:4" ht="19.95" customHeight="1" x14ac:dyDescent="0.25">
      <c r="A1240" s="9" t="s">
        <v>15</v>
      </c>
      <c r="B1240" s="10" t="s">
        <v>40</v>
      </c>
      <c r="C1240" s="10">
        <v>71.400000000000006</v>
      </c>
      <c r="D1240" s="10">
        <v>2004</v>
      </c>
    </row>
    <row r="1241" spans="1:4" ht="19.95" customHeight="1" x14ac:dyDescent="0.25">
      <c r="A1241" s="9" t="s">
        <v>16</v>
      </c>
      <c r="B1241" s="10" t="s">
        <v>40</v>
      </c>
      <c r="C1241" s="10">
        <v>73.400000000000006</v>
      </c>
      <c r="D1241" s="10">
        <v>2004</v>
      </c>
    </row>
    <row r="1242" spans="1:4" ht="19.95" customHeight="1" x14ac:dyDescent="0.25">
      <c r="A1242" s="9" t="s">
        <v>1</v>
      </c>
      <c r="B1242" s="10" t="s">
        <v>40</v>
      </c>
      <c r="C1242" s="10">
        <v>74.3</v>
      </c>
      <c r="D1242" s="10">
        <v>2004</v>
      </c>
    </row>
    <row r="1243" spans="1:4" ht="19.95" customHeight="1" x14ac:dyDescent="0.25">
      <c r="A1243" s="9" t="s">
        <v>17</v>
      </c>
      <c r="B1243" s="10" t="s">
        <v>40</v>
      </c>
      <c r="C1243" s="10">
        <v>85.2</v>
      </c>
      <c r="D1243" s="10">
        <v>2004</v>
      </c>
    </row>
    <row r="1244" spans="1:4" ht="19.95" customHeight="1" x14ac:dyDescent="0.25">
      <c r="A1244" s="9" t="s">
        <v>18</v>
      </c>
      <c r="B1244" s="10" t="s">
        <v>40</v>
      </c>
      <c r="C1244" s="10">
        <v>67.2</v>
      </c>
      <c r="D1244" s="10">
        <v>2004</v>
      </c>
    </row>
    <row r="1245" spans="1:4" ht="19.95" customHeight="1" x14ac:dyDescent="0.25">
      <c r="A1245" s="9" t="s">
        <v>19</v>
      </c>
      <c r="B1245" s="10" t="s">
        <v>40</v>
      </c>
      <c r="C1245" s="10">
        <v>53.5</v>
      </c>
      <c r="D1245" s="10">
        <v>2004</v>
      </c>
    </row>
    <row r="1246" spans="1:4" ht="19.95" customHeight="1" x14ac:dyDescent="0.25">
      <c r="A1246" s="9" t="s">
        <v>20</v>
      </c>
      <c r="B1246" s="10" t="s">
        <v>40</v>
      </c>
      <c r="C1246" s="10"/>
      <c r="D1246" s="10">
        <v>2004</v>
      </c>
    </row>
    <row r="1247" spans="1:4" ht="19.95" customHeight="1" x14ac:dyDescent="0.25">
      <c r="A1247" s="9" t="s">
        <v>21</v>
      </c>
      <c r="B1247" s="10" t="s">
        <v>40</v>
      </c>
      <c r="C1247" s="10">
        <v>96</v>
      </c>
      <c r="D1247" s="10">
        <v>2004</v>
      </c>
    </row>
    <row r="1248" spans="1:4" ht="19.95" customHeight="1" x14ac:dyDescent="0.25">
      <c r="A1248" s="9" t="s">
        <v>22</v>
      </c>
      <c r="B1248" s="10" t="s">
        <v>40</v>
      </c>
      <c r="C1248" s="10">
        <v>56.6</v>
      </c>
      <c r="D1248" s="10">
        <v>2004</v>
      </c>
    </row>
    <row r="1249" spans="1:4" ht="19.95" customHeight="1" x14ac:dyDescent="0.25">
      <c r="A1249" s="9" t="s">
        <v>23</v>
      </c>
      <c r="B1249" s="10" t="s">
        <v>40</v>
      </c>
      <c r="C1249" s="10">
        <v>74</v>
      </c>
      <c r="D1249" s="10">
        <v>2004</v>
      </c>
    </row>
    <row r="1250" spans="1:4" ht="19.95" customHeight="1" x14ac:dyDescent="0.25">
      <c r="A1250" s="9" t="s">
        <v>24</v>
      </c>
      <c r="B1250" s="10" t="s">
        <v>40</v>
      </c>
      <c r="C1250" s="10">
        <v>98.9</v>
      </c>
      <c r="D1250" s="10">
        <v>2004</v>
      </c>
    </row>
    <row r="1251" spans="1:4" ht="19.95" customHeight="1" x14ac:dyDescent="0.25">
      <c r="A1251" s="9" t="s">
        <v>25</v>
      </c>
      <c r="B1251" s="10" t="s">
        <v>40</v>
      </c>
      <c r="C1251" s="10">
        <v>18</v>
      </c>
      <c r="D1251" s="10">
        <v>2004</v>
      </c>
    </row>
    <row r="1252" spans="1:4" ht="19.95" customHeight="1" x14ac:dyDescent="0.25">
      <c r="A1252" s="9" t="s">
        <v>26</v>
      </c>
      <c r="B1252" s="10" t="s">
        <v>40</v>
      </c>
      <c r="C1252" s="10">
        <v>92.9</v>
      </c>
      <c r="D1252" s="10">
        <v>2004</v>
      </c>
    </row>
    <row r="1253" spans="1:4" ht="19.95" customHeight="1" x14ac:dyDescent="0.25">
      <c r="A1253" s="9" t="s">
        <v>28</v>
      </c>
      <c r="B1253" s="10" t="s">
        <v>40</v>
      </c>
      <c r="C1253" s="10">
        <v>59.2</v>
      </c>
      <c r="D1253" s="10">
        <v>2004</v>
      </c>
    </row>
    <row r="1254" spans="1:4" ht="19.95" customHeight="1" x14ac:dyDescent="0.25">
      <c r="A1254" s="9" t="s">
        <v>29</v>
      </c>
      <c r="B1254" s="10" t="s">
        <v>40</v>
      </c>
      <c r="C1254" s="10">
        <v>49.6</v>
      </c>
      <c r="D1254" s="10">
        <v>2004</v>
      </c>
    </row>
    <row r="1255" spans="1:4" ht="19.95" customHeight="1" x14ac:dyDescent="0.25">
      <c r="A1255" s="9" t="s">
        <v>30</v>
      </c>
      <c r="B1255" s="10" t="s">
        <v>40</v>
      </c>
      <c r="C1255" s="10">
        <v>25.7</v>
      </c>
      <c r="D1255" s="10">
        <v>2004</v>
      </c>
    </row>
    <row r="1256" spans="1:4" ht="19.95" customHeight="1" x14ac:dyDescent="0.25">
      <c r="A1256" s="9" t="s">
        <v>31</v>
      </c>
      <c r="B1256" s="10" t="s">
        <v>40</v>
      </c>
      <c r="C1256" s="10">
        <v>81.900000000000006</v>
      </c>
      <c r="D1256" s="10">
        <v>2004</v>
      </c>
    </row>
    <row r="1257" spans="1:4" ht="19.95" customHeight="1" x14ac:dyDescent="0.25">
      <c r="A1257" s="9" t="s">
        <v>32</v>
      </c>
      <c r="B1257" s="10" t="s">
        <v>40</v>
      </c>
      <c r="C1257" s="10">
        <v>76.599999999999994</v>
      </c>
      <c r="D1257" s="10">
        <v>2004</v>
      </c>
    </row>
    <row r="1258" spans="1:4" ht="19.95" customHeight="1" x14ac:dyDescent="0.25">
      <c r="A1258" s="9" t="s">
        <v>33</v>
      </c>
      <c r="B1258" s="10" t="s">
        <v>40</v>
      </c>
      <c r="C1258" s="10">
        <v>45.4</v>
      </c>
      <c r="D1258" s="10">
        <v>2004</v>
      </c>
    </row>
    <row r="1259" spans="1:4" ht="19.95" customHeight="1" x14ac:dyDescent="0.25">
      <c r="A1259" s="9" t="s">
        <v>34</v>
      </c>
      <c r="B1259" s="10" t="s">
        <v>40</v>
      </c>
      <c r="C1259" s="10">
        <v>15.5</v>
      </c>
      <c r="D1259" s="10">
        <v>2004</v>
      </c>
    </row>
    <row r="1260" spans="1:4" ht="19.95" customHeight="1" x14ac:dyDescent="0.25">
      <c r="A1260" s="9" t="s">
        <v>35</v>
      </c>
      <c r="B1260" s="10" t="s">
        <v>40</v>
      </c>
      <c r="C1260" s="10">
        <v>52.2</v>
      </c>
      <c r="D1260" s="10">
        <v>2004</v>
      </c>
    </row>
    <row r="1261" spans="1:4" ht="19.95" customHeight="1" x14ac:dyDescent="0.25">
      <c r="A1261" s="9" t="s">
        <v>36</v>
      </c>
      <c r="B1261" s="10" t="s">
        <v>40</v>
      </c>
      <c r="C1261" s="10">
        <v>62.7</v>
      </c>
      <c r="D1261" s="10">
        <v>2004</v>
      </c>
    </row>
    <row r="1262" spans="1:4" ht="19.95" customHeight="1" x14ac:dyDescent="0.25">
      <c r="A1262" s="9" t="s">
        <v>37</v>
      </c>
      <c r="B1262" s="10" t="s">
        <v>40</v>
      </c>
      <c r="C1262" s="10">
        <v>72.3</v>
      </c>
      <c r="D1262" s="10">
        <v>2004</v>
      </c>
    </row>
    <row r="1263" spans="1:4" ht="19.95" customHeight="1" x14ac:dyDescent="0.25">
      <c r="A1263" s="9" t="s">
        <v>38</v>
      </c>
      <c r="B1263" s="10" t="s">
        <v>40</v>
      </c>
      <c r="C1263" s="10">
        <v>72.7</v>
      </c>
      <c r="D1263" s="10">
        <v>2004</v>
      </c>
    </row>
    <row r="1264" spans="1:4" ht="19.95" customHeight="1" x14ac:dyDescent="0.25">
      <c r="A1264" s="9" t="s">
        <v>39</v>
      </c>
      <c r="B1264" s="10" t="s">
        <v>40</v>
      </c>
      <c r="C1264" s="10">
        <v>58.4</v>
      </c>
      <c r="D1264" s="10">
        <v>2004</v>
      </c>
    </row>
    <row r="1265" spans="1:4" ht="19.95" customHeight="1" x14ac:dyDescent="0.25">
      <c r="A1265" s="9" t="s">
        <v>9</v>
      </c>
      <c r="B1265" s="10" t="s">
        <v>40</v>
      </c>
      <c r="C1265" s="10">
        <v>78.7</v>
      </c>
      <c r="D1265" s="10">
        <v>2005</v>
      </c>
    </row>
    <row r="1266" spans="1:4" ht="19.95" customHeight="1" x14ac:dyDescent="0.25">
      <c r="A1266" s="9" t="s">
        <v>12</v>
      </c>
      <c r="B1266" s="10" t="s">
        <v>40</v>
      </c>
      <c r="C1266" s="10">
        <v>81.2</v>
      </c>
      <c r="D1266" s="10">
        <v>2005</v>
      </c>
    </row>
    <row r="1267" spans="1:4" ht="19.95" customHeight="1" x14ac:dyDescent="0.25">
      <c r="A1267" s="9" t="s">
        <v>13</v>
      </c>
      <c r="B1267" s="10" t="s">
        <v>40</v>
      </c>
      <c r="C1267" s="10">
        <v>93.6</v>
      </c>
      <c r="D1267" s="10">
        <v>2005</v>
      </c>
    </row>
    <row r="1268" spans="1:4" ht="19.95" customHeight="1" x14ac:dyDescent="0.25">
      <c r="A1268" s="9" t="s">
        <v>15</v>
      </c>
      <c r="B1268" s="10" t="s">
        <v>40</v>
      </c>
      <c r="C1268" s="10">
        <v>70.3</v>
      </c>
      <c r="D1268" s="10">
        <v>2005</v>
      </c>
    </row>
    <row r="1269" spans="1:4" ht="19.95" customHeight="1" x14ac:dyDescent="0.25">
      <c r="A1269" s="9" t="s">
        <v>16</v>
      </c>
      <c r="B1269" s="10" t="s">
        <v>40</v>
      </c>
      <c r="C1269" s="10">
        <v>71.7</v>
      </c>
      <c r="D1269" s="10">
        <v>2005</v>
      </c>
    </row>
    <row r="1270" spans="1:4" ht="19.95" customHeight="1" x14ac:dyDescent="0.25">
      <c r="A1270" s="9" t="s">
        <v>1</v>
      </c>
      <c r="B1270" s="10" t="s">
        <v>40</v>
      </c>
      <c r="C1270" s="10">
        <v>70.7</v>
      </c>
      <c r="D1270" s="10">
        <v>2005</v>
      </c>
    </row>
    <row r="1271" spans="1:4" ht="19.95" customHeight="1" x14ac:dyDescent="0.25">
      <c r="A1271" s="9" t="s">
        <v>17</v>
      </c>
      <c r="B1271" s="10" t="s">
        <v>40</v>
      </c>
      <c r="C1271" s="10">
        <v>82</v>
      </c>
      <c r="D1271" s="10">
        <v>2005</v>
      </c>
    </row>
    <row r="1272" spans="1:4" ht="19.95" customHeight="1" x14ac:dyDescent="0.25">
      <c r="A1272" s="9" t="s">
        <v>18</v>
      </c>
      <c r="B1272" s="10" t="s">
        <v>40</v>
      </c>
      <c r="C1272" s="10">
        <v>65.8</v>
      </c>
      <c r="D1272" s="10">
        <v>2005</v>
      </c>
    </row>
    <row r="1273" spans="1:4" ht="19.95" customHeight="1" x14ac:dyDescent="0.25">
      <c r="A1273" s="9" t="s">
        <v>19</v>
      </c>
      <c r="B1273" s="10" t="s">
        <v>40</v>
      </c>
      <c r="C1273" s="10">
        <v>50.4</v>
      </c>
      <c r="D1273" s="10">
        <v>2005</v>
      </c>
    </row>
    <row r="1274" spans="1:4" ht="19.95" customHeight="1" x14ac:dyDescent="0.25">
      <c r="A1274" s="9" t="s">
        <v>20</v>
      </c>
      <c r="B1274" s="10" t="s">
        <v>40</v>
      </c>
      <c r="C1274" s="10"/>
      <c r="D1274" s="10">
        <v>2005</v>
      </c>
    </row>
    <row r="1275" spans="1:4" ht="19.95" customHeight="1" x14ac:dyDescent="0.25">
      <c r="A1275" s="9" t="s">
        <v>21</v>
      </c>
      <c r="B1275" s="10" t="s">
        <v>40</v>
      </c>
      <c r="C1275" s="10">
        <v>89.9</v>
      </c>
      <c r="D1275" s="10">
        <v>2005</v>
      </c>
    </row>
    <row r="1276" spans="1:4" ht="19.95" customHeight="1" x14ac:dyDescent="0.25">
      <c r="A1276" s="9" t="s">
        <v>22</v>
      </c>
      <c r="B1276" s="10" t="s">
        <v>40</v>
      </c>
      <c r="C1276" s="10">
        <v>54</v>
      </c>
      <c r="D1276" s="10">
        <v>2005</v>
      </c>
    </row>
    <row r="1277" spans="1:4" ht="19.95" customHeight="1" x14ac:dyDescent="0.25">
      <c r="A1277" s="9" t="s">
        <v>23</v>
      </c>
      <c r="B1277" s="10" t="s">
        <v>40</v>
      </c>
      <c r="C1277" s="10">
        <v>69.2</v>
      </c>
      <c r="D1277" s="10">
        <v>2005</v>
      </c>
    </row>
    <row r="1278" spans="1:4" ht="19.95" customHeight="1" x14ac:dyDescent="0.25">
      <c r="A1278" s="9" t="s">
        <v>24</v>
      </c>
      <c r="B1278" s="10" t="s">
        <v>40</v>
      </c>
      <c r="C1278" s="10">
        <v>94.6</v>
      </c>
      <c r="D1278" s="10">
        <v>2005</v>
      </c>
    </row>
    <row r="1279" spans="1:4" ht="19.95" customHeight="1" x14ac:dyDescent="0.25">
      <c r="A1279" s="9" t="s">
        <v>25</v>
      </c>
      <c r="B1279" s="10" t="s">
        <v>40</v>
      </c>
      <c r="C1279" s="10">
        <v>16.8</v>
      </c>
      <c r="D1279" s="10">
        <v>2005</v>
      </c>
    </row>
    <row r="1280" spans="1:4" ht="19.95" customHeight="1" x14ac:dyDescent="0.25">
      <c r="A1280" s="9" t="s">
        <v>26</v>
      </c>
      <c r="B1280" s="10" t="s">
        <v>40</v>
      </c>
      <c r="C1280" s="10">
        <v>88.7</v>
      </c>
      <c r="D1280" s="10">
        <v>2005</v>
      </c>
    </row>
    <row r="1281" spans="1:4" ht="19.95" customHeight="1" x14ac:dyDescent="0.25">
      <c r="A1281" s="9" t="s">
        <v>28</v>
      </c>
      <c r="B1281" s="10" t="s">
        <v>40</v>
      </c>
      <c r="C1281" s="10">
        <v>57.6</v>
      </c>
      <c r="D1281" s="10">
        <v>2005</v>
      </c>
    </row>
    <row r="1282" spans="1:4" ht="19.95" customHeight="1" x14ac:dyDescent="0.25">
      <c r="A1282" s="9" t="s">
        <v>29</v>
      </c>
      <c r="B1282" s="10" t="s">
        <v>40</v>
      </c>
      <c r="C1282" s="10">
        <v>47.3</v>
      </c>
      <c r="D1282" s="10">
        <v>2005</v>
      </c>
    </row>
    <row r="1283" spans="1:4" ht="19.95" customHeight="1" x14ac:dyDescent="0.25">
      <c r="A1283" s="9" t="s">
        <v>30</v>
      </c>
      <c r="B1283" s="10" t="s">
        <v>40</v>
      </c>
      <c r="C1283" s="10">
        <v>24.5</v>
      </c>
      <c r="D1283" s="10">
        <v>2005</v>
      </c>
    </row>
    <row r="1284" spans="1:4" ht="19.95" customHeight="1" x14ac:dyDescent="0.25">
      <c r="A1284" s="9" t="s">
        <v>31</v>
      </c>
      <c r="B1284" s="10" t="s">
        <v>40</v>
      </c>
      <c r="C1284" s="10">
        <v>78.099999999999994</v>
      </c>
      <c r="D1284" s="10">
        <v>2005</v>
      </c>
    </row>
    <row r="1285" spans="1:4" ht="19.95" customHeight="1" x14ac:dyDescent="0.25">
      <c r="A1285" s="9" t="s">
        <v>32</v>
      </c>
      <c r="B1285" s="10" t="s">
        <v>40</v>
      </c>
      <c r="C1285" s="10">
        <v>69.099999999999994</v>
      </c>
      <c r="D1285" s="10">
        <v>2005</v>
      </c>
    </row>
    <row r="1286" spans="1:4" ht="19.95" customHeight="1" x14ac:dyDescent="0.25">
      <c r="A1286" s="9" t="s">
        <v>33</v>
      </c>
      <c r="B1286" s="10" t="s">
        <v>40</v>
      </c>
      <c r="C1286" s="10">
        <v>43</v>
      </c>
      <c r="D1286" s="10">
        <v>2005</v>
      </c>
    </row>
    <row r="1287" spans="1:4" ht="19.95" customHeight="1" x14ac:dyDescent="0.25">
      <c r="A1287" s="9" t="s">
        <v>34</v>
      </c>
      <c r="B1287" s="10" t="s">
        <v>40</v>
      </c>
      <c r="C1287" s="10">
        <v>12.3</v>
      </c>
      <c r="D1287" s="10">
        <v>2005</v>
      </c>
    </row>
    <row r="1288" spans="1:4" ht="19.95" customHeight="1" x14ac:dyDescent="0.25">
      <c r="A1288" s="9" t="s">
        <v>35</v>
      </c>
      <c r="B1288" s="10" t="s">
        <v>40</v>
      </c>
      <c r="C1288" s="10">
        <v>48.5</v>
      </c>
      <c r="D1288" s="10">
        <v>2005</v>
      </c>
    </row>
    <row r="1289" spans="1:4" ht="19.95" customHeight="1" x14ac:dyDescent="0.25">
      <c r="A1289" s="9" t="s">
        <v>36</v>
      </c>
      <c r="B1289" s="10" t="s">
        <v>40</v>
      </c>
      <c r="C1289" s="10">
        <v>59.3</v>
      </c>
      <c r="D1289" s="10">
        <v>2005</v>
      </c>
    </row>
    <row r="1290" spans="1:4" ht="19.95" customHeight="1" x14ac:dyDescent="0.25">
      <c r="A1290" s="9" t="s">
        <v>37</v>
      </c>
      <c r="B1290" s="10" t="s">
        <v>40</v>
      </c>
      <c r="C1290" s="10">
        <v>68</v>
      </c>
      <c r="D1290" s="10">
        <v>2005</v>
      </c>
    </row>
    <row r="1291" spans="1:4" ht="19.95" customHeight="1" x14ac:dyDescent="0.25">
      <c r="A1291" s="9" t="s">
        <v>38</v>
      </c>
      <c r="B1291" s="10" t="s">
        <v>40</v>
      </c>
      <c r="C1291" s="10">
        <v>66.8</v>
      </c>
      <c r="D1291" s="10">
        <v>2005</v>
      </c>
    </row>
    <row r="1292" spans="1:4" ht="19.95" customHeight="1" x14ac:dyDescent="0.25">
      <c r="A1292" s="9" t="s">
        <v>39</v>
      </c>
      <c r="B1292" s="10" t="s">
        <v>40</v>
      </c>
      <c r="C1292" s="10">
        <v>59</v>
      </c>
      <c r="D1292" s="10">
        <v>2005</v>
      </c>
    </row>
    <row r="1293" spans="1:4" ht="19.95" customHeight="1" x14ac:dyDescent="0.25">
      <c r="A1293" s="9" t="s">
        <v>9</v>
      </c>
      <c r="B1293" s="10" t="s">
        <v>40</v>
      </c>
      <c r="C1293" s="10">
        <v>74.599999999999994</v>
      </c>
      <c r="D1293" s="10">
        <v>2006</v>
      </c>
    </row>
    <row r="1294" spans="1:4" ht="19.95" customHeight="1" x14ac:dyDescent="0.25">
      <c r="A1294" s="9" t="s">
        <v>12</v>
      </c>
      <c r="B1294" s="10" t="s">
        <v>40</v>
      </c>
      <c r="C1294" s="10">
        <v>79</v>
      </c>
      <c r="D1294" s="10">
        <v>2006</v>
      </c>
    </row>
    <row r="1295" spans="1:4" ht="19.95" customHeight="1" x14ac:dyDescent="0.25">
      <c r="A1295" s="9" t="s">
        <v>13</v>
      </c>
      <c r="B1295" s="10" t="s">
        <v>40</v>
      </c>
      <c r="C1295" s="10">
        <v>92.1</v>
      </c>
      <c r="D1295" s="10">
        <v>2006</v>
      </c>
    </row>
    <row r="1296" spans="1:4" ht="19.95" customHeight="1" x14ac:dyDescent="0.25">
      <c r="A1296" s="9" t="s">
        <v>15</v>
      </c>
      <c r="B1296" s="10" t="s">
        <v>40</v>
      </c>
      <c r="C1296" s="10">
        <v>69</v>
      </c>
      <c r="D1296" s="10">
        <v>2006</v>
      </c>
    </row>
    <row r="1297" spans="1:4" ht="19.95" customHeight="1" x14ac:dyDescent="0.25">
      <c r="A1297" s="9" t="s">
        <v>16</v>
      </c>
      <c r="B1297" s="10" t="s">
        <v>40</v>
      </c>
      <c r="C1297" s="10">
        <v>69.8</v>
      </c>
      <c r="D1297" s="10">
        <v>2006</v>
      </c>
    </row>
    <row r="1298" spans="1:4" ht="19.95" customHeight="1" x14ac:dyDescent="0.25">
      <c r="A1298" s="9" t="s">
        <v>1</v>
      </c>
      <c r="B1298" s="10" t="s">
        <v>40</v>
      </c>
      <c r="C1298" s="10">
        <v>67.2</v>
      </c>
      <c r="D1298" s="10">
        <v>2006</v>
      </c>
    </row>
    <row r="1299" spans="1:4" ht="19.95" customHeight="1" x14ac:dyDescent="0.25">
      <c r="A1299" s="9" t="s">
        <v>17</v>
      </c>
      <c r="B1299" s="10" t="s">
        <v>40</v>
      </c>
      <c r="C1299" s="10">
        <v>79.099999999999994</v>
      </c>
      <c r="D1299" s="10">
        <v>2006</v>
      </c>
    </row>
    <row r="1300" spans="1:4" ht="19.95" customHeight="1" x14ac:dyDescent="0.25">
      <c r="A1300" s="9" t="s">
        <v>18</v>
      </c>
      <c r="B1300" s="10" t="s">
        <v>40</v>
      </c>
      <c r="C1300" s="10">
        <v>64.599999999999994</v>
      </c>
      <c r="D1300" s="10">
        <v>2006</v>
      </c>
    </row>
    <row r="1301" spans="1:4" ht="19.95" customHeight="1" x14ac:dyDescent="0.25">
      <c r="A1301" s="9" t="s">
        <v>19</v>
      </c>
      <c r="B1301" s="10" t="s">
        <v>40</v>
      </c>
      <c r="C1301" s="10">
        <v>47.7</v>
      </c>
      <c r="D1301" s="10">
        <v>2006</v>
      </c>
    </row>
    <row r="1302" spans="1:4" ht="19.95" customHeight="1" x14ac:dyDescent="0.25">
      <c r="A1302" s="9" t="s">
        <v>20</v>
      </c>
      <c r="B1302" s="10" t="s">
        <v>40</v>
      </c>
      <c r="C1302" s="10"/>
      <c r="D1302" s="10">
        <v>2006</v>
      </c>
    </row>
    <row r="1303" spans="1:4" ht="19.95" customHeight="1" x14ac:dyDescent="0.25">
      <c r="A1303" s="9" t="s">
        <v>21</v>
      </c>
      <c r="B1303" s="10" t="s">
        <v>40</v>
      </c>
      <c r="C1303" s="10">
        <v>84.6</v>
      </c>
      <c r="D1303" s="10">
        <v>2006</v>
      </c>
    </row>
    <row r="1304" spans="1:4" ht="19.95" customHeight="1" x14ac:dyDescent="0.25">
      <c r="A1304" s="9" t="s">
        <v>22</v>
      </c>
      <c r="B1304" s="10" t="s">
        <v>40</v>
      </c>
      <c r="C1304" s="10">
        <v>51.7</v>
      </c>
      <c r="D1304" s="10">
        <v>2006</v>
      </c>
    </row>
    <row r="1305" spans="1:4" ht="19.95" customHeight="1" x14ac:dyDescent="0.25">
      <c r="A1305" s="9" t="s">
        <v>23</v>
      </c>
      <c r="B1305" s="10" t="s">
        <v>40</v>
      </c>
      <c r="C1305" s="10">
        <v>65.8</v>
      </c>
      <c r="D1305" s="10">
        <v>2006</v>
      </c>
    </row>
    <row r="1306" spans="1:4" ht="19.95" customHeight="1" x14ac:dyDescent="0.25">
      <c r="A1306" s="9" t="s">
        <v>24</v>
      </c>
      <c r="B1306" s="10" t="s">
        <v>40</v>
      </c>
      <c r="C1306" s="10">
        <v>90.7</v>
      </c>
      <c r="D1306" s="10">
        <v>2006</v>
      </c>
    </row>
    <row r="1307" spans="1:4" ht="19.95" customHeight="1" x14ac:dyDescent="0.25">
      <c r="A1307" s="9" t="s">
        <v>25</v>
      </c>
      <c r="B1307" s="10" t="s">
        <v>40</v>
      </c>
      <c r="C1307" s="10">
        <v>16</v>
      </c>
      <c r="D1307" s="10">
        <v>2006</v>
      </c>
    </row>
    <row r="1308" spans="1:4" ht="19.95" customHeight="1" x14ac:dyDescent="0.25">
      <c r="A1308" s="9" t="s">
        <v>26</v>
      </c>
      <c r="B1308" s="10" t="s">
        <v>40</v>
      </c>
      <c r="C1308" s="10">
        <v>84.6</v>
      </c>
      <c r="D1308" s="10">
        <v>2006</v>
      </c>
    </row>
    <row r="1309" spans="1:4" ht="19.95" customHeight="1" x14ac:dyDescent="0.25">
      <c r="A1309" s="9" t="s">
        <v>28</v>
      </c>
      <c r="B1309" s="10" t="s">
        <v>40</v>
      </c>
      <c r="C1309" s="10">
        <v>55.9</v>
      </c>
      <c r="D1309" s="10">
        <v>2006</v>
      </c>
    </row>
    <row r="1310" spans="1:4" ht="19.95" customHeight="1" x14ac:dyDescent="0.25">
      <c r="A1310" s="9" t="s">
        <v>29</v>
      </c>
      <c r="B1310" s="10" t="s">
        <v>40</v>
      </c>
      <c r="C1310" s="10">
        <v>45.2</v>
      </c>
      <c r="D1310" s="10">
        <v>2006</v>
      </c>
    </row>
    <row r="1311" spans="1:4" ht="19.95" customHeight="1" x14ac:dyDescent="0.25">
      <c r="A1311" s="9" t="s">
        <v>30</v>
      </c>
      <c r="B1311" s="10" t="s">
        <v>40</v>
      </c>
      <c r="C1311" s="10">
        <v>23.3</v>
      </c>
      <c r="D1311" s="10">
        <v>2006</v>
      </c>
    </row>
    <row r="1312" spans="1:4" ht="19.95" customHeight="1" x14ac:dyDescent="0.25">
      <c r="A1312" s="9" t="s">
        <v>31</v>
      </c>
      <c r="B1312" s="10" t="s">
        <v>40</v>
      </c>
      <c r="C1312" s="10">
        <v>74.5</v>
      </c>
      <c r="D1312" s="10">
        <v>2006</v>
      </c>
    </row>
    <row r="1313" spans="1:4" ht="19.95" customHeight="1" x14ac:dyDescent="0.25">
      <c r="A1313" s="9" t="s">
        <v>32</v>
      </c>
      <c r="B1313" s="10" t="s">
        <v>40</v>
      </c>
      <c r="C1313" s="10">
        <v>62.6</v>
      </c>
      <c r="D1313" s="10">
        <v>2006</v>
      </c>
    </row>
    <row r="1314" spans="1:4" ht="19.95" customHeight="1" x14ac:dyDescent="0.25">
      <c r="A1314" s="9" t="s">
        <v>33</v>
      </c>
      <c r="B1314" s="10" t="s">
        <v>40</v>
      </c>
      <c r="C1314" s="10">
        <v>40.799999999999997</v>
      </c>
      <c r="D1314" s="10">
        <v>2006</v>
      </c>
    </row>
    <row r="1315" spans="1:4" ht="19.95" customHeight="1" x14ac:dyDescent="0.25">
      <c r="A1315" s="9" t="s">
        <v>34</v>
      </c>
      <c r="B1315" s="10" t="s">
        <v>40</v>
      </c>
      <c r="C1315" s="10">
        <v>11.7</v>
      </c>
      <c r="D1315" s="10">
        <v>2006</v>
      </c>
    </row>
    <row r="1316" spans="1:4" ht="19.95" customHeight="1" x14ac:dyDescent="0.25">
      <c r="A1316" s="9" t="s">
        <v>35</v>
      </c>
      <c r="B1316" s="10" t="s">
        <v>40</v>
      </c>
      <c r="C1316" s="10">
        <v>45.5</v>
      </c>
      <c r="D1316" s="10">
        <v>2006</v>
      </c>
    </row>
    <row r="1317" spans="1:4" ht="19.95" customHeight="1" x14ac:dyDescent="0.25">
      <c r="A1317" s="9" t="s">
        <v>36</v>
      </c>
      <c r="B1317" s="10" t="s">
        <v>40</v>
      </c>
      <c r="C1317" s="10">
        <v>56.8</v>
      </c>
      <c r="D1317" s="10">
        <v>2006</v>
      </c>
    </row>
    <row r="1318" spans="1:4" ht="19.95" customHeight="1" x14ac:dyDescent="0.25">
      <c r="A1318" s="9" t="s">
        <v>37</v>
      </c>
      <c r="B1318" s="10" t="s">
        <v>40</v>
      </c>
      <c r="C1318" s="10">
        <v>64</v>
      </c>
      <c r="D1318" s="10">
        <v>2006</v>
      </c>
    </row>
    <row r="1319" spans="1:4" ht="19.95" customHeight="1" x14ac:dyDescent="0.25">
      <c r="A1319" s="9" t="s">
        <v>38</v>
      </c>
      <c r="B1319" s="10" t="s">
        <v>40</v>
      </c>
      <c r="C1319" s="10">
        <v>62.7</v>
      </c>
      <c r="D1319" s="10">
        <v>2006</v>
      </c>
    </row>
    <row r="1320" spans="1:4" ht="19.95" customHeight="1" x14ac:dyDescent="0.25">
      <c r="A1320" s="9" t="s">
        <v>39</v>
      </c>
      <c r="B1320" s="10" t="s">
        <v>40</v>
      </c>
      <c r="C1320" s="10">
        <v>60</v>
      </c>
      <c r="D1320" s="10">
        <v>2006</v>
      </c>
    </row>
    <row r="1321" spans="1:4" ht="19.95" customHeight="1" x14ac:dyDescent="0.25">
      <c r="A1321" s="9" t="s">
        <v>9</v>
      </c>
      <c r="B1321" s="10" t="s">
        <v>40</v>
      </c>
      <c r="C1321" s="10">
        <v>70.5</v>
      </c>
      <c r="D1321" s="10">
        <v>2007</v>
      </c>
    </row>
    <row r="1322" spans="1:4" ht="19.95" customHeight="1" x14ac:dyDescent="0.25">
      <c r="A1322" s="9" t="s">
        <v>12</v>
      </c>
      <c r="B1322" s="10" t="s">
        <v>40</v>
      </c>
      <c r="C1322" s="10">
        <v>76.8</v>
      </c>
      <c r="D1322" s="10">
        <v>2007</v>
      </c>
    </row>
    <row r="1323" spans="1:4" ht="19.95" customHeight="1" x14ac:dyDescent="0.25">
      <c r="A1323" s="9" t="s">
        <v>13</v>
      </c>
      <c r="B1323" s="10" t="s">
        <v>40</v>
      </c>
      <c r="C1323" s="10">
        <v>90.4</v>
      </c>
      <c r="D1323" s="10">
        <v>2007</v>
      </c>
    </row>
    <row r="1324" spans="1:4" ht="19.95" customHeight="1" x14ac:dyDescent="0.25">
      <c r="A1324" s="9" t="s">
        <v>15</v>
      </c>
      <c r="B1324" s="10" t="s">
        <v>40</v>
      </c>
      <c r="C1324" s="10">
        <v>67.5</v>
      </c>
      <c r="D1324" s="10">
        <v>2007</v>
      </c>
    </row>
    <row r="1325" spans="1:4" ht="19.95" customHeight="1" x14ac:dyDescent="0.25">
      <c r="A1325" s="9" t="s">
        <v>16</v>
      </c>
      <c r="B1325" s="10" t="s">
        <v>40</v>
      </c>
      <c r="C1325" s="10">
        <v>67.900000000000006</v>
      </c>
      <c r="D1325" s="10">
        <v>2007</v>
      </c>
    </row>
    <row r="1326" spans="1:4" ht="19.95" customHeight="1" x14ac:dyDescent="0.25">
      <c r="A1326" s="9" t="s">
        <v>1</v>
      </c>
      <c r="B1326" s="10" t="s">
        <v>40</v>
      </c>
      <c r="C1326" s="10">
        <v>63.9</v>
      </c>
      <c r="D1326" s="10">
        <v>2007</v>
      </c>
    </row>
    <row r="1327" spans="1:4" ht="19.95" customHeight="1" x14ac:dyDescent="0.25">
      <c r="A1327" s="9" t="s">
        <v>17</v>
      </c>
      <c r="B1327" s="10" t="s">
        <v>40</v>
      </c>
      <c r="C1327" s="10">
        <v>76.400000000000006</v>
      </c>
      <c r="D1327" s="10">
        <v>2007</v>
      </c>
    </row>
    <row r="1328" spans="1:4" ht="19.95" customHeight="1" x14ac:dyDescent="0.25">
      <c r="A1328" s="9" t="s">
        <v>18</v>
      </c>
      <c r="B1328" s="10" t="s">
        <v>40</v>
      </c>
      <c r="C1328" s="10">
        <v>63.5</v>
      </c>
      <c r="D1328" s="10">
        <v>2007</v>
      </c>
    </row>
    <row r="1329" spans="1:4" ht="19.95" customHeight="1" x14ac:dyDescent="0.25">
      <c r="A1329" s="9" t="s">
        <v>19</v>
      </c>
      <c r="B1329" s="10" t="s">
        <v>40</v>
      </c>
      <c r="C1329" s="10">
        <v>45.5</v>
      </c>
      <c r="D1329" s="10">
        <v>2007</v>
      </c>
    </row>
    <row r="1330" spans="1:4" ht="19.95" customHeight="1" x14ac:dyDescent="0.25">
      <c r="A1330" s="9" t="s">
        <v>20</v>
      </c>
      <c r="B1330" s="10" t="s">
        <v>40</v>
      </c>
      <c r="C1330" s="10"/>
      <c r="D1330" s="10">
        <v>2007</v>
      </c>
    </row>
    <row r="1331" spans="1:4" ht="19.95" customHeight="1" x14ac:dyDescent="0.25">
      <c r="A1331" s="9" t="s">
        <v>21</v>
      </c>
      <c r="B1331" s="10" t="s">
        <v>40</v>
      </c>
      <c r="C1331" s="10">
        <v>80.2</v>
      </c>
      <c r="D1331" s="10">
        <v>2007</v>
      </c>
    </row>
    <row r="1332" spans="1:4" ht="19.95" customHeight="1" x14ac:dyDescent="0.25">
      <c r="A1332" s="9" t="s">
        <v>22</v>
      </c>
      <c r="B1332" s="10" t="s">
        <v>40</v>
      </c>
      <c r="C1332" s="10">
        <v>49.4</v>
      </c>
      <c r="D1332" s="10">
        <v>2007</v>
      </c>
    </row>
    <row r="1333" spans="1:4" ht="19.95" customHeight="1" x14ac:dyDescent="0.25">
      <c r="A1333" s="9" t="s">
        <v>23</v>
      </c>
      <c r="B1333" s="10" t="s">
        <v>40</v>
      </c>
      <c r="C1333" s="10">
        <v>63.4</v>
      </c>
      <c r="D1333" s="10">
        <v>2007</v>
      </c>
    </row>
    <row r="1334" spans="1:4" ht="19.95" customHeight="1" x14ac:dyDescent="0.25">
      <c r="A1334" s="9" t="s">
        <v>24</v>
      </c>
      <c r="B1334" s="10" t="s">
        <v>40</v>
      </c>
      <c r="C1334" s="10">
        <v>87.3</v>
      </c>
      <c r="D1334" s="10">
        <v>2007</v>
      </c>
    </row>
    <row r="1335" spans="1:4" ht="19.95" customHeight="1" x14ac:dyDescent="0.25">
      <c r="A1335" s="9" t="s">
        <v>25</v>
      </c>
      <c r="B1335" s="10" t="s">
        <v>40</v>
      </c>
      <c r="C1335" s="10">
        <v>15.5</v>
      </c>
      <c r="D1335" s="10">
        <v>2007</v>
      </c>
    </row>
    <row r="1336" spans="1:4" ht="19.95" customHeight="1" x14ac:dyDescent="0.25">
      <c r="A1336" s="9" t="s">
        <v>26</v>
      </c>
      <c r="B1336" s="10" t="s">
        <v>40</v>
      </c>
      <c r="C1336" s="10">
        <v>79.900000000000006</v>
      </c>
      <c r="D1336" s="10">
        <v>2007</v>
      </c>
    </row>
    <row r="1337" spans="1:4" ht="19.95" customHeight="1" x14ac:dyDescent="0.25">
      <c r="A1337" s="9" t="s">
        <v>28</v>
      </c>
      <c r="B1337" s="10" t="s">
        <v>40</v>
      </c>
      <c r="C1337" s="10">
        <v>54.2</v>
      </c>
      <c r="D1337" s="10">
        <v>2007</v>
      </c>
    </row>
    <row r="1338" spans="1:4" ht="19.95" customHeight="1" x14ac:dyDescent="0.25">
      <c r="A1338" s="9" t="s">
        <v>29</v>
      </c>
      <c r="B1338" s="10" t="s">
        <v>40</v>
      </c>
      <c r="C1338" s="10">
        <v>43.1</v>
      </c>
      <c r="D1338" s="10">
        <v>2007</v>
      </c>
    </row>
    <row r="1339" spans="1:4" ht="19.95" customHeight="1" x14ac:dyDescent="0.25">
      <c r="A1339" s="9" t="s">
        <v>30</v>
      </c>
      <c r="B1339" s="10" t="s">
        <v>40</v>
      </c>
      <c r="C1339" s="10">
        <v>22.2</v>
      </c>
      <c r="D1339" s="10">
        <v>2007</v>
      </c>
    </row>
    <row r="1340" spans="1:4" ht="19.95" customHeight="1" x14ac:dyDescent="0.25">
      <c r="A1340" s="9" t="s">
        <v>31</v>
      </c>
      <c r="B1340" s="10" t="s">
        <v>40</v>
      </c>
      <c r="C1340" s="10">
        <v>71.099999999999994</v>
      </c>
      <c r="D1340" s="10">
        <v>2007</v>
      </c>
    </row>
    <row r="1341" spans="1:4" ht="19.95" customHeight="1" x14ac:dyDescent="0.25">
      <c r="A1341" s="9" t="s">
        <v>32</v>
      </c>
      <c r="B1341" s="10" t="s">
        <v>40</v>
      </c>
      <c r="C1341" s="10">
        <v>56.9</v>
      </c>
      <c r="D1341" s="10">
        <v>2007</v>
      </c>
    </row>
    <row r="1342" spans="1:4" ht="19.95" customHeight="1" x14ac:dyDescent="0.25">
      <c r="A1342" s="9" t="s">
        <v>33</v>
      </c>
      <c r="B1342" s="10" t="s">
        <v>40</v>
      </c>
      <c r="C1342" s="10">
        <v>38.799999999999997</v>
      </c>
      <c r="D1342" s="10">
        <v>2007</v>
      </c>
    </row>
    <row r="1343" spans="1:4" ht="19.95" customHeight="1" x14ac:dyDescent="0.25">
      <c r="A1343" s="9" t="s">
        <v>34</v>
      </c>
      <c r="B1343" s="10" t="s">
        <v>40</v>
      </c>
      <c r="C1343" s="10">
        <v>11</v>
      </c>
      <c r="D1343" s="10">
        <v>2007</v>
      </c>
    </row>
    <row r="1344" spans="1:4" ht="19.95" customHeight="1" x14ac:dyDescent="0.25">
      <c r="A1344" s="9" t="s">
        <v>35</v>
      </c>
      <c r="B1344" s="10" t="s">
        <v>40</v>
      </c>
      <c r="C1344" s="10">
        <v>42.8</v>
      </c>
      <c r="D1344" s="10">
        <v>2007</v>
      </c>
    </row>
    <row r="1345" spans="1:4" ht="19.95" customHeight="1" x14ac:dyDescent="0.25">
      <c r="A1345" s="9" t="s">
        <v>36</v>
      </c>
      <c r="B1345" s="10" t="s">
        <v>40</v>
      </c>
      <c r="C1345" s="10">
        <v>54.2</v>
      </c>
      <c r="D1345" s="10">
        <v>2007</v>
      </c>
    </row>
    <row r="1346" spans="1:4" ht="19.95" customHeight="1" x14ac:dyDescent="0.25">
      <c r="A1346" s="9" t="s">
        <v>37</v>
      </c>
      <c r="B1346" s="10" t="s">
        <v>40</v>
      </c>
      <c r="C1346" s="10">
        <v>60.2</v>
      </c>
      <c r="D1346" s="10">
        <v>2007</v>
      </c>
    </row>
    <row r="1347" spans="1:4" ht="19.95" customHeight="1" x14ac:dyDescent="0.25">
      <c r="A1347" s="9" t="s">
        <v>38</v>
      </c>
      <c r="B1347" s="10" t="s">
        <v>40</v>
      </c>
      <c r="C1347" s="10">
        <v>60.9</v>
      </c>
      <c r="D1347" s="10">
        <v>2007</v>
      </c>
    </row>
    <row r="1348" spans="1:4" ht="19.95" customHeight="1" x14ac:dyDescent="0.25">
      <c r="A1348" s="9" t="s">
        <v>39</v>
      </c>
      <c r="B1348" s="10" t="s">
        <v>40</v>
      </c>
      <c r="C1348" s="10">
        <v>60.1</v>
      </c>
      <c r="D1348" s="10">
        <v>2007</v>
      </c>
    </row>
    <row r="1349" spans="1:4" ht="19.95" customHeight="1" x14ac:dyDescent="0.25">
      <c r="A1349" s="9" t="s">
        <v>9</v>
      </c>
      <c r="B1349" s="10" t="s">
        <v>40</v>
      </c>
      <c r="C1349" s="10">
        <v>66.400000000000006</v>
      </c>
      <c r="D1349" s="10">
        <v>2008</v>
      </c>
    </row>
    <row r="1350" spans="1:4" ht="19.95" customHeight="1" x14ac:dyDescent="0.25">
      <c r="A1350" s="9" t="s">
        <v>12</v>
      </c>
      <c r="B1350" s="10" t="s">
        <v>40</v>
      </c>
      <c r="C1350" s="10">
        <v>74.2</v>
      </c>
      <c r="D1350" s="10">
        <v>2008</v>
      </c>
    </row>
    <row r="1351" spans="1:4" ht="19.95" customHeight="1" x14ac:dyDescent="0.25">
      <c r="A1351" s="9" t="s">
        <v>13</v>
      </c>
      <c r="B1351" s="10" t="s">
        <v>40</v>
      </c>
      <c r="C1351" s="10">
        <v>88.7</v>
      </c>
      <c r="D1351" s="10">
        <v>2008</v>
      </c>
    </row>
    <row r="1352" spans="1:4" ht="19.95" customHeight="1" x14ac:dyDescent="0.25">
      <c r="A1352" s="9" t="s">
        <v>15</v>
      </c>
      <c r="B1352" s="10" t="s">
        <v>40</v>
      </c>
      <c r="C1352" s="10">
        <v>65.900000000000006</v>
      </c>
      <c r="D1352" s="10">
        <v>2008</v>
      </c>
    </row>
    <row r="1353" spans="1:4" ht="19.95" customHeight="1" x14ac:dyDescent="0.25">
      <c r="A1353" s="9" t="s">
        <v>16</v>
      </c>
      <c r="B1353" s="10" t="s">
        <v>40</v>
      </c>
      <c r="C1353" s="10">
        <v>66.099999999999994</v>
      </c>
      <c r="D1353" s="10">
        <v>2008</v>
      </c>
    </row>
    <row r="1354" spans="1:4" ht="19.95" customHeight="1" x14ac:dyDescent="0.25">
      <c r="A1354" s="9" t="s">
        <v>1</v>
      </c>
      <c r="B1354" s="10" t="s">
        <v>40</v>
      </c>
      <c r="C1354" s="10">
        <v>60.8</v>
      </c>
      <c r="D1354" s="10">
        <v>2008</v>
      </c>
    </row>
    <row r="1355" spans="1:4" ht="19.95" customHeight="1" x14ac:dyDescent="0.25">
      <c r="A1355" s="9" t="s">
        <v>17</v>
      </c>
      <c r="B1355" s="10" t="s">
        <v>40</v>
      </c>
      <c r="C1355" s="10">
        <v>73.900000000000006</v>
      </c>
      <c r="D1355" s="10">
        <v>2008</v>
      </c>
    </row>
    <row r="1356" spans="1:4" ht="19.95" customHeight="1" x14ac:dyDescent="0.25">
      <c r="A1356" s="9" t="s">
        <v>18</v>
      </c>
      <c r="B1356" s="10" t="s">
        <v>40</v>
      </c>
      <c r="C1356" s="10">
        <v>62.4</v>
      </c>
      <c r="D1356" s="10">
        <v>2008</v>
      </c>
    </row>
    <row r="1357" spans="1:4" ht="19.95" customHeight="1" x14ac:dyDescent="0.25">
      <c r="A1357" s="9" t="s">
        <v>19</v>
      </c>
      <c r="B1357" s="10" t="s">
        <v>40</v>
      </c>
      <c r="C1357" s="10">
        <v>43.1</v>
      </c>
      <c r="D1357" s="10">
        <v>2008</v>
      </c>
    </row>
    <row r="1358" spans="1:4" ht="19.95" customHeight="1" x14ac:dyDescent="0.25">
      <c r="A1358" s="9" t="s">
        <v>20</v>
      </c>
      <c r="B1358" s="10" t="s">
        <v>40</v>
      </c>
      <c r="C1358" s="10"/>
      <c r="D1358" s="10">
        <v>2008</v>
      </c>
    </row>
    <row r="1359" spans="1:4" ht="19.95" customHeight="1" x14ac:dyDescent="0.25">
      <c r="A1359" s="9" t="s">
        <v>21</v>
      </c>
      <c r="B1359" s="10" t="s">
        <v>40</v>
      </c>
      <c r="C1359" s="10">
        <v>76.5</v>
      </c>
      <c r="D1359" s="10">
        <v>2008</v>
      </c>
    </row>
    <row r="1360" spans="1:4" ht="19.95" customHeight="1" x14ac:dyDescent="0.25">
      <c r="A1360" s="9" t="s">
        <v>22</v>
      </c>
      <c r="B1360" s="10" t="s">
        <v>40</v>
      </c>
      <c r="C1360" s="10">
        <v>47.1</v>
      </c>
      <c r="D1360" s="10">
        <v>2008</v>
      </c>
    </row>
    <row r="1361" spans="1:4" ht="19.95" customHeight="1" x14ac:dyDescent="0.25">
      <c r="A1361" s="9" t="s">
        <v>23</v>
      </c>
      <c r="B1361" s="10" t="s">
        <v>40</v>
      </c>
      <c r="C1361" s="10">
        <v>60.5</v>
      </c>
      <c r="D1361" s="10">
        <v>2008</v>
      </c>
    </row>
    <row r="1362" spans="1:4" ht="19.95" customHeight="1" x14ac:dyDescent="0.25">
      <c r="A1362" s="9" t="s">
        <v>24</v>
      </c>
      <c r="B1362" s="10" t="s">
        <v>40</v>
      </c>
      <c r="C1362" s="10">
        <v>84.3</v>
      </c>
      <c r="D1362" s="10">
        <v>2008</v>
      </c>
    </row>
    <row r="1363" spans="1:4" ht="19.95" customHeight="1" x14ac:dyDescent="0.25">
      <c r="A1363" s="9" t="s">
        <v>25</v>
      </c>
      <c r="B1363" s="10" t="s">
        <v>40</v>
      </c>
      <c r="C1363" s="10">
        <v>15.1</v>
      </c>
      <c r="D1363" s="10">
        <v>2008</v>
      </c>
    </row>
    <row r="1364" spans="1:4" ht="19.95" customHeight="1" x14ac:dyDescent="0.25">
      <c r="A1364" s="9" t="s">
        <v>26</v>
      </c>
      <c r="B1364" s="10" t="s">
        <v>40</v>
      </c>
      <c r="C1364" s="10">
        <v>76.5</v>
      </c>
      <c r="D1364" s="10">
        <v>2008</v>
      </c>
    </row>
    <row r="1365" spans="1:4" ht="19.95" customHeight="1" x14ac:dyDescent="0.25">
      <c r="A1365" s="9" t="s">
        <v>28</v>
      </c>
      <c r="B1365" s="10" t="s">
        <v>40</v>
      </c>
      <c r="C1365" s="10">
        <v>56.8</v>
      </c>
      <c r="D1365" s="10">
        <v>2008</v>
      </c>
    </row>
    <row r="1366" spans="1:4" ht="19.95" customHeight="1" x14ac:dyDescent="0.25">
      <c r="A1366" s="9" t="s">
        <v>29</v>
      </c>
      <c r="B1366" s="10" t="s">
        <v>40</v>
      </c>
      <c r="C1366" s="10">
        <v>41.1</v>
      </c>
      <c r="D1366" s="10">
        <v>2008</v>
      </c>
    </row>
    <row r="1367" spans="1:4" ht="19.95" customHeight="1" x14ac:dyDescent="0.25">
      <c r="A1367" s="9" t="s">
        <v>30</v>
      </c>
      <c r="B1367" s="10" t="s">
        <v>40</v>
      </c>
      <c r="C1367" s="10">
        <v>21.1</v>
      </c>
      <c r="D1367" s="10">
        <v>2008</v>
      </c>
    </row>
    <row r="1368" spans="1:4" ht="19.95" customHeight="1" x14ac:dyDescent="0.25">
      <c r="A1368" s="9" t="s">
        <v>31</v>
      </c>
      <c r="B1368" s="10" t="s">
        <v>40</v>
      </c>
      <c r="C1368" s="10">
        <v>68</v>
      </c>
      <c r="D1368" s="10">
        <v>2008</v>
      </c>
    </row>
    <row r="1369" spans="1:4" ht="19.95" customHeight="1" x14ac:dyDescent="0.25">
      <c r="A1369" s="9" t="s">
        <v>32</v>
      </c>
      <c r="B1369" s="10" t="s">
        <v>40</v>
      </c>
      <c r="C1369" s="10">
        <v>52.2</v>
      </c>
      <c r="D1369" s="10">
        <v>2008</v>
      </c>
    </row>
    <row r="1370" spans="1:4" ht="19.95" customHeight="1" x14ac:dyDescent="0.25">
      <c r="A1370" s="9" t="s">
        <v>33</v>
      </c>
      <c r="B1370" s="10" t="s">
        <v>40</v>
      </c>
      <c r="C1370" s="10">
        <v>36.9</v>
      </c>
      <c r="D1370" s="10">
        <v>2008</v>
      </c>
    </row>
    <row r="1371" spans="1:4" ht="19.95" customHeight="1" x14ac:dyDescent="0.25">
      <c r="A1371" s="9" t="s">
        <v>34</v>
      </c>
      <c r="B1371" s="10" t="s">
        <v>40</v>
      </c>
      <c r="C1371" s="10">
        <v>10.6</v>
      </c>
      <c r="D1371" s="10">
        <v>2008</v>
      </c>
    </row>
    <row r="1372" spans="1:4" ht="19.95" customHeight="1" x14ac:dyDescent="0.25">
      <c r="A1372" s="9" t="s">
        <v>35</v>
      </c>
      <c r="B1372" s="10" t="s">
        <v>40</v>
      </c>
      <c r="C1372" s="10">
        <v>40.5</v>
      </c>
      <c r="D1372" s="10">
        <v>2008</v>
      </c>
    </row>
    <row r="1373" spans="1:4" ht="19.95" customHeight="1" x14ac:dyDescent="0.25">
      <c r="A1373" s="9" t="s">
        <v>36</v>
      </c>
      <c r="B1373" s="10" t="s">
        <v>40</v>
      </c>
      <c r="C1373" s="10">
        <v>51.9</v>
      </c>
      <c r="D1373" s="10">
        <v>2008</v>
      </c>
    </row>
    <row r="1374" spans="1:4" ht="19.95" customHeight="1" x14ac:dyDescent="0.25">
      <c r="A1374" s="9" t="s">
        <v>37</v>
      </c>
      <c r="B1374" s="10" t="s">
        <v>40</v>
      </c>
      <c r="C1374" s="10">
        <v>56.7</v>
      </c>
      <c r="D1374" s="10">
        <v>2008</v>
      </c>
    </row>
    <row r="1375" spans="1:4" ht="19.95" customHeight="1" x14ac:dyDescent="0.25">
      <c r="A1375" s="9" t="s">
        <v>38</v>
      </c>
      <c r="B1375" s="10" t="s">
        <v>40</v>
      </c>
      <c r="C1375" s="10">
        <v>57.9</v>
      </c>
      <c r="D1375" s="10">
        <v>2008</v>
      </c>
    </row>
    <row r="1376" spans="1:4" ht="19.95" customHeight="1" x14ac:dyDescent="0.25">
      <c r="A1376" s="9" t="s">
        <v>39</v>
      </c>
      <c r="B1376" s="10" t="s">
        <v>40</v>
      </c>
      <c r="C1376" s="10">
        <v>59.1</v>
      </c>
      <c r="D1376" s="10">
        <v>2008</v>
      </c>
    </row>
    <row r="1377" spans="1:4" ht="19.95" customHeight="1" x14ac:dyDescent="0.25">
      <c r="A1377" s="9" t="s">
        <v>9</v>
      </c>
      <c r="B1377" s="10" t="s">
        <v>40</v>
      </c>
      <c r="C1377" s="10">
        <v>62.6</v>
      </c>
      <c r="D1377" s="10">
        <v>2009</v>
      </c>
    </row>
    <row r="1378" spans="1:4" ht="19.95" customHeight="1" x14ac:dyDescent="0.25">
      <c r="A1378" s="9" t="s">
        <v>12</v>
      </c>
      <c r="B1378" s="10" t="s">
        <v>40</v>
      </c>
      <c r="C1378" s="10">
        <v>71.900000000000006</v>
      </c>
      <c r="D1378" s="10">
        <v>2009</v>
      </c>
    </row>
    <row r="1379" spans="1:4" ht="19.95" customHeight="1" x14ac:dyDescent="0.25">
      <c r="A1379" s="9" t="s">
        <v>13</v>
      </c>
      <c r="B1379" s="10" t="s">
        <v>40</v>
      </c>
      <c r="C1379" s="10">
        <v>87</v>
      </c>
      <c r="D1379" s="10">
        <v>2009</v>
      </c>
    </row>
    <row r="1380" spans="1:4" ht="19.95" customHeight="1" x14ac:dyDescent="0.25">
      <c r="A1380" s="9" t="s">
        <v>15</v>
      </c>
      <c r="B1380" s="10" t="s">
        <v>40</v>
      </c>
      <c r="C1380" s="10">
        <v>64.3</v>
      </c>
      <c r="D1380" s="10">
        <v>2009</v>
      </c>
    </row>
    <row r="1381" spans="1:4" ht="19.95" customHeight="1" x14ac:dyDescent="0.25">
      <c r="A1381" s="9" t="s">
        <v>16</v>
      </c>
      <c r="B1381" s="10" t="s">
        <v>40</v>
      </c>
      <c r="C1381" s="10">
        <v>64.3</v>
      </c>
      <c r="D1381" s="10">
        <v>2009</v>
      </c>
    </row>
    <row r="1382" spans="1:4" ht="19.95" customHeight="1" x14ac:dyDescent="0.25">
      <c r="A1382" s="9" t="s">
        <v>1</v>
      </c>
      <c r="B1382" s="10" t="s">
        <v>40</v>
      </c>
      <c r="C1382" s="10">
        <v>57.9</v>
      </c>
      <c r="D1382" s="10">
        <v>2009</v>
      </c>
    </row>
    <row r="1383" spans="1:4" ht="19.95" customHeight="1" x14ac:dyDescent="0.25">
      <c r="A1383" s="9" t="s">
        <v>17</v>
      </c>
      <c r="B1383" s="10" t="s">
        <v>40</v>
      </c>
      <c r="C1383" s="10">
        <v>71.599999999999994</v>
      </c>
      <c r="D1383" s="10">
        <v>2009</v>
      </c>
    </row>
    <row r="1384" spans="1:4" ht="19.95" customHeight="1" x14ac:dyDescent="0.25">
      <c r="A1384" s="9" t="s">
        <v>18</v>
      </c>
      <c r="B1384" s="10" t="s">
        <v>40</v>
      </c>
      <c r="C1384" s="10">
        <v>61.4</v>
      </c>
      <c r="D1384" s="10">
        <v>2009</v>
      </c>
    </row>
    <row r="1385" spans="1:4" ht="19.95" customHeight="1" x14ac:dyDescent="0.25">
      <c r="A1385" s="9" t="s">
        <v>19</v>
      </c>
      <c r="B1385" s="10" t="s">
        <v>40</v>
      </c>
      <c r="C1385" s="10">
        <v>41.4</v>
      </c>
      <c r="D1385" s="10">
        <v>2009</v>
      </c>
    </row>
    <row r="1386" spans="1:4" ht="19.95" customHeight="1" x14ac:dyDescent="0.25">
      <c r="A1386" s="9" t="s">
        <v>20</v>
      </c>
      <c r="B1386" s="10" t="s">
        <v>40</v>
      </c>
      <c r="C1386" s="10"/>
      <c r="D1386" s="10">
        <v>2009</v>
      </c>
    </row>
    <row r="1387" spans="1:4" ht="19.95" customHeight="1" x14ac:dyDescent="0.25">
      <c r="A1387" s="9" t="s">
        <v>21</v>
      </c>
      <c r="B1387" s="10" t="s">
        <v>40</v>
      </c>
      <c r="C1387" s="10">
        <v>73.3</v>
      </c>
      <c r="D1387" s="10">
        <v>2009</v>
      </c>
    </row>
    <row r="1388" spans="1:4" ht="19.95" customHeight="1" x14ac:dyDescent="0.25">
      <c r="A1388" s="9" t="s">
        <v>22</v>
      </c>
      <c r="B1388" s="10" t="s">
        <v>40</v>
      </c>
      <c r="C1388" s="10">
        <v>45</v>
      </c>
      <c r="D1388" s="10">
        <v>2009</v>
      </c>
    </row>
    <row r="1389" spans="1:4" ht="19.95" customHeight="1" x14ac:dyDescent="0.25">
      <c r="A1389" s="9" t="s">
        <v>23</v>
      </c>
      <c r="B1389" s="10" t="s">
        <v>40</v>
      </c>
      <c r="C1389" s="10">
        <v>58.4</v>
      </c>
      <c r="D1389" s="10">
        <v>2009</v>
      </c>
    </row>
    <row r="1390" spans="1:4" ht="19.95" customHeight="1" x14ac:dyDescent="0.25">
      <c r="A1390" s="9" t="s">
        <v>24</v>
      </c>
      <c r="B1390" s="10" t="s">
        <v>40</v>
      </c>
      <c r="C1390" s="10">
        <v>81.599999999999994</v>
      </c>
      <c r="D1390" s="10">
        <v>2009</v>
      </c>
    </row>
    <row r="1391" spans="1:4" ht="19.95" customHeight="1" x14ac:dyDescent="0.25">
      <c r="A1391" s="9" t="s">
        <v>25</v>
      </c>
      <c r="B1391" s="10" t="s">
        <v>40</v>
      </c>
      <c r="C1391" s="10">
        <v>14.9</v>
      </c>
      <c r="D1391" s="10">
        <v>2009</v>
      </c>
    </row>
    <row r="1392" spans="1:4" ht="19.95" customHeight="1" x14ac:dyDescent="0.25">
      <c r="A1392" s="9" t="s">
        <v>26</v>
      </c>
      <c r="B1392" s="10" t="s">
        <v>40</v>
      </c>
      <c r="C1392" s="10">
        <v>72.8</v>
      </c>
      <c r="D1392" s="10">
        <v>2009</v>
      </c>
    </row>
    <row r="1393" spans="1:4" ht="19.95" customHeight="1" x14ac:dyDescent="0.25">
      <c r="A1393" s="9" t="s">
        <v>28</v>
      </c>
      <c r="B1393" s="10" t="s">
        <v>40</v>
      </c>
      <c r="C1393" s="10">
        <v>50.8</v>
      </c>
      <c r="D1393" s="10">
        <v>2009</v>
      </c>
    </row>
    <row r="1394" spans="1:4" ht="19.95" customHeight="1" x14ac:dyDescent="0.25">
      <c r="A1394" s="9" t="s">
        <v>29</v>
      </c>
      <c r="B1394" s="10" t="s">
        <v>40</v>
      </c>
      <c r="C1394" s="10">
        <v>39.299999999999997</v>
      </c>
      <c r="D1394" s="10">
        <v>2009</v>
      </c>
    </row>
    <row r="1395" spans="1:4" ht="19.95" customHeight="1" x14ac:dyDescent="0.25">
      <c r="A1395" s="9" t="s">
        <v>30</v>
      </c>
      <c r="B1395" s="10" t="s">
        <v>40</v>
      </c>
      <c r="C1395" s="10">
        <v>20.100000000000001</v>
      </c>
      <c r="D1395" s="10">
        <v>2009</v>
      </c>
    </row>
    <row r="1396" spans="1:4" ht="19.95" customHeight="1" x14ac:dyDescent="0.25">
      <c r="A1396" s="9" t="s">
        <v>31</v>
      </c>
      <c r="B1396" s="10" t="s">
        <v>40</v>
      </c>
      <c r="C1396" s="10">
        <v>65.099999999999994</v>
      </c>
      <c r="D1396" s="10">
        <v>2009</v>
      </c>
    </row>
    <row r="1397" spans="1:4" ht="19.95" customHeight="1" x14ac:dyDescent="0.25">
      <c r="A1397" s="9" t="s">
        <v>32</v>
      </c>
      <c r="B1397" s="10" t="s">
        <v>40</v>
      </c>
      <c r="C1397" s="10">
        <v>48.2</v>
      </c>
      <c r="D1397" s="10">
        <v>2009</v>
      </c>
    </row>
    <row r="1398" spans="1:4" ht="19.95" customHeight="1" x14ac:dyDescent="0.25">
      <c r="A1398" s="9" t="s">
        <v>33</v>
      </c>
      <c r="B1398" s="10" t="s">
        <v>40</v>
      </c>
      <c r="C1398" s="10">
        <v>35.200000000000003</v>
      </c>
      <c r="D1398" s="10">
        <v>2009</v>
      </c>
    </row>
    <row r="1399" spans="1:4" ht="19.95" customHeight="1" x14ac:dyDescent="0.25">
      <c r="A1399" s="9" t="s">
        <v>34</v>
      </c>
      <c r="B1399" s="10" t="s">
        <v>40</v>
      </c>
      <c r="C1399" s="10">
        <v>10.199999999999999</v>
      </c>
      <c r="D1399" s="10">
        <v>2009</v>
      </c>
    </row>
    <row r="1400" spans="1:4" ht="19.95" customHeight="1" x14ac:dyDescent="0.25">
      <c r="A1400" s="9" t="s">
        <v>35</v>
      </c>
      <c r="B1400" s="10" t="s">
        <v>40</v>
      </c>
      <c r="C1400" s="10">
        <v>38.6</v>
      </c>
      <c r="D1400" s="10">
        <v>2009</v>
      </c>
    </row>
    <row r="1401" spans="1:4" ht="19.95" customHeight="1" x14ac:dyDescent="0.25">
      <c r="A1401" s="9" t="s">
        <v>36</v>
      </c>
      <c r="B1401" s="10" t="s">
        <v>40</v>
      </c>
      <c r="C1401" s="10">
        <v>50.3</v>
      </c>
      <c r="D1401" s="10">
        <v>2009</v>
      </c>
    </row>
    <row r="1402" spans="1:4" ht="19.95" customHeight="1" x14ac:dyDescent="0.25">
      <c r="A1402" s="9" t="s">
        <v>37</v>
      </c>
      <c r="B1402" s="10" t="s">
        <v>40</v>
      </c>
      <c r="C1402" s="10">
        <v>53.9</v>
      </c>
      <c r="D1402" s="10">
        <v>2009</v>
      </c>
    </row>
    <row r="1403" spans="1:4" ht="19.95" customHeight="1" x14ac:dyDescent="0.25">
      <c r="A1403" s="9" t="s">
        <v>38</v>
      </c>
      <c r="B1403" s="10" t="s">
        <v>40</v>
      </c>
      <c r="C1403" s="10">
        <v>55.6</v>
      </c>
      <c r="D1403" s="10">
        <v>2009</v>
      </c>
    </row>
    <row r="1404" spans="1:4" ht="19.95" customHeight="1" x14ac:dyDescent="0.25">
      <c r="A1404" s="9" t="s">
        <v>39</v>
      </c>
      <c r="B1404" s="10" t="s">
        <v>40</v>
      </c>
      <c r="C1404" s="10">
        <v>57.5</v>
      </c>
      <c r="D1404" s="10">
        <v>2009</v>
      </c>
    </row>
    <row r="1405" spans="1:4" ht="19.95" customHeight="1" x14ac:dyDescent="0.25">
      <c r="A1405" s="9" t="s">
        <v>9</v>
      </c>
      <c r="B1405" s="10" t="s">
        <v>40</v>
      </c>
      <c r="C1405" s="10">
        <v>59.2</v>
      </c>
      <c r="D1405" s="10">
        <v>2010</v>
      </c>
    </row>
    <row r="1406" spans="1:4" ht="19.95" customHeight="1" x14ac:dyDescent="0.25">
      <c r="A1406" s="9" t="s">
        <v>12</v>
      </c>
      <c r="B1406" s="10" t="s">
        <v>40</v>
      </c>
      <c r="C1406" s="10">
        <v>69.099999999999994</v>
      </c>
      <c r="D1406" s="10">
        <v>2010</v>
      </c>
    </row>
    <row r="1407" spans="1:4" ht="19.95" customHeight="1" x14ac:dyDescent="0.25">
      <c r="A1407" s="9" t="s">
        <v>13</v>
      </c>
      <c r="B1407" s="10" t="s">
        <v>40</v>
      </c>
      <c r="C1407" s="10">
        <v>85.2</v>
      </c>
      <c r="D1407" s="10">
        <v>2010</v>
      </c>
    </row>
    <row r="1408" spans="1:4" ht="19.95" customHeight="1" x14ac:dyDescent="0.25">
      <c r="A1408" s="9" t="s">
        <v>15</v>
      </c>
      <c r="B1408" s="10" t="s">
        <v>40</v>
      </c>
      <c r="C1408" s="10">
        <v>62.6</v>
      </c>
      <c r="D1408" s="10">
        <v>2010</v>
      </c>
    </row>
    <row r="1409" spans="1:4" ht="19.95" customHeight="1" x14ac:dyDescent="0.25">
      <c r="A1409" s="9" t="s">
        <v>16</v>
      </c>
      <c r="B1409" s="10" t="s">
        <v>40</v>
      </c>
      <c r="C1409" s="10">
        <v>62.6</v>
      </c>
      <c r="D1409" s="10">
        <v>2010</v>
      </c>
    </row>
    <row r="1410" spans="1:4" ht="19.95" customHeight="1" x14ac:dyDescent="0.25">
      <c r="A1410" s="9" t="s">
        <v>1</v>
      </c>
      <c r="B1410" s="10" t="s">
        <v>40</v>
      </c>
      <c r="C1410" s="10">
        <v>55.3</v>
      </c>
      <c r="D1410" s="10">
        <v>2010</v>
      </c>
    </row>
    <row r="1411" spans="1:4" ht="19.95" customHeight="1" x14ac:dyDescent="0.25">
      <c r="A1411" s="9" t="s">
        <v>17</v>
      </c>
      <c r="B1411" s="10" t="s">
        <v>40</v>
      </c>
      <c r="C1411" s="10">
        <v>69.5</v>
      </c>
      <c r="D1411" s="10">
        <v>2010</v>
      </c>
    </row>
    <row r="1412" spans="1:4" ht="19.95" customHeight="1" x14ac:dyDescent="0.25">
      <c r="A1412" s="9" t="s">
        <v>18</v>
      </c>
      <c r="B1412" s="10" t="s">
        <v>40</v>
      </c>
      <c r="C1412" s="10">
        <v>87</v>
      </c>
      <c r="D1412" s="10">
        <v>2010</v>
      </c>
    </row>
    <row r="1413" spans="1:4" ht="19.95" customHeight="1" x14ac:dyDescent="0.25">
      <c r="A1413" s="9" t="s">
        <v>19</v>
      </c>
      <c r="B1413" s="10" t="s">
        <v>40</v>
      </c>
      <c r="C1413" s="10">
        <v>39.9</v>
      </c>
      <c r="D1413" s="10">
        <v>2010</v>
      </c>
    </row>
    <row r="1414" spans="1:4" ht="19.95" customHeight="1" x14ac:dyDescent="0.25">
      <c r="A1414" s="9" t="s">
        <v>20</v>
      </c>
      <c r="B1414" s="10" t="s">
        <v>40</v>
      </c>
      <c r="C1414" s="10"/>
      <c r="D1414" s="10">
        <v>2010</v>
      </c>
    </row>
    <row r="1415" spans="1:4" ht="19.95" customHeight="1" x14ac:dyDescent="0.25">
      <c r="A1415" s="9" t="s">
        <v>21</v>
      </c>
      <c r="B1415" s="10" t="s">
        <v>40</v>
      </c>
      <c r="C1415" s="10">
        <v>70.400000000000006</v>
      </c>
      <c r="D1415" s="10">
        <v>2010</v>
      </c>
    </row>
    <row r="1416" spans="1:4" ht="19.95" customHeight="1" x14ac:dyDescent="0.25">
      <c r="A1416" s="9" t="s">
        <v>22</v>
      </c>
      <c r="B1416" s="10" t="s">
        <v>40</v>
      </c>
      <c r="C1416" s="10">
        <v>42.9</v>
      </c>
      <c r="D1416" s="10">
        <v>2010</v>
      </c>
    </row>
    <row r="1417" spans="1:4" ht="19.95" customHeight="1" x14ac:dyDescent="0.25">
      <c r="A1417" s="9" t="s">
        <v>23</v>
      </c>
      <c r="B1417" s="10" t="s">
        <v>40</v>
      </c>
      <c r="C1417" s="10">
        <v>56.2</v>
      </c>
      <c r="D1417" s="10">
        <v>2010</v>
      </c>
    </row>
    <row r="1418" spans="1:4" ht="19.95" customHeight="1" x14ac:dyDescent="0.25">
      <c r="A1418" s="9" t="s">
        <v>24</v>
      </c>
      <c r="B1418" s="10" t="s">
        <v>40</v>
      </c>
      <c r="C1418" s="10">
        <v>79.099999999999994</v>
      </c>
      <c r="D1418" s="10">
        <v>2010</v>
      </c>
    </row>
    <row r="1419" spans="1:4" ht="19.95" customHeight="1" x14ac:dyDescent="0.25">
      <c r="A1419" s="9" t="s">
        <v>25</v>
      </c>
      <c r="B1419" s="10" t="s">
        <v>40</v>
      </c>
      <c r="C1419" s="10">
        <v>14.8</v>
      </c>
      <c r="D1419" s="10">
        <v>2010</v>
      </c>
    </row>
    <row r="1420" spans="1:4" ht="19.95" customHeight="1" x14ac:dyDescent="0.25">
      <c r="A1420" s="9" t="s">
        <v>26</v>
      </c>
      <c r="B1420" s="10" t="s">
        <v>40</v>
      </c>
      <c r="C1420" s="10">
        <v>70.7</v>
      </c>
      <c r="D1420" s="10">
        <v>2010</v>
      </c>
    </row>
    <row r="1421" spans="1:4" ht="19.95" customHeight="1" x14ac:dyDescent="0.25">
      <c r="A1421" s="9" t="s">
        <v>28</v>
      </c>
      <c r="B1421" s="10" t="s">
        <v>40</v>
      </c>
      <c r="C1421" s="10">
        <v>49</v>
      </c>
      <c r="D1421" s="10">
        <v>2010</v>
      </c>
    </row>
    <row r="1422" spans="1:4" ht="19.95" customHeight="1" x14ac:dyDescent="0.25">
      <c r="A1422" s="9" t="s">
        <v>29</v>
      </c>
      <c r="B1422" s="10" t="s">
        <v>40</v>
      </c>
      <c r="C1422" s="10">
        <v>37.5</v>
      </c>
      <c r="D1422" s="10">
        <v>2010</v>
      </c>
    </row>
    <row r="1423" spans="1:4" ht="19.95" customHeight="1" x14ac:dyDescent="0.25">
      <c r="A1423" s="9" t="s">
        <v>30</v>
      </c>
      <c r="B1423" s="10" t="s">
        <v>40</v>
      </c>
      <c r="C1423" s="10">
        <v>19.2</v>
      </c>
      <c r="D1423" s="10">
        <v>2010</v>
      </c>
    </row>
    <row r="1424" spans="1:4" ht="19.95" customHeight="1" x14ac:dyDescent="0.25">
      <c r="A1424" s="9" t="s">
        <v>31</v>
      </c>
      <c r="B1424" s="10" t="s">
        <v>40</v>
      </c>
      <c r="C1424" s="10">
        <v>62.4</v>
      </c>
      <c r="D1424" s="10">
        <v>2010</v>
      </c>
    </row>
    <row r="1425" spans="1:4" ht="19.95" customHeight="1" x14ac:dyDescent="0.25">
      <c r="A1425" s="9" t="s">
        <v>32</v>
      </c>
      <c r="B1425" s="10" t="s">
        <v>40</v>
      </c>
      <c r="C1425" s="10">
        <v>44.5</v>
      </c>
      <c r="D1425" s="10">
        <v>2010</v>
      </c>
    </row>
    <row r="1426" spans="1:4" ht="19.95" customHeight="1" x14ac:dyDescent="0.25">
      <c r="A1426" s="9" t="s">
        <v>33</v>
      </c>
      <c r="B1426" s="10" t="s">
        <v>40</v>
      </c>
      <c r="C1426" s="10">
        <v>33.5</v>
      </c>
      <c r="D1426" s="10">
        <v>2010</v>
      </c>
    </row>
    <row r="1427" spans="1:4" ht="19.95" customHeight="1" x14ac:dyDescent="0.25">
      <c r="A1427" s="9" t="s">
        <v>34</v>
      </c>
      <c r="B1427" s="10" t="s">
        <v>40</v>
      </c>
      <c r="C1427" s="10">
        <v>10</v>
      </c>
      <c r="D1427" s="10">
        <v>2010</v>
      </c>
    </row>
    <row r="1428" spans="1:4" ht="19.95" customHeight="1" x14ac:dyDescent="0.25">
      <c r="A1428" s="9" t="s">
        <v>35</v>
      </c>
      <c r="B1428" s="10" t="s">
        <v>40</v>
      </c>
      <c r="C1428" s="10">
        <v>36.9</v>
      </c>
      <c r="D1428" s="10">
        <v>2010</v>
      </c>
    </row>
    <row r="1429" spans="1:4" ht="19.95" customHeight="1" x14ac:dyDescent="0.25">
      <c r="A1429" s="9" t="s">
        <v>36</v>
      </c>
      <c r="B1429" s="10" t="s">
        <v>40</v>
      </c>
      <c r="C1429" s="10">
        <v>48.1</v>
      </c>
      <c r="D1429" s="10">
        <v>2010</v>
      </c>
    </row>
    <row r="1430" spans="1:4" ht="19.95" customHeight="1" x14ac:dyDescent="0.25">
      <c r="A1430" s="9" t="s">
        <v>37</v>
      </c>
      <c r="B1430" s="10" t="s">
        <v>40</v>
      </c>
      <c r="C1430" s="10">
        <v>51</v>
      </c>
      <c r="D1430" s="10">
        <v>2010</v>
      </c>
    </row>
    <row r="1431" spans="1:4" ht="19.95" customHeight="1" x14ac:dyDescent="0.25">
      <c r="A1431" s="9" t="s">
        <v>38</v>
      </c>
      <c r="B1431" s="10" t="s">
        <v>40</v>
      </c>
      <c r="C1431" s="10">
        <v>53.4</v>
      </c>
      <c r="D1431" s="10">
        <v>2010</v>
      </c>
    </row>
    <row r="1432" spans="1:4" ht="19.95" customHeight="1" x14ac:dyDescent="0.25">
      <c r="A1432" s="9" t="s">
        <v>39</v>
      </c>
      <c r="B1432" s="10" t="s">
        <v>40</v>
      </c>
      <c r="C1432" s="10">
        <v>55.1</v>
      </c>
      <c r="D1432" s="10">
        <v>2010</v>
      </c>
    </row>
    <row r="1433" spans="1:4" ht="19.95" customHeight="1" x14ac:dyDescent="0.25">
      <c r="A1433" s="9" t="s">
        <v>9</v>
      </c>
      <c r="B1433" s="10" t="s">
        <v>40</v>
      </c>
      <c r="C1433" s="10">
        <v>56.1</v>
      </c>
      <c r="D1433" s="10">
        <v>2011</v>
      </c>
    </row>
    <row r="1434" spans="1:4" ht="19.95" customHeight="1" x14ac:dyDescent="0.25">
      <c r="A1434" s="9" t="s">
        <v>12</v>
      </c>
      <c r="B1434" s="10" t="s">
        <v>40</v>
      </c>
      <c r="C1434" s="10">
        <v>66.8</v>
      </c>
      <c r="D1434" s="10">
        <v>2011</v>
      </c>
    </row>
    <row r="1435" spans="1:4" ht="19.95" customHeight="1" x14ac:dyDescent="0.25">
      <c r="A1435" s="9" t="s">
        <v>13</v>
      </c>
      <c r="B1435" s="10" t="s">
        <v>40</v>
      </c>
      <c r="C1435" s="10">
        <v>83.4</v>
      </c>
      <c r="D1435" s="10">
        <v>2011</v>
      </c>
    </row>
    <row r="1436" spans="1:4" ht="19.95" customHeight="1" x14ac:dyDescent="0.25">
      <c r="A1436" s="9" t="s">
        <v>15</v>
      </c>
      <c r="B1436" s="10" t="s">
        <v>40</v>
      </c>
      <c r="C1436" s="10">
        <v>60.9</v>
      </c>
      <c r="D1436" s="10">
        <v>2011</v>
      </c>
    </row>
    <row r="1437" spans="1:4" ht="19.95" customHeight="1" x14ac:dyDescent="0.25">
      <c r="A1437" s="9" t="s">
        <v>16</v>
      </c>
      <c r="B1437" s="10" t="s">
        <v>40</v>
      </c>
      <c r="C1437" s="10">
        <v>60.9</v>
      </c>
      <c r="D1437" s="10">
        <v>2011</v>
      </c>
    </row>
    <row r="1438" spans="1:4" ht="19.95" customHeight="1" x14ac:dyDescent="0.25">
      <c r="A1438" s="9" t="s">
        <v>1</v>
      </c>
      <c r="B1438" s="10" t="s">
        <v>40</v>
      </c>
      <c r="C1438" s="10">
        <v>52.7</v>
      </c>
      <c r="D1438" s="10">
        <v>2011</v>
      </c>
    </row>
    <row r="1439" spans="1:4" ht="19.95" customHeight="1" x14ac:dyDescent="0.25">
      <c r="A1439" s="9" t="s">
        <v>17</v>
      </c>
      <c r="B1439" s="10" t="s">
        <v>40</v>
      </c>
      <c r="C1439" s="10">
        <v>67.400000000000006</v>
      </c>
      <c r="D1439" s="10">
        <v>2011</v>
      </c>
    </row>
    <row r="1440" spans="1:4" ht="19.95" customHeight="1" x14ac:dyDescent="0.25">
      <c r="A1440" s="9" t="s">
        <v>18</v>
      </c>
      <c r="B1440" s="10" t="s">
        <v>40</v>
      </c>
      <c r="C1440" s="10">
        <v>59.6</v>
      </c>
      <c r="D1440" s="10">
        <v>2011</v>
      </c>
    </row>
    <row r="1441" spans="1:4" ht="19.95" customHeight="1" x14ac:dyDescent="0.25">
      <c r="A1441" s="9" t="s">
        <v>19</v>
      </c>
      <c r="B1441" s="10" t="s">
        <v>40</v>
      </c>
      <c r="C1441" s="10">
        <v>38.9</v>
      </c>
      <c r="D1441" s="10">
        <v>2011</v>
      </c>
    </row>
    <row r="1442" spans="1:4" ht="19.95" customHeight="1" x14ac:dyDescent="0.25">
      <c r="A1442" s="9" t="s">
        <v>20</v>
      </c>
      <c r="B1442" s="10" t="s">
        <v>40</v>
      </c>
      <c r="C1442" s="10"/>
      <c r="D1442" s="10">
        <v>2011</v>
      </c>
    </row>
    <row r="1443" spans="1:4" ht="19.95" customHeight="1" x14ac:dyDescent="0.25">
      <c r="A1443" s="9" t="s">
        <v>21</v>
      </c>
      <c r="B1443" s="10" t="s">
        <v>40</v>
      </c>
      <c r="C1443" s="10">
        <v>67.8</v>
      </c>
      <c r="D1443" s="10">
        <v>2011</v>
      </c>
    </row>
    <row r="1444" spans="1:4" ht="19.95" customHeight="1" x14ac:dyDescent="0.25">
      <c r="A1444" s="9" t="s">
        <v>22</v>
      </c>
      <c r="B1444" s="10" t="s">
        <v>40</v>
      </c>
      <c r="C1444" s="10">
        <v>40.9</v>
      </c>
      <c r="D1444" s="10">
        <v>2011</v>
      </c>
    </row>
    <row r="1445" spans="1:4" ht="19.95" customHeight="1" x14ac:dyDescent="0.25">
      <c r="A1445" s="9" t="s">
        <v>23</v>
      </c>
      <c r="B1445" s="10" t="s">
        <v>40</v>
      </c>
      <c r="C1445" s="10">
        <v>52.9</v>
      </c>
      <c r="D1445" s="10">
        <v>2011</v>
      </c>
    </row>
    <row r="1446" spans="1:4" ht="19.95" customHeight="1" x14ac:dyDescent="0.25">
      <c r="A1446" s="9" t="s">
        <v>24</v>
      </c>
      <c r="B1446" s="10" t="s">
        <v>40</v>
      </c>
      <c r="C1446" s="10">
        <v>76.900000000000006</v>
      </c>
      <c r="D1446" s="10">
        <v>2011</v>
      </c>
    </row>
    <row r="1447" spans="1:4" ht="19.95" customHeight="1" x14ac:dyDescent="0.25">
      <c r="A1447" s="9" t="s">
        <v>25</v>
      </c>
      <c r="B1447" s="10" t="s">
        <v>40</v>
      </c>
      <c r="C1447" s="10">
        <v>14.6</v>
      </c>
      <c r="D1447" s="10">
        <v>2011</v>
      </c>
    </row>
    <row r="1448" spans="1:4" ht="19.95" customHeight="1" x14ac:dyDescent="0.25">
      <c r="A1448" s="9" t="s">
        <v>26</v>
      </c>
      <c r="B1448" s="10" t="s">
        <v>40</v>
      </c>
      <c r="C1448" s="10">
        <v>66.900000000000006</v>
      </c>
      <c r="D1448" s="10">
        <v>2011</v>
      </c>
    </row>
    <row r="1449" spans="1:4" ht="19.95" customHeight="1" x14ac:dyDescent="0.25">
      <c r="A1449" s="9" t="s">
        <v>28</v>
      </c>
      <c r="B1449" s="10" t="s">
        <v>40</v>
      </c>
      <c r="C1449" s="10">
        <v>47.3</v>
      </c>
      <c r="D1449" s="10">
        <v>2011</v>
      </c>
    </row>
    <row r="1450" spans="1:4" ht="19.95" customHeight="1" x14ac:dyDescent="0.25">
      <c r="A1450" s="9" t="s">
        <v>29</v>
      </c>
      <c r="B1450" s="10" t="s">
        <v>40</v>
      </c>
      <c r="C1450" s="10">
        <v>35.799999999999997</v>
      </c>
      <c r="D1450" s="10">
        <v>2011</v>
      </c>
    </row>
    <row r="1451" spans="1:4" ht="19.95" customHeight="1" x14ac:dyDescent="0.25">
      <c r="A1451" s="9" t="s">
        <v>30</v>
      </c>
      <c r="B1451" s="10" t="s">
        <v>40</v>
      </c>
      <c r="C1451" s="10">
        <v>18.399999999999999</v>
      </c>
      <c r="D1451" s="10">
        <v>2011</v>
      </c>
    </row>
    <row r="1452" spans="1:4" ht="19.95" customHeight="1" x14ac:dyDescent="0.25">
      <c r="A1452" s="9" t="s">
        <v>31</v>
      </c>
      <c r="B1452" s="10" t="s">
        <v>40</v>
      </c>
      <c r="C1452" s="10">
        <v>59.9</v>
      </c>
      <c r="D1452" s="10">
        <v>2011</v>
      </c>
    </row>
    <row r="1453" spans="1:4" ht="19.95" customHeight="1" x14ac:dyDescent="0.25">
      <c r="A1453" s="9" t="s">
        <v>32</v>
      </c>
      <c r="B1453" s="10" t="s">
        <v>40</v>
      </c>
      <c r="C1453" s="10">
        <v>40.4</v>
      </c>
      <c r="D1453" s="10">
        <v>2011</v>
      </c>
    </row>
    <row r="1454" spans="1:4" ht="19.95" customHeight="1" x14ac:dyDescent="0.25">
      <c r="A1454" s="9" t="s">
        <v>33</v>
      </c>
      <c r="B1454" s="10" t="s">
        <v>40</v>
      </c>
      <c r="C1454" s="10">
        <v>31.9</v>
      </c>
      <c r="D1454" s="10">
        <v>2011</v>
      </c>
    </row>
    <row r="1455" spans="1:4" ht="19.95" customHeight="1" x14ac:dyDescent="0.25">
      <c r="A1455" s="9" t="s">
        <v>34</v>
      </c>
      <c r="B1455" s="10" t="s">
        <v>40</v>
      </c>
      <c r="C1455" s="10">
        <v>9.6</v>
      </c>
      <c r="D1455" s="10">
        <v>2011</v>
      </c>
    </row>
    <row r="1456" spans="1:4" ht="19.95" customHeight="1" x14ac:dyDescent="0.25">
      <c r="A1456" s="9" t="s">
        <v>35</v>
      </c>
      <c r="B1456" s="10" t="s">
        <v>40</v>
      </c>
      <c r="C1456" s="10">
        <v>35.5</v>
      </c>
      <c r="D1456" s="10">
        <v>2011</v>
      </c>
    </row>
    <row r="1457" spans="1:4" ht="19.95" customHeight="1" x14ac:dyDescent="0.25">
      <c r="A1457" s="9" t="s">
        <v>36</v>
      </c>
      <c r="B1457" s="10" t="s">
        <v>40</v>
      </c>
      <c r="C1457" s="10">
        <v>46.2</v>
      </c>
      <c r="D1457" s="10">
        <v>2011</v>
      </c>
    </row>
    <row r="1458" spans="1:4" ht="19.95" customHeight="1" x14ac:dyDescent="0.25">
      <c r="A1458" s="9" t="s">
        <v>37</v>
      </c>
      <c r="B1458" s="10" t="s">
        <v>40</v>
      </c>
      <c r="C1458" s="10">
        <v>48.3</v>
      </c>
      <c r="D1458" s="10">
        <v>2011</v>
      </c>
    </row>
    <row r="1459" spans="1:4" ht="19.95" customHeight="1" x14ac:dyDescent="0.25">
      <c r="A1459" s="9" t="s">
        <v>38</v>
      </c>
      <c r="B1459" s="10" t="s">
        <v>40</v>
      </c>
      <c r="C1459" s="10">
        <v>51.5</v>
      </c>
      <c r="D1459" s="10">
        <v>2011</v>
      </c>
    </row>
    <row r="1460" spans="1:4" ht="19.95" customHeight="1" x14ac:dyDescent="0.25">
      <c r="A1460" s="9" t="s">
        <v>39</v>
      </c>
      <c r="B1460" s="10" t="s">
        <v>40</v>
      </c>
      <c r="C1460" s="10">
        <v>52.2</v>
      </c>
      <c r="D1460" s="10">
        <v>2011</v>
      </c>
    </row>
    <row r="1461" spans="1:4" ht="19.95" customHeight="1" x14ac:dyDescent="0.25">
      <c r="A1461" s="9" t="s">
        <v>9</v>
      </c>
      <c r="B1461" s="10" t="s">
        <v>40</v>
      </c>
      <c r="C1461" s="10">
        <v>53.1</v>
      </c>
      <c r="D1461" s="10">
        <v>2012</v>
      </c>
    </row>
    <row r="1462" spans="1:4" ht="19.95" customHeight="1" x14ac:dyDescent="0.25">
      <c r="A1462" s="9" t="s">
        <v>12</v>
      </c>
      <c r="B1462" s="10" t="s">
        <v>40</v>
      </c>
      <c r="C1462" s="10">
        <v>64.400000000000006</v>
      </c>
      <c r="D1462" s="10">
        <v>2012</v>
      </c>
    </row>
    <row r="1463" spans="1:4" ht="19.95" customHeight="1" x14ac:dyDescent="0.25">
      <c r="A1463" s="9" t="s">
        <v>13</v>
      </c>
      <c r="B1463" s="10" t="s">
        <v>40</v>
      </c>
      <c r="C1463" s="10">
        <v>81.7</v>
      </c>
      <c r="D1463" s="10">
        <v>2012</v>
      </c>
    </row>
    <row r="1464" spans="1:4" ht="19.95" customHeight="1" x14ac:dyDescent="0.25">
      <c r="A1464" s="9" t="s">
        <v>15</v>
      </c>
      <c r="B1464" s="10" t="s">
        <v>40</v>
      </c>
      <c r="C1464" s="10">
        <v>59.5</v>
      </c>
      <c r="D1464" s="10">
        <v>2012</v>
      </c>
    </row>
    <row r="1465" spans="1:4" ht="19.95" customHeight="1" x14ac:dyDescent="0.25">
      <c r="A1465" s="9" t="s">
        <v>16</v>
      </c>
      <c r="B1465" s="10" t="s">
        <v>40</v>
      </c>
      <c r="C1465" s="10">
        <v>59.3</v>
      </c>
      <c r="D1465" s="10">
        <v>2012</v>
      </c>
    </row>
    <row r="1466" spans="1:4" ht="19.95" customHeight="1" x14ac:dyDescent="0.25">
      <c r="A1466" s="9" t="s">
        <v>1</v>
      </c>
      <c r="B1466" s="10" t="s">
        <v>40</v>
      </c>
      <c r="C1466" s="10">
        <v>50.4</v>
      </c>
      <c r="D1466" s="10">
        <v>2012</v>
      </c>
    </row>
    <row r="1467" spans="1:4" ht="19.95" customHeight="1" x14ac:dyDescent="0.25">
      <c r="A1467" s="9" t="s">
        <v>17</v>
      </c>
      <c r="B1467" s="10" t="s">
        <v>40</v>
      </c>
      <c r="C1467" s="10">
        <v>65.400000000000006</v>
      </c>
      <c r="D1467" s="10">
        <v>2012</v>
      </c>
    </row>
    <row r="1468" spans="1:4" ht="19.95" customHeight="1" x14ac:dyDescent="0.25">
      <c r="A1468" s="9" t="s">
        <v>18</v>
      </c>
      <c r="B1468" s="10" t="s">
        <v>40</v>
      </c>
      <c r="C1468" s="10">
        <v>58.8</v>
      </c>
      <c r="D1468" s="10">
        <v>2012</v>
      </c>
    </row>
    <row r="1469" spans="1:4" ht="19.95" customHeight="1" x14ac:dyDescent="0.25">
      <c r="A1469" s="9" t="s">
        <v>19</v>
      </c>
      <c r="B1469" s="10" t="s">
        <v>40</v>
      </c>
      <c r="C1469" s="10">
        <v>38.299999999999997</v>
      </c>
      <c r="D1469" s="10">
        <v>2012</v>
      </c>
    </row>
    <row r="1470" spans="1:4" ht="19.95" customHeight="1" x14ac:dyDescent="0.25">
      <c r="A1470" s="9" t="s">
        <v>20</v>
      </c>
      <c r="B1470" s="10" t="s">
        <v>40</v>
      </c>
      <c r="C1470" s="10"/>
      <c r="D1470" s="10">
        <v>2012</v>
      </c>
    </row>
    <row r="1471" spans="1:4" ht="19.95" customHeight="1" x14ac:dyDescent="0.25">
      <c r="A1471" s="9" t="s">
        <v>21</v>
      </c>
      <c r="B1471" s="10" t="s">
        <v>40</v>
      </c>
      <c r="C1471" s="10">
        <v>65.400000000000006</v>
      </c>
      <c r="D1471" s="10">
        <v>2012</v>
      </c>
    </row>
    <row r="1472" spans="1:4" ht="19.95" customHeight="1" x14ac:dyDescent="0.25">
      <c r="A1472" s="9" t="s">
        <v>22</v>
      </c>
      <c r="B1472" s="10" t="s">
        <v>40</v>
      </c>
      <c r="C1472" s="10">
        <v>39</v>
      </c>
      <c r="D1472" s="10">
        <v>2012</v>
      </c>
    </row>
    <row r="1473" spans="1:4" ht="19.95" customHeight="1" x14ac:dyDescent="0.25">
      <c r="A1473" s="9" t="s">
        <v>23</v>
      </c>
      <c r="B1473" s="10" t="s">
        <v>40</v>
      </c>
      <c r="C1473" s="10">
        <v>49.2</v>
      </c>
      <c r="D1473" s="10">
        <v>2012</v>
      </c>
    </row>
    <row r="1474" spans="1:4" ht="19.95" customHeight="1" x14ac:dyDescent="0.25">
      <c r="A1474" s="9" t="s">
        <v>24</v>
      </c>
      <c r="B1474" s="10" t="s">
        <v>40</v>
      </c>
      <c r="C1474" s="10">
        <v>74.7</v>
      </c>
      <c r="D1474" s="10">
        <v>2012</v>
      </c>
    </row>
    <row r="1475" spans="1:4" ht="19.95" customHeight="1" x14ac:dyDescent="0.25">
      <c r="A1475" s="9" t="s">
        <v>25</v>
      </c>
      <c r="B1475" s="10" t="s">
        <v>40</v>
      </c>
      <c r="C1475" s="10">
        <v>14.4</v>
      </c>
      <c r="D1475" s="10">
        <v>2012</v>
      </c>
    </row>
    <row r="1476" spans="1:4" ht="19.95" customHeight="1" x14ac:dyDescent="0.25">
      <c r="A1476" s="9" t="s">
        <v>26</v>
      </c>
      <c r="B1476" s="10" t="s">
        <v>40</v>
      </c>
      <c r="C1476" s="10">
        <v>63.5</v>
      </c>
      <c r="D1476" s="10">
        <v>2012</v>
      </c>
    </row>
    <row r="1477" spans="1:4" ht="19.95" customHeight="1" x14ac:dyDescent="0.25">
      <c r="A1477" s="9" t="s">
        <v>28</v>
      </c>
      <c r="B1477" s="10" t="s">
        <v>40</v>
      </c>
      <c r="C1477" s="10">
        <v>45.6</v>
      </c>
      <c r="D1477" s="10">
        <v>2012</v>
      </c>
    </row>
    <row r="1478" spans="1:4" ht="19.95" customHeight="1" x14ac:dyDescent="0.25">
      <c r="A1478" s="9" t="s">
        <v>29</v>
      </c>
      <c r="B1478" s="10" t="s">
        <v>40</v>
      </c>
      <c r="C1478" s="10">
        <v>34.200000000000003</v>
      </c>
      <c r="D1478" s="10">
        <v>2012</v>
      </c>
    </row>
    <row r="1479" spans="1:4" ht="19.95" customHeight="1" x14ac:dyDescent="0.25">
      <c r="A1479" s="9" t="s">
        <v>30</v>
      </c>
      <c r="B1479" s="10" t="s">
        <v>40</v>
      </c>
      <c r="C1479" s="10">
        <v>17.7</v>
      </c>
      <c r="D1479" s="10">
        <v>2012</v>
      </c>
    </row>
    <row r="1480" spans="1:4" ht="19.95" customHeight="1" x14ac:dyDescent="0.25">
      <c r="A1480" s="9" t="s">
        <v>31</v>
      </c>
      <c r="B1480" s="10" t="s">
        <v>40</v>
      </c>
      <c r="C1480" s="10">
        <v>57.6</v>
      </c>
      <c r="D1480" s="10">
        <v>2012</v>
      </c>
    </row>
    <row r="1481" spans="1:4" ht="19.95" customHeight="1" x14ac:dyDescent="0.25">
      <c r="A1481" s="9" t="s">
        <v>32</v>
      </c>
      <c r="B1481" s="10" t="s">
        <v>40</v>
      </c>
      <c r="C1481" s="10">
        <v>37.5</v>
      </c>
      <c r="D1481" s="10">
        <v>2012</v>
      </c>
    </row>
    <row r="1482" spans="1:4" ht="19.95" customHeight="1" x14ac:dyDescent="0.25">
      <c r="A1482" s="9" t="s">
        <v>33</v>
      </c>
      <c r="B1482" s="10" t="s">
        <v>40</v>
      </c>
      <c r="C1482" s="10">
        <v>30.5</v>
      </c>
      <c r="D1482" s="10">
        <v>2012</v>
      </c>
    </row>
    <row r="1483" spans="1:4" ht="19.95" customHeight="1" x14ac:dyDescent="0.25">
      <c r="A1483" s="9" t="s">
        <v>34</v>
      </c>
      <c r="B1483" s="10" t="s">
        <v>40</v>
      </c>
      <c r="C1483" s="10">
        <v>9.3000000000000007</v>
      </c>
      <c r="D1483" s="10">
        <v>2012</v>
      </c>
    </row>
    <row r="1484" spans="1:4" ht="19.95" customHeight="1" x14ac:dyDescent="0.25">
      <c r="A1484" s="9" t="s">
        <v>35</v>
      </c>
      <c r="B1484" s="10" t="s">
        <v>40</v>
      </c>
      <c r="C1484" s="10">
        <v>34.299999999999997</v>
      </c>
      <c r="D1484" s="10">
        <v>2012</v>
      </c>
    </row>
    <row r="1485" spans="1:4" ht="19.95" customHeight="1" x14ac:dyDescent="0.25">
      <c r="A1485" s="9" t="s">
        <v>36</v>
      </c>
      <c r="B1485" s="10" t="s">
        <v>40</v>
      </c>
      <c r="C1485" s="10">
        <v>44.8</v>
      </c>
      <c r="D1485" s="10">
        <v>2012</v>
      </c>
    </row>
    <row r="1486" spans="1:4" ht="19.95" customHeight="1" x14ac:dyDescent="0.25">
      <c r="A1486" s="9" t="s">
        <v>37</v>
      </c>
      <c r="B1486" s="10" t="s">
        <v>40</v>
      </c>
      <c r="C1486" s="10">
        <v>45.1</v>
      </c>
      <c r="D1486" s="10">
        <v>2012</v>
      </c>
    </row>
    <row r="1487" spans="1:4" ht="19.95" customHeight="1" x14ac:dyDescent="0.25">
      <c r="A1487" s="9" t="s">
        <v>38</v>
      </c>
      <c r="B1487" s="10" t="s">
        <v>40</v>
      </c>
      <c r="C1487" s="10">
        <v>49.6</v>
      </c>
      <c r="D1487" s="10">
        <v>2012</v>
      </c>
    </row>
    <row r="1488" spans="1:4" ht="19.95" customHeight="1" x14ac:dyDescent="0.25">
      <c r="A1488" s="9" t="s">
        <v>39</v>
      </c>
      <c r="B1488" s="10" t="s">
        <v>40</v>
      </c>
      <c r="C1488" s="10">
        <v>48.4</v>
      </c>
      <c r="D1488" s="10">
        <v>2012</v>
      </c>
    </row>
    <row r="1489" spans="1:4" ht="19.95" customHeight="1" x14ac:dyDescent="0.25">
      <c r="A1489" s="9" t="s">
        <v>9</v>
      </c>
      <c r="B1489" s="10" t="s">
        <v>40</v>
      </c>
      <c r="C1489" s="10">
        <v>50.5</v>
      </c>
      <c r="D1489" s="10">
        <v>2013</v>
      </c>
    </row>
    <row r="1490" spans="1:4" ht="19.95" customHeight="1" x14ac:dyDescent="0.25">
      <c r="A1490" s="9" t="s">
        <v>12</v>
      </c>
      <c r="B1490" s="10" t="s">
        <v>40</v>
      </c>
      <c r="C1490" s="10">
        <v>62.1</v>
      </c>
      <c r="D1490" s="10">
        <v>2013</v>
      </c>
    </row>
    <row r="1491" spans="1:4" ht="19.95" customHeight="1" x14ac:dyDescent="0.25">
      <c r="A1491" s="9" t="s">
        <v>13</v>
      </c>
      <c r="B1491" s="10" t="s">
        <v>40</v>
      </c>
      <c r="C1491" s="10">
        <v>80.099999999999994</v>
      </c>
      <c r="D1491" s="10">
        <v>2013</v>
      </c>
    </row>
    <row r="1492" spans="1:4" ht="19.95" customHeight="1" x14ac:dyDescent="0.25">
      <c r="A1492" s="9" t="s">
        <v>15</v>
      </c>
      <c r="B1492" s="10" t="s">
        <v>40</v>
      </c>
      <c r="C1492" s="10">
        <v>57.9</v>
      </c>
      <c r="D1492" s="10">
        <v>2013</v>
      </c>
    </row>
    <row r="1493" spans="1:4" ht="19.95" customHeight="1" x14ac:dyDescent="0.25">
      <c r="A1493" s="9" t="s">
        <v>16</v>
      </c>
      <c r="B1493" s="10" t="s">
        <v>40</v>
      </c>
      <c r="C1493" s="10">
        <v>57.7</v>
      </c>
      <c r="D1493" s="10">
        <v>2013</v>
      </c>
    </row>
    <row r="1494" spans="1:4" ht="19.95" customHeight="1" x14ac:dyDescent="0.25">
      <c r="A1494" s="9" t="s">
        <v>1</v>
      </c>
      <c r="B1494" s="10" t="s">
        <v>40</v>
      </c>
      <c r="C1494" s="10">
        <v>48.2</v>
      </c>
      <c r="D1494" s="10">
        <v>2013</v>
      </c>
    </row>
    <row r="1495" spans="1:4" ht="19.95" customHeight="1" x14ac:dyDescent="0.25">
      <c r="A1495" s="9" t="s">
        <v>17</v>
      </c>
      <c r="B1495" s="10" t="s">
        <v>40</v>
      </c>
      <c r="C1495" s="10">
        <v>63.5</v>
      </c>
      <c r="D1495" s="10">
        <v>2013</v>
      </c>
    </row>
    <row r="1496" spans="1:4" ht="19.95" customHeight="1" x14ac:dyDescent="0.25">
      <c r="A1496" s="9" t="s">
        <v>18</v>
      </c>
      <c r="B1496" s="10" t="s">
        <v>40</v>
      </c>
      <c r="C1496" s="10">
        <v>57.9</v>
      </c>
      <c r="D1496" s="10">
        <v>2013</v>
      </c>
    </row>
    <row r="1497" spans="1:4" ht="19.95" customHeight="1" x14ac:dyDescent="0.25">
      <c r="A1497" s="9" t="s">
        <v>19</v>
      </c>
      <c r="B1497" s="10" t="s">
        <v>40</v>
      </c>
      <c r="C1497" s="10">
        <v>37.4</v>
      </c>
      <c r="D1497" s="10">
        <v>2013</v>
      </c>
    </row>
    <row r="1498" spans="1:4" ht="19.95" customHeight="1" x14ac:dyDescent="0.25">
      <c r="A1498" s="9" t="s">
        <v>20</v>
      </c>
      <c r="B1498" s="10" t="s">
        <v>40</v>
      </c>
      <c r="C1498" s="10"/>
      <c r="D1498" s="10">
        <v>2013</v>
      </c>
    </row>
    <row r="1499" spans="1:4" ht="19.95" customHeight="1" x14ac:dyDescent="0.25">
      <c r="A1499" s="9" t="s">
        <v>21</v>
      </c>
      <c r="B1499" s="10" t="s">
        <v>40</v>
      </c>
      <c r="C1499" s="10">
        <v>63.2</v>
      </c>
      <c r="D1499" s="10">
        <v>2013</v>
      </c>
    </row>
    <row r="1500" spans="1:4" ht="19.95" customHeight="1" x14ac:dyDescent="0.25">
      <c r="A1500" s="9" t="s">
        <v>22</v>
      </c>
      <c r="B1500" s="10" t="s">
        <v>40</v>
      </c>
      <c r="C1500" s="10">
        <v>37.4</v>
      </c>
      <c r="D1500" s="10">
        <v>2013</v>
      </c>
    </row>
    <row r="1501" spans="1:4" ht="19.95" customHeight="1" x14ac:dyDescent="0.25">
      <c r="A1501" s="9" t="s">
        <v>23</v>
      </c>
      <c r="B1501" s="10" t="s">
        <v>40</v>
      </c>
      <c r="C1501" s="10">
        <v>46.4</v>
      </c>
      <c r="D1501" s="10">
        <v>2013</v>
      </c>
    </row>
    <row r="1502" spans="1:4" ht="19.95" customHeight="1" x14ac:dyDescent="0.25">
      <c r="A1502" s="9" t="s">
        <v>24</v>
      </c>
      <c r="B1502" s="10" t="s">
        <v>40</v>
      </c>
      <c r="C1502" s="10">
        <v>72.8</v>
      </c>
      <c r="D1502" s="10">
        <v>2013</v>
      </c>
    </row>
    <row r="1503" spans="1:4" ht="19.95" customHeight="1" x14ac:dyDescent="0.25">
      <c r="A1503" s="9" t="s">
        <v>25</v>
      </c>
      <c r="B1503" s="10" t="s">
        <v>40</v>
      </c>
      <c r="C1503" s="10">
        <v>14.2</v>
      </c>
      <c r="D1503" s="10">
        <v>2013</v>
      </c>
    </row>
    <row r="1504" spans="1:4" ht="19.95" customHeight="1" x14ac:dyDescent="0.25">
      <c r="A1504" s="9" t="s">
        <v>26</v>
      </c>
      <c r="B1504" s="10" t="s">
        <v>40</v>
      </c>
      <c r="C1504" s="10">
        <v>60.9</v>
      </c>
      <c r="D1504" s="10">
        <v>2013</v>
      </c>
    </row>
    <row r="1505" spans="1:4" ht="19.95" customHeight="1" x14ac:dyDescent="0.25">
      <c r="A1505" s="9" t="s">
        <v>28</v>
      </c>
      <c r="B1505" s="10" t="s">
        <v>40</v>
      </c>
      <c r="C1505" s="10">
        <v>44.1</v>
      </c>
      <c r="D1505" s="10">
        <v>2013</v>
      </c>
    </row>
    <row r="1506" spans="1:4" ht="19.95" customHeight="1" x14ac:dyDescent="0.25">
      <c r="A1506" s="9" t="s">
        <v>29</v>
      </c>
      <c r="B1506" s="10" t="s">
        <v>40</v>
      </c>
      <c r="C1506" s="10">
        <v>32.6</v>
      </c>
      <c r="D1506" s="10">
        <v>2013</v>
      </c>
    </row>
    <row r="1507" spans="1:4" ht="19.95" customHeight="1" x14ac:dyDescent="0.25">
      <c r="A1507" s="9" t="s">
        <v>30</v>
      </c>
      <c r="B1507" s="10" t="s">
        <v>40</v>
      </c>
      <c r="C1507" s="10">
        <v>17</v>
      </c>
      <c r="D1507" s="10">
        <v>2013</v>
      </c>
    </row>
    <row r="1508" spans="1:4" ht="19.95" customHeight="1" x14ac:dyDescent="0.25">
      <c r="A1508" s="9" t="s">
        <v>31</v>
      </c>
      <c r="B1508" s="10" t="s">
        <v>40</v>
      </c>
      <c r="C1508" s="10">
        <v>55.5</v>
      </c>
      <c r="D1508" s="10">
        <v>2013</v>
      </c>
    </row>
    <row r="1509" spans="1:4" ht="19.95" customHeight="1" x14ac:dyDescent="0.25">
      <c r="A1509" s="9" t="s">
        <v>32</v>
      </c>
      <c r="B1509" s="10" t="s">
        <v>40</v>
      </c>
      <c r="C1509" s="10">
        <v>35</v>
      </c>
      <c r="D1509" s="10">
        <v>2013</v>
      </c>
    </row>
    <row r="1510" spans="1:4" ht="19.95" customHeight="1" x14ac:dyDescent="0.25">
      <c r="A1510" s="9" t="s">
        <v>33</v>
      </c>
      <c r="B1510" s="10" t="s">
        <v>40</v>
      </c>
      <c r="C1510" s="10">
        <v>29.2</v>
      </c>
      <c r="D1510" s="10">
        <v>2013</v>
      </c>
    </row>
    <row r="1511" spans="1:4" ht="19.95" customHeight="1" x14ac:dyDescent="0.25">
      <c r="A1511" s="9" t="s">
        <v>34</v>
      </c>
      <c r="B1511" s="10" t="s">
        <v>40</v>
      </c>
      <c r="C1511" s="10">
        <v>8.9</v>
      </c>
      <c r="D1511" s="10">
        <v>2013</v>
      </c>
    </row>
    <row r="1512" spans="1:4" ht="19.95" customHeight="1" x14ac:dyDescent="0.25">
      <c r="A1512" s="9" t="s">
        <v>35</v>
      </c>
      <c r="B1512" s="10" t="s">
        <v>40</v>
      </c>
      <c r="C1512" s="10">
        <v>33.200000000000003</v>
      </c>
      <c r="D1512" s="10">
        <v>2013</v>
      </c>
    </row>
    <row r="1513" spans="1:4" ht="19.95" customHeight="1" x14ac:dyDescent="0.25">
      <c r="A1513" s="9" t="s">
        <v>36</v>
      </c>
      <c r="B1513" s="10" t="s">
        <v>40</v>
      </c>
      <c r="C1513" s="10">
        <v>43.5</v>
      </c>
      <c r="D1513" s="10">
        <v>2013</v>
      </c>
    </row>
    <row r="1514" spans="1:4" ht="19.95" customHeight="1" x14ac:dyDescent="0.25">
      <c r="A1514" s="9" t="s">
        <v>37</v>
      </c>
      <c r="B1514" s="10" t="s">
        <v>40</v>
      </c>
      <c r="C1514" s="10">
        <v>42.9</v>
      </c>
      <c r="D1514" s="10">
        <v>2013</v>
      </c>
    </row>
    <row r="1515" spans="1:4" ht="19.95" customHeight="1" x14ac:dyDescent="0.25">
      <c r="A1515" s="9" t="s">
        <v>38</v>
      </c>
      <c r="B1515" s="10" t="s">
        <v>40</v>
      </c>
      <c r="C1515" s="10">
        <v>48.3</v>
      </c>
      <c r="D1515" s="10">
        <v>2013</v>
      </c>
    </row>
    <row r="1516" spans="1:4" ht="19.95" customHeight="1" x14ac:dyDescent="0.25">
      <c r="A1516" s="9" t="s">
        <v>39</v>
      </c>
      <c r="B1516" s="10" t="s">
        <v>40</v>
      </c>
      <c r="C1516" s="10">
        <v>45.4</v>
      </c>
      <c r="D1516" s="10">
        <v>2013</v>
      </c>
    </row>
    <row r="1517" spans="1:4" ht="19.95" customHeight="1" x14ac:dyDescent="0.25">
      <c r="A1517" s="9" t="s">
        <v>9</v>
      </c>
      <c r="B1517" s="10" t="s">
        <v>40</v>
      </c>
      <c r="C1517" s="10">
        <v>48</v>
      </c>
      <c r="D1517" s="10">
        <v>2014</v>
      </c>
    </row>
    <row r="1518" spans="1:4" ht="19.95" customHeight="1" x14ac:dyDescent="0.25">
      <c r="A1518" s="9" t="s">
        <v>12</v>
      </c>
      <c r="B1518" s="10" t="s">
        <v>40</v>
      </c>
      <c r="C1518" s="10">
        <v>60.3</v>
      </c>
      <c r="D1518" s="10">
        <v>2014</v>
      </c>
    </row>
    <row r="1519" spans="1:4" ht="19.95" customHeight="1" x14ac:dyDescent="0.25">
      <c r="A1519" s="9" t="s">
        <v>13</v>
      </c>
      <c r="B1519" s="10" t="s">
        <v>40</v>
      </c>
      <c r="C1519" s="10">
        <v>78.400000000000006</v>
      </c>
      <c r="D1519" s="10">
        <v>2014</v>
      </c>
    </row>
    <row r="1520" spans="1:4" ht="19.95" customHeight="1" x14ac:dyDescent="0.25">
      <c r="A1520" s="9" t="s">
        <v>15</v>
      </c>
      <c r="B1520" s="10" t="s">
        <v>40</v>
      </c>
      <c r="C1520" s="10">
        <v>56.4</v>
      </c>
      <c r="D1520" s="10">
        <v>2014</v>
      </c>
    </row>
    <row r="1521" spans="1:4" ht="19.95" customHeight="1" x14ac:dyDescent="0.25">
      <c r="A1521" s="9" t="s">
        <v>16</v>
      </c>
      <c r="B1521" s="10" t="s">
        <v>40</v>
      </c>
      <c r="C1521" s="10">
        <v>56.1</v>
      </c>
      <c r="D1521" s="10">
        <v>2014</v>
      </c>
    </row>
    <row r="1522" spans="1:4" ht="19.95" customHeight="1" x14ac:dyDescent="0.25">
      <c r="A1522" s="9" t="s">
        <v>1</v>
      </c>
      <c r="B1522" s="10" t="s">
        <v>40</v>
      </c>
      <c r="C1522" s="10">
        <v>46.1</v>
      </c>
      <c r="D1522" s="10">
        <v>2014</v>
      </c>
    </row>
    <row r="1523" spans="1:4" ht="19.95" customHeight="1" x14ac:dyDescent="0.25">
      <c r="A1523" s="9" t="s">
        <v>17</v>
      </c>
      <c r="B1523" s="10" t="s">
        <v>40</v>
      </c>
      <c r="C1523" s="10">
        <v>61.6</v>
      </c>
      <c r="D1523" s="10">
        <v>2014</v>
      </c>
    </row>
    <row r="1524" spans="1:4" ht="19.95" customHeight="1" x14ac:dyDescent="0.25">
      <c r="A1524" s="9" t="s">
        <v>18</v>
      </c>
      <c r="B1524" s="10" t="s">
        <v>40</v>
      </c>
      <c r="C1524" s="10">
        <v>57</v>
      </c>
      <c r="D1524" s="10">
        <v>2014</v>
      </c>
    </row>
    <row r="1525" spans="1:4" ht="19.95" customHeight="1" x14ac:dyDescent="0.25">
      <c r="A1525" s="9" t="s">
        <v>19</v>
      </c>
      <c r="B1525" s="10" t="s">
        <v>40</v>
      </c>
      <c r="C1525" s="10">
        <v>36.299999999999997</v>
      </c>
      <c r="D1525" s="10">
        <v>2014</v>
      </c>
    </row>
    <row r="1526" spans="1:4" ht="19.95" customHeight="1" x14ac:dyDescent="0.25">
      <c r="A1526" s="9" t="s">
        <v>20</v>
      </c>
      <c r="B1526" s="10" t="s">
        <v>40</v>
      </c>
      <c r="C1526" s="10"/>
      <c r="D1526" s="10">
        <v>2014</v>
      </c>
    </row>
    <row r="1527" spans="1:4" ht="19.95" customHeight="1" x14ac:dyDescent="0.25">
      <c r="A1527" s="9" t="s">
        <v>21</v>
      </c>
      <c r="B1527" s="10" t="s">
        <v>40</v>
      </c>
      <c r="C1527" s="10">
        <v>61.2</v>
      </c>
      <c r="D1527" s="10">
        <v>2014</v>
      </c>
    </row>
    <row r="1528" spans="1:4" ht="19.95" customHeight="1" x14ac:dyDescent="0.25">
      <c r="A1528" s="9" t="s">
        <v>22</v>
      </c>
      <c r="B1528" s="10" t="s">
        <v>40</v>
      </c>
      <c r="C1528" s="10">
        <v>36.1</v>
      </c>
      <c r="D1528" s="10">
        <v>2014</v>
      </c>
    </row>
    <row r="1529" spans="1:4" ht="19.95" customHeight="1" x14ac:dyDescent="0.25">
      <c r="A1529" s="9" t="s">
        <v>23</v>
      </c>
      <c r="B1529" s="10" t="s">
        <v>40</v>
      </c>
      <c r="C1529" s="10">
        <v>44.1</v>
      </c>
      <c r="D1529" s="10">
        <v>2014</v>
      </c>
    </row>
    <row r="1530" spans="1:4" ht="19.95" customHeight="1" x14ac:dyDescent="0.25">
      <c r="A1530" s="9" t="s">
        <v>24</v>
      </c>
      <c r="B1530" s="10" t="s">
        <v>40</v>
      </c>
      <c r="C1530" s="10">
        <v>71</v>
      </c>
      <c r="D1530" s="10">
        <v>2014</v>
      </c>
    </row>
    <row r="1531" spans="1:4" ht="19.95" customHeight="1" x14ac:dyDescent="0.25">
      <c r="A1531" s="9" t="s">
        <v>25</v>
      </c>
      <c r="B1531" s="10" t="s">
        <v>40</v>
      </c>
      <c r="C1531" s="10">
        <v>14</v>
      </c>
      <c r="D1531" s="10">
        <v>2014</v>
      </c>
    </row>
    <row r="1532" spans="1:4" ht="19.95" customHeight="1" x14ac:dyDescent="0.25">
      <c r="A1532" s="9" t="s">
        <v>26</v>
      </c>
      <c r="B1532" s="10" t="s">
        <v>40</v>
      </c>
      <c r="C1532" s="10">
        <v>58.9</v>
      </c>
      <c r="D1532" s="10">
        <v>2014</v>
      </c>
    </row>
    <row r="1533" spans="1:4" ht="19.95" customHeight="1" x14ac:dyDescent="0.25">
      <c r="A1533" s="9" t="s">
        <v>28</v>
      </c>
      <c r="B1533" s="10" t="s">
        <v>40</v>
      </c>
      <c r="C1533" s="10">
        <v>42.5</v>
      </c>
      <c r="D1533" s="10">
        <v>2014</v>
      </c>
    </row>
    <row r="1534" spans="1:4" ht="19.95" customHeight="1" x14ac:dyDescent="0.25">
      <c r="A1534" s="9" t="s">
        <v>29</v>
      </c>
      <c r="B1534" s="10" t="s">
        <v>40</v>
      </c>
      <c r="C1534" s="10">
        <v>31.2</v>
      </c>
      <c r="D1534" s="10">
        <v>2014</v>
      </c>
    </row>
    <row r="1535" spans="1:4" ht="19.95" customHeight="1" x14ac:dyDescent="0.25">
      <c r="A1535" s="9" t="s">
        <v>30</v>
      </c>
      <c r="B1535" s="10" t="s">
        <v>40</v>
      </c>
      <c r="C1535" s="10">
        <v>16.399999999999999</v>
      </c>
      <c r="D1535" s="10">
        <v>2014</v>
      </c>
    </row>
    <row r="1536" spans="1:4" ht="19.95" customHeight="1" x14ac:dyDescent="0.25">
      <c r="A1536" s="9" t="s">
        <v>31</v>
      </c>
      <c r="B1536" s="10" t="s">
        <v>40</v>
      </c>
      <c r="C1536" s="10">
        <v>53.5</v>
      </c>
      <c r="D1536" s="10">
        <v>2014</v>
      </c>
    </row>
    <row r="1537" spans="1:4" ht="19.95" customHeight="1" x14ac:dyDescent="0.25">
      <c r="A1537" s="9" t="s">
        <v>32</v>
      </c>
      <c r="B1537" s="10" t="s">
        <v>40</v>
      </c>
      <c r="C1537" s="10">
        <v>33</v>
      </c>
      <c r="D1537" s="10">
        <v>2014</v>
      </c>
    </row>
    <row r="1538" spans="1:4" ht="19.95" customHeight="1" x14ac:dyDescent="0.25">
      <c r="A1538" s="9" t="s">
        <v>33</v>
      </c>
      <c r="B1538" s="10" t="s">
        <v>40</v>
      </c>
      <c r="C1538" s="10">
        <v>28.1</v>
      </c>
      <c r="D1538" s="10">
        <v>2014</v>
      </c>
    </row>
    <row r="1539" spans="1:4" ht="19.95" customHeight="1" x14ac:dyDescent="0.25">
      <c r="A1539" s="9" t="s">
        <v>34</v>
      </c>
      <c r="B1539" s="10" t="s">
        <v>40</v>
      </c>
      <c r="C1539" s="10">
        <v>8.5</v>
      </c>
      <c r="D1539" s="10">
        <v>2014</v>
      </c>
    </row>
    <row r="1540" spans="1:4" ht="19.95" customHeight="1" x14ac:dyDescent="0.25">
      <c r="A1540" s="9" t="s">
        <v>35</v>
      </c>
      <c r="B1540" s="10" t="s">
        <v>40</v>
      </c>
      <c r="C1540" s="10">
        <v>32.200000000000003</v>
      </c>
      <c r="D1540" s="10">
        <v>2014</v>
      </c>
    </row>
    <row r="1541" spans="1:4" ht="19.95" customHeight="1" x14ac:dyDescent="0.25">
      <c r="A1541" s="9" t="s">
        <v>36</v>
      </c>
      <c r="B1541" s="10" t="s">
        <v>40</v>
      </c>
      <c r="C1541" s="10">
        <v>42.4</v>
      </c>
      <c r="D1541" s="10">
        <v>2014</v>
      </c>
    </row>
    <row r="1542" spans="1:4" ht="19.95" customHeight="1" x14ac:dyDescent="0.25">
      <c r="A1542" s="9" t="s">
        <v>37</v>
      </c>
      <c r="B1542" s="10" t="s">
        <v>40</v>
      </c>
      <c r="C1542" s="10">
        <v>41</v>
      </c>
      <c r="D1542" s="10">
        <v>2014</v>
      </c>
    </row>
    <row r="1543" spans="1:4" ht="19.95" customHeight="1" x14ac:dyDescent="0.25">
      <c r="A1543" s="9" t="s">
        <v>38</v>
      </c>
      <c r="B1543" s="10" t="s">
        <v>40</v>
      </c>
      <c r="C1543" s="10">
        <v>46.3</v>
      </c>
      <c r="D1543" s="10">
        <v>2014</v>
      </c>
    </row>
    <row r="1544" spans="1:4" ht="19.95" customHeight="1" x14ac:dyDescent="0.25">
      <c r="A1544" s="9" t="s">
        <v>39</v>
      </c>
      <c r="B1544" s="10" t="s">
        <v>40</v>
      </c>
      <c r="C1544" s="10">
        <v>42.3</v>
      </c>
      <c r="D1544" s="10">
        <v>2014</v>
      </c>
    </row>
    <row r="1545" spans="1:4" ht="19.95" customHeight="1" x14ac:dyDescent="0.25">
      <c r="A1545" s="9" t="s">
        <v>9</v>
      </c>
      <c r="B1545" s="10" t="s">
        <v>40</v>
      </c>
      <c r="C1545" s="10">
        <v>45.9</v>
      </c>
      <c r="D1545" s="10">
        <v>2015</v>
      </c>
    </row>
    <row r="1546" spans="1:4" ht="19.95" customHeight="1" x14ac:dyDescent="0.25">
      <c r="A1546" s="9" t="s">
        <v>12</v>
      </c>
      <c r="B1546" s="10" t="s">
        <v>40</v>
      </c>
      <c r="C1546" s="10">
        <v>58.2</v>
      </c>
      <c r="D1546" s="10">
        <v>2015</v>
      </c>
    </row>
    <row r="1547" spans="1:4" ht="19.95" customHeight="1" x14ac:dyDescent="0.25">
      <c r="A1547" s="9" t="s">
        <v>13</v>
      </c>
      <c r="B1547" s="10" t="s">
        <v>40</v>
      </c>
      <c r="C1547" s="10">
        <v>76.7</v>
      </c>
      <c r="D1547" s="10">
        <v>2015</v>
      </c>
    </row>
    <row r="1548" spans="1:4" ht="19.95" customHeight="1" x14ac:dyDescent="0.25">
      <c r="A1548" s="9" t="s">
        <v>15</v>
      </c>
      <c r="B1548" s="10" t="s">
        <v>40</v>
      </c>
      <c r="C1548" s="10">
        <v>54.9</v>
      </c>
      <c r="D1548" s="10">
        <v>2015</v>
      </c>
    </row>
    <row r="1549" spans="1:4" ht="19.95" customHeight="1" x14ac:dyDescent="0.25">
      <c r="A1549" s="9" t="s">
        <v>16</v>
      </c>
      <c r="B1549" s="10" t="s">
        <v>40</v>
      </c>
      <c r="C1549" s="10">
        <v>54.5</v>
      </c>
      <c r="D1549" s="10">
        <v>2015</v>
      </c>
    </row>
    <row r="1550" spans="1:4" ht="19.95" customHeight="1" x14ac:dyDescent="0.25">
      <c r="A1550" s="9" t="s">
        <v>1</v>
      </c>
      <c r="B1550" s="10" t="s">
        <v>40</v>
      </c>
      <c r="C1550" s="10">
        <v>44.2</v>
      </c>
      <c r="D1550" s="10">
        <v>2015</v>
      </c>
    </row>
    <row r="1551" spans="1:4" ht="19.95" customHeight="1" x14ac:dyDescent="0.25">
      <c r="A1551" s="9" t="s">
        <v>17</v>
      </c>
      <c r="B1551" s="10" t="s">
        <v>40</v>
      </c>
      <c r="C1551" s="10">
        <v>59.8</v>
      </c>
      <c r="D1551" s="10">
        <v>2015</v>
      </c>
    </row>
    <row r="1552" spans="1:4" ht="19.95" customHeight="1" x14ac:dyDescent="0.25">
      <c r="A1552" s="9" t="s">
        <v>18</v>
      </c>
      <c r="B1552" s="10" t="s">
        <v>40</v>
      </c>
      <c r="C1552" s="10">
        <v>56.1</v>
      </c>
      <c r="D1552" s="10">
        <v>2015</v>
      </c>
    </row>
    <row r="1553" spans="1:4" ht="19.95" customHeight="1" x14ac:dyDescent="0.25">
      <c r="A1553" s="9" t="s">
        <v>19</v>
      </c>
      <c r="B1553" s="10" t="s">
        <v>40</v>
      </c>
      <c r="C1553" s="10">
        <v>35.1</v>
      </c>
      <c r="D1553" s="10">
        <v>2015</v>
      </c>
    </row>
    <row r="1554" spans="1:4" ht="19.95" customHeight="1" x14ac:dyDescent="0.25">
      <c r="A1554" s="9" t="s">
        <v>20</v>
      </c>
      <c r="B1554" s="10" t="s">
        <v>40</v>
      </c>
      <c r="C1554" s="10"/>
      <c r="D1554" s="10">
        <v>2015</v>
      </c>
    </row>
    <row r="1555" spans="1:4" ht="19.95" customHeight="1" x14ac:dyDescent="0.25">
      <c r="A1555" s="9" t="s">
        <v>21</v>
      </c>
      <c r="B1555" s="10" t="s">
        <v>40</v>
      </c>
      <c r="C1555" s="10">
        <v>59.3</v>
      </c>
      <c r="D1555" s="10">
        <v>2015</v>
      </c>
    </row>
    <row r="1556" spans="1:4" ht="19.95" customHeight="1" x14ac:dyDescent="0.25">
      <c r="A1556" s="9" t="s">
        <v>22</v>
      </c>
      <c r="B1556" s="10" t="s">
        <v>40</v>
      </c>
      <c r="C1556" s="10">
        <v>34.9</v>
      </c>
      <c r="D1556" s="10">
        <v>2015</v>
      </c>
    </row>
    <row r="1557" spans="1:4" ht="19.95" customHeight="1" x14ac:dyDescent="0.25">
      <c r="A1557" s="9" t="s">
        <v>23</v>
      </c>
      <c r="B1557" s="10" t="s">
        <v>40</v>
      </c>
      <c r="C1557" s="10">
        <v>42</v>
      </c>
      <c r="D1557" s="10">
        <v>2015</v>
      </c>
    </row>
    <row r="1558" spans="1:4" ht="19.95" customHeight="1" x14ac:dyDescent="0.25">
      <c r="A1558" s="9" t="s">
        <v>24</v>
      </c>
      <c r="B1558" s="10" t="s">
        <v>40</v>
      </c>
      <c r="C1558" s="10">
        <v>69.2</v>
      </c>
      <c r="D1558" s="10">
        <v>2015</v>
      </c>
    </row>
    <row r="1559" spans="1:4" ht="19.95" customHeight="1" x14ac:dyDescent="0.25">
      <c r="A1559" s="9" t="s">
        <v>25</v>
      </c>
      <c r="B1559" s="10" t="s">
        <v>40</v>
      </c>
      <c r="C1559" s="10">
        <v>13.8</v>
      </c>
      <c r="D1559" s="10">
        <v>2015</v>
      </c>
    </row>
    <row r="1560" spans="1:4" ht="19.95" customHeight="1" x14ac:dyDescent="0.25">
      <c r="A1560" s="9" t="s">
        <v>26</v>
      </c>
      <c r="B1560" s="10" t="s">
        <v>40</v>
      </c>
      <c r="C1560" s="10">
        <v>57</v>
      </c>
      <c r="D1560" s="10">
        <v>2015</v>
      </c>
    </row>
    <row r="1561" spans="1:4" ht="19.95" customHeight="1" x14ac:dyDescent="0.25">
      <c r="A1561" s="9" t="s">
        <v>28</v>
      </c>
      <c r="B1561" s="10" t="s">
        <v>40</v>
      </c>
      <c r="C1561" s="10">
        <v>41.1</v>
      </c>
      <c r="D1561" s="10">
        <v>2015</v>
      </c>
    </row>
    <row r="1562" spans="1:4" ht="19.95" customHeight="1" x14ac:dyDescent="0.25">
      <c r="A1562" s="9" t="s">
        <v>29</v>
      </c>
      <c r="B1562" s="10" t="s">
        <v>40</v>
      </c>
      <c r="C1562" s="10">
        <v>29.9</v>
      </c>
      <c r="D1562" s="10">
        <v>2015</v>
      </c>
    </row>
    <row r="1563" spans="1:4" ht="19.95" customHeight="1" x14ac:dyDescent="0.25">
      <c r="A1563" s="9" t="s">
        <v>30</v>
      </c>
      <c r="B1563" s="10" t="s">
        <v>40</v>
      </c>
      <c r="C1563" s="10">
        <v>15.9</v>
      </c>
      <c r="D1563" s="10">
        <v>2015</v>
      </c>
    </row>
    <row r="1564" spans="1:4" ht="19.95" customHeight="1" x14ac:dyDescent="0.25">
      <c r="A1564" s="9" t="s">
        <v>31</v>
      </c>
      <c r="B1564" s="10" t="s">
        <v>40</v>
      </c>
      <c r="C1564" s="10">
        <v>51.6</v>
      </c>
      <c r="D1564" s="10">
        <v>2015</v>
      </c>
    </row>
    <row r="1565" spans="1:4" ht="19.95" customHeight="1" x14ac:dyDescent="0.25">
      <c r="A1565" s="9" t="s">
        <v>32</v>
      </c>
      <c r="B1565" s="10" t="s">
        <v>40</v>
      </c>
      <c r="C1565" s="10">
        <v>31.4</v>
      </c>
      <c r="D1565" s="10">
        <v>2015</v>
      </c>
    </row>
    <row r="1566" spans="1:4" ht="19.95" customHeight="1" x14ac:dyDescent="0.25">
      <c r="A1566" s="9" t="s">
        <v>33</v>
      </c>
      <c r="B1566" s="10" t="s">
        <v>40</v>
      </c>
      <c r="C1566" s="10">
        <v>27.1</v>
      </c>
      <c r="D1566" s="10">
        <v>2015</v>
      </c>
    </row>
    <row r="1567" spans="1:4" ht="19.95" customHeight="1" x14ac:dyDescent="0.25">
      <c r="A1567" s="9" t="s">
        <v>34</v>
      </c>
      <c r="B1567" s="10" t="s">
        <v>40</v>
      </c>
      <c r="C1567" s="10">
        <v>8.1999999999999993</v>
      </c>
      <c r="D1567" s="10">
        <v>2015</v>
      </c>
    </row>
    <row r="1568" spans="1:4" ht="19.95" customHeight="1" x14ac:dyDescent="0.25">
      <c r="A1568" s="9" t="s">
        <v>35</v>
      </c>
      <c r="B1568" s="10" t="s">
        <v>40</v>
      </c>
      <c r="C1568" s="10">
        <v>31.3</v>
      </c>
      <c r="D1568" s="10">
        <v>2015</v>
      </c>
    </row>
    <row r="1569" spans="1:4" ht="19.95" customHeight="1" x14ac:dyDescent="0.25">
      <c r="A1569" s="9" t="s">
        <v>36</v>
      </c>
      <c r="B1569" s="10" t="s">
        <v>40</v>
      </c>
      <c r="C1569" s="10">
        <v>41</v>
      </c>
      <c r="D1569" s="10">
        <v>2015</v>
      </c>
    </row>
    <row r="1570" spans="1:4" ht="19.95" customHeight="1" x14ac:dyDescent="0.25">
      <c r="A1570" s="9" t="s">
        <v>37</v>
      </c>
      <c r="B1570" s="10" t="s">
        <v>40</v>
      </c>
      <c r="C1570" s="10">
        <v>39</v>
      </c>
      <c r="D1570" s="10">
        <v>2015</v>
      </c>
    </row>
    <row r="1571" spans="1:4" ht="19.95" customHeight="1" x14ac:dyDescent="0.25">
      <c r="A1571" s="9" t="s">
        <v>38</v>
      </c>
      <c r="B1571" s="10" t="s">
        <v>40</v>
      </c>
      <c r="C1571" s="10">
        <v>44.2</v>
      </c>
      <c r="D1571" s="10">
        <v>2015</v>
      </c>
    </row>
    <row r="1572" spans="1:4" ht="19.95" customHeight="1" x14ac:dyDescent="0.25">
      <c r="A1572" s="9" t="s">
        <v>39</v>
      </c>
      <c r="B1572" s="10" t="s">
        <v>40</v>
      </c>
      <c r="C1572" s="10">
        <v>40.200000000000003</v>
      </c>
      <c r="D1572" s="10">
        <v>2015</v>
      </c>
    </row>
    <row r="1573" spans="1:4" ht="19.95" customHeight="1" x14ac:dyDescent="0.25">
      <c r="A1573" s="9" t="s">
        <v>9</v>
      </c>
      <c r="B1573" s="10" t="s">
        <v>40</v>
      </c>
      <c r="C1573" s="10">
        <v>44.1</v>
      </c>
      <c r="D1573" s="10">
        <v>2016</v>
      </c>
    </row>
    <row r="1574" spans="1:4" ht="19.95" customHeight="1" x14ac:dyDescent="0.25">
      <c r="A1574" s="9" t="s">
        <v>12</v>
      </c>
      <c r="B1574" s="10" t="s">
        <v>40</v>
      </c>
      <c r="C1574" s="10">
        <v>56.6</v>
      </c>
      <c r="D1574" s="10">
        <v>2016</v>
      </c>
    </row>
    <row r="1575" spans="1:4" ht="19.95" customHeight="1" x14ac:dyDescent="0.25">
      <c r="A1575" s="9" t="s">
        <v>13</v>
      </c>
      <c r="B1575" s="10" t="s">
        <v>40</v>
      </c>
      <c r="C1575" s="10">
        <v>75</v>
      </c>
      <c r="D1575" s="10">
        <v>2016</v>
      </c>
    </row>
    <row r="1576" spans="1:4" ht="19.95" customHeight="1" x14ac:dyDescent="0.25">
      <c r="A1576" s="9" t="s">
        <v>15</v>
      </c>
      <c r="B1576" s="10" t="s">
        <v>40</v>
      </c>
      <c r="C1576" s="10">
        <v>53.6</v>
      </c>
      <c r="D1576" s="10">
        <v>2016</v>
      </c>
    </row>
    <row r="1577" spans="1:4" ht="19.95" customHeight="1" x14ac:dyDescent="0.25">
      <c r="A1577" s="9" t="s">
        <v>16</v>
      </c>
      <c r="B1577" s="10" t="s">
        <v>40</v>
      </c>
      <c r="C1577" s="10">
        <v>53</v>
      </c>
      <c r="D1577" s="10">
        <v>2016</v>
      </c>
    </row>
    <row r="1578" spans="1:4" ht="19.95" customHeight="1" x14ac:dyDescent="0.25">
      <c r="A1578" s="9" t="s">
        <v>1</v>
      </c>
      <c r="B1578" s="10" t="s">
        <v>40</v>
      </c>
      <c r="C1578" s="10">
        <v>42.5</v>
      </c>
      <c r="D1578" s="10">
        <v>2016</v>
      </c>
    </row>
    <row r="1579" spans="1:4" ht="19.95" customHeight="1" x14ac:dyDescent="0.25">
      <c r="A1579" s="9" t="s">
        <v>17</v>
      </c>
      <c r="B1579" s="10" t="s">
        <v>40</v>
      </c>
      <c r="C1579" s="10">
        <v>58.1</v>
      </c>
      <c r="D1579" s="10">
        <v>2016</v>
      </c>
    </row>
    <row r="1580" spans="1:4" ht="19.95" customHeight="1" x14ac:dyDescent="0.25">
      <c r="A1580" s="9" t="s">
        <v>18</v>
      </c>
      <c r="B1580" s="10" t="s">
        <v>40</v>
      </c>
      <c r="C1580" s="10">
        <v>55</v>
      </c>
      <c r="D1580" s="10">
        <v>2016</v>
      </c>
    </row>
    <row r="1581" spans="1:4" ht="19.95" customHeight="1" x14ac:dyDescent="0.25">
      <c r="A1581" s="9" t="s">
        <v>19</v>
      </c>
      <c r="B1581" s="10" t="s">
        <v>40</v>
      </c>
      <c r="C1581" s="10">
        <v>34.299999999999997</v>
      </c>
      <c r="D1581" s="10">
        <v>2016</v>
      </c>
    </row>
    <row r="1582" spans="1:4" ht="19.95" customHeight="1" x14ac:dyDescent="0.25">
      <c r="A1582" s="9" t="s">
        <v>20</v>
      </c>
      <c r="B1582" s="10" t="s">
        <v>40</v>
      </c>
      <c r="C1582" s="10"/>
      <c r="D1582" s="10">
        <v>2016</v>
      </c>
    </row>
    <row r="1583" spans="1:4" ht="19.95" customHeight="1" x14ac:dyDescent="0.25">
      <c r="A1583" s="9" t="s">
        <v>21</v>
      </c>
      <c r="B1583" s="10" t="s">
        <v>40</v>
      </c>
      <c r="C1583" s="10">
        <v>57.6</v>
      </c>
      <c r="D1583" s="10">
        <v>2016</v>
      </c>
    </row>
    <row r="1584" spans="1:4" ht="19.95" customHeight="1" x14ac:dyDescent="0.25">
      <c r="A1584" s="9" t="s">
        <v>22</v>
      </c>
      <c r="B1584" s="10" t="s">
        <v>40</v>
      </c>
      <c r="C1584" s="10">
        <v>33.700000000000003</v>
      </c>
      <c r="D1584" s="10">
        <v>2016</v>
      </c>
    </row>
    <row r="1585" spans="1:4" ht="19.95" customHeight="1" x14ac:dyDescent="0.25">
      <c r="A1585" s="9" t="s">
        <v>23</v>
      </c>
      <c r="B1585" s="10" t="s">
        <v>40</v>
      </c>
      <c r="C1585" s="10">
        <v>40.200000000000003</v>
      </c>
      <c r="D1585" s="10">
        <v>2016</v>
      </c>
    </row>
    <row r="1586" spans="1:4" ht="19.95" customHeight="1" x14ac:dyDescent="0.25">
      <c r="A1586" s="9" t="s">
        <v>24</v>
      </c>
      <c r="B1586" s="10" t="s">
        <v>40</v>
      </c>
      <c r="C1586" s="10">
        <v>67.400000000000006</v>
      </c>
      <c r="D1586" s="10">
        <v>2016</v>
      </c>
    </row>
    <row r="1587" spans="1:4" ht="19.95" customHeight="1" x14ac:dyDescent="0.25">
      <c r="A1587" s="9" t="s">
        <v>25</v>
      </c>
      <c r="B1587" s="10" t="s">
        <v>40</v>
      </c>
      <c r="C1587" s="10">
        <v>13.5</v>
      </c>
      <c r="D1587" s="10">
        <v>2016</v>
      </c>
    </row>
    <row r="1588" spans="1:4" ht="19.95" customHeight="1" x14ac:dyDescent="0.25">
      <c r="A1588" s="9" t="s">
        <v>26</v>
      </c>
      <c r="B1588" s="10" t="s">
        <v>40</v>
      </c>
      <c r="C1588" s="10">
        <v>55.2</v>
      </c>
      <c r="D1588" s="10">
        <v>2016</v>
      </c>
    </row>
    <row r="1589" spans="1:4" ht="19.95" customHeight="1" x14ac:dyDescent="0.25">
      <c r="A1589" s="9" t="s">
        <v>28</v>
      </c>
      <c r="B1589" s="10" t="s">
        <v>40</v>
      </c>
      <c r="C1589" s="10">
        <v>39.9</v>
      </c>
      <c r="D1589" s="10">
        <v>2016</v>
      </c>
    </row>
    <row r="1590" spans="1:4" ht="19.95" customHeight="1" x14ac:dyDescent="0.25">
      <c r="A1590" s="9" t="s">
        <v>29</v>
      </c>
      <c r="B1590" s="10" t="s">
        <v>40</v>
      </c>
      <c r="C1590" s="10">
        <v>28.8</v>
      </c>
      <c r="D1590" s="10">
        <v>2016</v>
      </c>
    </row>
    <row r="1591" spans="1:4" ht="19.95" customHeight="1" x14ac:dyDescent="0.25">
      <c r="A1591" s="9" t="s">
        <v>30</v>
      </c>
      <c r="B1591" s="10" t="s">
        <v>40</v>
      </c>
      <c r="C1591" s="10">
        <v>15.3</v>
      </c>
      <c r="D1591" s="10">
        <v>2016</v>
      </c>
    </row>
    <row r="1592" spans="1:4" ht="19.95" customHeight="1" x14ac:dyDescent="0.25">
      <c r="A1592" s="9" t="s">
        <v>31</v>
      </c>
      <c r="B1592" s="10" t="s">
        <v>40</v>
      </c>
      <c r="C1592" s="10">
        <v>49.9</v>
      </c>
      <c r="D1592" s="10">
        <v>2016</v>
      </c>
    </row>
    <row r="1593" spans="1:4" ht="19.95" customHeight="1" x14ac:dyDescent="0.25">
      <c r="A1593" s="9" t="s">
        <v>32</v>
      </c>
      <c r="B1593" s="10" t="s">
        <v>40</v>
      </c>
      <c r="C1593" s="10">
        <v>30.1</v>
      </c>
      <c r="D1593" s="10">
        <v>2016</v>
      </c>
    </row>
    <row r="1594" spans="1:4" ht="19.95" customHeight="1" x14ac:dyDescent="0.25">
      <c r="A1594" s="9" t="s">
        <v>33</v>
      </c>
      <c r="B1594" s="10" t="s">
        <v>40</v>
      </c>
      <c r="C1594" s="10">
        <v>26.1</v>
      </c>
      <c r="D1594" s="10">
        <v>2016</v>
      </c>
    </row>
    <row r="1595" spans="1:4" ht="19.95" customHeight="1" x14ac:dyDescent="0.25">
      <c r="A1595" s="9" t="s">
        <v>34</v>
      </c>
      <c r="B1595" s="10" t="s">
        <v>40</v>
      </c>
      <c r="C1595" s="10">
        <v>7.8</v>
      </c>
      <c r="D1595" s="10">
        <v>2016</v>
      </c>
    </row>
    <row r="1596" spans="1:4" ht="19.95" customHeight="1" x14ac:dyDescent="0.25">
      <c r="A1596" s="9" t="s">
        <v>35</v>
      </c>
      <c r="B1596" s="10" t="s">
        <v>40</v>
      </c>
      <c r="C1596" s="10">
        <v>30.3</v>
      </c>
      <c r="D1596" s="10">
        <v>2016</v>
      </c>
    </row>
    <row r="1597" spans="1:4" ht="19.95" customHeight="1" x14ac:dyDescent="0.25">
      <c r="A1597" s="9" t="s">
        <v>36</v>
      </c>
      <c r="B1597" s="10" t="s">
        <v>40</v>
      </c>
      <c r="C1597" s="10">
        <v>39.700000000000003</v>
      </c>
      <c r="D1597" s="10">
        <v>2016</v>
      </c>
    </row>
    <row r="1598" spans="1:4" ht="19.95" customHeight="1" x14ac:dyDescent="0.25">
      <c r="A1598" s="9" t="s">
        <v>37</v>
      </c>
      <c r="B1598" s="10" t="s">
        <v>40</v>
      </c>
      <c r="C1598" s="10">
        <v>37</v>
      </c>
      <c r="D1598" s="10">
        <v>2016</v>
      </c>
    </row>
    <row r="1599" spans="1:4" ht="19.95" customHeight="1" x14ac:dyDescent="0.25">
      <c r="A1599" s="9" t="s">
        <v>38</v>
      </c>
      <c r="B1599" s="10" t="s">
        <v>40</v>
      </c>
      <c r="C1599" s="10">
        <v>43</v>
      </c>
      <c r="D1599" s="10">
        <v>2016</v>
      </c>
    </row>
    <row r="1600" spans="1:4" ht="19.95" customHeight="1" x14ac:dyDescent="0.25">
      <c r="A1600" s="9" t="s">
        <v>39</v>
      </c>
      <c r="B1600" s="10" t="s">
        <v>40</v>
      </c>
      <c r="C1600" s="10">
        <v>38.200000000000003</v>
      </c>
      <c r="D1600" s="10">
        <v>2016</v>
      </c>
    </row>
    <row r="1601" spans="1:4" ht="19.95" customHeight="1" x14ac:dyDescent="0.25">
      <c r="A1601" s="9" t="s">
        <v>9</v>
      </c>
      <c r="B1601" s="10" t="s">
        <v>40</v>
      </c>
      <c r="C1601" s="10">
        <v>42.5</v>
      </c>
      <c r="D1601" s="10">
        <v>2017</v>
      </c>
    </row>
    <row r="1602" spans="1:4" ht="19.95" customHeight="1" x14ac:dyDescent="0.25">
      <c r="A1602" s="9" t="s">
        <v>12</v>
      </c>
      <c r="B1602" s="10" t="s">
        <v>40</v>
      </c>
      <c r="C1602" s="10">
        <v>55.1</v>
      </c>
      <c r="D1602" s="10">
        <v>2017</v>
      </c>
    </row>
    <row r="1603" spans="1:4" ht="19.95" customHeight="1" x14ac:dyDescent="0.25">
      <c r="A1603" s="9" t="s">
        <v>13</v>
      </c>
      <c r="B1603" s="10" t="s">
        <v>40</v>
      </c>
      <c r="C1603" s="10">
        <v>73.400000000000006</v>
      </c>
      <c r="D1603" s="10">
        <v>2017</v>
      </c>
    </row>
    <row r="1604" spans="1:4" ht="19.95" customHeight="1" x14ac:dyDescent="0.25">
      <c r="A1604" s="9" t="s">
        <v>15</v>
      </c>
      <c r="B1604" s="10" t="s">
        <v>40</v>
      </c>
      <c r="C1604" s="10">
        <v>52.2</v>
      </c>
      <c r="D1604" s="10">
        <v>2017</v>
      </c>
    </row>
    <row r="1605" spans="1:4" ht="19.95" customHeight="1" x14ac:dyDescent="0.25">
      <c r="A1605" s="9" t="s">
        <v>16</v>
      </c>
      <c r="B1605" s="10" t="s">
        <v>40</v>
      </c>
      <c r="C1605" s="10">
        <v>51.5</v>
      </c>
      <c r="D1605" s="10">
        <v>2017</v>
      </c>
    </row>
    <row r="1606" spans="1:4" ht="19.95" customHeight="1" x14ac:dyDescent="0.25">
      <c r="A1606" s="9" t="s">
        <v>1</v>
      </c>
      <c r="B1606" s="10" t="s">
        <v>40</v>
      </c>
      <c r="C1606" s="10">
        <v>41</v>
      </c>
      <c r="D1606" s="10">
        <v>2017</v>
      </c>
    </row>
    <row r="1607" spans="1:4" ht="19.95" customHeight="1" x14ac:dyDescent="0.25">
      <c r="A1607" s="9" t="s">
        <v>17</v>
      </c>
      <c r="B1607" s="10" t="s">
        <v>40</v>
      </c>
      <c r="C1607" s="10">
        <v>56.4</v>
      </c>
      <c r="D1607" s="10">
        <v>2017</v>
      </c>
    </row>
    <row r="1608" spans="1:4" ht="19.95" customHeight="1" x14ac:dyDescent="0.25">
      <c r="A1608" s="9" t="s">
        <v>18</v>
      </c>
      <c r="B1608" s="10" t="s">
        <v>40</v>
      </c>
      <c r="C1608" s="10">
        <v>53.9</v>
      </c>
      <c r="D1608" s="10">
        <v>2017</v>
      </c>
    </row>
    <row r="1609" spans="1:4" ht="19.95" customHeight="1" x14ac:dyDescent="0.25">
      <c r="A1609" s="9" t="s">
        <v>19</v>
      </c>
      <c r="B1609" s="10" t="s">
        <v>40</v>
      </c>
      <c r="C1609" s="10">
        <v>33.6</v>
      </c>
      <c r="D1609" s="10">
        <v>2017</v>
      </c>
    </row>
    <row r="1610" spans="1:4" ht="19.95" customHeight="1" x14ac:dyDescent="0.25">
      <c r="A1610" s="9" t="s">
        <v>20</v>
      </c>
      <c r="B1610" s="10" t="s">
        <v>40</v>
      </c>
      <c r="C1610" s="10"/>
      <c r="D1610" s="10">
        <v>2017</v>
      </c>
    </row>
    <row r="1611" spans="1:4" ht="19.95" customHeight="1" x14ac:dyDescent="0.25">
      <c r="A1611" s="9" t="s">
        <v>21</v>
      </c>
      <c r="B1611" s="10" t="s">
        <v>40</v>
      </c>
      <c r="C1611" s="10">
        <v>55.9</v>
      </c>
      <c r="D1611" s="10">
        <v>2017</v>
      </c>
    </row>
    <row r="1612" spans="1:4" ht="19.95" customHeight="1" x14ac:dyDescent="0.25">
      <c r="A1612" s="9" t="s">
        <v>22</v>
      </c>
      <c r="B1612" s="10" t="s">
        <v>40</v>
      </c>
      <c r="C1612" s="10">
        <v>32.700000000000003</v>
      </c>
      <c r="D1612" s="10">
        <v>2017</v>
      </c>
    </row>
    <row r="1613" spans="1:4" ht="19.95" customHeight="1" x14ac:dyDescent="0.25">
      <c r="A1613" s="9" t="s">
        <v>23</v>
      </c>
      <c r="B1613" s="10" t="s">
        <v>40</v>
      </c>
      <c r="C1613" s="10">
        <v>38.5</v>
      </c>
      <c r="D1613" s="10">
        <v>2017</v>
      </c>
    </row>
    <row r="1614" spans="1:4" ht="19.95" customHeight="1" x14ac:dyDescent="0.25">
      <c r="A1614" s="9" t="s">
        <v>24</v>
      </c>
      <c r="B1614" s="10" t="s">
        <v>40</v>
      </c>
      <c r="C1614" s="10">
        <v>65.8</v>
      </c>
      <c r="D1614" s="10">
        <v>2017</v>
      </c>
    </row>
    <row r="1615" spans="1:4" ht="19.95" customHeight="1" x14ac:dyDescent="0.25">
      <c r="A1615" s="9" t="s">
        <v>25</v>
      </c>
      <c r="B1615" s="10" t="s">
        <v>40</v>
      </c>
      <c r="C1615" s="10">
        <v>13.3</v>
      </c>
      <c r="D1615" s="10">
        <v>2017</v>
      </c>
    </row>
    <row r="1616" spans="1:4" ht="19.95" customHeight="1" x14ac:dyDescent="0.25">
      <c r="A1616" s="9" t="s">
        <v>26</v>
      </c>
      <c r="B1616" s="10" t="s">
        <v>40</v>
      </c>
      <c r="C1616" s="10">
        <v>53.3</v>
      </c>
      <c r="D1616" s="10">
        <v>2017</v>
      </c>
    </row>
    <row r="1617" spans="1:4" ht="19.95" customHeight="1" x14ac:dyDescent="0.25">
      <c r="A1617" s="9" t="s">
        <v>28</v>
      </c>
      <c r="B1617" s="10" t="s">
        <v>40</v>
      </c>
      <c r="C1617" s="10">
        <v>38.5</v>
      </c>
      <c r="D1617" s="10">
        <v>2017</v>
      </c>
    </row>
    <row r="1618" spans="1:4" ht="19.95" customHeight="1" x14ac:dyDescent="0.25">
      <c r="A1618" s="9" t="s">
        <v>29</v>
      </c>
      <c r="B1618" s="10" t="s">
        <v>40</v>
      </c>
      <c r="C1618" s="10">
        <v>27.8</v>
      </c>
      <c r="D1618" s="10">
        <v>2017</v>
      </c>
    </row>
    <row r="1619" spans="1:4" ht="19.95" customHeight="1" x14ac:dyDescent="0.25">
      <c r="A1619" s="9" t="s">
        <v>30</v>
      </c>
      <c r="B1619" s="10" t="s">
        <v>40</v>
      </c>
      <c r="C1619" s="10">
        <v>14.8</v>
      </c>
      <c r="D1619" s="10">
        <v>2017</v>
      </c>
    </row>
    <row r="1620" spans="1:4" ht="19.95" customHeight="1" x14ac:dyDescent="0.25">
      <c r="A1620" s="9" t="s">
        <v>31</v>
      </c>
      <c r="B1620" s="10" t="s">
        <v>40</v>
      </c>
      <c r="C1620" s="10">
        <v>48.3</v>
      </c>
      <c r="D1620" s="10">
        <v>2017</v>
      </c>
    </row>
    <row r="1621" spans="1:4" ht="19.95" customHeight="1" x14ac:dyDescent="0.25">
      <c r="A1621" s="9" t="s">
        <v>32</v>
      </c>
      <c r="B1621" s="10" t="s">
        <v>40</v>
      </c>
      <c r="C1621" s="10">
        <v>28.9</v>
      </c>
      <c r="D1621" s="10">
        <v>2017</v>
      </c>
    </row>
    <row r="1622" spans="1:4" ht="19.95" customHeight="1" x14ac:dyDescent="0.25">
      <c r="A1622" s="9" t="s">
        <v>33</v>
      </c>
      <c r="B1622" s="10" t="s">
        <v>40</v>
      </c>
      <c r="C1622" s="10">
        <v>25.2</v>
      </c>
      <c r="D1622" s="10">
        <v>2017</v>
      </c>
    </row>
    <row r="1623" spans="1:4" ht="19.95" customHeight="1" x14ac:dyDescent="0.25">
      <c r="A1623" s="9" t="s">
        <v>34</v>
      </c>
      <c r="B1623" s="10" t="s">
        <v>40</v>
      </c>
      <c r="C1623" s="10">
        <v>7.5</v>
      </c>
      <c r="D1623" s="10">
        <v>2017</v>
      </c>
    </row>
    <row r="1624" spans="1:4" ht="19.95" customHeight="1" x14ac:dyDescent="0.25">
      <c r="A1624" s="9" t="s">
        <v>35</v>
      </c>
      <c r="B1624" s="10" t="s">
        <v>40</v>
      </c>
      <c r="C1624" s="10">
        <v>29.4</v>
      </c>
      <c r="D1624" s="10">
        <v>2017</v>
      </c>
    </row>
    <row r="1625" spans="1:4" ht="19.95" customHeight="1" x14ac:dyDescent="0.25">
      <c r="A1625" s="9" t="s">
        <v>36</v>
      </c>
      <c r="B1625" s="10" t="s">
        <v>40</v>
      </c>
      <c r="C1625" s="10">
        <v>38.299999999999997</v>
      </c>
      <c r="D1625" s="10">
        <v>2017</v>
      </c>
    </row>
    <row r="1626" spans="1:4" ht="19.95" customHeight="1" x14ac:dyDescent="0.25">
      <c r="A1626" s="9" t="s">
        <v>37</v>
      </c>
      <c r="B1626" s="10" t="s">
        <v>40</v>
      </c>
      <c r="C1626" s="10">
        <v>35.4</v>
      </c>
      <c r="D1626" s="10">
        <v>2017</v>
      </c>
    </row>
    <row r="1627" spans="1:4" ht="19.95" customHeight="1" x14ac:dyDescent="0.25">
      <c r="A1627" s="9" t="s">
        <v>38</v>
      </c>
      <c r="B1627" s="10" t="s">
        <v>40</v>
      </c>
      <c r="C1627" s="10">
        <v>41.5</v>
      </c>
      <c r="D1627" s="10">
        <v>2017</v>
      </c>
    </row>
    <row r="1628" spans="1:4" ht="19.95" customHeight="1" x14ac:dyDescent="0.25">
      <c r="A1628" s="9" t="s">
        <v>39</v>
      </c>
      <c r="B1628" s="10" t="s">
        <v>40</v>
      </c>
      <c r="C1628" s="10">
        <v>36.5</v>
      </c>
      <c r="D1628" s="10">
        <v>2017</v>
      </c>
    </row>
  </sheetData>
  <mergeCells count="3">
    <mergeCell ref="G2:K2"/>
    <mergeCell ref="J4:K4"/>
    <mergeCell ref="N18:N25"/>
  </mergeCells>
  <phoneticPr fontId="12" type="noConversion"/>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nlever">
                <anchor moveWithCells="1" sizeWithCells="1">
                  <from>
                    <xdr:col>4</xdr:col>
                    <xdr:colOff>822960</xdr:colOff>
                    <xdr:row>6</xdr:row>
                    <xdr:rowOff>45720</xdr:rowOff>
                  </from>
                  <to>
                    <xdr:col>5</xdr:col>
                    <xdr:colOff>1013460</xdr:colOff>
                    <xdr:row>7</xdr:row>
                    <xdr:rowOff>160020</xdr:rowOff>
                  </to>
                </anchor>
              </controlPr>
            </control>
          </mc:Choice>
        </mc:AlternateContent>
        <mc:AlternateContent xmlns:mc="http://schemas.openxmlformats.org/markup-compatibility/2006">
          <mc:Choice Requires="x14">
            <control shapeId="3074" r:id="rId5" name="Button 2">
              <controlPr defaultSize="0" print="0" autoFill="0" autoPict="0" macro="[0]!afficher">
                <anchor moveWithCells="1" sizeWithCells="1">
                  <from>
                    <xdr:col>5</xdr:col>
                    <xdr:colOff>0</xdr:colOff>
                    <xdr:row>3</xdr:row>
                    <xdr:rowOff>266700</xdr:rowOff>
                  </from>
                  <to>
                    <xdr:col>5</xdr:col>
                    <xdr:colOff>1013460</xdr:colOff>
                    <xdr:row>5</xdr:row>
                    <xdr:rowOff>144780</xdr:rowOff>
                  </to>
                </anchor>
              </controlPr>
            </control>
          </mc:Choice>
        </mc:AlternateContent>
        <mc:AlternateContent xmlns:mc="http://schemas.openxmlformats.org/markup-compatibility/2006">
          <mc:Choice Requires="x14">
            <control shapeId="3076" r:id="rId6" name="comite 2">
              <controlPr defaultSize="0" print="0" autoFill="0" autoPict="0" macro="[0]!SelectSheet">
                <anchor moveWithCells="1" sizeWithCells="1">
                  <from>
                    <xdr:col>5</xdr:col>
                    <xdr:colOff>0</xdr:colOff>
                    <xdr:row>8</xdr:row>
                    <xdr:rowOff>60960</xdr:rowOff>
                  </from>
                  <to>
                    <xdr:col>5</xdr:col>
                    <xdr:colOff>998220</xdr:colOff>
                    <xdr:row>9</xdr:row>
                    <xdr:rowOff>160020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2:O1628"/>
  <sheetViews>
    <sheetView showGridLines="0" topLeftCell="E55" zoomScale="80" zoomScaleNormal="80" workbookViewId="0">
      <selection activeCell="G2" sqref="G2:K2"/>
    </sheetView>
  </sheetViews>
  <sheetFormatPr defaultColWidth="8" defaultRowHeight="19.95" customHeight="1" x14ac:dyDescent="0.25"/>
  <cols>
    <col min="1" max="1" width="21.19921875" style="1" hidden="1" customWidth="1"/>
    <col min="2" max="2" width="27.3984375" style="1" hidden="1" customWidth="1"/>
    <col min="3" max="3" width="16.59765625" style="1" hidden="1" customWidth="1"/>
    <col min="4" max="4" width="12.8984375" style="1" hidden="1" customWidth="1"/>
    <col min="5" max="5" width="10.59765625" style="1" customWidth="1"/>
    <col min="6" max="6" width="14.5" style="1" customWidth="1"/>
    <col min="7" max="7" width="26.8984375" style="1" customWidth="1"/>
    <col min="8" max="8" width="78.5" style="1" customWidth="1"/>
    <col min="9" max="9" width="5.19921875" style="1" customWidth="1"/>
    <col min="10" max="10" width="13" style="1" bestFit="1" customWidth="1"/>
    <col min="11" max="11" width="16.59765625" style="1" bestFit="1" customWidth="1"/>
    <col min="12" max="15" width="12.69921875" style="1" bestFit="1" customWidth="1"/>
    <col min="16" max="19" width="11.09765625" style="1" bestFit="1" customWidth="1"/>
    <col min="20" max="21" width="12.09765625" style="1" bestFit="1" customWidth="1"/>
    <col min="22" max="24" width="11.09765625" style="1" bestFit="1" customWidth="1"/>
    <col min="25" max="25" width="12.09765625" style="1" bestFit="1" customWidth="1"/>
    <col min="26" max="26" width="12.19921875" style="1" bestFit="1" customWidth="1"/>
    <col min="27" max="30" width="11.09765625" style="1" bestFit="1" customWidth="1"/>
    <col min="31" max="31" width="12.09765625" style="1" bestFit="1" customWidth="1"/>
    <col min="32" max="32" width="21" style="1" bestFit="1" customWidth="1"/>
    <col min="33" max="38" width="11.09765625" style="1" bestFit="1" customWidth="1"/>
    <col min="39" max="39" width="11.19921875" style="1" bestFit="1" customWidth="1"/>
    <col min="40" max="16384" width="8" style="1"/>
  </cols>
  <sheetData>
    <row r="2" spans="1:15" ht="25.05" customHeight="1" x14ac:dyDescent="0.25">
      <c r="G2" s="26" t="s">
        <v>47</v>
      </c>
      <c r="H2" s="26"/>
      <c r="I2" s="26"/>
      <c r="J2" s="26"/>
      <c r="K2" s="26"/>
    </row>
    <row r="3" spans="1:15" ht="10.199999999999999" customHeight="1" x14ac:dyDescent="0.25"/>
    <row r="4" spans="1:15" ht="22.05" customHeight="1" thickBot="1" x14ac:dyDescent="0.3">
      <c r="A4" s="5" t="s">
        <v>3</v>
      </c>
      <c r="B4" s="5" t="s">
        <v>4</v>
      </c>
      <c r="C4" s="5" t="s">
        <v>5</v>
      </c>
      <c r="D4" s="5" t="s">
        <v>6</v>
      </c>
      <c r="H4" s="6" t="s">
        <v>7</v>
      </c>
      <c r="J4" s="28" t="s">
        <v>8</v>
      </c>
      <c r="K4" s="28"/>
    </row>
    <row r="5" spans="1:15" ht="19.95" customHeight="1" thickTop="1" x14ac:dyDescent="0.25">
      <c r="A5" s="7" t="s">
        <v>9</v>
      </c>
      <c r="B5" s="8" t="s">
        <v>42</v>
      </c>
      <c r="C5" s="8">
        <v>1.9450671046913399</v>
      </c>
      <c r="D5" s="8">
        <v>1960</v>
      </c>
      <c r="J5" s="30" t="s">
        <v>11</v>
      </c>
      <c r="K5" s="30" t="s">
        <v>3</v>
      </c>
      <c r="L5"/>
      <c r="M5"/>
      <c r="N5"/>
      <c r="O5"/>
    </row>
    <row r="6" spans="1:15" ht="19.95" customHeight="1" x14ac:dyDescent="0.25">
      <c r="A6" s="7" t="s">
        <v>12</v>
      </c>
      <c r="B6" s="8" t="s">
        <v>43</v>
      </c>
      <c r="C6" s="8">
        <v>2.0191202759051001</v>
      </c>
      <c r="D6" s="8">
        <v>1960</v>
      </c>
      <c r="J6" s="31" t="s">
        <v>6</v>
      </c>
      <c r="K6" s="32" t="s">
        <v>26</v>
      </c>
      <c r="L6"/>
      <c r="M6"/>
      <c r="N6"/>
      <c r="O6"/>
    </row>
    <row r="7" spans="1:15" ht="19.95" customHeight="1" x14ac:dyDescent="0.25">
      <c r="A7" s="7" t="s">
        <v>13</v>
      </c>
      <c r="B7" s="8" t="s">
        <v>43</v>
      </c>
      <c r="C7" s="8">
        <v>1.9000035806061999</v>
      </c>
      <c r="D7" s="8">
        <v>1960</v>
      </c>
      <c r="J7" s="19">
        <v>1960</v>
      </c>
      <c r="K7" s="33">
        <v>2.01597717128617</v>
      </c>
      <c r="L7"/>
      <c r="M7"/>
      <c r="N7"/>
      <c r="O7"/>
    </row>
    <row r="8" spans="1:15" ht="19.95" customHeight="1" x14ac:dyDescent="0.25">
      <c r="A8" s="7" t="s">
        <v>15</v>
      </c>
      <c r="B8" s="8" t="s">
        <v>43</v>
      </c>
      <c r="C8" s="8">
        <v>1.5948948102160401</v>
      </c>
      <c r="D8" s="8">
        <v>1960</v>
      </c>
      <c r="J8" s="19">
        <v>1961</v>
      </c>
      <c r="K8" s="33">
        <v>2.04467666444308</v>
      </c>
      <c r="L8"/>
      <c r="M8"/>
      <c r="N8"/>
      <c r="O8"/>
    </row>
    <row r="9" spans="1:15" ht="19.95" customHeight="1" x14ac:dyDescent="0.25">
      <c r="A9" s="7" t="s">
        <v>16</v>
      </c>
      <c r="B9" s="8" t="s">
        <v>43</v>
      </c>
      <c r="C9" s="8">
        <v>4.9309214152202703</v>
      </c>
      <c r="D9" s="8">
        <v>1960</v>
      </c>
      <c r="J9" s="19">
        <v>1962</v>
      </c>
      <c r="K9" s="33">
        <v>2.0710608401475299</v>
      </c>
      <c r="L9"/>
      <c r="M9"/>
      <c r="N9"/>
      <c r="O9"/>
    </row>
    <row r="10" spans="1:15" ht="19.95" customHeight="1" x14ac:dyDescent="0.25">
      <c r="A10" s="7" t="s">
        <v>1</v>
      </c>
      <c r="B10" s="8" t="s">
        <v>43</v>
      </c>
      <c r="C10" s="8">
        <v>2.2335803585264999</v>
      </c>
      <c r="D10" s="8">
        <v>1960</v>
      </c>
      <c r="J10" s="19">
        <v>1963</v>
      </c>
      <c r="K10" s="33">
        <v>2.0941680507103499</v>
      </c>
      <c r="L10"/>
      <c r="M10"/>
      <c r="N10"/>
      <c r="O10"/>
    </row>
    <row r="11" spans="1:15" ht="19.95" customHeight="1" x14ac:dyDescent="0.25">
      <c r="A11" s="7" t="s">
        <v>17</v>
      </c>
      <c r="B11" s="8" t="s">
        <v>43</v>
      </c>
      <c r="C11" s="8">
        <v>1.56938319825434</v>
      </c>
      <c r="D11" s="8">
        <v>1960</v>
      </c>
      <c r="J11" s="19">
        <v>1964</v>
      </c>
      <c r="K11" s="33">
        <v>2.1137456346050398</v>
      </c>
      <c r="L11"/>
      <c r="M11"/>
      <c r="N11"/>
      <c r="O11"/>
    </row>
    <row r="12" spans="1:15" ht="19.95" customHeight="1" x14ac:dyDescent="0.25">
      <c r="A12" s="7" t="s">
        <v>18</v>
      </c>
      <c r="B12" s="8" t="s">
        <v>43</v>
      </c>
      <c r="C12" s="8">
        <v>1.96060845978278</v>
      </c>
      <c r="D12" s="8">
        <v>1960</v>
      </c>
      <c r="J12" s="19">
        <v>1965</v>
      </c>
      <c r="K12" s="33">
        <v>2.1321564601922902</v>
      </c>
      <c r="L12"/>
      <c r="M12"/>
      <c r="N12"/>
      <c r="O12"/>
    </row>
    <row r="13" spans="1:15" ht="19.95" customHeight="1" x14ac:dyDescent="0.25">
      <c r="A13" s="7" t="s">
        <v>19</v>
      </c>
      <c r="B13" s="8" t="s">
        <v>43</v>
      </c>
      <c r="C13" s="8">
        <v>3.0688404005878298</v>
      </c>
      <c r="D13" s="8">
        <v>1960</v>
      </c>
      <c r="J13" s="19">
        <v>1966</v>
      </c>
      <c r="K13" s="33">
        <v>2.15123212266358</v>
      </c>
      <c r="L13"/>
      <c r="M13"/>
      <c r="N13"/>
      <c r="O13"/>
    </row>
    <row r="14" spans="1:15" ht="19.95" customHeight="1" x14ac:dyDescent="0.25">
      <c r="A14" s="7" t="s">
        <v>20</v>
      </c>
      <c r="B14" s="8" t="s">
        <v>43</v>
      </c>
      <c r="C14" s="8">
        <v>2.0267360399877701</v>
      </c>
      <c r="D14" s="8">
        <v>1960</v>
      </c>
      <c r="J14" s="19">
        <v>1967</v>
      </c>
      <c r="K14" s="33">
        <v>2.17412939251864</v>
      </c>
      <c r="L14"/>
      <c r="M14"/>
      <c r="N14"/>
      <c r="O14"/>
    </row>
    <row r="15" spans="1:15" ht="19.95" customHeight="1" x14ac:dyDescent="0.25">
      <c r="A15" s="7" t="s">
        <v>21</v>
      </c>
      <c r="B15" s="8" t="s">
        <v>43</v>
      </c>
      <c r="C15" s="8">
        <v>2.1537718649897801</v>
      </c>
      <c r="D15" s="8">
        <v>1960</v>
      </c>
      <c r="J15" s="19">
        <v>1968</v>
      </c>
      <c r="K15" s="33">
        <v>2.2031290878920098</v>
      </c>
      <c r="L15"/>
      <c r="M15"/>
      <c r="N15"/>
      <c r="O15"/>
    </row>
    <row r="16" spans="1:15" ht="19.95" customHeight="1" x14ac:dyDescent="0.25">
      <c r="A16" s="7" t="s">
        <v>22</v>
      </c>
      <c r="B16" s="8" t="s">
        <v>43</v>
      </c>
      <c r="C16" s="8">
        <v>2.3737299582977398</v>
      </c>
      <c r="D16" s="8">
        <v>1960</v>
      </c>
      <c r="J16" s="19">
        <v>1969</v>
      </c>
      <c r="K16" s="33">
        <v>2.2396594507136101</v>
      </c>
      <c r="L16"/>
      <c r="M16"/>
      <c r="N16"/>
      <c r="O16"/>
    </row>
    <row r="17" spans="1:15" ht="19.95" customHeight="1" x14ac:dyDescent="0.25">
      <c r="A17" s="7" t="s">
        <v>23</v>
      </c>
      <c r="B17" s="8" t="s">
        <v>43</v>
      </c>
      <c r="C17" s="8">
        <v>2.1967576418553998</v>
      </c>
      <c r="D17" s="8">
        <v>1960</v>
      </c>
      <c r="J17" s="19">
        <v>1970</v>
      </c>
      <c r="K17" s="33">
        <v>2.2822925495216202</v>
      </c>
      <c r="L17"/>
      <c r="M17"/>
      <c r="N17"/>
      <c r="O17"/>
    </row>
    <row r="18" spans="1:15" ht="19.95" customHeight="1" x14ac:dyDescent="0.25">
      <c r="A18" s="7" t="s">
        <v>24</v>
      </c>
      <c r="B18" s="8" t="s">
        <v>43</v>
      </c>
      <c r="C18" s="8">
        <v>1.11345092971902</v>
      </c>
      <c r="D18" s="8">
        <v>1960</v>
      </c>
      <c r="J18" s="19">
        <v>1971</v>
      </c>
      <c r="K18" s="33">
        <v>2.3048299824638101</v>
      </c>
      <c r="L18"/>
      <c r="M18"/>
      <c r="N18"/>
      <c r="O18"/>
    </row>
    <row r="19" spans="1:15" ht="19.95" customHeight="1" x14ac:dyDescent="0.25">
      <c r="A19" s="7" t="s">
        <v>25</v>
      </c>
      <c r="B19" s="8" t="s">
        <v>43</v>
      </c>
      <c r="C19" s="8">
        <v>2.5075940768211802</v>
      </c>
      <c r="D19" s="8">
        <v>1960</v>
      </c>
      <c r="J19" s="19">
        <v>1972</v>
      </c>
      <c r="K19" s="33">
        <v>2.32596109305288</v>
      </c>
      <c r="L19"/>
      <c r="M19"/>
      <c r="N19"/>
      <c r="O19"/>
    </row>
    <row r="20" spans="1:15" ht="22.05" customHeight="1" x14ac:dyDescent="0.25">
      <c r="A20" s="7" t="s">
        <v>26</v>
      </c>
      <c r="B20" s="8" t="s">
        <v>43</v>
      </c>
      <c r="C20" s="8">
        <v>2.01597717128617</v>
      </c>
      <c r="D20" s="8">
        <v>1960</v>
      </c>
      <c r="H20" s="4" t="s">
        <v>27</v>
      </c>
      <c r="J20" s="19">
        <v>1973</v>
      </c>
      <c r="K20" s="33">
        <v>2.387117603399</v>
      </c>
      <c r="L20"/>
      <c r="M20"/>
      <c r="N20"/>
      <c r="O20"/>
    </row>
    <row r="21" spans="1:15" ht="19.95" customHeight="1" x14ac:dyDescent="0.25">
      <c r="A21" s="7" t="s">
        <v>28</v>
      </c>
      <c r="B21" s="8" t="s">
        <v>43</v>
      </c>
      <c r="C21" s="8">
        <v>2.1467779945830299</v>
      </c>
      <c r="D21" s="8">
        <v>1960</v>
      </c>
      <c r="J21" s="19">
        <v>1974</v>
      </c>
      <c r="K21" s="33">
        <v>2.49807099076174</v>
      </c>
      <c r="L21"/>
      <c r="M21"/>
      <c r="N21"/>
      <c r="O21"/>
    </row>
    <row r="22" spans="1:15" ht="19.95" customHeight="1" x14ac:dyDescent="0.25">
      <c r="A22" s="7" t="s">
        <v>29</v>
      </c>
      <c r="B22" s="8" t="s">
        <v>43</v>
      </c>
      <c r="C22" s="8">
        <v>1.5656238510917899</v>
      </c>
      <c r="D22" s="8">
        <v>1960</v>
      </c>
      <c r="J22" s="19">
        <v>1975</v>
      </c>
      <c r="K22" s="33">
        <v>2.6280968872478399</v>
      </c>
      <c r="L22"/>
      <c r="M22"/>
      <c r="N22"/>
      <c r="O22"/>
    </row>
    <row r="23" spans="1:15" ht="19.95" customHeight="1" x14ac:dyDescent="0.25">
      <c r="A23" s="7" t="s">
        <v>30</v>
      </c>
      <c r="B23" s="8" t="s">
        <v>43</v>
      </c>
      <c r="C23" s="8">
        <v>3.1675794469802701</v>
      </c>
      <c r="D23" s="8">
        <v>1960</v>
      </c>
      <c r="J23" s="19">
        <v>1976</v>
      </c>
      <c r="K23" s="33">
        <v>2.7501579980572401</v>
      </c>
      <c r="L23"/>
      <c r="M23"/>
      <c r="N23"/>
      <c r="O23"/>
    </row>
    <row r="24" spans="1:15" ht="19.95" customHeight="1" x14ac:dyDescent="0.25">
      <c r="A24" s="7" t="s">
        <v>31</v>
      </c>
      <c r="B24" s="8" t="s">
        <v>43</v>
      </c>
      <c r="C24" s="8">
        <v>2.7882166086077098</v>
      </c>
      <c r="D24" s="8">
        <v>1960</v>
      </c>
      <c r="J24" s="19">
        <v>1977</v>
      </c>
      <c r="K24" s="33">
        <v>2.8189707176192198</v>
      </c>
      <c r="L24"/>
      <c r="M24"/>
      <c r="N24"/>
      <c r="O24"/>
    </row>
    <row r="25" spans="1:15" ht="19.95" customHeight="1" x14ac:dyDescent="0.25">
      <c r="A25" s="7" t="s">
        <v>32</v>
      </c>
      <c r="B25" s="8" t="s">
        <v>43</v>
      </c>
      <c r="C25" s="8">
        <v>2.5108500981808</v>
      </c>
      <c r="D25" s="8">
        <v>1960</v>
      </c>
      <c r="J25" s="19">
        <v>1978</v>
      </c>
      <c r="K25" s="33">
        <v>2.8048740035988402</v>
      </c>
      <c r="L25"/>
      <c r="M25"/>
      <c r="N25"/>
      <c r="O25"/>
    </row>
    <row r="26" spans="1:15" ht="19.95" customHeight="1" x14ac:dyDescent="0.25">
      <c r="A26" s="7" t="s">
        <v>33</v>
      </c>
      <c r="B26" s="8" t="s">
        <v>43</v>
      </c>
      <c r="C26" s="8">
        <v>1.21350261165204</v>
      </c>
      <c r="D26" s="8">
        <v>1960</v>
      </c>
      <c r="J26" s="19">
        <v>1979</v>
      </c>
      <c r="K26" s="33">
        <v>2.6922001653747198</v>
      </c>
      <c r="L26"/>
      <c r="M26"/>
      <c r="N26"/>
      <c r="O26"/>
    </row>
    <row r="27" spans="1:15" ht="19.95" customHeight="1" x14ac:dyDescent="0.25">
      <c r="A27" s="7" t="s">
        <v>34</v>
      </c>
      <c r="B27" s="8" t="s">
        <v>43</v>
      </c>
      <c r="C27" s="8">
        <v>2.3945925589973802</v>
      </c>
      <c r="D27" s="8">
        <v>1960</v>
      </c>
      <c r="J27" s="19">
        <v>1980</v>
      </c>
      <c r="K27" s="33">
        <v>2.50705874502273</v>
      </c>
      <c r="L27"/>
      <c r="M27"/>
      <c r="N27"/>
      <c r="O27"/>
    </row>
    <row r="28" spans="1:15" ht="19.95" customHeight="1" x14ac:dyDescent="0.25">
      <c r="A28" s="7" t="s">
        <v>35</v>
      </c>
      <c r="B28" s="8" t="s">
        <v>43</v>
      </c>
      <c r="C28" s="8">
        <v>3.2374104646138799</v>
      </c>
      <c r="D28" s="8">
        <v>1960</v>
      </c>
      <c r="J28" s="19">
        <v>1981</v>
      </c>
      <c r="K28" s="33">
        <v>2.3748098339939698</v>
      </c>
      <c r="L28"/>
      <c r="M28"/>
      <c r="N28"/>
      <c r="O28"/>
    </row>
    <row r="29" spans="1:15" ht="19.95" customHeight="1" x14ac:dyDescent="0.25">
      <c r="A29" s="7" t="s">
        <v>36</v>
      </c>
      <c r="B29" s="8" t="s">
        <v>43</v>
      </c>
      <c r="C29" s="8">
        <v>2.8949827375248098</v>
      </c>
      <c r="D29" s="8">
        <v>1960</v>
      </c>
      <c r="J29" s="19">
        <v>1982</v>
      </c>
      <c r="K29" s="33">
        <v>2.2506486041998599</v>
      </c>
      <c r="L29"/>
      <c r="M29"/>
      <c r="N29"/>
      <c r="O29"/>
    </row>
    <row r="30" spans="1:15" ht="19.95" customHeight="1" x14ac:dyDescent="0.25">
      <c r="A30" s="7" t="s">
        <v>37</v>
      </c>
      <c r="B30" s="8" t="s">
        <v>43</v>
      </c>
      <c r="C30" s="8">
        <v>3.0377592699369802</v>
      </c>
      <c r="D30" s="8">
        <v>1960</v>
      </c>
      <c r="J30" s="19">
        <v>1983</v>
      </c>
      <c r="K30" s="33">
        <v>1.9824759510011201</v>
      </c>
      <c r="L30"/>
      <c r="M30"/>
      <c r="N30"/>
      <c r="O30"/>
    </row>
    <row r="31" spans="1:15" ht="19.95" customHeight="1" x14ac:dyDescent="0.25">
      <c r="A31" s="7" t="s">
        <v>38</v>
      </c>
      <c r="B31" s="8" t="s">
        <v>43</v>
      </c>
      <c r="C31" s="8">
        <v>3.0126647317910402</v>
      </c>
      <c r="D31" s="8">
        <v>1960</v>
      </c>
      <c r="J31" s="19">
        <v>1984</v>
      </c>
      <c r="K31" s="33">
        <v>1.5371573835974099</v>
      </c>
      <c r="L31"/>
      <c r="M31"/>
      <c r="N31"/>
      <c r="O31"/>
    </row>
    <row r="32" spans="1:15" ht="19.95" customHeight="1" x14ac:dyDescent="0.25">
      <c r="A32" s="7" t="s">
        <v>39</v>
      </c>
      <c r="B32" s="8" t="s">
        <v>43</v>
      </c>
      <c r="C32" s="8">
        <v>3.1998771676518598</v>
      </c>
      <c r="D32" s="8">
        <v>1960</v>
      </c>
      <c r="J32" s="19">
        <v>1985</v>
      </c>
      <c r="K32" s="33">
        <v>1.0111090454645</v>
      </c>
      <c r="L32"/>
      <c r="M32"/>
      <c r="N32"/>
      <c r="O32"/>
    </row>
    <row r="33" spans="1:15" ht="19.95" customHeight="1" x14ac:dyDescent="0.25">
      <c r="A33" s="9" t="s">
        <v>9</v>
      </c>
      <c r="B33" s="10" t="s">
        <v>43</v>
      </c>
      <c r="C33" s="10">
        <v>1.9041517609640299</v>
      </c>
      <c r="D33" s="10">
        <v>1961</v>
      </c>
      <c r="J33" s="19">
        <v>1986</v>
      </c>
      <c r="K33" s="33">
        <v>0.38418436425672498</v>
      </c>
      <c r="L33"/>
      <c r="M33"/>
      <c r="N33"/>
      <c r="O33"/>
    </row>
    <row r="34" spans="1:15" ht="19.95" customHeight="1" x14ac:dyDescent="0.25">
      <c r="A34" s="9" t="s">
        <v>12</v>
      </c>
      <c r="B34" s="10" t="s">
        <v>43</v>
      </c>
      <c r="C34" s="10">
        <v>2.0831993683772398</v>
      </c>
      <c r="D34" s="10">
        <v>1961</v>
      </c>
      <c r="J34" s="19">
        <v>1987</v>
      </c>
      <c r="K34" s="33">
        <v>-0.103810197873531</v>
      </c>
      <c r="L34"/>
      <c r="M34"/>
      <c r="N34"/>
      <c r="O34"/>
    </row>
    <row r="35" spans="1:15" ht="19.95" customHeight="1" x14ac:dyDescent="0.25">
      <c r="A35" s="9" t="s">
        <v>13</v>
      </c>
      <c r="B35" s="10" t="s">
        <v>43</v>
      </c>
      <c r="C35" s="10">
        <v>1.93877745696919</v>
      </c>
      <c r="D35" s="10">
        <v>1961</v>
      </c>
      <c r="J35" s="19">
        <v>1988</v>
      </c>
      <c r="K35" s="33">
        <v>-0.14070408302661799</v>
      </c>
      <c r="L35"/>
      <c r="M35"/>
      <c r="N35"/>
      <c r="O35"/>
    </row>
    <row r="36" spans="1:15" ht="22.05" customHeight="1" x14ac:dyDescent="0.25">
      <c r="A36" s="9" t="s">
        <v>15</v>
      </c>
      <c r="B36" s="10" t="s">
        <v>43</v>
      </c>
      <c r="C36" s="10">
        <v>1.5667662030157501</v>
      </c>
      <c r="D36" s="10">
        <v>1961</v>
      </c>
      <c r="J36" s="19">
        <v>1989</v>
      </c>
      <c r="K36" s="33">
        <v>0.43787681477041401</v>
      </c>
      <c r="L36"/>
      <c r="M36"/>
      <c r="N36"/>
      <c r="O36"/>
    </row>
    <row r="37" spans="1:15" ht="19.95" customHeight="1" x14ac:dyDescent="0.25">
      <c r="A37" s="9" t="s">
        <v>16</v>
      </c>
      <c r="B37" s="10" t="s">
        <v>43</v>
      </c>
      <c r="C37" s="10">
        <v>5.6505903479292297</v>
      </c>
      <c r="D37" s="10">
        <v>1961</v>
      </c>
      <c r="J37" s="19">
        <v>1990</v>
      </c>
      <c r="K37" s="33">
        <v>1.42956117830082</v>
      </c>
      <c r="L37"/>
      <c r="M37"/>
      <c r="N37"/>
      <c r="O37"/>
    </row>
    <row r="38" spans="1:15" ht="19.95" customHeight="1" x14ac:dyDescent="0.25">
      <c r="A38" s="9" t="s">
        <v>1</v>
      </c>
      <c r="B38" s="10" t="s">
        <v>43</v>
      </c>
      <c r="C38" s="10">
        <v>2.3199763078676101</v>
      </c>
      <c r="D38" s="10">
        <v>1961</v>
      </c>
      <c r="J38" s="19">
        <v>1991</v>
      </c>
      <c r="K38" s="33">
        <v>2.5659074459801299</v>
      </c>
      <c r="L38"/>
      <c r="M38"/>
      <c r="N38"/>
      <c r="O38"/>
    </row>
    <row r="39" spans="1:15" ht="19.95" customHeight="1" x14ac:dyDescent="0.25">
      <c r="A39" s="9" t="s">
        <v>17</v>
      </c>
      <c r="B39" s="10" t="s">
        <v>43</v>
      </c>
      <c r="C39" s="10">
        <v>1.55994077755865</v>
      </c>
      <c r="D39" s="10">
        <v>1961</v>
      </c>
      <c r="J39" s="19">
        <v>1992</v>
      </c>
      <c r="K39" s="33">
        <v>3.4653181228522101</v>
      </c>
      <c r="L39"/>
      <c r="M39"/>
      <c r="N39"/>
      <c r="O39"/>
    </row>
    <row r="40" spans="1:15" ht="19.95" customHeight="1" x14ac:dyDescent="0.25">
      <c r="A40" s="9" t="s">
        <v>18</v>
      </c>
      <c r="B40" s="10" t="s">
        <v>43</v>
      </c>
      <c r="C40" s="10">
        <v>1.9772658409425301</v>
      </c>
      <c r="D40" s="10">
        <v>1961</v>
      </c>
      <c r="J40" s="19">
        <v>1993</v>
      </c>
      <c r="K40" s="33">
        <v>3.9419869486674202</v>
      </c>
      <c r="L40"/>
      <c r="M40"/>
      <c r="N40"/>
      <c r="O40"/>
    </row>
    <row r="41" spans="1:15" ht="19.95" customHeight="1" x14ac:dyDescent="0.25">
      <c r="A41" s="9" t="s">
        <v>19</v>
      </c>
      <c r="B41" s="10" t="s">
        <v>43</v>
      </c>
      <c r="C41" s="10">
        <v>3.1095339472939698</v>
      </c>
      <c r="D41" s="10">
        <v>1961</v>
      </c>
      <c r="J41" s="19">
        <v>1994</v>
      </c>
      <c r="K41" s="33">
        <v>3.8863887535024499</v>
      </c>
      <c r="L41"/>
      <c r="M41"/>
      <c r="N41"/>
      <c r="O41"/>
    </row>
    <row r="42" spans="1:15" ht="19.95" customHeight="1" x14ac:dyDescent="0.25">
      <c r="A42" s="9" t="s">
        <v>20</v>
      </c>
      <c r="B42" s="10" t="s">
        <v>43</v>
      </c>
      <c r="C42" s="10">
        <v>1.9864741026439801</v>
      </c>
      <c r="D42" s="10">
        <v>1961</v>
      </c>
      <c r="J42" s="19">
        <v>1995</v>
      </c>
      <c r="K42" s="33">
        <v>3.5003891334133299</v>
      </c>
      <c r="L42"/>
      <c r="M42"/>
      <c r="N42"/>
      <c r="O42"/>
    </row>
    <row r="43" spans="1:15" ht="19.95" customHeight="1" x14ac:dyDescent="0.25">
      <c r="A43" s="9" t="s">
        <v>21</v>
      </c>
      <c r="B43" s="10" t="s">
        <v>43</v>
      </c>
      <c r="C43" s="10">
        <v>2.1784299307368</v>
      </c>
      <c r="D43" s="10">
        <v>1961</v>
      </c>
      <c r="J43" s="19">
        <v>1996</v>
      </c>
      <c r="K43" s="33">
        <v>3.05640960857425</v>
      </c>
      <c r="L43"/>
      <c r="M43"/>
      <c r="N43"/>
      <c r="O43"/>
    </row>
    <row r="44" spans="1:15" ht="19.95" customHeight="1" x14ac:dyDescent="0.25">
      <c r="A44" s="9" t="s">
        <v>22</v>
      </c>
      <c r="B44" s="10" t="s">
        <v>43</v>
      </c>
      <c r="C44" s="10">
        <v>2.40631023060855</v>
      </c>
      <c r="D44" s="10">
        <v>1961</v>
      </c>
      <c r="J44" s="19">
        <v>1997</v>
      </c>
      <c r="K44" s="33">
        <v>2.75055114976217</v>
      </c>
      <c r="L44"/>
      <c r="M44"/>
      <c r="N44"/>
      <c r="O44"/>
    </row>
    <row r="45" spans="1:15" ht="19.95" customHeight="1" x14ac:dyDescent="0.25">
      <c r="A45" s="9" t="s">
        <v>23</v>
      </c>
      <c r="B45" s="10" t="s">
        <v>43</v>
      </c>
      <c r="C45" s="10">
        <v>2.2253206895018001</v>
      </c>
      <c r="D45" s="10">
        <v>1961</v>
      </c>
      <c r="J45" s="19">
        <v>1998</v>
      </c>
      <c r="K45" s="33">
        <v>2.5737416522534802</v>
      </c>
      <c r="L45"/>
      <c r="M45"/>
      <c r="N45"/>
      <c r="O45"/>
    </row>
    <row r="46" spans="1:15" ht="19.95" customHeight="1" x14ac:dyDescent="0.25">
      <c r="A46" s="9" t="s">
        <v>24</v>
      </c>
      <c r="B46" s="10" t="s">
        <v>43</v>
      </c>
      <c r="C46" s="10">
        <v>1.1058681664430401</v>
      </c>
      <c r="D46" s="10">
        <v>1961</v>
      </c>
      <c r="J46" s="19">
        <v>1999</v>
      </c>
      <c r="K46" s="33">
        <v>2.5811785490594001</v>
      </c>
      <c r="L46"/>
      <c r="M46"/>
      <c r="N46"/>
      <c r="O46"/>
    </row>
    <row r="47" spans="1:15" ht="19.95" customHeight="1" x14ac:dyDescent="0.25">
      <c r="A47" s="9" t="s">
        <v>25</v>
      </c>
      <c r="B47" s="10" t="s">
        <v>43</v>
      </c>
      <c r="C47" s="10">
        <v>2.36950297274546</v>
      </c>
      <c r="D47" s="10">
        <v>1961</v>
      </c>
      <c r="J47" s="19">
        <v>2000</v>
      </c>
      <c r="K47" s="33">
        <v>2.7086277830193199</v>
      </c>
      <c r="L47"/>
      <c r="M47"/>
      <c r="N47"/>
      <c r="O47"/>
    </row>
    <row r="48" spans="1:15" ht="19.95" customHeight="1" x14ac:dyDescent="0.25">
      <c r="A48" s="9" t="s">
        <v>26</v>
      </c>
      <c r="B48" s="10" t="s">
        <v>43</v>
      </c>
      <c r="C48" s="10">
        <v>2.04467666444308</v>
      </c>
      <c r="D48" s="10">
        <v>1961</v>
      </c>
      <c r="J48" s="19">
        <v>2001</v>
      </c>
      <c r="K48" s="33">
        <v>2.8431895190952701</v>
      </c>
      <c r="L48"/>
      <c r="M48"/>
      <c r="N48"/>
      <c r="O48"/>
    </row>
    <row r="49" spans="1:15" ht="19.95" customHeight="1" x14ac:dyDescent="0.25">
      <c r="A49" s="9" t="s">
        <v>28</v>
      </c>
      <c r="B49" s="10" t="s">
        <v>43</v>
      </c>
      <c r="C49" s="10">
        <v>2.13048046534395</v>
      </c>
      <c r="D49" s="10">
        <v>1961</v>
      </c>
      <c r="J49" s="19">
        <v>2002</v>
      </c>
      <c r="K49" s="33">
        <v>2.9205528138115899</v>
      </c>
      <c r="L49"/>
      <c r="M49"/>
      <c r="N49"/>
      <c r="O49"/>
    </row>
    <row r="50" spans="1:15" ht="19.95" customHeight="1" x14ac:dyDescent="0.25">
      <c r="A50" s="9" t="s">
        <v>29</v>
      </c>
      <c r="B50" s="10" t="s">
        <v>43</v>
      </c>
      <c r="C50" s="10">
        <v>1.56522594046798</v>
      </c>
      <c r="D50" s="10">
        <v>1961</v>
      </c>
      <c r="J50" s="19">
        <v>2003</v>
      </c>
      <c r="K50" s="33">
        <v>2.9698301552437099</v>
      </c>
      <c r="L50"/>
      <c r="M50"/>
      <c r="N50"/>
      <c r="O50"/>
    </row>
    <row r="51" spans="1:15" ht="19.95" customHeight="1" x14ac:dyDescent="0.25">
      <c r="A51" s="9" t="s">
        <v>30</v>
      </c>
      <c r="B51" s="10" t="s">
        <v>43</v>
      </c>
      <c r="C51" s="10">
        <v>3.0903691120635401</v>
      </c>
      <c r="D51" s="10">
        <v>1961</v>
      </c>
      <c r="J51" s="19">
        <v>2004</v>
      </c>
      <c r="K51" s="33">
        <v>2.9785733267674899</v>
      </c>
      <c r="L51"/>
      <c r="M51"/>
      <c r="N51"/>
      <c r="O51"/>
    </row>
    <row r="52" spans="1:15" ht="19.95" customHeight="1" x14ac:dyDescent="0.25">
      <c r="A52" s="9" t="s">
        <v>31</v>
      </c>
      <c r="B52" s="10" t="s">
        <v>43</v>
      </c>
      <c r="C52" s="10">
        <v>2.8374314589471301</v>
      </c>
      <c r="D52" s="10">
        <v>1961</v>
      </c>
      <c r="J52" s="19">
        <v>2005</v>
      </c>
      <c r="K52" s="33">
        <v>2.9605825605331302</v>
      </c>
      <c r="L52"/>
      <c r="M52"/>
      <c r="N52"/>
      <c r="O52"/>
    </row>
    <row r="53" spans="1:15" ht="19.95" customHeight="1" x14ac:dyDescent="0.25">
      <c r="A53" s="9" t="s">
        <v>32</v>
      </c>
      <c r="B53" s="10" t="s">
        <v>43</v>
      </c>
      <c r="C53" s="10">
        <v>2.11384028426769</v>
      </c>
      <c r="D53" s="10">
        <v>1961</v>
      </c>
      <c r="J53" s="19">
        <v>2006</v>
      </c>
      <c r="K53" s="33">
        <v>2.9405705449331299</v>
      </c>
      <c r="L53"/>
      <c r="M53"/>
      <c r="N53"/>
      <c r="O53"/>
    </row>
    <row r="54" spans="1:15" ht="19.95" customHeight="1" x14ac:dyDescent="0.25">
      <c r="A54" s="9" t="s">
        <v>33</v>
      </c>
      <c r="B54" s="10" t="s">
        <v>43</v>
      </c>
      <c r="C54" s="10">
        <v>0.46271937471563901</v>
      </c>
      <c r="D54" s="10">
        <v>1961</v>
      </c>
      <c r="J54" s="19">
        <v>2007</v>
      </c>
      <c r="K54" s="33">
        <v>2.9310960499961398</v>
      </c>
      <c r="L54"/>
      <c r="M54"/>
      <c r="N54"/>
      <c r="O54"/>
    </row>
    <row r="55" spans="1:15" ht="19.95" customHeight="1" x14ac:dyDescent="0.25">
      <c r="A55" s="9" t="s">
        <v>34</v>
      </c>
      <c r="B55" s="10" t="s">
        <v>43</v>
      </c>
      <c r="C55" s="10">
        <v>2.3734076436323401</v>
      </c>
      <c r="D55" s="10">
        <v>1961</v>
      </c>
      <c r="J55" s="19">
        <v>2008</v>
      </c>
      <c r="K55" s="33">
        <v>2.9240181534613399</v>
      </c>
      <c r="L55"/>
      <c r="M55"/>
      <c r="N55"/>
      <c r="O55"/>
    </row>
    <row r="56" spans="1:15" ht="19.95" customHeight="1" x14ac:dyDescent="0.25">
      <c r="A56" s="9" t="s">
        <v>35</v>
      </c>
      <c r="B56" s="10" t="s">
        <v>43</v>
      </c>
      <c r="C56" s="10">
        <v>3.39562848464168</v>
      </c>
      <c r="D56" s="10">
        <v>1961</v>
      </c>
      <c r="J56" s="19">
        <v>2009</v>
      </c>
      <c r="K56" s="33">
        <v>2.9214629274130801</v>
      </c>
      <c r="L56"/>
      <c r="M56"/>
      <c r="N56"/>
      <c r="O56"/>
    </row>
    <row r="57" spans="1:15" ht="19.95" customHeight="1" x14ac:dyDescent="0.25">
      <c r="A57" s="9" t="s">
        <v>36</v>
      </c>
      <c r="B57" s="10" t="s">
        <v>43</v>
      </c>
      <c r="C57" s="10">
        <v>2.9236470922805502</v>
      </c>
      <c r="D57" s="10">
        <v>1961</v>
      </c>
      <c r="J57" s="19">
        <v>2010</v>
      </c>
      <c r="K57" s="33">
        <v>2.9212891641512302</v>
      </c>
      <c r="L57"/>
      <c r="M57"/>
      <c r="N57"/>
      <c r="O57"/>
    </row>
    <row r="58" spans="1:15" ht="19.95" customHeight="1" x14ac:dyDescent="0.25">
      <c r="A58" s="9" t="s">
        <v>37</v>
      </c>
      <c r="B58" s="10" t="s">
        <v>43</v>
      </c>
      <c r="C58" s="10">
        <v>3.1669398723697801</v>
      </c>
      <c r="D58" s="10">
        <v>1961</v>
      </c>
      <c r="J58" s="19">
        <v>2011</v>
      </c>
      <c r="K58" s="33">
        <v>2.9196297354631802</v>
      </c>
      <c r="L58"/>
      <c r="M58"/>
      <c r="N58"/>
      <c r="O58"/>
    </row>
    <row r="59" spans="1:15" ht="19.95" customHeight="1" x14ac:dyDescent="0.25">
      <c r="A59" s="9" t="s">
        <v>38</v>
      </c>
      <c r="B59" s="10" t="s">
        <v>43</v>
      </c>
      <c r="C59" s="10">
        <v>3.0856547648785102</v>
      </c>
      <c r="D59" s="10">
        <v>1961</v>
      </c>
      <c r="J59" s="19">
        <v>2012</v>
      </c>
      <c r="K59" s="33">
        <v>2.9147261271914302</v>
      </c>
      <c r="L59"/>
      <c r="M59"/>
      <c r="N59"/>
      <c r="O59"/>
    </row>
    <row r="60" spans="1:15" ht="19.95" customHeight="1" x14ac:dyDescent="0.25">
      <c r="A60" s="9" t="s">
        <v>39</v>
      </c>
      <c r="B60" s="10" t="s">
        <v>43</v>
      </c>
      <c r="C60" s="10">
        <v>3.2395843054940401</v>
      </c>
      <c r="D60" s="10">
        <v>1961</v>
      </c>
      <c r="J60" s="19">
        <v>2013</v>
      </c>
      <c r="K60" s="33">
        <v>2.9084828043495299</v>
      </c>
      <c r="L60"/>
      <c r="M60"/>
      <c r="N60"/>
      <c r="O60"/>
    </row>
    <row r="61" spans="1:15" ht="19.95" customHeight="1" x14ac:dyDescent="0.25">
      <c r="A61" s="9" t="s">
        <v>9</v>
      </c>
      <c r="B61" s="10" t="s">
        <v>43</v>
      </c>
      <c r="C61" s="10">
        <v>1.88388074767234</v>
      </c>
      <c r="D61" s="10">
        <v>1962</v>
      </c>
      <c r="J61" s="19">
        <v>2014</v>
      </c>
      <c r="K61" s="33">
        <v>2.90069572870848</v>
      </c>
      <c r="L61"/>
      <c r="M61"/>
      <c r="N61"/>
      <c r="O61"/>
    </row>
    <row r="62" spans="1:15" ht="19.95" customHeight="1" x14ac:dyDescent="0.25">
      <c r="A62" s="9" t="s">
        <v>12</v>
      </c>
      <c r="B62" s="10" t="s">
        <v>43</v>
      </c>
      <c r="C62" s="10">
        <v>2.1468182045183202</v>
      </c>
      <c r="D62" s="10">
        <v>1962</v>
      </c>
      <c r="J62" s="19">
        <v>2015</v>
      </c>
      <c r="K62" s="33">
        <v>2.8914168419794501</v>
      </c>
      <c r="L62"/>
      <c r="M62"/>
      <c r="N62"/>
      <c r="O62"/>
    </row>
    <row r="63" spans="1:15" ht="19.95" customHeight="1" x14ac:dyDescent="0.25">
      <c r="A63" s="9" t="s">
        <v>13</v>
      </c>
      <c r="B63" s="10" t="s">
        <v>43</v>
      </c>
      <c r="C63" s="10">
        <v>1.9691747173641201</v>
      </c>
      <c r="D63" s="10">
        <v>1962</v>
      </c>
      <c r="J63" s="19">
        <v>2016</v>
      </c>
      <c r="K63" s="33">
        <v>2.8812077244991001</v>
      </c>
      <c r="L63"/>
      <c r="M63"/>
      <c r="N63"/>
      <c r="O63"/>
    </row>
    <row r="64" spans="1:15" ht="19.95" customHeight="1" x14ac:dyDescent="0.25">
      <c r="A64" s="9" t="s">
        <v>15</v>
      </c>
      <c r="B64" s="10" t="s">
        <v>43</v>
      </c>
      <c r="C64" s="10">
        <v>1.5633902780475899</v>
      </c>
      <c r="D64" s="10">
        <v>1962</v>
      </c>
      <c r="J64" s="20">
        <v>2017</v>
      </c>
      <c r="K64" s="34">
        <v>2.86987986018184</v>
      </c>
      <c r="L64"/>
      <c r="M64"/>
      <c r="N64"/>
      <c r="O64"/>
    </row>
    <row r="65" spans="1:11" ht="19.95" customHeight="1" x14ac:dyDescent="0.25">
      <c r="A65" s="9" t="s">
        <v>16</v>
      </c>
      <c r="B65" s="10" t="s">
        <v>43</v>
      </c>
      <c r="C65" s="10">
        <v>6.2482690637337903</v>
      </c>
      <c r="D65" s="10">
        <v>1962</v>
      </c>
    </row>
    <row r="66" spans="1:11" ht="19.95" customHeight="1" x14ac:dyDescent="0.25">
      <c r="A66" s="9" t="s">
        <v>1</v>
      </c>
      <c r="B66" s="10" t="s">
        <v>43</v>
      </c>
      <c r="C66" s="10">
        <v>2.3978838179787201</v>
      </c>
      <c r="D66" s="10">
        <v>1962</v>
      </c>
      <c r="J66" s="15"/>
      <c r="K66" s="15"/>
    </row>
    <row r="67" spans="1:11" ht="19.95" customHeight="1" x14ac:dyDescent="0.25">
      <c r="A67" s="9" t="s">
        <v>17</v>
      </c>
      <c r="B67" s="10" t="s">
        <v>43</v>
      </c>
      <c r="C67" s="10">
        <v>1.5568184520567201</v>
      </c>
      <c r="D67" s="10">
        <v>1962</v>
      </c>
    </row>
    <row r="68" spans="1:11" ht="19.95" customHeight="1" x14ac:dyDescent="0.25">
      <c r="A68" s="9" t="s">
        <v>18</v>
      </c>
      <c r="B68" s="10" t="s">
        <v>43</v>
      </c>
      <c r="C68" s="10">
        <v>1.9892553436926499</v>
      </c>
      <c r="D68" s="10">
        <v>1962</v>
      </c>
    </row>
    <row r="69" spans="1:11" ht="19.95" customHeight="1" x14ac:dyDescent="0.25">
      <c r="A69" s="9" t="s">
        <v>19</v>
      </c>
      <c r="B69" s="10" t="s">
        <v>42</v>
      </c>
      <c r="C69" s="10">
        <v>3.1494597985028898</v>
      </c>
      <c r="D69" s="10">
        <v>1962</v>
      </c>
    </row>
    <row r="70" spans="1:11" ht="19.95" customHeight="1" x14ac:dyDescent="0.25">
      <c r="A70" s="9" t="s">
        <v>20</v>
      </c>
      <c r="B70" s="10" t="s">
        <v>43</v>
      </c>
      <c r="C70" s="10">
        <v>2.8573372444055898</v>
      </c>
      <c r="D70" s="10">
        <v>1962</v>
      </c>
    </row>
    <row r="71" spans="1:11" ht="19.95" customHeight="1" x14ac:dyDescent="0.25">
      <c r="A71" s="9" t="s">
        <v>21</v>
      </c>
      <c r="B71" s="10" t="s">
        <v>43</v>
      </c>
      <c r="C71" s="10">
        <v>2.2021511230553901</v>
      </c>
      <c r="D71" s="10">
        <v>1962</v>
      </c>
    </row>
    <row r="72" spans="1:11" ht="19.95" customHeight="1" x14ac:dyDescent="0.25">
      <c r="A72" s="9" t="s">
        <v>22</v>
      </c>
      <c r="B72" s="10" t="s">
        <v>43</v>
      </c>
      <c r="C72" s="10">
        <v>2.4383608665288898</v>
      </c>
      <c r="D72" s="10">
        <v>1962</v>
      </c>
    </row>
    <row r="73" spans="1:11" ht="19.95" customHeight="1" x14ac:dyDescent="0.25">
      <c r="A73" s="9" t="s">
        <v>23</v>
      </c>
      <c r="B73" s="10" t="s">
        <v>43</v>
      </c>
      <c r="C73" s="10">
        <v>2.2558623412515399</v>
      </c>
      <c r="D73" s="10">
        <v>1962</v>
      </c>
    </row>
    <row r="74" spans="1:11" ht="19.95" customHeight="1" x14ac:dyDescent="0.25">
      <c r="A74" s="9" t="s">
        <v>24</v>
      </c>
      <c r="B74" s="10" t="s">
        <v>43</v>
      </c>
      <c r="C74" s="10">
        <v>1.10434644276477</v>
      </c>
      <c r="D74" s="10">
        <v>1962</v>
      </c>
    </row>
    <row r="75" spans="1:11" ht="19.95" customHeight="1" x14ac:dyDescent="0.25">
      <c r="A75" s="9" t="s">
        <v>25</v>
      </c>
      <c r="B75" s="10" t="s">
        <v>43</v>
      </c>
      <c r="C75" s="10">
        <v>2.2396077472812501</v>
      </c>
      <c r="D75" s="10">
        <v>1962</v>
      </c>
    </row>
    <row r="76" spans="1:11" ht="19.95" customHeight="1" x14ac:dyDescent="0.25">
      <c r="A76" s="9" t="s">
        <v>26</v>
      </c>
      <c r="B76" s="10" t="s">
        <v>43</v>
      </c>
      <c r="C76" s="10">
        <v>2.0710608401475299</v>
      </c>
      <c r="D76" s="10">
        <v>1962</v>
      </c>
    </row>
    <row r="77" spans="1:11" ht="19.95" customHeight="1" x14ac:dyDescent="0.25">
      <c r="A77" s="9" t="s">
        <v>28</v>
      </c>
      <c r="B77" s="10" t="s">
        <v>43</v>
      </c>
      <c r="C77" s="10">
        <v>2.1230007354026998</v>
      </c>
      <c r="D77" s="10">
        <v>1962</v>
      </c>
    </row>
    <row r="78" spans="1:11" ht="19.95" customHeight="1" x14ac:dyDescent="0.25">
      <c r="A78" s="9" t="s">
        <v>29</v>
      </c>
      <c r="B78" s="10" t="s">
        <v>43</v>
      </c>
      <c r="C78" s="10">
        <v>1.57671219087263</v>
      </c>
      <c r="D78" s="10">
        <v>1962</v>
      </c>
    </row>
    <row r="79" spans="1:11" ht="19.95" customHeight="1" x14ac:dyDescent="0.25">
      <c r="A79" s="9" t="s">
        <v>30</v>
      </c>
      <c r="B79" s="10" t="s">
        <v>43</v>
      </c>
      <c r="C79" s="10">
        <v>3.02216027729306</v>
      </c>
      <c r="D79" s="10">
        <v>1962</v>
      </c>
    </row>
    <row r="80" spans="1:11" ht="19.95" customHeight="1" x14ac:dyDescent="0.25">
      <c r="A80" s="9" t="s">
        <v>31</v>
      </c>
      <c r="B80" s="10" t="s">
        <v>43</v>
      </c>
      <c r="C80" s="10">
        <v>2.87988537837342</v>
      </c>
      <c r="D80" s="10">
        <v>1962</v>
      </c>
    </row>
    <row r="81" spans="1:4" ht="19.95" customHeight="1" x14ac:dyDescent="0.25">
      <c r="A81" s="9" t="s">
        <v>32</v>
      </c>
      <c r="B81" s="10" t="s">
        <v>43</v>
      </c>
      <c r="C81" s="10">
        <v>1.8029495935054201</v>
      </c>
      <c r="D81" s="10">
        <v>1962</v>
      </c>
    </row>
    <row r="82" spans="1:4" ht="19.95" customHeight="1" x14ac:dyDescent="0.25">
      <c r="A82" s="9" t="s">
        <v>33</v>
      </c>
      <c r="B82" s="10" t="s">
        <v>43</v>
      </c>
      <c r="C82" s="10">
        <v>-0.18452049303253501</v>
      </c>
      <c r="D82" s="10">
        <v>1962</v>
      </c>
    </row>
    <row r="83" spans="1:4" ht="19.95" customHeight="1" x14ac:dyDescent="0.25">
      <c r="A83" s="9" t="s">
        <v>34</v>
      </c>
      <c r="B83" s="10" t="s">
        <v>43</v>
      </c>
      <c r="C83" s="10">
        <v>2.35100694552081</v>
      </c>
      <c r="D83" s="10">
        <v>1962</v>
      </c>
    </row>
    <row r="84" spans="1:4" ht="19.95" customHeight="1" x14ac:dyDescent="0.25">
      <c r="A84" s="9" t="s">
        <v>35</v>
      </c>
      <c r="B84" s="10" t="s">
        <v>43</v>
      </c>
      <c r="C84" s="10">
        <v>3.5236403318341201</v>
      </c>
      <c r="D84" s="10">
        <v>1962</v>
      </c>
    </row>
    <row r="85" spans="1:4" ht="19.95" customHeight="1" x14ac:dyDescent="0.25">
      <c r="A85" s="9" t="s">
        <v>36</v>
      </c>
      <c r="B85" s="10" t="s">
        <v>43</v>
      </c>
      <c r="C85" s="10">
        <v>2.94938524502775</v>
      </c>
      <c r="D85" s="10">
        <v>1962</v>
      </c>
    </row>
    <row r="86" spans="1:4" ht="19.95" customHeight="1" x14ac:dyDescent="0.25">
      <c r="A86" s="9" t="s">
        <v>37</v>
      </c>
      <c r="B86" s="10" t="s">
        <v>43</v>
      </c>
      <c r="C86" s="10">
        <v>3.2787967436522201</v>
      </c>
      <c r="D86" s="10">
        <v>1962</v>
      </c>
    </row>
    <row r="87" spans="1:4" ht="19.95" customHeight="1" x14ac:dyDescent="0.25">
      <c r="A87" s="9" t="s">
        <v>38</v>
      </c>
      <c r="B87" s="10" t="s">
        <v>43</v>
      </c>
      <c r="C87" s="10">
        <v>3.1447613414869502</v>
      </c>
      <c r="D87" s="10">
        <v>1962</v>
      </c>
    </row>
    <row r="88" spans="1:4" ht="19.95" customHeight="1" x14ac:dyDescent="0.25">
      <c r="A88" s="9" t="s">
        <v>39</v>
      </c>
      <c r="B88" s="10" t="s">
        <v>43</v>
      </c>
      <c r="C88" s="10">
        <v>3.2699263769287601</v>
      </c>
      <c r="D88" s="10">
        <v>1962</v>
      </c>
    </row>
    <row r="89" spans="1:4" ht="19.95" customHeight="1" x14ac:dyDescent="0.25">
      <c r="A89" s="9" t="s">
        <v>9</v>
      </c>
      <c r="B89" s="10" t="s">
        <v>43</v>
      </c>
      <c r="C89" s="10">
        <v>1.92548381913877</v>
      </c>
      <c r="D89" s="10">
        <v>1963</v>
      </c>
    </row>
    <row r="90" spans="1:4" ht="19.95" customHeight="1" x14ac:dyDescent="0.25">
      <c r="A90" s="9" t="s">
        <v>12</v>
      </c>
      <c r="B90" s="10" t="s">
        <v>43</v>
      </c>
      <c r="C90" s="10">
        <v>2.2053494386444301</v>
      </c>
      <c r="D90" s="10">
        <v>1963</v>
      </c>
    </row>
    <row r="91" spans="1:4" ht="19.95" customHeight="1" x14ac:dyDescent="0.25">
      <c r="A91" s="9" t="s">
        <v>13</v>
      </c>
      <c r="B91" s="10" t="s">
        <v>43</v>
      </c>
      <c r="C91" s="10">
        <v>1.9774570969451899</v>
      </c>
      <c r="D91" s="10">
        <v>1963</v>
      </c>
    </row>
    <row r="92" spans="1:4" ht="19.95" customHeight="1" x14ac:dyDescent="0.25">
      <c r="A92" s="9" t="s">
        <v>15</v>
      </c>
      <c r="B92" s="10" t="s">
        <v>43</v>
      </c>
      <c r="C92" s="10">
        <v>1.59673387607258</v>
      </c>
      <c r="D92" s="10">
        <v>1963</v>
      </c>
    </row>
    <row r="93" spans="1:4" ht="19.95" customHeight="1" x14ac:dyDescent="0.25">
      <c r="A93" s="9" t="s">
        <v>16</v>
      </c>
      <c r="B93" s="10" t="s">
        <v>43</v>
      </c>
      <c r="C93" s="10">
        <v>6.5967905433098402</v>
      </c>
      <c r="D93" s="10">
        <v>1963</v>
      </c>
    </row>
    <row r="94" spans="1:4" ht="19.95" customHeight="1" x14ac:dyDescent="0.25">
      <c r="A94" s="9" t="s">
        <v>1</v>
      </c>
      <c r="B94" s="10" t="s">
        <v>43</v>
      </c>
      <c r="C94" s="10">
        <v>2.4545776493316902</v>
      </c>
      <c r="D94" s="10">
        <v>1963</v>
      </c>
    </row>
    <row r="95" spans="1:4" ht="19.95" customHeight="1" x14ac:dyDescent="0.25">
      <c r="A95" s="9" t="s">
        <v>17</v>
      </c>
      <c r="B95" s="10" t="s">
        <v>43</v>
      </c>
      <c r="C95" s="10">
        <v>1.58174436059624</v>
      </c>
      <c r="D95" s="10">
        <v>1963</v>
      </c>
    </row>
    <row r="96" spans="1:4" ht="19.95" customHeight="1" x14ac:dyDescent="0.25">
      <c r="A96" s="9" t="s">
        <v>18</v>
      </c>
      <c r="B96" s="10" t="s">
        <v>43</v>
      </c>
      <c r="C96" s="10">
        <v>1.9969596663142799</v>
      </c>
      <c r="D96" s="10">
        <v>1963</v>
      </c>
    </row>
    <row r="97" spans="1:4" ht="19.95" customHeight="1" x14ac:dyDescent="0.25">
      <c r="A97" s="9" t="s">
        <v>19</v>
      </c>
      <c r="B97" s="10" t="s">
        <v>43</v>
      </c>
      <c r="C97" s="10">
        <v>3.18717427718191</v>
      </c>
      <c r="D97" s="10">
        <v>1963</v>
      </c>
    </row>
    <row r="98" spans="1:4" ht="19.95" customHeight="1" x14ac:dyDescent="0.25">
      <c r="A98" s="9" t="s">
        <v>20</v>
      </c>
      <c r="B98" s="10" t="s">
        <v>43</v>
      </c>
      <c r="C98" s="10">
        <v>2.7779564107075698</v>
      </c>
      <c r="D98" s="10">
        <v>1963</v>
      </c>
    </row>
    <row r="99" spans="1:4" ht="19.95" customHeight="1" x14ac:dyDescent="0.25">
      <c r="A99" s="9" t="s">
        <v>21</v>
      </c>
      <c r="B99" s="10" t="s">
        <v>43</v>
      </c>
      <c r="C99" s="10">
        <v>2.2312604857646798</v>
      </c>
      <c r="D99" s="10">
        <v>1963</v>
      </c>
    </row>
    <row r="100" spans="1:4" ht="19.95" customHeight="1" x14ac:dyDescent="0.25">
      <c r="A100" s="9" t="s">
        <v>22</v>
      </c>
      <c r="B100" s="10" t="s">
        <v>43</v>
      </c>
      <c r="C100" s="10">
        <v>2.46932368707076</v>
      </c>
      <c r="D100" s="10">
        <v>1963</v>
      </c>
    </row>
    <row r="101" spans="1:4" ht="19.95" customHeight="1" x14ac:dyDescent="0.25">
      <c r="A101" s="9" t="s">
        <v>23</v>
      </c>
      <c r="B101" s="10" t="s">
        <v>43</v>
      </c>
      <c r="C101" s="10">
        <v>2.2903984896992702</v>
      </c>
      <c r="D101" s="10">
        <v>1963</v>
      </c>
    </row>
    <row r="102" spans="1:4" ht="19.95" customHeight="1" x14ac:dyDescent="0.25">
      <c r="A102" s="9" t="s">
        <v>24</v>
      </c>
      <c r="B102" s="10" t="s">
        <v>43</v>
      </c>
      <c r="C102" s="10">
        <v>1.1132907326977199</v>
      </c>
      <c r="D102" s="10">
        <v>1963</v>
      </c>
    </row>
    <row r="103" spans="1:4" ht="19.95" customHeight="1" x14ac:dyDescent="0.25">
      <c r="A103" s="9" t="s">
        <v>25</v>
      </c>
      <c r="B103" s="10" t="s">
        <v>43</v>
      </c>
      <c r="C103" s="10">
        <v>2.1170707122966501</v>
      </c>
      <c r="D103" s="10">
        <v>1963</v>
      </c>
    </row>
    <row r="104" spans="1:4" ht="19.95" customHeight="1" x14ac:dyDescent="0.25">
      <c r="A104" s="9" t="s">
        <v>26</v>
      </c>
      <c r="B104" s="10" t="s">
        <v>43</v>
      </c>
      <c r="C104" s="10">
        <v>2.0941680507103499</v>
      </c>
      <c r="D104" s="10">
        <v>1963</v>
      </c>
    </row>
    <row r="105" spans="1:4" ht="19.95" customHeight="1" x14ac:dyDescent="0.25">
      <c r="A105" s="9" t="s">
        <v>28</v>
      </c>
      <c r="B105" s="10" t="s">
        <v>43</v>
      </c>
      <c r="C105" s="10">
        <v>2.1409574697918901</v>
      </c>
      <c r="D105" s="10">
        <v>1963</v>
      </c>
    </row>
    <row r="106" spans="1:4" ht="19.95" customHeight="1" x14ac:dyDescent="0.25">
      <c r="A106" s="9" t="s">
        <v>29</v>
      </c>
      <c r="B106" s="10" t="s">
        <v>43</v>
      </c>
      <c r="C106" s="10">
        <v>1.6054912977546401</v>
      </c>
      <c r="D106" s="10">
        <v>1963</v>
      </c>
    </row>
    <row r="107" spans="1:4" ht="19.95" customHeight="1" x14ac:dyDescent="0.25">
      <c r="A107" s="9" t="s">
        <v>30</v>
      </c>
      <c r="B107" s="10" t="s">
        <v>43</v>
      </c>
      <c r="C107" s="10">
        <v>2.978065346852</v>
      </c>
      <c r="D107" s="10">
        <v>1963</v>
      </c>
    </row>
    <row r="108" spans="1:4" ht="19.95" customHeight="1" x14ac:dyDescent="0.25">
      <c r="A108" s="9" t="s">
        <v>31</v>
      </c>
      <c r="B108" s="10" t="s">
        <v>43</v>
      </c>
      <c r="C108" s="10">
        <v>2.9035184566219701</v>
      </c>
      <c r="D108" s="10">
        <v>1963</v>
      </c>
    </row>
    <row r="109" spans="1:4" ht="19.95" customHeight="1" x14ac:dyDescent="0.25">
      <c r="A109" s="9" t="s">
        <v>32</v>
      </c>
      <c r="B109" s="10" t="s">
        <v>43</v>
      </c>
      <c r="C109" s="10">
        <v>1.7020758099609099</v>
      </c>
      <c r="D109" s="10">
        <v>1963</v>
      </c>
    </row>
    <row r="110" spans="1:4" ht="19.95" customHeight="1" x14ac:dyDescent="0.25">
      <c r="A110" s="9" t="s">
        <v>33</v>
      </c>
      <c r="B110" s="10" t="s">
        <v>43</v>
      </c>
      <c r="C110" s="10">
        <v>-0.39655130537116301</v>
      </c>
      <c r="D110" s="10">
        <v>1963</v>
      </c>
    </row>
    <row r="111" spans="1:4" ht="19.95" customHeight="1" x14ac:dyDescent="0.25">
      <c r="A111" s="9" t="s">
        <v>34</v>
      </c>
      <c r="B111" s="10" t="s">
        <v>43</v>
      </c>
      <c r="C111" s="10">
        <v>2.34221131449043</v>
      </c>
      <c r="D111" s="10">
        <v>1963</v>
      </c>
    </row>
    <row r="112" spans="1:4" ht="19.95" customHeight="1" x14ac:dyDescent="0.25">
      <c r="A112" s="9" t="s">
        <v>35</v>
      </c>
      <c r="B112" s="10" t="s">
        <v>43</v>
      </c>
      <c r="C112" s="10">
        <v>3.58671648685295</v>
      </c>
      <c r="D112" s="10">
        <v>1963</v>
      </c>
    </row>
    <row r="113" spans="1:4" ht="19.95" customHeight="1" x14ac:dyDescent="0.25">
      <c r="A113" s="9" t="s">
        <v>36</v>
      </c>
      <c r="B113" s="10" t="s">
        <v>43</v>
      </c>
      <c r="C113" s="10">
        <v>2.9693449938763701</v>
      </c>
      <c r="D113" s="10">
        <v>1963</v>
      </c>
    </row>
    <row r="114" spans="1:4" ht="19.95" customHeight="1" x14ac:dyDescent="0.25">
      <c r="A114" s="9" t="s">
        <v>37</v>
      </c>
      <c r="B114" s="10" t="s">
        <v>43</v>
      </c>
      <c r="C114" s="10">
        <v>3.3580241667819402</v>
      </c>
      <c r="D114" s="10">
        <v>1963</v>
      </c>
    </row>
    <row r="115" spans="1:4" ht="19.95" customHeight="1" x14ac:dyDescent="0.25">
      <c r="A115" s="9" t="s">
        <v>38</v>
      </c>
      <c r="B115" s="10" t="s">
        <v>43</v>
      </c>
      <c r="C115" s="10">
        <v>3.1755554687771301</v>
      </c>
      <c r="D115" s="10">
        <v>1963</v>
      </c>
    </row>
    <row r="116" spans="1:4" ht="19.95" customHeight="1" x14ac:dyDescent="0.25">
      <c r="A116" s="9" t="s">
        <v>39</v>
      </c>
      <c r="B116" s="10" t="s">
        <v>43</v>
      </c>
      <c r="C116" s="10">
        <v>3.2795396197639799</v>
      </c>
      <c r="D116" s="10">
        <v>1963</v>
      </c>
    </row>
    <row r="117" spans="1:4" ht="19.95" customHeight="1" x14ac:dyDescent="0.25">
      <c r="A117" s="9" t="s">
        <v>9</v>
      </c>
      <c r="B117" s="10" t="s">
        <v>43</v>
      </c>
      <c r="C117" s="10">
        <v>2.0445334815532501</v>
      </c>
      <c r="D117" s="10">
        <v>1964</v>
      </c>
    </row>
    <row r="118" spans="1:4" ht="19.95" customHeight="1" x14ac:dyDescent="0.25">
      <c r="A118" s="9" t="s">
        <v>12</v>
      </c>
      <c r="B118" s="10" t="s">
        <v>43</v>
      </c>
      <c r="C118" s="10">
        <v>2.2565293684683199</v>
      </c>
      <c r="D118" s="10">
        <v>1964</v>
      </c>
    </row>
    <row r="119" spans="1:4" ht="19.95" customHeight="1" x14ac:dyDescent="0.25">
      <c r="A119" s="9" t="s">
        <v>13</v>
      </c>
      <c r="B119" s="10" t="s">
        <v>43</v>
      </c>
      <c r="C119" s="10">
        <v>1.95817926350658</v>
      </c>
      <c r="D119" s="10">
        <v>1964</v>
      </c>
    </row>
    <row r="120" spans="1:4" ht="19.95" customHeight="1" x14ac:dyDescent="0.25">
      <c r="A120" s="9" t="s">
        <v>15</v>
      </c>
      <c r="B120" s="10" t="s">
        <v>43</v>
      </c>
      <c r="C120" s="10">
        <v>1.67328370489556</v>
      </c>
      <c r="D120" s="10">
        <v>1964</v>
      </c>
    </row>
    <row r="121" spans="1:4" ht="19.95" customHeight="1" x14ac:dyDescent="0.25">
      <c r="A121" s="9" t="s">
        <v>16</v>
      </c>
      <c r="B121" s="10" t="s">
        <v>43</v>
      </c>
      <c r="C121" s="10">
        <v>6.6832093721583004</v>
      </c>
      <c r="D121" s="10">
        <v>1964</v>
      </c>
    </row>
    <row r="122" spans="1:4" ht="19.95" customHeight="1" x14ac:dyDescent="0.25">
      <c r="A122" s="9" t="s">
        <v>1</v>
      </c>
      <c r="B122" s="10" t="s">
        <v>43</v>
      </c>
      <c r="C122" s="10">
        <v>2.4841587552019</v>
      </c>
      <c r="D122" s="10">
        <v>1964</v>
      </c>
    </row>
    <row r="123" spans="1:4" ht="19.95" customHeight="1" x14ac:dyDescent="0.25">
      <c r="A123" s="9" t="s">
        <v>17</v>
      </c>
      <c r="B123" s="10" t="s">
        <v>43</v>
      </c>
      <c r="C123" s="10">
        <v>1.6440696166454101</v>
      </c>
      <c r="D123" s="10">
        <v>1964</v>
      </c>
    </row>
    <row r="124" spans="1:4" ht="19.95" customHeight="1" x14ac:dyDescent="0.25">
      <c r="A124" s="9" t="s">
        <v>18</v>
      </c>
      <c r="B124" s="10" t="s">
        <v>43</v>
      </c>
      <c r="C124" s="10">
        <v>2.0002186694344801</v>
      </c>
      <c r="D124" s="10">
        <v>1964</v>
      </c>
    </row>
    <row r="125" spans="1:4" ht="19.95" customHeight="1" x14ac:dyDescent="0.25">
      <c r="A125" s="9" t="s">
        <v>19</v>
      </c>
      <c r="B125" s="10" t="s">
        <v>43</v>
      </c>
      <c r="C125" s="10">
        <v>3.22234277059952</v>
      </c>
      <c r="D125" s="10">
        <v>1964</v>
      </c>
    </row>
    <row r="126" spans="1:4" ht="19.95" customHeight="1" x14ac:dyDescent="0.25">
      <c r="A126" s="9" t="s">
        <v>20</v>
      </c>
      <c r="B126" s="10" t="s">
        <v>43</v>
      </c>
      <c r="C126" s="10">
        <v>2.7028672387919399</v>
      </c>
      <c r="D126" s="10">
        <v>1964</v>
      </c>
    </row>
    <row r="127" spans="1:4" ht="19.95" customHeight="1" x14ac:dyDescent="0.25">
      <c r="A127" s="9" t="s">
        <v>21</v>
      </c>
      <c r="B127" s="10" t="s">
        <v>43</v>
      </c>
      <c r="C127" s="10">
        <v>2.2678664410392599</v>
      </c>
      <c r="D127" s="10">
        <v>1964</v>
      </c>
    </row>
    <row r="128" spans="1:4" ht="19.95" customHeight="1" x14ac:dyDescent="0.25">
      <c r="A128" s="9" t="s">
        <v>22</v>
      </c>
      <c r="B128" s="10" t="s">
        <v>43</v>
      </c>
      <c r="C128" s="10">
        <v>2.49925643830188</v>
      </c>
      <c r="D128" s="10">
        <v>1964</v>
      </c>
    </row>
    <row r="129" spans="1:4" ht="19.95" customHeight="1" x14ac:dyDescent="0.25">
      <c r="A129" s="9" t="s">
        <v>23</v>
      </c>
      <c r="B129" s="10" t="s">
        <v>43</v>
      </c>
      <c r="C129" s="10">
        <v>2.3304887831800598</v>
      </c>
      <c r="D129" s="10">
        <v>1964</v>
      </c>
    </row>
    <row r="130" spans="1:4" ht="19.95" customHeight="1" x14ac:dyDescent="0.25">
      <c r="A130" s="9" t="s">
        <v>24</v>
      </c>
      <c r="B130" s="10" t="s">
        <v>43</v>
      </c>
      <c r="C130" s="10">
        <v>1.13545172051846</v>
      </c>
      <c r="D130" s="10">
        <v>1964</v>
      </c>
    </row>
    <row r="131" spans="1:4" ht="19.95" customHeight="1" x14ac:dyDescent="0.25">
      <c r="A131" s="9" t="s">
        <v>25</v>
      </c>
      <c r="B131" s="10" t="s">
        <v>43</v>
      </c>
      <c r="C131" s="10">
        <v>1.9290862091530701</v>
      </c>
      <c r="D131" s="10">
        <v>1964</v>
      </c>
    </row>
    <row r="132" spans="1:4" ht="19.95" customHeight="1" x14ac:dyDescent="0.25">
      <c r="A132" s="9" t="s">
        <v>26</v>
      </c>
      <c r="B132" s="10" t="s">
        <v>43</v>
      </c>
      <c r="C132" s="10">
        <v>2.1137456346050398</v>
      </c>
      <c r="D132" s="10">
        <v>1964</v>
      </c>
    </row>
    <row r="133" spans="1:4" ht="19.95" customHeight="1" x14ac:dyDescent="0.25">
      <c r="A133" s="9" t="s">
        <v>28</v>
      </c>
      <c r="B133" s="10" t="s">
        <v>43</v>
      </c>
      <c r="C133" s="10">
        <v>2.1921430993222399</v>
      </c>
      <c r="D133" s="10">
        <v>1964</v>
      </c>
    </row>
    <row r="134" spans="1:4" ht="19.95" customHeight="1" x14ac:dyDescent="0.25">
      <c r="A134" s="9" t="s">
        <v>29</v>
      </c>
      <c r="B134" s="10" t="s">
        <v>43</v>
      </c>
      <c r="C134" s="10">
        <v>1.6534790617659201</v>
      </c>
      <c r="D134" s="10">
        <v>1964</v>
      </c>
    </row>
    <row r="135" spans="1:4" ht="19.95" customHeight="1" x14ac:dyDescent="0.25">
      <c r="A135" s="9" t="s">
        <v>30</v>
      </c>
      <c r="B135" s="10" t="s">
        <v>43</v>
      </c>
      <c r="C135" s="10">
        <v>2.9669341241157201</v>
      </c>
      <c r="D135" s="10">
        <v>1964</v>
      </c>
    </row>
    <row r="136" spans="1:4" ht="19.95" customHeight="1" x14ac:dyDescent="0.25">
      <c r="A136" s="9" t="s">
        <v>31</v>
      </c>
      <c r="B136" s="10" t="s">
        <v>43</v>
      </c>
      <c r="C136" s="10">
        <v>2.90219562780343</v>
      </c>
      <c r="D136" s="10">
        <v>1964</v>
      </c>
    </row>
    <row r="137" spans="1:4" ht="19.95" customHeight="1" x14ac:dyDescent="0.25">
      <c r="A137" s="9" t="s">
        <v>32</v>
      </c>
      <c r="B137" s="10" t="s">
        <v>43</v>
      </c>
      <c r="C137" s="10">
        <v>1.8757086550164901</v>
      </c>
      <c r="D137" s="10">
        <v>1964</v>
      </c>
    </row>
    <row r="138" spans="1:4" ht="19.95" customHeight="1" x14ac:dyDescent="0.25">
      <c r="A138" s="9" t="s">
        <v>33</v>
      </c>
      <c r="B138" s="10" t="s">
        <v>43</v>
      </c>
      <c r="C138" s="10">
        <v>5.4521806178117797E-2</v>
      </c>
      <c r="D138" s="10">
        <v>1964</v>
      </c>
    </row>
    <row r="139" spans="1:4" ht="19.95" customHeight="1" x14ac:dyDescent="0.25">
      <c r="A139" s="9" t="s">
        <v>34</v>
      </c>
      <c r="B139" s="10" t="s">
        <v>43</v>
      </c>
      <c r="C139" s="10">
        <v>2.3543133020294098</v>
      </c>
      <c r="D139" s="10">
        <v>1964</v>
      </c>
    </row>
    <row r="140" spans="1:4" ht="19.95" customHeight="1" x14ac:dyDescent="0.25">
      <c r="A140" s="9" t="s">
        <v>35</v>
      </c>
      <c r="B140" s="10" t="s">
        <v>43</v>
      </c>
      <c r="C140" s="10">
        <v>3.5685442281229101</v>
      </c>
      <c r="D140" s="10">
        <v>1964</v>
      </c>
    </row>
    <row r="141" spans="1:4" ht="19.95" customHeight="1" x14ac:dyDescent="0.25">
      <c r="A141" s="9" t="s">
        <v>36</v>
      </c>
      <c r="B141" s="10" t="s">
        <v>43</v>
      </c>
      <c r="C141" s="10">
        <v>2.9824718554515699</v>
      </c>
      <c r="D141" s="10">
        <v>1964</v>
      </c>
    </row>
    <row r="142" spans="1:4" ht="19.95" customHeight="1" x14ac:dyDescent="0.25">
      <c r="A142" s="9" t="s">
        <v>37</v>
      </c>
      <c r="B142" s="10" t="s">
        <v>43</v>
      </c>
      <c r="C142" s="10">
        <v>3.3976661420215102</v>
      </c>
      <c r="D142" s="10">
        <v>1964</v>
      </c>
    </row>
    <row r="143" spans="1:4" ht="19.95" customHeight="1" x14ac:dyDescent="0.25">
      <c r="A143" s="9" t="s">
        <v>38</v>
      </c>
      <c r="B143" s="10" t="s">
        <v>43</v>
      </c>
      <c r="C143" s="10">
        <v>3.1716580356959301</v>
      </c>
      <c r="D143" s="10">
        <v>1964</v>
      </c>
    </row>
    <row r="144" spans="1:4" ht="19.95" customHeight="1" x14ac:dyDescent="0.25">
      <c r="A144" s="9" t="s">
        <v>39</v>
      </c>
      <c r="B144" s="10" t="s">
        <v>43</v>
      </c>
      <c r="C144" s="10">
        <v>3.2637245648959601</v>
      </c>
      <c r="D144" s="10">
        <v>1964</v>
      </c>
    </row>
    <row r="145" spans="1:4" ht="19.95" customHeight="1" x14ac:dyDescent="0.25">
      <c r="A145" s="9" t="s">
        <v>9</v>
      </c>
      <c r="B145" s="10" t="s">
        <v>43</v>
      </c>
      <c r="C145" s="10">
        <v>2.2014328598383002</v>
      </c>
      <c r="D145" s="10">
        <v>1965</v>
      </c>
    </row>
    <row r="146" spans="1:4" ht="19.95" customHeight="1" x14ac:dyDescent="0.25">
      <c r="A146" s="9" t="s">
        <v>12</v>
      </c>
      <c r="B146" s="10" t="s">
        <v>43</v>
      </c>
      <c r="C146" s="10">
        <v>2.3025574874505401</v>
      </c>
      <c r="D146" s="10">
        <v>1965</v>
      </c>
    </row>
    <row r="147" spans="1:4" ht="19.95" customHeight="1" x14ac:dyDescent="0.25">
      <c r="A147" s="9" t="s">
        <v>13</v>
      </c>
      <c r="B147" s="10" t="s">
        <v>43</v>
      </c>
      <c r="C147" s="10">
        <v>1.92401449608703</v>
      </c>
      <c r="D147" s="10">
        <v>1965</v>
      </c>
    </row>
    <row r="148" spans="1:4" ht="19.95" customHeight="1" x14ac:dyDescent="0.25">
      <c r="A148" s="9" t="s">
        <v>15</v>
      </c>
      <c r="B148" s="10" t="s">
        <v>43</v>
      </c>
      <c r="C148" s="10">
        <v>1.7856531580125701</v>
      </c>
      <c r="D148" s="10">
        <v>1965</v>
      </c>
    </row>
    <row r="149" spans="1:4" ht="19.95" customHeight="1" x14ac:dyDescent="0.25">
      <c r="A149" s="9" t="s">
        <v>16</v>
      </c>
      <c r="B149" s="10" t="s">
        <v>43</v>
      </c>
      <c r="C149" s="10">
        <v>6.6347694783188498</v>
      </c>
      <c r="D149" s="10">
        <v>1965</v>
      </c>
    </row>
    <row r="150" spans="1:4" ht="19.95" customHeight="1" x14ac:dyDescent="0.25">
      <c r="A150" s="9" t="s">
        <v>1</v>
      </c>
      <c r="B150" s="10" t="s">
        <v>43</v>
      </c>
      <c r="C150" s="10">
        <v>2.4959558740413401</v>
      </c>
      <c r="D150" s="10">
        <v>1965</v>
      </c>
    </row>
    <row r="151" spans="1:4" ht="19.95" customHeight="1" x14ac:dyDescent="0.25">
      <c r="A151" s="9" t="s">
        <v>17</v>
      </c>
      <c r="B151" s="10" t="s">
        <v>43</v>
      </c>
      <c r="C151" s="10">
        <v>1.72050023466339</v>
      </c>
      <c r="D151" s="10">
        <v>1965</v>
      </c>
    </row>
    <row r="152" spans="1:4" ht="19.95" customHeight="1" x14ac:dyDescent="0.25">
      <c r="A152" s="9" t="s">
        <v>18</v>
      </c>
      <c r="B152" s="10" t="s">
        <v>43</v>
      </c>
      <c r="C152" s="10">
        <v>1.99806286977609</v>
      </c>
      <c r="D152" s="10">
        <v>1965</v>
      </c>
    </row>
    <row r="153" spans="1:4" ht="19.95" customHeight="1" x14ac:dyDescent="0.25">
      <c r="A153" s="9" t="s">
        <v>19</v>
      </c>
      <c r="B153" s="10" t="s">
        <v>43</v>
      </c>
      <c r="C153" s="10">
        <v>3.2566179613170299</v>
      </c>
      <c r="D153" s="10">
        <v>1965</v>
      </c>
    </row>
    <row r="154" spans="1:4" ht="19.95" customHeight="1" x14ac:dyDescent="0.25">
      <c r="A154" s="9" t="s">
        <v>20</v>
      </c>
      <c r="B154" s="10" t="s">
        <v>43</v>
      </c>
      <c r="C154" s="10">
        <v>2.63173083173734</v>
      </c>
      <c r="D154" s="10">
        <v>1965</v>
      </c>
    </row>
    <row r="155" spans="1:4" ht="19.95" customHeight="1" x14ac:dyDescent="0.25">
      <c r="A155" s="9" t="s">
        <v>21</v>
      </c>
      <c r="B155" s="10" t="s">
        <v>43</v>
      </c>
      <c r="C155" s="10">
        <v>2.3113138939723301</v>
      </c>
      <c r="D155" s="10">
        <v>1965</v>
      </c>
    </row>
    <row r="156" spans="1:4" ht="19.95" customHeight="1" x14ac:dyDescent="0.25">
      <c r="A156" s="9" t="s">
        <v>22</v>
      </c>
      <c r="B156" s="10" t="s">
        <v>43</v>
      </c>
      <c r="C156" s="10">
        <v>2.5286439517966599</v>
      </c>
      <c r="D156" s="10">
        <v>1965</v>
      </c>
    </row>
    <row r="157" spans="1:4" ht="19.95" customHeight="1" x14ac:dyDescent="0.25">
      <c r="A157" s="9" t="s">
        <v>23</v>
      </c>
      <c r="B157" s="10" t="s">
        <v>43</v>
      </c>
      <c r="C157" s="10">
        <v>2.3749540908400202</v>
      </c>
      <c r="D157" s="10">
        <v>1965</v>
      </c>
    </row>
    <row r="158" spans="1:4" ht="19.95" customHeight="1" x14ac:dyDescent="0.25">
      <c r="A158" s="9" t="s">
        <v>24</v>
      </c>
      <c r="B158" s="10" t="s">
        <v>43</v>
      </c>
      <c r="C158" s="10">
        <v>1.16928030653318</v>
      </c>
      <c r="D158" s="10">
        <v>1965</v>
      </c>
    </row>
    <row r="159" spans="1:4" ht="19.95" customHeight="1" x14ac:dyDescent="0.25">
      <c r="A159" s="9" t="s">
        <v>25</v>
      </c>
      <c r="B159" s="10" t="s">
        <v>43</v>
      </c>
      <c r="C159" s="10">
        <v>1.8218042705764399</v>
      </c>
      <c r="D159" s="10">
        <v>1965</v>
      </c>
    </row>
    <row r="160" spans="1:4" ht="19.95" customHeight="1" x14ac:dyDescent="0.25">
      <c r="A160" s="9" t="s">
        <v>26</v>
      </c>
      <c r="B160" s="10" t="s">
        <v>43</v>
      </c>
      <c r="C160" s="10">
        <v>2.1321564601922902</v>
      </c>
      <c r="D160" s="10">
        <v>1965</v>
      </c>
    </row>
    <row r="161" spans="1:4" ht="19.95" customHeight="1" x14ac:dyDescent="0.25">
      <c r="A161" s="9" t="s">
        <v>28</v>
      </c>
      <c r="B161" s="10" t="s">
        <v>43</v>
      </c>
      <c r="C161" s="10">
        <v>2.2630304474398</v>
      </c>
      <c r="D161" s="10">
        <v>1965</v>
      </c>
    </row>
    <row r="162" spans="1:4" ht="19.95" customHeight="1" x14ac:dyDescent="0.25">
      <c r="A162" s="9" t="s">
        <v>29</v>
      </c>
      <c r="B162" s="10" t="s">
        <v>43</v>
      </c>
      <c r="C162" s="10">
        <v>1.7145570851560601</v>
      </c>
      <c r="D162" s="10">
        <v>1965</v>
      </c>
    </row>
    <row r="163" spans="1:4" ht="19.95" customHeight="1" x14ac:dyDescent="0.25">
      <c r="A163" s="9" t="s">
        <v>30</v>
      </c>
      <c r="B163" s="10" t="s">
        <v>43</v>
      </c>
      <c r="C163" s="10">
        <v>2.97757478574538</v>
      </c>
      <c r="D163" s="10">
        <v>1965</v>
      </c>
    </row>
    <row r="164" spans="1:4" ht="19.95" customHeight="1" x14ac:dyDescent="0.25">
      <c r="A164" s="9" t="s">
        <v>31</v>
      </c>
      <c r="B164" s="10" t="s">
        <v>43</v>
      </c>
      <c r="C164" s="10">
        <v>2.8847443930477898</v>
      </c>
      <c r="D164" s="10">
        <v>1965</v>
      </c>
    </row>
    <row r="165" spans="1:4" ht="19.95" customHeight="1" x14ac:dyDescent="0.25">
      <c r="A165" s="9" t="s">
        <v>32</v>
      </c>
      <c r="B165" s="10" t="s">
        <v>43</v>
      </c>
      <c r="C165" s="10">
        <v>2.2272635609123199</v>
      </c>
      <c r="D165" s="10">
        <v>1965</v>
      </c>
    </row>
    <row r="166" spans="1:4" ht="19.95" customHeight="1" x14ac:dyDescent="0.25">
      <c r="A166" s="9" t="s">
        <v>33</v>
      </c>
      <c r="B166" s="10" t="s">
        <v>43</v>
      </c>
      <c r="C166" s="10">
        <v>0.90537639407236403</v>
      </c>
      <c r="D166" s="10">
        <v>1965</v>
      </c>
    </row>
    <row r="167" spans="1:4" ht="19.95" customHeight="1" x14ac:dyDescent="0.25">
      <c r="A167" s="9" t="s">
        <v>34</v>
      </c>
      <c r="B167" s="10" t="s">
        <v>43</v>
      </c>
      <c r="C167" s="10">
        <v>2.3756983826526699</v>
      </c>
      <c r="D167" s="10">
        <v>1965</v>
      </c>
    </row>
    <row r="168" spans="1:4" ht="19.95" customHeight="1" x14ac:dyDescent="0.25">
      <c r="A168" s="9" t="s">
        <v>35</v>
      </c>
      <c r="B168" s="10" t="s">
        <v>43</v>
      </c>
      <c r="C168" s="10">
        <v>3.4969152825442098</v>
      </c>
      <c r="D168" s="10">
        <v>1965</v>
      </c>
    </row>
    <row r="169" spans="1:4" ht="19.95" customHeight="1" x14ac:dyDescent="0.25">
      <c r="A169" s="9" t="s">
        <v>36</v>
      </c>
      <c r="B169" s="10" t="s">
        <v>43</v>
      </c>
      <c r="C169" s="10">
        <v>2.9923321085867101</v>
      </c>
      <c r="D169" s="10">
        <v>1965</v>
      </c>
    </row>
    <row r="170" spans="1:4" ht="19.95" customHeight="1" x14ac:dyDescent="0.25">
      <c r="A170" s="9" t="s">
        <v>37</v>
      </c>
      <c r="B170" s="10" t="s">
        <v>43</v>
      </c>
      <c r="C170" s="10">
        <v>3.40379060505725</v>
      </c>
      <c r="D170" s="10">
        <v>1965</v>
      </c>
    </row>
    <row r="171" spans="1:4" ht="19.95" customHeight="1" x14ac:dyDescent="0.25">
      <c r="A171" s="9" t="s">
        <v>38</v>
      </c>
      <c r="B171" s="10" t="s">
        <v>43</v>
      </c>
      <c r="C171" s="10">
        <v>3.1490488403152299</v>
      </c>
      <c r="D171" s="10">
        <v>1965</v>
      </c>
    </row>
    <row r="172" spans="1:4" ht="19.95" customHeight="1" x14ac:dyDescent="0.25">
      <c r="A172" s="9" t="s">
        <v>39</v>
      </c>
      <c r="B172" s="10" t="s">
        <v>43</v>
      </c>
      <c r="C172" s="10">
        <v>3.2341018448977001</v>
      </c>
      <c r="D172" s="10">
        <v>1965</v>
      </c>
    </row>
    <row r="173" spans="1:4" ht="19.95" customHeight="1" x14ac:dyDescent="0.25">
      <c r="A173" s="9" t="s">
        <v>9</v>
      </c>
      <c r="B173" s="10" t="s">
        <v>43</v>
      </c>
      <c r="C173" s="10">
        <v>2.40267751598169</v>
      </c>
      <c r="D173" s="10">
        <v>1966</v>
      </c>
    </row>
    <row r="174" spans="1:4" ht="19.95" customHeight="1" x14ac:dyDescent="0.25">
      <c r="A174" s="9" t="s">
        <v>12</v>
      </c>
      <c r="B174" s="10" t="s">
        <v>43</v>
      </c>
      <c r="C174" s="10">
        <v>2.3483419837075901</v>
      </c>
      <c r="D174" s="10">
        <v>1966</v>
      </c>
    </row>
    <row r="175" spans="1:4" ht="19.95" customHeight="1" x14ac:dyDescent="0.25">
      <c r="A175" s="9" t="s">
        <v>13</v>
      </c>
      <c r="B175" s="10" t="s">
        <v>43</v>
      </c>
      <c r="C175" s="10">
        <v>1.8737276006455501</v>
      </c>
      <c r="D175" s="10">
        <v>1966</v>
      </c>
    </row>
    <row r="176" spans="1:4" ht="19.95" customHeight="1" x14ac:dyDescent="0.25">
      <c r="A176" s="9" t="s">
        <v>15</v>
      </c>
      <c r="B176" s="10" t="s">
        <v>43</v>
      </c>
      <c r="C176" s="10">
        <v>1.9355966644378599</v>
      </c>
      <c r="D176" s="10">
        <v>1966</v>
      </c>
    </row>
    <row r="177" spans="1:4" ht="19.95" customHeight="1" x14ac:dyDescent="0.25">
      <c r="A177" s="9" t="s">
        <v>16</v>
      </c>
      <c r="B177" s="10" t="s">
        <v>43</v>
      </c>
      <c r="C177" s="10">
        <v>6.6483993153242</v>
      </c>
      <c r="D177" s="10">
        <v>1966</v>
      </c>
    </row>
    <row r="178" spans="1:4" ht="19.95" customHeight="1" x14ac:dyDescent="0.25">
      <c r="A178" s="9" t="s">
        <v>1</v>
      </c>
      <c r="B178" s="10" t="s">
        <v>43</v>
      </c>
      <c r="C178" s="10">
        <v>2.4786580371289801</v>
      </c>
      <c r="D178" s="10">
        <v>1966</v>
      </c>
    </row>
    <row r="179" spans="1:4" ht="19.95" customHeight="1" x14ac:dyDescent="0.25">
      <c r="A179" s="9" t="s">
        <v>17</v>
      </c>
      <c r="B179" s="10" t="s">
        <v>43</v>
      </c>
      <c r="C179" s="10">
        <v>1.8159679016458501</v>
      </c>
      <c r="D179" s="10">
        <v>1966</v>
      </c>
    </row>
    <row r="180" spans="1:4" ht="19.95" customHeight="1" x14ac:dyDescent="0.25">
      <c r="A180" s="9" t="s">
        <v>18</v>
      </c>
      <c r="B180" s="10" t="s">
        <v>43</v>
      </c>
      <c r="C180" s="10">
        <v>2.0015694952452399</v>
      </c>
      <c r="D180" s="10">
        <v>1966</v>
      </c>
    </row>
    <row r="181" spans="1:4" ht="19.95" customHeight="1" x14ac:dyDescent="0.25">
      <c r="A181" s="9" t="s">
        <v>19</v>
      </c>
      <c r="B181" s="10" t="s">
        <v>43</v>
      </c>
      <c r="C181" s="10">
        <v>3.2888841903450001</v>
      </c>
      <c r="D181" s="10">
        <v>1966</v>
      </c>
    </row>
    <row r="182" spans="1:4" ht="19.95" customHeight="1" x14ac:dyDescent="0.25">
      <c r="A182" s="9" t="s">
        <v>20</v>
      </c>
      <c r="B182" s="10" t="s">
        <v>43</v>
      </c>
      <c r="C182" s="10">
        <v>2.5642430613337699</v>
      </c>
      <c r="D182" s="10">
        <v>1966</v>
      </c>
    </row>
    <row r="183" spans="1:4" ht="19.95" customHeight="1" x14ac:dyDescent="0.25">
      <c r="A183" s="9" t="s">
        <v>21</v>
      </c>
      <c r="B183" s="10" t="s">
        <v>43</v>
      </c>
      <c r="C183" s="10">
        <v>2.3537773108219402</v>
      </c>
      <c r="D183" s="10">
        <v>1966</v>
      </c>
    </row>
    <row r="184" spans="1:4" ht="19.95" customHeight="1" x14ac:dyDescent="0.25">
      <c r="A184" s="9" t="s">
        <v>22</v>
      </c>
      <c r="B184" s="10" t="s">
        <v>43</v>
      </c>
      <c r="C184" s="10">
        <v>2.5562546908364498</v>
      </c>
      <c r="D184" s="10">
        <v>1966</v>
      </c>
    </row>
    <row r="185" spans="1:4" ht="19.95" customHeight="1" x14ac:dyDescent="0.25">
      <c r="A185" s="9" t="s">
        <v>23</v>
      </c>
      <c r="B185" s="10" t="s">
        <v>43</v>
      </c>
      <c r="C185" s="10">
        <v>2.4207938124191899</v>
      </c>
      <c r="D185" s="10">
        <v>1966</v>
      </c>
    </row>
    <row r="186" spans="1:4" ht="19.95" customHeight="1" x14ac:dyDescent="0.25">
      <c r="A186" s="9" t="s">
        <v>24</v>
      </c>
      <c r="B186" s="10" t="s">
        <v>43</v>
      </c>
      <c r="C186" s="10">
        <v>1.20267314387137</v>
      </c>
      <c r="D186" s="10">
        <v>1966</v>
      </c>
    </row>
    <row r="187" spans="1:4" ht="19.95" customHeight="1" x14ac:dyDescent="0.25">
      <c r="A187" s="9" t="s">
        <v>25</v>
      </c>
      <c r="B187" s="10" t="s">
        <v>43</v>
      </c>
      <c r="C187" s="10">
        <v>1.68484153987481</v>
      </c>
      <c r="D187" s="10">
        <v>1966</v>
      </c>
    </row>
    <row r="188" spans="1:4" ht="19.95" customHeight="1" x14ac:dyDescent="0.25">
      <c r="A188" s="9" t="s">
        <v>26</v>
      </c>
      <c r="B188" s="10" t="s">
        <v>43</v>
      </c>
      <c r="C188" s="10">
        <v>2.15123212266358</v>
      </c>
      <c r="D188" s="10">
        <v>1966</v>
      </c>
    </row>
    <row r="189" spans="1:4" ht="19.95" customHeight="1" x14ac:dyDescent="0.25">
      <c r="A189" s="9" t="s">
        <v>28</v>
      </c>
      <c r="B189" s="10" t="s">
        <v>43</v>
      </c>
      <c r="C189" s="10">
        <v>2.3367672593688802</v>
      </c>
      <c r="D189" s="10">
        <v>1966</v>
      </c>
    </row>
    <row r="190" spans="1:4" ht="19.95" customHeight="1" x14ac:dyDescent="0.25">
      <c r="A190" s="9" t="s">
        <v>29</v>
      </c>
      <c r="B190" s="10" t="s">
        <v>43</v>
      </c>
      <c r="C190" s="10">
        <v>1.78140827287694</v>
      </c>
      <c r="D190" s="10">
        <v>1966</v>
      </c>
    </row>
    <row r="191" spans="1:4" ht="19.95" customHeight="1" x14ac:dyDescent="0.25">
      <c r="A191" s="9" t="s">
        <v>30</v>
      </c>
      <c r="B191" s="10" t="s">
        <v>43</v>
      </c>
      <c r="C191" s="10">
        <v>2.9902869632072999</v>
      </c>
      <c r="D191" s="10">
        <v>1966</v>
      </c>
    </row>
    <row r="192" spans="1:4" ht="19.95" customHeight="1" x14ac:dyDescent="0.25">
      <c r="A192" s="9" t="s">
        <v>31</v>
      </c>
      <c r="B192" s="10" t="s">
        <v>43</v>
      </c>
      <c r="C192" s="10">
        <v>2.86668873205821</v>
      </c>
      <c r="D192" s="10">
        <v>1966</v>
      </c>
    </row>
    <row r="193" spans="1:4" ht="19.95" customHeight="1" x14ac:dyDescent="0.25">
      <c r="A193" s="9" t="s">
        <v>32</v>
      </c>
      <c r="B193" s="10" t="s">
        <v>43</v>
      </c>
      <c r="C193" s="10">
        <v>2.6298154610263298</v>
      </c>
      <c r="D193" s="10">
        <v>1966</v>
      </c>
    </row>
    <row r="194" spans="1:4" ht="19.95" customHeight="1" x14ac:dyDescent="0.25">
      <c r="A194" s="9" t="s">
        <v>33</v>
      </c>
      <c r="B194" s="10" t="s">
        <v>43</v>
      </c>
      <c r="C194" s="10">
        <v>1.9364959134273101</v>
      </c>
      <c r="D194" s="10">
        <v>1966</v>
      </c>
    </row>
    <row r="195" spans="1:4" ht="19.95" customHeight="1" x14ac:dyDescent="0.25">
      <c r="A195" s="9" t="s">
        <v>34</v>
      </c>
      <c r="B195" s="10" t="s">
        <v>43</v>
      </c>
      <c r="C195" s="10">
        <v>2.3997316144643599</v>
      </c>
      <c r="D195" s="10">
        <v>1966</v>
      </c>
    </row>
    <row r="196" spans="1:4" ht="19.95" customHeight="1" x14ac:dyDescent="0.25">
      <c r="A196" s="9" t="s">
        <v>35</v>
      </c>
      <c r="B196" s="10" t="s">
        <v>43</v>
      </c>
      <c r="C196" s="10">
        <v>3.4186511095675201</v>
      </c>
      <c r="D196" s="10">
        <v>1966</v>
      </c>
    </row>
    <row r="197" spans="1:4" ht="19.95" customHeight="1" x14ac:dyDescent="0.25">
      <c r="A197" s="9" t="s">
        <v>36</v>
      </c>
      <c r="B197" s="10" t="s">
        <v>43</v>
      </c>
      <c r="C197" s="10">
        <v>2.9963336187590501</v>
      </c>
      <c r="D197" s="10">
        <v>1966</v>
      </c>
    </row>
    <row r="198" spans="1:4" ht="19.95" customHeight="1" x14ac:dyDescent="0.25">
      <c r="A198" s="9" t="s">
        <v>37</v>
      </c>
      <c r="B198" s="10" t="s">
        <v>43</v>
      </c>
      <c r="C198" s="10">
        <v>3.4144725975715899</v>
      </c>
      <c r="D198" s="10">
        <v>1966</v>
      </c>
    </row>
    <row r="199" spans="1:4" ht="19.95" customHeight="1" x14ac:dyDescent="0.25">
      <c r="A199" s="9" t="s">
        <v>38</v>
      </c>
      <c r="B199" s="10" t="s">
        <v>43</v>
      </c>
      <c r="C199" s="10">
        <v>3.1159508071012598</v>
      </c>
      <c r="D199" s="10">
        <v>1966</v>
      </c>
    </row>
    <row r="200" spans="1:4" ht="19.95" customHeight="1" x14ac:dyDescent="0.25">
      <c r="A200" s="9" t="s">
        <v>39</v>
      </c>
      <c r="B200" s="10" t="s">
        <v>43</v>
      </c>
      <c r="C200" s="10">
        <v>3.1958693095523301</v>
      </c>
      <c r="D200" s="10">
        <v>1966</v>
      </c>
    </row>
    <row r="201" spans="1:4" ht="19.95" customHeight="1" x14ac:dyDescent="0.25">
      <c r="A201" s="9" t="s">
        <v>9</v>
      </c>
      <c r="B201" s="10" t="s">
        <v>43</v>
      </c>
      <c r="C201" s="10">
        <v>2.5460349200237999</v>
      </c>
      <c r="D201" s="10">
        <v>1967</v>
      </c>
    </row>
    <row r="202" spans="1:4" ht="19.95" customHeight="1" x14ac:dyDescent="0.25">
      <c r="A202" s="9" t="s">
        <v>12</v>
      </c>
      <c r="B202" s="10" t="s">
        <v>43</v>
      </c>
      <c r="C202" s="10">
        <v>2.3956390101490199</v>
      </c>
      <c r="D202" s="10">
        <v>1967</v>
      </c>
    </row>
    <row r="203" spans="1:4" ht="19.95" customHeight="1" x14ac:dyDescent="0.25">
      <c r="A203" s="9" t="s">
        <v>13</v>
      </c>
      <c r="B203" s="10" t="s">
        <v>43</v>
      </c>
      <c r="C203" s="10">
        <v>1.8405448273821301</v>
      </c>
      <c r="D203" s="10">
        <v>1967</v>
      </c>
    </row>
    <row r="204" spans="1:4" ht="19.95" customHeight="1" x14ac:dyDescent="0.25">
      <c r="A204" s="9" t="s">
        <v>15</v>
      </c>
      <c r="B204" s="10" t="s">
        <v>43</v>
      </c>
      <c r="C204" s="10">
        <v>2.0680467938851699</v>
      </c>
      <c r="D204" s="10">
        <v>1967</v>
      </c>
    </row>
    <row r="205" spans="1:4" ht="19.95" customHeight="1" x14ac:dyDescent="0.25">
      <c r="A205" s="9" t="s">
        <v>16</v>
      </c>
      <c r="B205" s="10" t="s">
        <v>43</v>
      </c>
      <c r="C205" s="10">
        <v>6.7128944122730596</v>
      </c>
      <c r="D205" s="10">
        <v>1967</v>
      </c>
    </row>
    <row r="206" spans="1:4" ht="19.95" customHeight="1" x14ac:dyDescent="0.25">
      <c r="A206" s="9" t="s">
        <v>1</v>
      </c>
      <c r="B206" s="10" t="s">
        <v>43</v>
      </c>
      <c r="C206" s="10">
        <v>2.46468623153025</v>
      </c>
      <c r="D206" s="10">
        <v>1967</v>
      </c>
    </row>
    <row r="207" spans="1:4" ht="19.95" customHeight="1" x14ac:dyDescent="0.25">
      <c r="A207" s="9" t="s">
        <v>17</v>
      </c>
      <c r="B207" s="10" t="s">
        <v>43</v>
      </c>
      <c r="C207" s="10">
        <v>1.87194822412985</v>
      </c>
      <c r="D207" s="10">
        <v>1967</v>
      </c>
    </row>
    <row r="208" spans="1:4" ht="19.95" customHeight="1" x14ac:dyDescent="0.25">
      <c r="A208" s="9" t="s">
        <v>18</v>
      </c>
      <c r="B208" s="10" t="s">
        <v>43</v>
      </c>
      <c r="C208" s="10">
        <v>2.00042703784221</v>
      </c>
      <c r="D208" s="10">
        <v>1967</v>
      </c>
    </row>
    <row r="209" spans="1:4" ht="19.95" customHeight="1" x14ac:dyDescent="0.25">
      <c r="A209" s="9" t="s">
        <v>19</v>
      </c>
      <c r="B209" s="10" t="s">
        <v>43</v>
      </c>
      <c r="C209" s="10">
        <v>3.3239810690275902</v>
      </c>
      <c r="D209" s="10">
        <v>1967</v>
      </c>
    </row>
    <row r="210" spans="1:4" ht="19.95" customHeight="1" x14ac:dyDescent="0.25">
      <c r="A210" s="9" t="s">
        <v>20</v>
      </c>
      <c r="B210" s="10" t="s">
        <v>43</v>
      </c>
      <c r="C210" s="10">
        <v>2.5882747833223001</v>
      </c>
      <c r="D210" s="10">
        <v>1967</v>
      </c>
    </row>
    <row r="211" spans="1:4" ht="19.95" customHeight="1" x14ac:dyDescent="0.25">
      <c r="A211" s="9" t="s">
        <v>21</v>
      </c>
      <c r="B211" s="10" t="s">
        <v>43</v>
      </c>
      <c r="C211" s="10">
        <v>2.3974915585134902</v>
      </c>
      <c r="D211" s="10">
        <v>1967</v>
      </c>
    </row>
    <row r="212" spans="1:4" ht="19.95" customHeight="1" x14ac:dyDescent="0.25">
      <c r="A212" s="9" t="s">
        <v>22</v>
      </c>
      <c r="B212" s="10" t="s">
        <v>43</v>
      </c>
      <c r="C212" s="10">
        <v>2.5840236394071301</v>
      </c>
      <c r="D212" s="10">
        <v>1967</v>
      </c>
    </row>
    <row r="213" spans="1:4" ht="19.95" customHeight="1" x14ac:dyDescent="0.25">
      <c r="A213" s="9" t="s">
        <v>23</v>
      </c>
      <c r="B213" s="10" t="s">
        <v>43</v>
      </c>
      <c r="C213" s="10">
        <v>2.46756958129036</v>
      </c>
      <c r="D213" s="10">
        <v>1967</v>
      </c>
    </row>
    <row r="214" spans="1:4" ht="19.95" customHeight="1" x14ac:dyDescent="0.25">
      <c r="A214" s="9" t="s">
        <v>24</v>
      </c>
      <c r="B214" s="10" t="s">
        <v>43</v>
      </c>
      <c r="C214" s="10">
        <v>1.2403551772340999</v>
      </c>
      <c r="D214" s="10">
        <v>1967</v>
      </c>
    </row>
    <row r="215" spans="1:4" ht="19.95" customHeight="1" x14ac:dyDescent="0.25">
      <c r="A215" s="9" t="s">
        <v>25</v>
      </c>
      <c r="B215" s="10" t="s">
        <v>43</v>
      </c>
      <c r="C215" s="10">
        <v>1.5541670103441301</v>
      </c>
      <c r="D215" s="10">
        <v>1967</v>
      </c>
    </row>
    <row r="216" spans="1:4" ht="19.95" customHeight="1" x14ac:dyDescent="0.25">
      <c r="A216" s="9" t="s">
        <v>26</v>
      </c>
      <c r="B216" s="10" t="s">
        <v>43</v>
      </c>
      <c r="C216" s="10">
        <v>2.17412939251864</v>
      </c>
      <c r="D216" s="10">
        <v>1967</v>
      </c>
    </row>
    <row r="217" spans="1:4" ht="19.95" customHeight="1" x14ac:dyDescent="0.25">
      <c r="A217" s="9" t="s">
        <v>28</v>
      </c>
      <c r="B217" s="10" t="s">
        <v>43</v>
      </c>
      <c r="C217" s="10">
        <v>2.3949370572834501</v>
      </c>
      <c r="D217" s="10">
        <v>1967</v>
      </c>
    </row>
    <row r="218" spans="1:4" ht="19.95" customHeight="1" x14ac:dyDescent="0.25">
      <c r="A218" s="9" t="s">
        <v>29</v>
      </c>
      <c r="B218" s="10" t="s">
        <v>43</v>
      </c>
      <c r="C218" s="10">
        <v>1.8455482213272401</v>
      </c>
      <c r="D218" s="10">
        <v>1967</v>
      </c>
    </row>
    <row r="219" spans="1:4" ht="19.95" customHeight="1" x14ac:dyDescent="0.25">
      <c r="A219" s="9" t="s">
        <v>30</v>
      </c>
      <c r="B219" s="10" t="s">
        <v>43</v>
      </c>
      <c r="C219" s="10">
        <v>2.9962923922746101</v>
      </c>
      <c r="D219" s="10">
        <v>1967</v>
      </c>
    </row>
    <row r="220" spans="1:4" ht="19.95" customHeight="1" x14ac:dyDescent="0.25">
      <c r="A220" s="9" t="s">
        <v>31</v>
      </c>
      <c r="B220" s="10" t="s">
        <v>43</v>
      </c>
      <c r="C220" s="10">
        <v>2.8546925339896898</v>
      </c>
      <c r="D220" s="10">
        <v>1967</v>
      </c>
    </row>
    <row r="221" spans="1:4" ht="19.95" customHeight="1" x14ac:dyDescent="0.25">
      <c r="A221" s="9" t="s">
        <v>32</v>
      </c>
      <c r="B221" s="10" t="s">
        <v>43</v>
      </c>
      <c r="C221" s="10">
        <v>2.9460086018360401</v>
      </c>
      <c r="D221" s="10">
        <v>1967</v>
      </c>
    </row>
    <row r="222" spans="1:4" ht="19.95" customHeight="1" x14ac:dyDescent="0.25">
      <c r="A222" s="9" t="s">
        <v>33</v>
      </c>
      <c r="B222" s="10" t="s">
        <v>43</v>
      </c>
      <c r="C222" s="10">
        <v>2.70294796977872</v>
      </c>
      <c r="D222" s="10">
        <v>1967</v>
      </c>
    </row>
    <row r="223" spans="1:4" ht="19.95" customHeight="1" x14ac:dyDescent="0.25">
      <c r="A223" s="9" t="s">
        <v>34</v>
      </c>
      <c r="B223" s="10" t="s">
        <v>43</v>
      </c>
      <c r="C223" s="10">
        <v>2.4046030203953701</v>
      </c>
      <c r="D223" s="10">
        <v>1967</v>
      </c>
    </row>
    <row r="224" spans="1:4" ht="19.95" customHeight="1" x14ac:dyDescent="0.25">
      <c r="A224" s="9" t="s">
        <v>35</v>
      </c>
      <c r="B224" s="10" t="s">
        <v>43</v>
      </c>
      <c r="C224" s="10">
        <v>3.3517322323718699</v>
      </c>
      <c r="D224" s="10">
        <v>1967</v>
      </c>
    </row>
    <row r="225" spans="1:4" ht="19.95" customHeight="1" x14ac:dyDescent="0.25">
      <c r="A225" s="9" t="s">
        <v>36</v>
      </c>
      <c r="B225" s="10" t="s">
        <v>43</v>
      </c>
      <c r="C225" s="10">
        <v>3.0040128019233499</v>
      </c>
      <c r="D225" s="10">
        <v>1967</v>
      </c>
    </row>
    <row r="226" spans="1:4" ht="19.95" customHeight="1" x14ac:dyDescent="0.25">
      <c r="A226" s="9" t="s">
        <v>37</v>
      </c>
      <c r="B226" s="10" t="s">
        <v>43</v>
      </c>
      <c r="C226" s="10">
        <v>3.4127923902729198</v>
      </c>
      <c r="D226" s="10">
        <v>1967</v>
      </c>
    </row>
    <row r="227" spans="1:4" ht="19.95" customHeight="1" x14ac:dyDescent="0.25">
      <c r="A227" s="9" t="s">
        <v>38</v>
      </c>
      <c r="B227" s="10" t="s">
        <v>43</v>
      </c>
      <c r="C227" s="10">
        <v>3.09871666178773</v>
      </c>
      <c r="D227" s="10">
        <v>1967</v>
      </c>
    </row>
    <row r="228" spans="1:4" ht="19.95" customHeight="1" x14ac:dyDescent="0.25">
      <c r="A228" s="9" t="s">
        <v>39</v>
      </c>
      <c r="B228" s="10" t="s">
        <v>43</v>
      </c>
      <c r="C228" s="10">
        <v>3.16897781210319</v>
      </c>
      <c r="D228" s="10">
        <v>1967</v>
      </c>
    </row>
    <row r="229" spans="1:4" ht="19.95" customHeight="1" x14ac:dyDescent="0.25">
      <c r="A229" s="9" t="s">
        <v>9</v>
      </c>
      <c r="B229" s="10" t="s">
        <v>43</v>
      </c>
      <c r="C229" s="10">
        <v>2.5102627119219401</v>
      </c>
      <c r="D229" s="10">
        <v>1968</v>
      </c>
    </row>
    <row r="230" spans="1:4" ht="19.95" customHeight="1" x14ac:dyDescent="0.25">
      <c r="A230" s="9" t="s">
        <v>12</v>
      </c>
      <c r="B230" s="10" t="s">
        <v>43</v>
      </c>
      <c r="C230" s="10">
        <v>2.44155252012927</v>
      </c>
      <c r="D230" s="10">
        <v>1968</v>
      </c>
    </row>
    <row r="231" spans="1:4" ht="19.95" customHeight="1" x14ac:dyDescent="0.25">
      <c r="A231" s="9" t="s">
        <v>13</v>
      </c>
      <c r="B231" s="10" t="s">
        <v>43</v>
      </c>
      <c r="C231" s="10">
        <v>1.86159061706758</v>
      </c>
      <c r="D231" s="10">
        <v>1968</v>
      </c>
    </row>
    <row r="232" spans="1:4" ht="19.95" customHeight="1" x14ac:dyDescent="0.25">
      <c r="A232" s="9" t="s">
        <v>15</v>
      </c>
      <c r="B232" s="10" t="s">
        <v>43</v>
      </c>
      <c r="C232" s="10">
        <v>2.1436331005855802</v>
      </c>
      <c r="D232" s="10">
        <v>1968</v>
      </c>
    </row>
    <row r="233" spans="1:4" ht="19.95" customHeight="1" x14ac:dyDescent="0.25">
      <c r="A233" s="9" t="s">
        <v>16</v>
      </c>
      <c r="B233" s="10" t="s">
        <v>43</v>
      </c>
      <c r="C233" s="10">
        <v>6.6713714819085004</v>
      </c>
      <c r="D233" s="10">
        <v>1968</v>
      </c>
    </row>
    <row r="234" spans="1:4" ht="19.95" customHeight="1" x14ac:dyDescent="0.25">
      <c r="A234" s="9" t="s">
        <v>1</v>
      </c>
      <c r="B234" s="10" t="s">
        <v>43</v>
      </c>
      <c r="C234" s="10">
        <v>2.49836360444217</v>
      </c>
      <c r="D234" s="10">
        <v>1968</v>
      </c>
    </row>
    <row r="235" spans="1:4" ht="19.95" customHeight="1" x14ac:dyDescent="0.25">
      <c r="A235" s="9" t="s">
        <v>17</v>
      </c>
      <c r="B235" s="10" t="s">
        <v>43</v>
      </c>
      <c r="C235" s="10">
        <v>1.8152925915348701</v>
      </c>
      <c r="D235" s="10">
        <v>1968</v>
      </c>
    </row>
    <row r="236" spans="1:4" ht="19.95" customHeight="1" x14ac:dyDescent="0.25">
      <c r="A236" s="9" t="s">
        <v>18</v>
      </c>
      <c r="B236" s="10" t="s">
        <v>43</v>
      </c>
      <c r="C236" s="10">
        <v>1.9757063857386701</v>
      </c>
      <c r="D236" s="10">
        <v>1968</v>
      </c>
    </row>
    <row r="237" spans="1:4" ht="19.95" customHeight="1" x14ac:dyDescent="0.25">
      <c r="A237" s="9" t="s">
        <v>19</v>
      </c>
      <c r="B237" s="10" t="s">
        <v>43</v>
      </c>
      <c r="C237" s="10">
        <v>3.3673662499615502</v>
      </c>
      <c r="D237" s="10">
        <v>1968</v>
      </c>
    </row>
    <row r="238" spans="1:4" ht="19.95" customHeight="1" x14ac:dyDescent="0.25">
      <c r="A238" s="9" t="s">
        <v>20</v>
      </c>
      <c r="B238" s="10" t="s">
        <v>43</v>
      </c>
      <c r="C238" s="10">
        <v>2.43702226031614</v>
      </c>
      <c r="D238" s="10">
        <v>1968</v>
      </c>
    </row>
    <row r="239" spans="1:4" ht="19.95" customHeight="1" x14ac:dyDescent="0.25">
      <c r="A239" s="9" t="s">
        <v>21</v>
      </c>
      <c r="B239" s="10" t="s">
        <v>43</v>
      </c>
      <c r="C239" s="10">
        <v>2.4470931262747899</v>
      </c>
      <c r="D239" s="10">
        <v>1968</v>
      </c>
    </row>
    <row r="240" spans="1:4" ht="19.95" customHeight="1" x14ac:dyDescent="0.25">
      <c r="A240" s="9" t="s">
        <v>22</v>
      </c>
      <c r="B240" s="10" t="s">
        <v>43</v>
      </c>
      <c r="C240" s="10">
        <v>2.6153443474791001</v>
      </c>
      <c r="D240" s="10">
        <v>1968</v>
      </c>
    </row>
    <row r="241" spans="1:4" ht="19.95" customHeight="1" x14ac:dyDescent="0.25">
      <c r="A241" s="9" t="s">
        <v>23</v>
      </c>
      <c r="B241" s="10" t="s">
        <v>43</v>
      </c>
      <c r="C241" s="10">
        <v>2.5172032631476098</v>
      </c>
      <c r="D241" s="10">
        <v>1968</v>
      </c>
    </row>
    <row r="242" spans="1:4" ht="19.95" customHeight="1" x14ac:dyDescent="0.25">
      <c r="A242" s="9" t="s">
        <v>24</v>
      </c>
      <c r="B242" s="10" t="s">
        <v>43</v>
      </c>
      <c r="C242" s="10">
        <v>1.2995008165489701</v>
      </c>
      <c r="D242" s="10">
        <v>1968</v>
      </c>
    </row>
    <row r="243" spans="1:4" ht="19.95" customHeight="1" x14ac:dyDescent="0.25">
      <c r="A243" s="9" t="s">
        <v>25</v>
      </c>
      <c r="B243" s="10" t="s">
        <v>43</v>
      </c>
      <c r="C243" s="10">
        <v>1.42908182353752</v>
      </c>
      <c r="D243" s="10">
        <v>1968</v>
      </c>
    </row>
    <row r="244" spans="1:4" ht="19.95" customHeight="1" x14ac:dyDescent="0.25">
      <c r="A244" s="9" t="s">
        <v>26</v>
      </c>
      <c r="B244" s="10" t="s">
        <v>43</v>
      </c>
      <c r="C244" s="10">
        <v>2.2031290878920098</v>
      </c>
      <c r="D244" s="10">
        <v>1968</v>
      </c>
    </row>
    <row r="245" spans="1:4" ht="19.95" customHeight="1" x14ac:dyDescent="0.25">
      <c r="A245" s="9" t="s">
        <v>28</v>
      </c>
      <c r="B245" s="10" t="s">
        <v>43</v>
      </c>
      <c r="C245" s="10">
        <v>2.43128034816089</v>
      </c>
      <c r="D245" s="10">
        <v>1968</v>
      </c>
    </row>
    <row r="246" spans="1:4" ht="19.95" customHeight="1" x14ac:dyDescent="0.25">
      <c r="A246" s="9" t="s">
        <v>29</v>
      </c>
      <c r="B246" s="10" t="s">
        <v>43</v>
      </c>
      <c r="C246" s="10">
        <v>1.9031439015432099</v>
      </c>
      <c r="D246" s="10">
        <v>1968</v>
      </c>
    </row>
    <row r="247" spans="1:4" ht="19.95" customHeight="1" x14ac:dyDescent="0.25">
      <c r="A247" s="9" t="s">
        <v>30</v>
      </c>
      <c r="B247" s="10" t="s">
        <v>43</v>
      </c>
      <c r="C247" s="10">
        <v>3.0092243680546802</v>
      </c>
      <c r="D247" s="10">
        <v>1968</v>
      </c>
    </row>
    <row r="248" spans="1:4" ht="19.95" customHeight="1" x14ac:dyDescent="0.25">
      <c r="A248" s="9" t="s">
        <v>31</v>
      </c>
      <c r="B248" s="10" t="s">
        <v>43</v>
      </c>
      <c r="C248" s="10">
        <v>2.8391063125918499</v>
      </c>
      <c r="D248" s="10">
        <v>1968</v>
      </c>
    </row>
    <row r="249" spans="1:4" ht="19.95" customHeight="1" x14ac:dyDescent="0.25">
      <c r="A249" s="9" t="s">
        <v>32</v>
      </c>
      <c r="B249" s="10" t="s">
        <v>43</v>
      </c>
      <c r="C249" s="10">
        <v>3.1373891407273602</v>
      </c>
      <c r="D249" s="10">
        <v>1968</v>
      </c>
    </row>
    <row r="250" spans="1:4" ht="19.95" customHeight="1" x14ac:dyDescent="0.25">
      <c r="A250" s="9" t="s">
        <v>33</v>
      </c>
      <c r="B250" s="10" t="s">
        <v>43</v>
      </c>
      <c r="C250" s="10">
        <v>3.15138571927287</v>
      </c>
      <c r="D250" s="10">
        <v>1968</v>
      </c>
    </row>
    <row r="251" spans="1:4" ht="19.95" customHeight="1" x14ac:dyDescent="0.25">
      <c r="A251" s="9" t="s">
        <v>34</v>
      </c>
      <c r="B251" s="10" t="s">
        <v>43</v>
      </c>
      <c r="C251" s="10">
        <v>2.3730529517089498</v>
      </c>
      <c r="D251" s="10">
        <v>1968</v>
      </c>
    </row>
    <row r="252" spans="1:4" ht="19.95" customHeight="1" x14ac:dyDescent="0.25">
      <c r="A252" s="9" t="s">
        <v>35</v>
      </c>
      <c r="B252" s="10" t="s">
        <v>43</v>
      </c>
      <c r="C252" s="10">
        <v>3.2761832314316099</v>
      </c>
      <c r="D252" s="10">
        <v>1968</v>
      </c>
    </row>
    <row r="253" spans="1:4" ht="19.95" customHeight="1" x14ac:dyDescent="0.25">
      <c r="A253" s="9" t="s">
        <v>36</v>
      </c>
      <c r="B253" s="10" t="s">
        <v>43</v>
      </c>
      <c r="C253" s="10">
        <v>3.02838202702607</v>
      </c>
      <c r="D253" s="10">
        <v>1968</v>
      </c>
    </row>
    <row r="254" spans="1:4" ht="19.95" customHeight="1" x14ac:dyDescent="0.25">
      <c r="A254" s="9" t="s">
        <v>37</v>
      </c>
      <c r="B254" s="10" t="s">
        <v>43</v>
      </c>
      <c r="C254" s="10">
        <v>3.3491243421190502</v>
      </c>
      <c r="D254" s="10">
        <v>1968</v>
      </c>
    </row>
    <row r="255" spans="1:4" ht="19.95" customHeight="1" x14ac:dyDescent="0.25">
      <c r="A255" s="9" t="s">
        <v>38</v>
      </c>
      <c r="B255" s="10" t="s">
        <v>43</v>
      </c>
      <c r="C255" s="10">
        <v>3.1206695582180801</v>
      </c>
      <c r="D255" s="10">
        <v>1968</v>
      </c>
    </row>
    <row r="256" spans="1:4" ht="19.95" customHeight="1" x14ac:dyDescent="0.25">
      <c r="A256" s="9" t="s">
        <v>39</v>
      </c>
      <c r="B256" s="10" t="s">
        <v>43</v>
      </c>
      <c r="C256" s="10">
        <v>3.1702480894416598</v>
      </c>
      <c r="D256" s="10">
        <v>1968</v>
      </c>
    </row>
    <row r="257" spans="1:4" ht="19.95" customHeight="1" x14ac:dyDescent="0.25">
      <c r="A257" s="9" t="s">
        <v>9</v>
      </c>
      <c r="B257" s="10" t="s">
        <v>43</v>
      </c>
      <c r="C257" s="10">
        <v>2.2517396697513901</v>
      </c>
      <c r="D257" s="10">
        <v>1969</v>
      </c>
    </row>
    <row r="258" spans="1:4" ht="19.95" customHeight="1" x14ac:dyDescent="0.25">
      <c r="A258" s="9" t="s">
        <v>12</v>
      </c>
      <c r="B258" s="10" t="s">
        <v>43</v>
      </c>
      <c r="C258" s="10">
        <v>2.48623085484429</v>
      </c>
      <c r="D258" s="10">
        <v>1969</v>
      </c>
    </row>
    <row r="259" spans="1:4" ht="19.95" customHeight="1" x14ac:dyDescent="0.25">
      <c r="A259" s="9" t="s">
        <v>13</v>
      </c>
      <c r="B259" s="10" t="s">
        <v>43</v>
      </c>
      <c r="C259" s="10">
        <v>1.9532781834306601</v>
      </c>
      <c r="D259" s="10">
        <v>1969</v>
      </c>
    </row>
    <row r="260" spans="1:4" ht="19.95" customHeight="1" x14ac:dyDescent="0.25">
      <c r="A260" s="9" t="s">
        <v>15</v>
      </c>
      <c r="B260" s="10" t="s">
        <v>43</v>
      </c>
      <c r="C260" s="10">
        <v>2.1306031334304998</v>
      </c>
      <c r="D260" s="10">
        <v>1969</v>
      </c>
    </row>
    <row r="261" spans="1:4" ht="19.95" customHeight="1" x14ac:dyDescent="0.25">
      <c r="A261" s="9" t="s">
        <v>16</v>
      </c>
      <c r="B261" s="10" t="s">
        <v>43</v>
      </c>
      <c r="C261" s="10">
        <v>6.4944687306043596</v>
      </c>
      <c r="D261" s="10">
        <v>1969</v>
      </c>
    </row>
    <row r="262" spans="1:4" ht="19.95" customHeight="1" x14ac:dyDescent="0.25">
      <c r="A262" s="9" t="s">
        <v>1</v>
      </c>
      <c r="B262" s="10" t="s">
        <v>43</v>
      </c>
      <c r="C262" s="10">
        <v>2.59384097731916</v>
      </c>
      <c r="D262" s="10">
        <v>1969</v>
      </c>
    </row>
    <row r="263" spans="1:4" ht="19.95" customHeight="1" x14ac:dyDescent="0.25">
      <c r="A263" s="9" t="s">
        <v>17</v>
      </c>
      <c r="B263" s="10" t="s">
        <v>43</v>
      </c>
      <c r="C263" s="10">
        <v>1.61752542578113</v>
      </c>
      <c r="D263" s="10">
        <v>1969</v>
      </c>
    </row>
    <row r="264" spans="1:4" ht="19.95" customHeight="1" x14ac:dyDescent="0.25">
      <c r="A264" s="9" t="s">
        <v>18</v>
      </c>
      <c r="B264" s="10" t="s">
        <v>43</v>
      </c>
      <c r="C264" s="10">
        <v>1.9216352192259001</v>
      </c>
      <c r="D264" s="10">
        <v>1969</v>
      </c>
    </row>
    <row r="265" spans="1:4" ht="19.95" customHeight="1" x14ac:dyDescent="0.25">
      <c r="A265" s="9" t="s">
        <v>19</v>
      </c>
      <c r="B265" s="10" t="s">
        <v>43</v>
      </c>
      <c r="C265" s="10">
        <v>3.4207515626398401</v>
      </c>
      <c r="D265" s="10">
        <v>1969</v>
      </c>
    </row>
    <row r="266" spans="1:4" ht="19.95" customHeight="1" x14ac:dyDescent="0.25">
      <c r="A266" s="9" t="s">
        <v>20</v>
      </c>
      <c r="B266" s="10" t="s">
        <v>43</v>
      </c>
      <c r="C266" s="10">
        <v>2.3790416836635702</v>
      </c>
      <c r="D266" s="10">
        <v>1969</v>
      </c>
    </row>
    <row r="267" spans="1:4" ht="19.95" customHeight="1" x14ac:dyDescent="0.25">
      <c r="A267" s="9" t="s">
        <v>21</v>
      </c>
      <c r="B267" s="10" t="s">
        <v>43</v>
      </c>
      <c r="C267" s="10">
        <v>2.5043037618545698</v>
      </c>
      <c r="D267" s="10">
        <v>1969</v>
      </c>
    </row>
    <row r="268" spans="1:4" ht="19.95" customHeight="1" x14ac:dyDescent="0.25">
      <c r="A268" s="9" t="s">
        <v>22</v>
      </c>
      <c r="B268" s="10" t="s">
        <v>43</v>
      </c>
      <c r="C268" s="10">
        <v>2.65053320615332</v>
      </c>
      <c r="D268" s="10">
        <v>1969</v>
      </c>
    </row>
    <row r="269" spans="1:4" ht="19.95" customHeight="1" x14ac:dyDescent="0.25">
      <c r="A269" s="9" t="s">
        <v>23</v>
      </c>
      <c r="B269" s="10" t="s">
        <v>43</v>
      </c>
      <c r="C269" s="10">
        <v>2.5701664609756798</v>
      </c>
      <c r="D269" s="10">
        <v>1969</v>
      </c>
    </row>
    <row r="270" spans="1:4" ht="19.95" customHeight="1" x14ac:dyDescent="0.25">
      <c r="A270" s="9" t="s">
        <v>24</v>
      </c>
      <c r="B270" s="10" t="s">
        <v>43</v>
      </c>
      <c r="C270" s="10">
        <v>1.38423942769395</v>
      </c>
      <c r="D270" s="10">
        <v>1969</v>
      </c>
    </row>
    <row r="271" spans="1:4" ht="19.95" customHeight="1" x14ac:dyDescent="0.25">
      <c r="A271" s="9" t="s">
        <v>25</v>
      </c>
      <c r="B271" s="10" t="s">
        <v>43</v>
      </c>
      <c r="C271" s="10">
        <v>1.4089464875301201</v>
      </c>
      <c r="D271" s="10">
        <v>1969</v>
      </c>
    </row>
    <row r="272" spans="1:4" ht="19.95" customHeight="1" x14ac:dyDescent="0.25">
      <c r="A272" s="9" t="s">
        <v>26</v>
      </c>
      <c r="B272" s="10" t="s">
        <v>43</v>
      </c>
      <c r="C272" s="10">
        <v>2.2396594507136101</v>
      </c>
      <c r="D272" s="10">
        <v>1969</v>
      </c>
    </row>
    <row r="273" spans="1:4" ht="19.95" customHeight="1" x14ac:dyDescent="0.25">
      <c r="A273" s="9" t="s">
        <v>28</v>
      </c>
      <c r="B273" s="10" t="s">
        <v>43</v>
      </c>
      <c r="C273" s="10">
        <v>2.4394548102071099</v>
      </c>
      <c r="D273" s="10">
        <v>1969</v>
      </c>
    </row>
    <row r="274" spans="1:4" ht="19.95" customHeight="1" x14ac:dyDescent="0.25">
      <c r="A274" s="9" t="s">
        <v>29</v>
      </c>
      <c r="B274" s="10" t="s">
        <v>43</v>
      </c>
      <c r="C274" s="10">
        <v>1.95071059471258</v>
      </c>
      <c r="D274" s="10">
        <v>1969</v>
      </c>
    </row>
    <row r="275" spans="1:4" ht="19.95" customHeight="1" x14ac:dyDescent="0.25">
      <c r="A275" s="9" t="s">
        <v>30</v>
      </c>
      <c r="B275" s="10" t="s">
        <v>43</v>
      </c>
      <c r="C275" s="10">
        <v>3.0269906775527202</v>
      </c>
      <c r="D275" s="10">
        <v>1969</v>
      </c>
    </row>
    <row r="276" spans="1:4" ht="19.95" customHeight="1" x14ac:dyDescent="0.25">
      <c r="A276" s="9" t="s">
        <v>31</v>
      </c>
      <c r="B276" s="10" t="s">
        <v>43</v>
      </c>
      <c r="C276" s="10">
        <v>2.8214590841477301</v>
      </c>
      <c r="D276" s="10">
        <v>1969</v>
      </c>
    </row>
    <row r="277" spans="1:4" ht="19.95" customHeight="1" x14ac:dyDescent="0.25">
      <c r="A277" s="9" t="s">
        <v>32</v>
      </c>
      <c r="B277" s="10" t="s">
        <v>43</v>
      </c>
      <c r="C277" s="10">
        <v>3.1623815011529501</v>
      </c>
      <c r="D277" s="10">
        <v>1969</v>
      </c>
    </row>
    <row r="278" spans="1:4" ht="19.95" customHeight="1" x14ac:dyDescent="0.25">
      <c r="A278" s="9" t="s">
        <v>33</v>
      </c>
      <c r="B278" s="10" t="s">
        <v>43</v>
      </c>
      <c r="C278" s="10">
        <v>3.0855582676640201</v>
      </c>
      <c r="D278" s="10">
        <v>1969</v>
      </c>
    </row>
    <row r="279" spans="1:4" ht="19.95" customHeight="1" x14ac:dyDescent="0.25">
      <c r="A279" s="9" t="s">
        <v>34</v>
      </c>
      <c r="B279" s="10" t="s">
        <v>43</v>
      </c>
      <c r="C279" s="10">
        <v>2.2968080783493998</v>
      </c>
      <c r="D279" s="10">
        <v>1969</v>
      </c>
    </row>
    <row r="280" spans="1:4" ht="19.95" customHeight="1" x14ac:dyDescent="0.25">
      <c r="A280" s="9" t="s">
        <v>35</v>
      </c>
      <c r="B280" s="10" t="s">
        <v>43</v>
      </c>
      <c r="C280" s="10">
        <v>3.1958380883882298</v>
      </c>
      <c r="D280" s="10">
        <v>1969</v>
      </c>
    </row>
    <row r="281" spans="1:4" ht="19.95" customHeight="1" x14ac:dyDescent="0.25">
      <c r="A281" s="9" t="s">
        <v>36</v>
      </c>
      <c r="B281" s="10" t="s">
        <v>43</v>
      </c>
      <c r="C281" s="10">
        <v>3.07306305082041</v>
      </c>
      <c r="D281" s="10">
        <v>1969</v>
      </c>
    </row>
    <row r="282" spans="1:4" ht="19.95" customHeight="1" x14ac:dyDescent="0.25">
      <c r="A282" s="9" t="s">
        <v>37</v>
      </c>
      <c r="B282" s="10" t="s">
        <v>43</v>
      </c>
      <c r="C282" s="10">
        <v>3.2151468648735801</v>
      </c>
      <c r="D282" s="10">
        <v>1969</v>
      </c>
    </row>
    <row r="283" spans="1:4" ht="19.95" customHeight="1" x14ac:dyDescent="0.25">
      <c r="A283" s="9" t="s">
        <v>38</v>
      </c>
      <c r="B283" s="10" t="s">
        <v>43</v>
      </c>
      <c r="C283" s="10">
        <v>3.1907592321888898</v>
      </c>
      <c r="D283" s="10">
        <v>1969</v>
      </c>
    </row>
    <row r="284" spans="1:4" ht="19.95" customHeight="1" x14ac:dyDescent="0.25">
      <c r="A284" s="9" t="s">
        <v>39</v>
      </c>
      <c r="B284" s="10" t="s">
        <v>43</v>
      </c>
      <c r="C284" s="10">
        <v>3.2065191426728199</v>
      </c>
      <c r="D284" s="10">
        <v>1969</v>
      </c>
    </row>
    <row r="285" spans="1:4" ht="19.95" customHeight="1" x14ac:dyDescent="0.25">
      <c r="A285" s="9" t="s">
        <v>9</v>
      </c>
      <c r="B285" s="10" t="s">
        <v>43</v>
      </c>
      <c r="C285" s="10">
        <v>1.8650942931115699</v>
      </c>
      <c r="D285" s="10">
        <v>1970</v>
      </c>
    </row>
    <row r="286" spans="1:4" ht="19.95" customHeight="1" x14ac:dyDescent="0.25">
      <c r="A286" s="9" t="s">
        <v>12</v>
      </c>
      <c r="B286" s="10" t="s">
        <v>43</v>
      </c>
      <c r="C286" s="10">
        <v>2.5298187453023702</v>
      </c>
      <c r="D286" s="10">
        <v>1970</v>
      </c>
    </row>
    <row r="287" spans="1:4" ht="19.95" customHeight="1" x14ac:dyDescent="0.25">
      <c r="A287" s="9" t="s">
        <v>13</v>
      </c>
      <c r="B287" s="10" t="s">
        <v>43</v>
      </c>
      <c r="C287" s="10">
        <v>2.0847616313399402</v>
      </c>
      <c r="D287" s="10">
        <v>1970</v>
      </c>
    </row>
    <row r="288" spans="1:4" ht="19.95" customHeight="1" x14ac:dyDescent="0.25">
      <c r="A288" s="9" t="s">
        <v>15</v>
      </c>
      <c r="B288" s="10" t="s">
        <v>43</v>
      </c>
      <c r="C288" s="10">
        <v>2.0770259532294002</v>
      </c>
      <c r="D288" s="10">
        <v>1970</v>
      </c>
    </row>
    <row r="289" spans="1:4" ht="19.95" customHeight="1" x14ac:dyDescent="0.25">
      <c r="A289" s="9" t="s">
        <v>16</v>
      </c>
      <c r="B289" s="10" t="s">
        <v>43</v>
      </c>
      <c r="C289" s="10">
        <v>6.3158614023727502</v>
      </c>
      <c r="D289" s="10">
        <v>1970</v>
      </c>
    </row>
    <row r="290" spans="1:4" ht="19.95" customHeight="1" x14ac:dyDescent="0.25">
      <c r="A290" s="9" t="s">
        <v>1</v>
      </c>
      <c r="B290" s="10" t="s">
        <v>43</v>
      </c>
      <c r="C290" s="10">
        <v>2.7143679689712301</v>
      </c>
      <c r="D290" s="10">
        <v>1970</v>
      </c>
    </row>
    <row r="291" spans="1:4" ht="19.95" customHeight="1" x14ac:dyDescent="0.25">
      <c r="A291" s="9" t="s">
        <v>17</v>
      </c>
      <c r="B291" s="10" t="s">
        <v>43</v>
      </c>
      <c r="C291" s="10">
        <v>1.3303752979386201</v>
      </c>
      <c r="D291" s="10">
        <v>1970</v>
      </c>
    </row>
    <row r="292" spans="1:4" ht="19.95" customHeight="1" x14ac:dyDescent="0.25">
      <c r="A292" s="9" t="s">
        <v>18</v>
      </c>
      <c r="B292" s="10" t="s">
        <v>43</v>
      </c>
      <c r="C292" s="10">
        <v>1.8527030734530801</v>
      </c>
      <c r="D292" s="10">
        <v>1970</v>
      </c>
    </row>
    <row r="293" spans="1:4" ht="19.95" customHeight="1" x14ac:dyDescent="0.25">
      <c r="A293" s="9" t="s">
        <v>19</v>
      </c>
      <c r="B293" s="10" t="s">
        <v>43</v>
      </c>
      <c r="C293" s="10">
        <v>3.4793055771889398</v>
      </c>
      <c r="D293" s="10">
        <v>1970</v>
      </c>
    </row>
    <row r="294" spans="1:4" ht="19.95" customHeight="1" x14ac:dyDescent="0.25">
      <c r="A294" s="9" t="s">
        <v>20</v>
      </c>
      <c r="B294" s="10" t="s">
        <v>43</v>
      </c>
      <c r="C294" s="10">
        <v>2.3237560125971402</v>
      </c>
      <c r="D294" s="10">
        <v>1970</v>
      </c>
    </row>
    <row r="295" spans="1:4" ht="19.95" customHeight="1" x14ac:dyDescent="0.25">
      <c r="A295" s="9" t="s">
        <v>21</v>
      </c>
      <c r="B295" s="10" t="s">
        <v>43</v>
      </c>
      <c r="C295" s="10">
        <v>2.5664526205508098</v>
      </c>
      <c r="D295" s="10">
        <v>1970</v>
      </c>
    </row>
    <row r="296" spans="1:4" ht="19.95" customHeight="1" x14ac:dyDescent="0.25">
      <c r="A296" s="9" t="s">
        <v>22</v>
      </c>
      <c r="B296" s="10" t="s">
        <v>43</v>
      </c>
      <c r="C296" s="10">
        <v>2.6874935879161601</v>
      </c>
      <c r="D296" s="10">
        <v>1970</v>
      </c>
    </row>
    <row r="297" spans="1:4" ht="19.95" customHeight="1" x14ac:dyDescent="0.25">
      <c r="A297" s="9" t="s">
        <v>23</v>
      </c>
      <c r="B297" s="10" t="s">
        <v>43</v>
      </c>
      <c r="C297" s="10">
        <v>2.6251919900684699</v>
      </c>
      <c r="D297" s="10">
        <v>1970</v>
      </c>
    </row>
    <row r="298" spans="1:4" ht="19.95" customHeight="1" x14ac:dyDescent="0.25">
      <c r="A298" s="9" t="s">
        <v>24</v>
      </c>
      <c r="B298" s="10" t="s">
        <v>43</v>
      </c>
      <c r="C298" s="10">
        <v>1.4840172278505099</v>
      </c>
      <c r="D298" s="10">
        <v>1970</v>
      </c>
    </row>
    <row r="299" spans="1:4" ht="19.95" customHeight="1" x14ac:dyDescent="0.25">
      <c r="A299" s="9" t="s">
        <v>25</v>
      </c>
      <c r="B299" s="10" t="s">
        <v>43</v>
      </c>
      <c r="C299" s="10">
        <v>1.38937067881691</v>
      </c>
      <c r="D299" s="10">
        <v>1970</v>
      </c>
    </row>
    <row r="300" spans="1:4" ht="19.95" customHeight="1" x14ac:dyDescent="0.25">
      <c r="A300" s="9" t="s">
        <v>26</v>
      </c>
      <c r="B300" s="10" t="s">
        <v>43</v>
      </c>
      <c r="C300" s="10">
        <v>2.2822925495216202</v>
      </c>
      <c r="D300" s="10">
        <v>1970</v>
      </c>
    </row>
    <row r="301" spans="1:4" ht="19.95" customHeight="1" x14ac:dyDescent="0.25">
      <c r="A301" s="9" t="s">
        <v>28</v>
      </c>
      <c r="B301" s="10" t="s">
        <v>43</v>
      </c>
      <c r="C301" s="10">
        <v>2.42784647665875</v>
      </c>
      <c r="D301" s="10">
        <v>1970</v>
      </c>
    </row>
    <row r="302" spans="1:4" ht="19.95" customHeight="1" x14ac:dyDescent="0.25">
      <c r="A302" s="9" t="s">
        <v>29</v>
      </c>
      <c r="B302" s="10" t="s">
        <v>43</v>
      </c>
      <c r="C302" s="10">
        <v>1.9904861831693501</v>
      </c>
      <c r="D302" s="10">
        <v>1970</v>
      </c>
    </row>
    <row r="303" spans="1:4" ht="19.95" customHeight="1" x14ac:dyDescent="0.25">
      <c r="A303" s="9" t="s">
        <v>30</v>
      </c>
      <c r="B303" s="10" t="s">
        <v>43</v>
      </c>
      <c r="C303" s="10">
        <v>3.0465277610846599</v>
      </c>
      <c r="D303" s="10">
        <v>1970</v>
      </c>
    </row>
    <row r="304" spans="1:4" ht="19.95" customHeight="1" x14ac:dyDescent="0.25">
      <c r="A304" s="9" t="s">
        <v>31</v>
      </c>
      <c r="B304" s="10" t="s">
        <v>43</v>
      </c>
      <c r="C304" s="10">
        <v>2.80408833857184</v>
      </c>
      <c r="D304" s="10">
        <v>1970</v>
      </c>
    </row>
    <row r="305" spans="1:4" ht="19.95" customHeight="1" x14ac:dyDescent="0.25">
      <c r="A305" s="9" t="s">
        <v>32</v>
      </c>
      <c r="B305" s="10" t="s">
        <v>43</v>
      </c>
      <c r="C305" s="10">
        <v>3.0820009620609401</v>
      </c>
      <c r="D305" s="10">
        <v>1970</v>
      </c>
    </row>
    <row r="306" spans="1:4" ht="19.95" customHeight="1" x14ac:dyDescent="0.25">
      <c r="A306" s="9" t="s">
        <v>33</v>
      </c>
      <c r="B306" s="10" t="s">
        <v>43</v>
      </c>
      <c r="C306" s="10">
        <v>2.7470429147670798</v>
      </c>
      <c r="D306" s="10">
        <v>1970</v>
      </c>
    </row>
    <row r="307" spans="1:4" ht="19.95" customHeight="1" x14ac:dyDescent="0.25">
      <c r="A307" s="9" t="s">
        <v>34</v>
      </c>
      <c r="B307" s="10" t="s">
        <v>43</v>
      </c>
      <c r="C307" s="10">
        <v>2.1926389585261798</v>
      </c>
      <c r="D307" s="10">
        <v>1970</v>
      </c>
    </row>
    <row r="308" spans="1:4" ht="19.95" customHeight="1" x14ac:dyDescent="0.25">
      <c r="A308" s="9" t="s">
        <v>35</v>
      </c>
      <c r="B308" s="10" t="s">
        <v>43</v>
      </c>
      <c r="C308" s="10">
        <v>3.1145054481980101</v>
      </c>
      <c r="D308" s="10">
        <v>1970</v>
      </c>
    </row>
    <row r="309" spans="1:4" ht="19.95" customHeight="1" x14ac:dyDescent="0.25">
      <c r="A309" s="9" t="s">
        <v>36</v>
      </c>
      <c r="B309" s="10" t="s">
        <v>43</v>
      </c>
      <c r="C309" s="10">
        <v>3.1278352672459002</v>
      </c>
      <c r="D309" s="10">
        <v>1970</v>
      </c>
    </row>
    <row r="310" spans="1:4" ht="19.95" customHeight="1" x14ac:dyDescent="0.25">
      <c r="A310" s="9" t="s">
        <v>37</v>
      </c>
      <c r="B310" s="10" t="s">
        <v>43</v>
      </c>
      <c r="C310" s="10">
        <v>3.0442736460636901</v>
      </c>
      <c r="D310" s="10">
        <v>1970</v>
      </c>
    </row>
    <row r="311" spans="1:4" ht="19.95" customHeight="1" x14ac:dyDescent="0.25">
      <c r="A311" s="9" t="s">
        <v>38</v>
      </c>
      <c r="B311" s="10" t="s">
        <v>43</v>
      </c>
      <c r="C311" s="10">
        <v>3.28794865908301</v>
      </c>
      <c r="D311" s="10">
        <v>1970</v>
      </c>
    </row>
    <row r="312" spans="1:4" ht="19.95" customHeight="1" x14ac:dyDescent="0.25">
      <c r="A312" s="9" t="s">
        <v>39</v>
      </c>
      <c r="B312" s="10" t="s">
        <v>43</v>
      </c>
      <c r="C312" s="10">
        <v>3.26198479078883</v>
      </c>
      <c r="D312" s="10">
        <v>1970</v>
      </c>
    </row>
    <row r="313" spans="1:4" ht="19.95" customHeight="1" x14ac:dyDescent="0.25">
      <c r="A313" s="9" t="s">
        <v>9</v>
      </c>
      <c r="B313" s="10" t="s">
        <v>43</v>
      </c>
      <c r="C313" s="10">
        <v>1.43042293731486</v>
      </c>
      <c r="D313" s="10">
        <v>1971</v>
      </c>
    </row>
    <row r="314" spans="1:4" ht="19.95" customHeight="1" x14ac:dyDescent="0.25">
      <c r="A314" s="9" t="s">
        <v>12</v>
      </c>
      <c r="B314" s="10" t="s">
        <v>43</v>
      </c>
      <c r="C314" s="10">
        <v>2.5726199472881399</v>
      </c>
      <c r="D314" s="10">
        <v>1971</v>
      </c>
    </row>
    <row r="315" spans="1:4" ht="19.95" customHeight="1" x14ac:dyDescent="0.25">
      <c r="A315" s="9" t="s">
        <v>13</v>
      </c>
      <c r="B315" s="10" t="s">
        <v>43</v>
      </c>
      <c r="C315" s="10">
        <v>2.2401488209982401</v>
      </c>
      <c r="D315" s="10">
        <v>1971</v>
      </c>
    </row>
    <row r="316" spans="1:4" ht="19.95" customHeight="1" x14ac:dyDescent="0.25">
      <c r="A316" s="9" t="s">
        <v>15</v>
      </c>
      <c r="B316" s="10" t="s">
        <v>43</v>
      </c>
      <c r="C316" s="10">
        <v>1.9755407940872101</v>
      </c>
      <c r="D316" s="10">
        <v>1971</v>
      </c>
    </row>
    <row r="317" spans="1:4" ht="19.95" customHeight="1" x14ac:dyDescent="0.25">
      <c r="A317" s="9" t="s">
        <v>16</v>
      </c>
      <c r="B317" s="10" t="s">
        <v>43</v>
      </c>
      <c r="C317" s="10">
        <v>5.9057188411475696</v>
      </c>
      <c r="D317" s="10">
        <v>1971</v>
      </c>
    </row>
    <row r="318" spans="1:4" ht="19.95" customHeight="1" x14ac:dyDescent="0.25">
      <c r="A318" s="9" t="s">
        <v>1</v>
      </c>
      <c r="B318" s="10" t="s">
        <v>43</v>
      </c>
      <c r="C318" s="10">
        <v>2.8795812421186202</v>
      </c>
      <c r="D318" s="10">
        <v>1971</v>
      </c>
    </row>
    <row r="319" spans="1:4" ht="19.95" customHeight="1" x14ac:dyDescent="0.25">
      <c r="A319" s="9" t="s">
        <v>17</v>
      </c>
      <c r="B319" s="10" t="s">
        <v>43</v>
      </c>
      <c r="C319" s="10">
        <v>1.0389538514419401</v>
      </c>
      <c r="D319" s="10">
        <v>1971</v>
      </c>
    </row>
    <row r="320" spans="1:4" ht="19.95" customHeight="1" x14ac:dyDescent="0.25">
      <c r="A320" s="9" t="s">
        <v>18</v>
      </c>
      <c r="B320" s="10" t="s">
        <v>43</v>
      </c>
      <c r="C320" s="10">
        <v>1.77893147443439</v>
      </c>
      <c r="D320" s="10">
        <v>1971</v>
      </c>
    </row>
    <row r="321" spans="1:4" ht="19.95" customHeight="1" x14ac:dyDescent="0.25">
      <c r="A321" s="9" t="s">
        <v>19</v>
      </c>
      <c r="B321" s="10" t="s">
        <v>43</v>
      </c>
      <c r="C321" s="10">
        <v>3.5361335411639798</v>
      </c>
      <c r="D321" s="10">
        <v>1971</v>
      </c>
    </row>
    <row r="322" spans="1:4" ht="19.95" customHeight="1" x14ac:dyDescent="0.25">
      <c r="A322" s="9" t="s">
        <v>20</v>
      </c>
      <c r="B322" s="10" t="s">
        <v>43</v>
      </c>
      <c r="C322" s="10">
        <v>2.2709816198764798</v>
      </c>
      <c r="D322" s="10">
        <v>1971</v>
      </c>
    </row>
    <row r="323" spans="1:4" ht="19.95" customHeight="1" x14ac:dyDescent="0.25">
      <c r="A323" s="9" t="s">
        <v>21</v>
      </c>
      <c r="B323" s="10" t="s">
        <v>43</v>
      </c>
      <c r="C323" s="10">
        <v>2.6245032830545099</v>
      </c>
      <c r="D323" s="10">
        <v>1971</v>
      </c>
    </row>
    <row r="324" spans="1:4" ht="19.95" customHeight="1" x14ac:dyDescent="0.25">
      <c r="A324" s="9" t="s">
        <v>22</v>
      </c>
      <c r="B324" s="10" t="s">
        <v>43</v>
      </c>
      <c r="C324" s="10">
        <v>2.72317546729013</v>
      </c>
      <c r="D324" s="10">
        <v>1971</v>
      </c>
    </row>
    <row r="325" spans="1:4" ht="19.95" customHeight="1" x14ac:dyDescent="0.25">
      <c r="A325" s="9" t="s">
        <v>23</v>
      </c>
      <c r="B325" s="10" t="s">
        <v>43</v>
      </c>
      <c r="C325" s="10">
        <v>2.6785633738219299</v>
      </c>
      <c r="D325" s="10">
        <v>1971</v>
      </c>
    </row>
    <row r="326" spans="1:4" ht="19.95" customHeight="1" x14ac:dyDescent="0.25">
      <c r="A326" s="9" t="s">
        <v>24</v>
      </c>
      <c r="B326" s="10" t="s">
        <v>43</v>
      </c>
      <c r="C326" s="10">
        <v>1.59230283635896</v>
      </c>
      <c r="D326" s="10">
        <v>1971</v>
      </c>
    </row>
    <row r="327" spans="1:4" ht="19.95" customHeight="1" x14ac:dyDescent="0.25">
      <c r="A327" s="9" t="s">
        <v>25</v>
      </c>
      <c r="B327" s="10" t="s">
        <v>43</v>
      </c>
      <c r="C327" s="10">
        <v>1.4351192163090301</v>
      </c>
      <c r="D327" s="10">
        <v>1971</v>
      </c>
    </row>
    <row r="328" spans="1:4" ht="19.95" customHeight="1" x14ac:dyDescent="0.25">
      <c r="A328" s="9" t="s">
        <v>26</v>
      </c>
      <c r="B328" s="10" t="s">
        <v>43</v>
      </c>
      <c r="C328" s="10">
        <v>2.3048299824638101</v>
      </c>
      <c r="D328" s="10">
        <v>1971</v>
      </c>
    </row>
    <row r="329" spans="1:4" ht="19.95" customHeight="1" x14ac:dyDescent="0.25">
      <c r="A329" s="9" t="s">
        <v>28</v>
      </c>
      <c r="B329" s="10" t="s">
        <v>43</v>
      </c>
      <c r="C329" s="10">
        <v>2.4101417024926</v>
      </c>
      <c r="D329" s="10">
        <v>1971</v>
      </c>
    </row>
    <row r="330" spans="1:4" ht="19.95" customHeight="1" x14ac:dyDescent="0.25">
      <c r="A330" s="9" t="s">
        <v>29</v>
      </c>
      <c r="B330" s="10" t="s">
        <v>43</v>
      </c>
      <c r="C330" s="10">
        <v>2.0283021287008798</v>
      </c>
      <c r="D330" s="10">
        <v>1971</v>
      </c>
    </row>
    <row r="331" spans="1:4" ht="19.95" customHeight="1" x14ac:dyDescent="0.25">
      <c r="A331" s="9" t="s">
        <v>30</v>
      </c>
      <c r="B331" s="10" t="s">
        <v>43</v>
      </c>
      <c r="C331" s="10">
        <v>3.0617787393620102</v>
      </c>
      <c r="D331" s="10">
        <v>1971</v>
      </c>
    </row>
    <row r="332" spans="1:4" ht="19.95" customHeight="1" x14ac:dyDescent="0.25">
      <c r="A332" s="9" t="s">
        <v>31</v>
      </c>
      <c r="B332" s="10" t="s">
        <v>43</v>
      </c>
      <c r="C332" s="10">
        <v>2.7843012512824101</v>
      </c>
      <c r="D332" s="10">
        <v>1971</v>
      </c>
    </row>
    <row r="333" spans="1:4" ht="19.95" customHeight="1" x14ac:dyDescent="0.25">
      <c r="A333" s="9" t="s">
        <v>32</v>
      </c>
      <c r="B333" s="10" t="s">
        <v>43</v>
      </c>
      <c r="C333" s="10">
        <v>2.9858658197905199</v>
      </c>
      <c r="D333" s="10">
        <v>1971</v>
      </c>
    </row>
    <row r="334" spans="1:4" ht="19.95" customHeight="1" x14ac:dyDescent="0.25">
      <c r="A334" s="9" t="s">
        <v>33</v>
      </c>
      <c r="B334" s="10" t="s">
        <v>43</v>
      </c>
      <c r="C334" s="10">
        <v>2.3097252175811001</v>
      </c>
      <c r="D334" s="10">
        <v>1971</v>
      </c>
    </row>
    <row r="335" spans="1:4" ht="19.95" customHeight="1" x14ac:dyDescent="0.25">
      <c r="A335" s="9" t="s">
        <v>34</v>
      </c>
      <c r="B335" s="10" t="s">
        <v>43</v>
      </c>
      <c r="C335" s="10">
        <v>2.0773527815553301</v>
      </c>
      <c r="D335" s="10">
        <v>1971</v>
      </c>
    </row>
    <row r="336" spans="1:4" ht="19.95" customHeight="1" x14ac:dyDescent="0.25">
      <c r="A336" s="9" t="s">
        <v>35</v>
      </c>
      <c r="B336" s="10" t="s">
        <v>43</v>
      </c>
      <c r="C336" s="10">
        <v>3.03569080820776</v>
      </c>
      <c r="D336" s="10">
        <v>1971</v>
      </c>
    </row>
    <row r="337" spans="1:4" ht="19.95" customHeight="1" x14ac:dyDescent="0.25">
      <c r="A337" s="9" t="s">
        <v>36</v>
      </c>
      <c r="B337" s="10" t="s">
        <v>43</v>
      </c>
      <c r="C337" s="10">
        <v>3.18488731576155</v>
      </c>
      <c r="D337" s="10">
        <v>1971</v>
      </c>
    </row>
    <row r="338" spans="1:4" ht="19.95" customHeight="1" x14ac:dyDescent="0.25">
      <c r="A338" s="9" t="s">
        <v>37</v>
      </c>
      <c r="B338" s="10" t="s">
        <v>43</v>
      </c>
      <c r="C338" s="10">
        <v>2.86285202069406</v>
      </c>
      <c r="D338" s="10">
        <v>1971</v>
      </c>
    </row>
    <row r="339" spans="1:4" ht="19.95" customHeight="1" x14ac:dyDescent="0.25">
      <c r="A339" s="9" t="s">
        <v>38</v>
      </c>
      <c r="B339" s="10" t="s">
        <v>43</v>
      </c>
      <c r="C339" s="10">
        <v>3.3876411171969401</v>
      </c>
      <c r="D339" s="10">
        <v>1971</v>
      </c>
    </row>
    <row r="340" spans="1:4" ht="19.95" customHeight="1" x14ac:dyDescent="0.25">
      <c r="A340" s="9" t="s">
        <v>39</v>
      </c>
      <c r="B340" s="10" t="s">
        <v>43</v>
      </c>
      <c r="C340" s="10">
        <v>3.3361148140511001</v>
      </c>
      <c r="D340" s="10">
        <v>1971</v>
      </c>
    </row>
    <row r="341" spans="1:4" ht="19.95" customHeight="1" x14ac:dyDescent="0.25">
      <c r="A341" s="9" t="s">
        <v>9</v>
      </c>
      <c r="B341" s="10" t="s">
        <v>43</v>
      </c>
      <c r="C341" s="10">
        <v>1.09672253196062</v>
      </c>
      <c r="D341" s="10">
        <v>1972</v>
      </c>
    </row>
    <row r="342" spans="1:4" ht="19.95" customHeight="1" x14ac:dyDescent="0.25">
      <c r="A342" s="9" t="s">
        <v>12</v>
      </c>
      <c r="B342" s="10" t="s">
        <v>43</v>
      </c>
      <c r="C342" s="10">
        <v>2.61539040577959</v>
      </c>
      <c r="D342" s="10">
        <v>1972</v>
      </c>
    </row>
    <row r="343" spans="1:4" ht="19.95" customHeight="1" x14ac:dyDescent="0.25">
      <c r="A343" s="9" t="s">
        <v>13</v>
      </c>
      <c r="B343" s="10" t="s">
        <v>43</v>
      </c>
      <c r="C343" s="10">
        <v>2.36079682064873</v>
      </c>
      <c r="D343" s="10">
        <v>1972</v>
      </c>
    </row>
    <row r="344" spans="1:4" ht="19.95" customHeight="1" x14ac:dyDescent="0.25">
      <c r="A344" s="9" t="s">
        <v>15</v>
      </c>
      <c r="B344" s="10" t="s">
        <v>43</v>
      </c>
      <c r="C344" s="10">
        <v>1.9376860527187501</v>
      </c>
      <c r="D344" s="10">
        <v>1972</v>
      </c>
    </row>
    <row r="345" spans="1:4" ht="19.95" customHeight="1" x14ac:dyDescent="0.25">
      <c r="A345" s="9" t="s">
        <v>16</v>
      </c>
      <c r="B345" s="10" t="s">
        <v>43</v>
      </c>
      <c r="C345" s="10">
        <v>5.6538940844647199</v>
      </c>
      <c r="D345" s="10">
        <v>1972</v>
      </c>
    </row>
    <row r="346" spans="1:4" ht="19.95" customHeight="1" x14ac:dyDescent="0.25">
      <c r="A346" s="9" t="s">
        <v>1</v>
      </c>
      <c r="B346" s="10" t="s">
        <v>43</v>
      </c>
      <c r="C346" s="10">
        <v>2.9891281414562401</v>
      </c>
      <c r="D346" s="10">
        <v>1972</v>
      </c>
    </row>
    <row r="347" spans="1:4" ht="19.95" customHeight="1" x14ac:dyDescent="0.25">
      <c r="A347" s="9" t="s">
        <v>17</v>
      </c>
      <c r="B347" s="10" t="s">
        <v>43</v>
      </c>
      <c r="C347" s="10">
        <v>0.80008079272546095</v>
      </c>
      <c r="D347" s="10">
        <v>1972</v>
      </c>
    </row>
    <row r="348" spans="1:4" ht="19.95" customHeight="1" x14ac:dyDescent="0.25">
      <c r="A348" s="9" t="s">
        <v>18</v>
      </c>
      <c r="B348" s="10" t="s">
        <v>43</v>
      </c>
      <c r="C348" s="10">
        <v>1.72511947786682</v>
      </c>
      <c r="D348" s="10">
        <v>1972</v>
      </c>
    </row>
    <row r="349" spans="1:4" ht="19.95" customHeight="1" x14ac:dyDescent="0.25">
      <c r="A349" s="9" t="s">
        <v>19</v>
      </c>
      <c r="B349" s="10" t="s">
        <v>43</v>
      </c>
      <c r="C349" s="10">
        <v>3.5864114330818899</v>
      </c>
      <c r="D349" s="10">
        <v>1972</v>
      </c>
    </row>
    <row r="350" spans="1:4" ht="19.95" customHeight="1" x14ac:dyDescent="0.25">
      <c r="A350" s="9" t="s">
        <v>20</v>
      </c>
      <c r="B350" s="10" t="s">
        <v>43</v>
      </c>
      <c r="C350" s="10">
        <v>2.45556892574437</v>
      </c>
      <c r="D350" s="10">
        <v>1972</v>
      </c>
    </row>
    <row r="351" spans="1:4" ht="19.95" customHeight="1" x14ac:dyDescent="0.25">
      <c r="A351" s="9" t="s">
        <v>21</v>
      </c>
      <c r="B351" s="10" t="s">
        <v>43</v>
      </c>
      <c r="C351" s="10">
        <v>2.6809081663998899</v>
      </c>
      <c r="D351" s="10">
        <v>1972</v>
      </c>
    </row>
    <row r="352" spans="1:4" ht="19.95" customHeight="1" x14ac:dyDescent="0.25">
      <c r="A352" s="9" t="s">
        <v>22</v>
      </c>
      <c r="B352" s="10" t="s">
        <v>43</v>
      </c>
      <c r="C352" s="10">
        <v>2.7550418214389998</v>
      </c>
      <c r="D352" s="10">
        <v>1972</v>
      </c>
    </row>
    <row r="353" spans="1:4" ht="19.95" customHeight="1" x14ac:dyDescent="0.25">
      <c r="A353" s="9" t="s">
        <v>23</v>
      </c>
      <c r="B353" s="10" t="s">
        <v>43</v>
      </c>
      <c r="C353" s="10">
        <v>2.7307230064850301</v>
      </c>
      <c r="D353" s="10">
        <v>1972</v>
      </c>
    </row>
    <row r="354" spans="1:4" ht="19.95" customHeight="1" x14ac:dyDescent="0.25">
      <c r="A354" s="9" t="s">
        <v>24</v>
      </c>
      <c r="B354" s="10" t="s">
        <v>43</v>
      </c>
      <c r="C354" s="10">
        <v>1.68849322020556</v>
      </c>
      <c r="D354" s="10">
        <v>1972</v>
      </c>
    </row>
    <row r="355" spans="1:4" ht="19.95" customHeight="1" x14ac:dyDescent="0.25">
      <c r="A355" s="9" t="s">
        <v>25</v>
      </c>
      <c r="B355" s="10" t="s">
        <v>43</v>
      </c>
      <c r="C355" s="10">
        <v>1.3828810181739</v>
      </c>
      <c r="D355" s="10">
        <v>1972</v>
      </c>
    </row>
    <row r="356" spans="1:4" ht="19.95" customHeight="1" x14ac:dyDescent="0.25">
      <c r="A356" s="9" t="s">
        <v>26</v>
      </c>
      <c r="B356" s="10" t="s">
        <v>43</v>
      </c>
      <c r="C356" s="10">
        <v>2.32596109305288</v>
      </c>
      <c r="D356" s="10">
        <v>1972</v>
      </c>
    </row>
    <row r="357" spans="1:4" ht="19.95" customHeight="1" x14ac:dyDescent="0.25">
      <c r="A357" s="9" t="s">
        <v>28</v>
      </c>
      <c r="B357" s="10" t="s">
        <v>43</v>
      </c>
      <c r="C357" s="10">
        <v>2.39535245645857</v>
      </c>
      <c r="D357" s="10">
        <v>1972</v>
      </c>
    </row>
    <row r="358" spans="1:4" ht="19.95" customHeight="1" x14ac:dyDescent="0.25">
      <c r="A358" s="9" t="s">
        <v>29</v>
      </c>
      <c r="B358" s="10" t="s">
        <v>43</v>
      </c>
      <c r="C358" s="10">
        <v>2.0665890417433999</v>
      </c>
      <c r="D358" s="10">
        <v>1972</v>
      </c>
    </row>
    <row r="359" spans="1:4" ht="19.95" customHeight="1" x14ac:dyDescent="0.25">
      <c r="A359" s="9" t="s">
        <v>30</v>
      </c>
      <c r="B359" s="10" t="s">
        <v>43</v>
      </c>
      <c r="C359" s="10">
        <v>3.0711851232946299</v>
      </c>
      <c r="D359" s="10">
        <v>1972</v>
      </c>
    </row>
    <row r="360" spans="1:4" ht="19.95" customHeight="1" x14ac:dyDescent="0.25">
      <c r="A360" s="9" t="s">
        <v>31</v>
      </c>
      <c r="B360" s="10" t="s">
        <v>43</v>
      </c>
      <c r="C360" s="10">
        <v>2.7696919876227102</v>
      </c>
      <c r="D360" s="10">
        <v>1972</v>
      </c>
    </row>
    <row r="361" spans="1:4" ht="19.95" customHeight="1" x14ac:dyDescent="0.25">
      <c r="A361" s="9" t="s">
        <v>32</v>
      </c>
      <c r="B361" s="10" t="s">
        <v>43</v>
      </c>
      <c r="C361" s="10">
        <v>2.9386336757114502</v>
      </c>
      <c r="D361" s="10">
        <v>1972</v>
      </c>
    </row>
    <row r="362" spans="1:4" ht="19.95" customHeight="1" x14ac:dyDescent="0.25">
      <c r="A362" s="9" t="s">
        <v>33</v>
      </c>
      <c r="B362" s="10" t="s">
        <v>43</v>
      </c>
      <c r="C362" s="10">
        <v>2.01798087029767</v>
      </c>
      <c r="D362" s="10">
        <v>1972</v>
      </c>
    </row>
    <row r="363" spans="1:4" ht="19.95" customHeight="1" x14ac:dyDescent="0.25">
      <c r="A363" s="9" t="s">
        <v>34</v>
      </c>
      <c r="B363" s="10" t="s">
        <v>43</v>
      </c>
      <c r="C363" s="10">
        <v>1.9762339773575801</v>
      </c>
      <c r="D363" s="10">
        <v>1972</v>
      </c>
    </row>
    <row r="364" spans="1:4" ht="19.95" customHeight="1" x14ac:dyDescent="0.25">
      <c r="A364" s="9" t="s">
        <v>35</v>
      </c>
      <c r="B364" s="10" t="s">
        <v>43</v>
      </c>
      <c r="C364" s="10">
        <v>2.96427812837458</v>
      </c>
      <c r="D364" s="10">
        <v>1972</v>
      </c>
    </row>
    <row r="365" spans="1:4" ht="19.95" customHeight="1" x14ac:dyDescent="0.25">
      <c r="A365" s="9" t="s">
        <v>36</v>
      </c>
      <c r="B365" s="10" t="s">
        <v>43</v>
      </c>
      <c r="C365" s="10">
        <v>3.2279762759881501</v>
      </c>
      <c r="D365" s="10">
        <v>1972</v>
      </c>
    </row>
    <row r="366" spans="1:4" ht="19.95" customHeight="1" x14ac:dyDescent="0.25">
      <c r="A366" s="9" t="s">
        <v>37</v>
      </c>
      <c r="B366" s="10" t="s">
        <v>43</v>
      </c>
      <c r="C366" s="10">
        <v>2.7195750336034101</v>
      </c>
      <c r="D366" s="10">
        <v>1972</v>
      </c>
    </row>
    <row r="367" spans="1:4" ht="19.95" customHeight="1" x14ac:dyDescent="0.25">
      <c r="A367" s="9" t="s">
        <v>38</v>
      </c>
      <c r="B367" s="10" t="s">
        <v>43</v>
      </c>
      <c r="C367" s="10">
        <v>3.46309483791297</v>
      </c>
      <c r="D367" s="10">
        <v>1972</v>
      </c>
    </row>
    <row r="368" spans="1:4" ht="19.95" customHeight="1" x14ac:dyDescent="0.25">
      <c r="A368" s="9" t="s">
        <v>39</v>
      </c>
      <c r="B368" s="10" t="s">
        <v>43</v>
      </c>
      <c r="C368" s="10">
        <v>3.3929557488982298</v>
      </c>
      <c r="D368" s="10">
        <v>1972</v>
      </c>
    </row>
    <row r="369" spans="1:4" ht="19.95" customHeight="1" x14ac:dyDescent="0.25">
      <c r="A369" s="9" t="s">
        <v>9</v>
      </c>
      <c r="B369" s="10" t="s">
        <v>43</v>
      </c>
      <c r="C369" s="10">
        <v>0.96716292197423803</v>
      </c>
      <c r="D369" s="10">
        <v>1973</v>
      </c>
    </row>
    <row r="370" spans="1:4" ht="19.95" customHeight="1" x14ac:dyDescent="0.25">
      <c r="A370" s="9" t="s">
        <v>12</v>
      </c>
      <c r="B370" s="10" t="s">
        <v>43</v>
      </c>
      <c r="C370" s="10">
        <v>2.6605651983634</v>
      </c>
      <c r="D370" s="10">
        <v>1973</v>
      </c>
    </row>
    <row r="371" spans="1:4" ht="19.95" customHeight="1" x14ac:dyDescent="0.25">
      <c r="A371" s="9" t="s">
        <v>13</v>
      </c>
      <c r="B371" s="10" t="s">
        <v>43</v>
      </c>
      <c r="C371" s="10">
        <v>2.39639008715961</v>
      </c>
      <c r="D371" s="10">
        <v>1973</v>
      </c>
    </row>
    <row r="372" spans="1:4" ht="19.95" customHeight="1" x14ac:dyDescent="0.25">
      <c r="A372" s="9" t="s">
        <v>15</v>
      </c>
      <c r="B372" s="10" t="s">
        <v>43</v>
      </c>
      <c r="C372" s="10">
        <v>2.0573988729939101</v>
      </c>
      <c r="D372" s="10">
        <v>1973</v>
      </c>
    </row>
    <row r="373" spans="1:4" ht="19.95" customHeight="1" x14ac:dyDescent="0.25">
      <c r="A373" s="9" t="s">
        <v>16</v>
      </c>
      <c r="B373" s="10" t="s">
        <v>43</v>
      </c>
      <c r="C373" s="10">
        <v>6.1372666109289602</v>
      </c>
      <c r="D373" s="10">
        <v>1973</v>
      </c>
    </row>
    <row r="374" spans="1:4" ht="19.95" customHeight="1" x14ac:dyDescent="0.25">
      <c r="A374" s="9" t="s">
        <v>1</v>
      </c>
      <c r="B374" s="10" t="s">
        <v>43</v>
      </c>
      <c r="C374" s="10">
        <v>2.9190059354439999</v>
      </c>
      <c r="D374" s="10">
        <v>1973</v>
      </c>
    </row>
    <row r="375" spans="1:4" ht="19.95" customHeight="1" x14ac:dyDescent="0.25">
      <c r="A375" s="9" t="s">
        <v>17</v>
      </c>
      <c r="B375" s="10" t="s">
        <v>43</v>
      </c>
      <c r="C375" s="10">
        <v>0.609318192095329</v>
      </c>
      <c r="D375" s="10">
        <v>1973</v>
      </c>
    </row>
    <row r="376" spans="1:4" ht="19.95" customHeight="1" x14ac:dyDescent="0.25">
      <c r="A376" s="9" t="s">
        <v>18</v>
      </c>
      <c r="B376" s="10" t="s">
        <v>43</v>
      </c>
      <c r="C376" s="10">
        <v>1.7098138381516601</v>
      </c>
      <c r="D376" s="10">
        <v>1973</v>
      </c>
    </row>
    <row r="377" spans="1:4" ht="19.95" customHeight="1" x14ac:dyDescent="0.25">
      <c r="A377" s="9" t="s">
        <v>19</v>
      </c>
      <c r="B377" s="10" t="s">
        <v>43</v>
      </c>
      <c r="C377" s="10">
        <v>3.6298892212148401</v>
      </c>
      <c r="D377" s="10">
        <v>1973</v>
      </c>
    </row>
    <row r="378" spans="1:4" ht="19.95" customHeight="1" x14ac:dyDescent="0.25">
      <c r="A378" s="9" t="s">
        <v>20</v>
      </c>
      <c r="B378" s="10" t="s">
        <v>43</v>
      </c>
      <c r="C378" s="10">
        <v>2.32028970796638</v>
      </c>
      <c r="D378" s="10">
        <v>1973</v>
      </c>
    </row>
    <row r="379" spans="1:4" ht="19.95" customHeight="1" x14ac:dyDescent="0.25">
      <c r="A379" s="9" t="s">
        <v>21</v>
      </c>
      <c r="B379" s="10" t="s">
        <v>43</v>
      </c>
      <c r="C379" s="10">
        <v>2.7415928009605199</v>
      </c>
      <c r="D379" s="10">
        <v>1973</v>
      </c>
    </row>
    <row r="380" spans="1:4" ht="19.95" customHeight="1" x14ac:dyDescent="0.25">
      <c r="A380" s="9" t="s">
        <v>22</v>
      </c>
      <c r="B380" s="10" t="s">
        <v>43</v>
      </c>
      <c r="C380" s="10">
        <v>2.7825425509553599</v>
      </c>
      <c r="D380" s="10">
        <v>1973</v>
      </c>
    </row>
    <row r="381" spans="1:4" ht="19.95" customHeight="1" x14ac:dyDescent="0.25">
      <c r="A381" s="9" t="s">
        <v>23</v>
      </c>
      <c r="B381" s="10" t="s">
        <v>43</v>
      </c>
      <c r="C381" s="10">
        <v>2.7867537306792101</v>
      </c>
      <c r="D381" s="10">
        <v>1973</v>
      </c>
    </row>
    <row r="382" spans="1:4" ht="19.95" customHeight="1" x14ac:dyDescent="0.25">
      <c r="A382" s="9" t="s">
        <v>24</v>
      </c>
      <c r="B382" s="10" t="s">
        <v>43</v>
      </c>
      <c r="C382" s="10">
        <v>1.7532231061296599</v>
      </c>
      <c r="D382" s="10">
        <v>1973</v>
      </c>
    </row>
    <row r="383" spans="1:4" ht="19.95" customHeight="1" x14ac:dyDescent="0.25">
      <c r="A383" s="9" t="s">
        <v>25</v>
      </c>
      <c r="B383" s="10" t="s">
        <v>43</v>
      </c>
      <c r="C383" s="10">
        <v>1.3640179759948601</v>
      </c>
      <c r="D383" s="10">
        <v>1973</v>
      </c>
    </row>
    <row r="384" spans="1:4" ht="19.95" customHeight="1" x14ac:dyDescent="0.25">
      <c r="A384" s="9" t="s">
        <v>26</v>
      </c>
      <c r="B384" s="10" t="s">
        <v>43</v>
      </c>
      <c r="C384" s="10">
        <v>2.387117603399</v>
      </c>
      <c r="D384" s="10">
        <v>1973</v>
      </c>
    </row>
    <row r="385" spans="1:4" ht="19.95" customHeight="1" x14ac:dyDescent="0.25">
      <c r="A385" s="9" t="s">
        <v>28</v>
      </c>
      <c r="B385" s="10" t="s">
        <v>43</v>
      </c>
      <c r="C385" s="10">
        <v>2.3817900839826298</v>
      </c>
      <c r="D385" s="10">
        <v>1973</v>
      </c>
    </row>
    <row r="386" spans="1:4" ht="19.95" customHeight="1" x14ac:dyDescent="0.25">
      <c r="A386" s="9" t="s">
        <v>29</v>
      </c>
      <c r="B386" s="10" t="s">
        <v>43</v>
      </c>
      <c r="C386" s="10">
        <v>2.10207188369036</v>
      </c>
      <c r="D386" s="10">
        <v>1973</v>
      </c>
    </row>
    <row r="387" spans="1:4" ht="19.95" customHeight="1" x14ac:dyDescent="0.25">
      <c r="A387" s="9" t="s">
        <v>30</v>
      </c>
      <c r="B387" s="10" t="s">
        <v>43</v>
      </c>
      <c r="C387" s="10">
        <v>3.0790887755930898</v>
      </c>
      <c r="D387" s="10">
        <v>1973</v>
      </c>
    </row>
    <row r="388" spans="1:4" ht="19.95" customHeight="1" x14ac:dyDescent="0.25">
      <c r="A388" s="9" t="s">
        <v>31</v>
      </c>
      <c r="B388" s="10" t="s">
        <v>43</v>
      </c>
      <c r="C388" s="10">
        <v>2.7701220405736402</v>
      </c>
      <c r="D388" s="10">
        <v>1973</v>
      </c>
    </row>
    <row r="389" spans="1:4" ht="19.95" customHeight="1" x14ac:dyDescent="0.25">
      <c r="A389" s="9" t="s">
        <v>32</v>
      </c>
      <c r="B389" s="10" t="s">
        <v>43</v>
      </c>
      <c r="C389" s="10">
        <v>2.9341875416205099</v>
      </c>
      <c r="D389" s="10">
        <v>1973</v>
      </c>
    </row>
    <row r="390" spans="1:4" ht="19.95" customHeight="1" x14ac:dyDescent="0.25">
      <c r="A390" s="9" t="s">
        <v>33</v>
      </c>
      <c r="B390" s="10" t="s">
        <v>43</v>
      </c>
      <c r="C390" s="10">
        <v>1.8971052925260501</v>
      </c>
      <c r="D390" s="10">
        <v>1973</v>
      </c>
    </row>
    <row r="391" spans="1:4" ht="19.95" customHeight="1" x14ac:dyDescent="0.25">
      <c r="A391" s="9" t="s">
        <v>34</v>
      </c>
      <c r="B391" s="10" t="s">
        <v>43</v>
      </c>
      <c r="C391" s="10">
        <v>1.9030707312062001</v>
      </c>
      <c r="D391" s="10">
        <v>1973</v>
      </c>
    </row>
    <row r="392" spans="1:4" ht="19.95" customHeight="1" x14ac:dyDescent="0.25">
      <c r="A392" s="9" t="s">
        <v>35</v>
      </c>
      <c r="B392" s="10" t="s">
        <v>43</v>
      </c>
      <c r="C392" s="10">
        <v>2.9064728059577698</v>
      </c>
      <c r="D392" s="10">
        <v>1973</v>
      </c>
    </row>
    <row r="393" spans="1:4" ht="19.95" customHeight="1" x14ac:dyDescent="0.25">
      <c r="A393" s="9" t="s">
        <v>36</v>
      </c>
      <c r="B393" s="10" t="s">
        <v>43</v>
      </c>
      <c r="C393" s="10">
        <v>3.2453552645342199</v>
      </c>
      <c r="D393" s="10">
        <v>1973</v>
      </c>
    </row>
    <row r="394" spans="1:4" ht="19.95" customHeight="1" x14ac:dyDescent="0.25">
      <c r="A394" s="9" t="s">
        <v>37</v>
      </c>
      <c r="B394" s="10" t="s">
        <v>43</v>
      </c>
      <c r="C394" s="10">
        <v>2.6482311128070801</v>
      </c>
      <c r="D394" s="10">
        <v>1973</v>
      </c>
    </row>
    <row r="395" spans="1:4" ht="19.95" customHeight="1" x14ac:dyDescent="0.25">
      <c r="A395" s="9" t="s">
        <v>38</v>
      </c>
      <c r="B395" s="10" t="s">
        <v>43</v>
      </c>
      <c r="C395" s="10">
        <v>3.5062783672487599</v>
      </c>
      <c r="D395" s="10">
        <v>1973</v>
      </c>
    </row>
    <row r="396" spans="1:4" ht="19.95" customHeight="1" x14ac:dyDescent="0.25">
      <c r="A396" s="9" t="s">
        <v>39</v>
      </c>
      <c r="B396" s="10" t="s">
        <v>43</v>
      </c>
      <c r="C396" s="10">
        <v>3.3950058346995902</v>
      </c>
      <c r="D396" s="10">
        <v>1973</v>
      </c>
    </row>
    <row r="397" spans="1:4" ht="19.95" customHeight="1" x14ac:dyDescent="0.25">
      <c r="A397" s="9" t="s">
        <v>9</v>
      </c>
      <c r="B397" s="10" t="s">
        <v>43</v>
      </c>
      <c r="C397" s="10">
        <v>1.1142141719068299</v>
      </c>
      <c r="D397" s="10">
        <v>1974</v>
      </c>
    </row>
    <row r="398" spans="1:4" ht="19.95" customHeight="1" x14ac:dyDescent="0.25">
      <c r="A398" s="9" t="s">
        <v>12</v>
      </c>
      <c r="B398" s="10" t="s">
        <v>43</v>
      </c>
      <c r="C398" s="10">
        <v>2.7087096285935401</v>
      </c>
      <c r="D398" s="10">
        <v>1974</v>
      </c>
    </row>
    <row r="399" spans="1:4" ht="19.95" customHeight="1" x14ac:dyDescent="0.25">
      <c r="A399" s="9" t="s">
        <v>13</v>
      </c>
      <c r="B399" s="10" t="s">
        <v>43</v>
      </c>
      <c r="C399" s="10">
        <v>2.3240789744343102</v>
      </c>
      <c r="D399" s="10">
        <v>1974</v>
      </c>
    </row>
    <row r="400" spans="1:4" ht="19.95" customHeight="1" x14ac:dyDescent="0.25">
      <c r="A400" s="9" t="s">
        <v>15</v>
      </c>
      <c r="B400" s="10" t="s">
        <v>43</v>
      </c>
      <c r="C400" s="10">
        <v>2.3856510185469801</v>
      </c>
      <c r="D400" s="10">
        <v>1974</v>
      </c>
    </row>
    <row r="401" spans="1:4" ht="19.95" customHeight="1" x14ac:dyDescent="0.25">
      <c r="A401" s="9" t="s">
        <v>16</v>
      </c>
      <c r="B401" s="10" t="s">
        <v>43</v>
      </c>
      <c r="C401" s="10">
        <v>7.3883430163145203</v>
      </c>
      <c r="D401" s="10">
        <v>1974</v>
      </c>
    </row>
    <row r="402" spans="1:4" ht="19.95" customHeight="1" x14ac:dyDescent="0.25">
      <c r="A402" s="9" t="s">
        <v>1</v>
      </c>
      <c r="B402" s="10" t="s">
        <v>43</v>
      </c>
      <c r="C402" s="10">
        <v>2.6293969182000301</v>
      </c>
      <c r="D402" s="10">
        <v>1974</v>
      </c>
    </row>
    <row r="403" spans="1:4" ht="19.95" customHeight="1" x14ac:dyDescent="0.25">
      <c r="A403" s="9" t="s">
        <v>17</v>
      </c>
      <c r="B403" s="10" t="s">
        <v>43</v>
      </c>
      <c r="C403" s="10">
        <v>0.488702982640215</v>
      </c>
      <c r="D403" s="10">
        <v>1974</v>
      </c>
    </row>
    <row r="404" spans="1:4" ht="19.95" customHeight="1" x14ac:dyDescent="0.25">
      <c r="A404" s="9" t="s">
        <v>18</v>
      </c>
      <c r="B404" s="10" t="s">
        <v>43</v>
      </c>
      <c r="C404" s="10">
        <v>1.7442840032754501</v>
      </c>
      <c r="D404" s="10">
        <v>1974</v>
      </c>
    </row>
    <row r="405" spans="1:4" ht="19.95" customHeight="1" x14ac:dyDescent="0.25">
      <c r="A405" s="9" t="s">
        <v>19</v>
      </c>
      <c r="B405" s="10" t="s">
        <v>43</v>
      </c>
      <c r="C405" s="10">
        <v>3.6650383160742201</v>
      </c>
      <c r="D405" s="10">
        <v>1974</v>
      </c>
    </row>
    <row r="406" spans="1:4" ht="19.95" customHeight="1" x14ac:dyDescent="0.25">
      <c r="A406" s="9" t="s">
        <v>20</v>
      </c>
      <c r="B406" s="10" t="s">
        <v>43</v>
      </c>
      <c r="C406" s="10">
        <v>2.34238136740285</v>
      </c>
      <c r="D406" s="10">
        <v>1974</v>
      </c>
    </row>
    <row r="407" spans="1:4" ht="19.95" customHeight="1" x14ac:dyDescent="0.25">
      <c r="A407" s="9" t="s">
        <v>21</v>
      </c>
      <c r="B407" s="10" t="s">
        <v>43</v>
      </c>
      <c r="C407" s="10">
        <v>2.8081780244908301</v>
      </c>
      <c r="D407" s="10">
        <v>1974</v>
      </c>
    </row>
    <row r="408" spans="1:4" ht="19.95" customHeight="1" x14ac:dyDescent="0.25">
      <c r="A408" s="9" t="s">
        <v>22</v>
      </c>
      <c r="B408" s="10" t="s">
        <v>43</v>
      </c>
      <c r="C408" s="10">
        <v>2.80453628240917</v>
      </c>
      <c r="D408" s="10">
        <v>1974</v>
      </c>
    </row>
    <row r="409" spans="1:4" ht="19.95" customHeight="1" x14ac:dyDescent="0.25">
      <c r="A409" s="9" t="s">
        <v>23</v>
      </c>
      <c r="B409" s="10" t="s">
        <v>43</v>
      </c>
      <c r="C409" s="10">
        <v>2.8461179182343699</v>
      </c>
      <c r="D409" s="10">
        <v>1974</v>
      </c>
    </row>
    <row r="410" spans="1:4" ht="19.95" customHeight="1" x14ac:dyDescent="0.25">
      <c r="A410" s="9" t="s">
        <v>24</v>
      </c>
      <c r="B410" s="10" t="s">
        <v>43</v>
      </c>
      <c r="C410" s="10">
        <v>1.7769201189505499</v>
      </c>
      <c r="D410" s="10">
        <v>1974</v>
      </c>
    </row>
    <row r="411" spans="1:4" ht="19.95" customHeight="1" x14ac:dyDescent="0.25">
      <c r="A411" s="9" t="s">
        <v>25</v>
      </c>
      <c r="B411" s="10" t="s">
        <v>43</v>
      </c>
      <c r="C411" s="10">
        <v>1.28347355853655</v>
      </c>
      <c r="D411" s="10">
        <v>1974</v>
      </c>
    </row>
    <row r="412" spans="1:4" ht="19.95" customHeight="1" x14ac:dyDescent="0.25">
      <c r="A412" s="9" t="s">
        <v>26</v>
      </c>
      <c r="B412" s="10" t="s">
        <v>43</v>
      </c>
      <c r="C412" s="10">
        <v>2.49807099076174</v>
      </c>
      <c r="D412" s="10">
        <v>1974</v>
      </c>
    </row>
    <row r="413" spans="1:4" ht="19.95" customHeight="1" x14ac:dyDescent="0.25">
      <c r="A413" s="9" t="s">
        <v>28</v>
      </c>
      <c r="B413" s="10" t="s">
        <v>43</v>
      </c>
      <c r="C413" s="10">
        <v>2.3718483919791198</v>
      </c>
      <c r="D413" s="10">
        <v>1974</v>
      </c>
    </row>
    <row r="414" spans="1:4" ht="19.95" customHeight="1" x14ac:dyDescent="0.25">
      <c r="A414" s="9" t="s">
        <v>29</v>
      </c>
      <c r="B414" s="10" t="s">
        <v>43</v>
      </c>
      <c r="C414" s="10">
        <v>2.1348855511883098</v>
      </c>
      <c r="D414" s="10">
        <v>1974</v>
      </c>
    </row>
    <row r="415" spans="1:4" ht="19.95" customHeight="1" x14ac:dyDescent="0.25">
      <c r="A415" s="9" t="s">
        <v>30</v>
      </c>
      <c r="B415" s="10" t="s">
        <v>43</v>
      </c>
      <c r="C415" s="10">
        <v>3.0834705762165302</v>
      </c>
      <c r="D415" s="10">
        <v>1974</v>
      </c>
    </row>
    <row r="416" spans="1:4" ht="19.95" customHeight="1" x14ac:dyDescent="0.25">
      <c r="A416" s="9" t="s">
        <v>31</v>
      </c>
      <c r="B416" s="10" t="s">
        <v>43</v>
      </c>
      <c r="C416" s="10">
        <v>2.7891723248143601</v>
      </c>
      <c r="D416" s="10">
        <v>1974</v>
      </c>
    </row>
    <row r="417" spans="1:4" ht="19.95" customHeight="1" x14ac:dyDescent="0.25">
      <c r="A417" s="9" t="s">
        <v>32</v>
      </c>
      <c r="B417" s="10" t="s">
        <v>43</v>
      </c>
      <c r="C417" s="10">
        <v>2.9892057900654501</v>
      </c>
      <c r="D417" s="10">
        <v>1974</v>
      </c>
    </row>
    <row r="418" spans="1:4" ht="19.95" customHeight="1" x14ac:dyDescent="0.25">
      <c r="A418" s="9" t="s">
        <v>33</v>
      </c>
      <c r="B418" s="10" t="s">
        <v>43</v>
      </c>
      <c r="C418" s="10">
        <v>2.0640464237843101</v>
      </c>
      <c r="D418" s="10">
        <v>1974</v>
      </c>
    </row>
    <row r="419" spans="1:4" ht="19.95" customHeight="1" x14ac:dyDescent="0.25">
      <c r="A419" s="9" t="s">
        <v>34</v>
      </c>
      <c r="B419" s="10" t="s">
        <v>43</v>
      </c>
      <c r="C419" s="10">
        <v>1.8681736272831699</v>
      </c>
      <c r="D419" s="10">
        <v>1974</v>
      </c>
    </row>
    <row r="420" spans="1:4" ht="19.95" customHeight="1" x14ac:dyDescent="0.25">
      <c r="A420" s="9" t="s">
        <v>35</v>
      </c>
      <c r="B420" s="10" t="s">
        <v>43</v>
      </c>
      <c r="C420" s="10">
        <v>2.86446318991552</v>
      </c>
      <c r="D420" s="10">
        <v>1974</v>
      </c>
    </row>
    <row r="421" spans="1:4" ht="19.95" customHeight="1" x14ac:dyDescent="0.25">
      <c r="A421" s="9" t="s">
        <v>36</v>
      </c>
      <c r="B421" s="10" t="s">
        <v>43</v>
      </c>
      <c r="C421" s="10">
        <v>3.2315603873822298</v>
      </c>
      <c r="D421" s="10">
        <v>1974</v>
      </c>
    </row>
    <row r="422" spans="1:4" ht="19.95" customHeight="1" x14ac:dyDescent="0.25">
      <c r="A422" s="9" t="s">
        <v>37</v>
      </c>
      <c r="B422" s="10" t="s">
        <v>43</v>
      </c>
      <c r="C422" s="10">
        <v>2.6676431902128801</v>
      </c>
      <c r="D422" s="10">
        <v>1974</v>
      </c>
    </row>
    <row r="423" spans="1:4" ht="19.95" customHeight="1" x14ac:dyDescent="0.25">
      <c r="A423" s="9" t="s">
        <v>38</v>
      </c>
      <c r="B423" s="10" t="s">
        <v>43</v>
      </c>
      <c r="C423" s="10">
        <v>3.50947014890642</v>
      </c>
      <c r="D423" s="10">
        <v>1974</v>
      </c>
    </row>
    <row r="424" spans="1:4" ht="19.95" customHeight="1" x14ac:dyDescent="0.25">
      <c r="A424" s="9" t="s">
        <v>39</v>
      </c>
      <c r="B424" s="10" t="s">
        <v>43</v>
      </c>
      <c r="C424" s="10">
        <v>3.3296210463321798</v>
      </c>
      <c r="D424" s="10">
        <v>1974</v>
      </c>
    </row>
    <row r="425" spans="1:4" ht="19.95" customHeight="1" x14ac:dyDescent="0.25">
      <c r="A425" s="9" t="s">
        <v>9</v>
      </c>
      <c r="B425" s="10" t="s">
        <v>43</v>
      </c>
      <c r="C425" s="10">
        <v>1.45155982540182</v>
      </c>
      <c r="D425" s="10">
        <v>1975</v>
      </c>
    </row>
    <row r="426" spans="1:4" ht="19.95" customHeight="1" x14ac:dyDescent="0.25">
      <c r="A426" s="9" t="s">
        <v>12</v>
      </c>
      <c r="B426" s="10" t="s">
        <v>43</v>
      </c>
      <c r="C426" s="10">
        <v>2.7584177466004198</v>
      </c>
      <c r="D426" s="10">
        <v>1975</v>
      </c>
    </row>
    <row r="427" spans="1:4" ht="19.95" customHeight="1" x14ac:dyDescent="0.25">
      <c r="A427" s="9" t="s">
        <v>13</v>
      </c>
      <c r="B427" s="10" t="s">
        <v>43</v>
      </c>
      <c r="C427" s="10">
        <v>2.1870778986660402</v>
      </c>
      <c r="D427" s="10">
        <v>1975</v>
      </c>
    </row>
    <row r="428" spans="1:4" ht="19.95" customHeight="1" x14ac:dyDescent="0.25">
      <c r="A428" s="9" t="s">
        <v>15</v>
      </c>
      <c r="B428" s="10" t="s">
        <v>43</v>
      </c>
      <c r="C428" s="10">
        <v>2.83270220362223</v>
      </c>
      <c r="D428" s="10">
        <v>1975</v>
      </c>
    </row>
    <row r="429" spans="1:4" ht="19.95" customHeight="1" x14ac:dyDescent="0.25">
      <c r="A429" s="9" t="s">
        <v>16</v>
      </c>
      <c r="B429" s="10" t="s">
        <v>43</v>
      </c>
      <c r="C429" s="10">
        <v>8.85701661900133</v>
      </c>
      <c r="D429" s="10">
        <v>1975</v>
      </c>
    </row>
    <row r="430" spans="1:4" ht="19.95" customHeight="1" x14ac:dyDescent="0.25">
      <c r="A430" s="9" t="s">
        <v>1</v>
      </c>
      <c r="B430" s="10" t="s">
        <v>43</v>
      </c>
      <c r="C430" s="10">
        <v>2.22030024123716</v>
      </c>
      <c r="D430" s="10">
        <v>1975</v>
      </c>
    </row>
    <row r="431" spans="1:4" ht="19.95" customHeight="1" x14ac:dyDescent="0.25">
      <c r="A431" s="9" t="s">
        <v>17</v>
      </c>
      <c r="B431" s="10" t="s">
        <v>43</v>
      </c>
      <c r="C431" s="10">
        <v>0.43556605046255398</v>
      </c>
      <c r="D431" s="10">
        <v>1975</v>
      </c>
    </row>
    <row r="432" spans="1:4" ht="19.95" customHeight="1" x14ac:dyDescent="0.25">
      <c r="A432" s="9" t="s">
        <v>18</v>
      </c>
      <c r="B432" s="10" t="s">
        <v>43</v>
      </c>
      <c r="C432" s="10">
        <v>1.8141500633086201</v>
      </c>
      <c r="D432" s="10">
        <v>1975</v>
      </c>
    </row>
    <row r="433" spans="1:4" ht="19.95" customHeight="1" x14ac:dyDescent="0.25">
      <c r="A433" s="9" t="s">
        <v>19</v>
      </c>
      <c r="B433" s="10" t="s">
        <v>43</v>
      </c>
      <c r="C433" s="10">
        <v>3.69344098388052</v>
      </c>
      <c r="D433" s="10">
        <v>1975</v>
      </c>
    </row>
    <row r="434" spans="1:4" ht="19.95" customHeight="1" x14ac:dyDescent="0.25">
      <c r="A434" s="9" t="s">
        <v>20</v>
      </c>
      <c r="B434" s="10" t="s">
        <v>43</v>
      </c>
      <c r="C434" s="10">
        <v>2.2157479597276399</v>
      </c>
      <c r="D434" s="10">
        <v>1975</v>
      </c>
    </row>
    <row r="435" spans="1:4" ht="19.95" customHeight="1" x14ac:dyDescent="0.25">
      <c r="A435" s="9" t="s">
        <v>21</v>
      </c>
      <c r="B435" s="10" t="s">
        <v>43</v>
      </c>
      <c r="C435" s="10">
        <v>2.8754479924954999</v>
      </c>
      <c r="D435" s="10">
        <v>1975</v>
      </c>
    </row>
    <row r="436" spans="1:4" ht="19.95" customHeight="1" x14ac:dyDescent="0.25">
      <c r="A436" s="9" t="s">
        <v>22</v>
      </c>
      <c r="B436" s="10" t="s">
        <v>43</v>
      </c>
      <c r="C436" s="10">
        <v>2.8219391929554201</v>
      </c>
      <c r="D436" s="10">
        <v>1975</v>
      </c>
    </row>
    <row r="437" spans="1:4" ht="19.95" customHeight="1" x14ac:dyDescent="0.25">
      <c r="A437" s="9" t="s">
        <v>23</v>
      </c>
      <c r="B437" s="10" t="s">
        <v>43</v>
      </c>
      <c r="C437" s="10">
        <v>2.90620136253396</v>
      </c>
      <c r="D437" s="10">
        <v>1975</v>
      </c>
    </row>
    <row r="438" spans="1:4" ht="19.95" customHeight="1" x14ac:dyDescent="0.25">
      <c r="A438" s="9" t="s">
        <v>24</v>
      </c>
      <c r="B438" s="10" t="s">
        <v>43</v>
      </c>
      <c r="C438" s="10">
        <v>1.7731896507096201</v>
      </c>
      <c r="D438" s="10">
        <v>1975</v>
      </c>
    </row>
    <row r="439" spans="1:4" ht="19.95" customHeight="1" x14ac:dyDescent="0.25">
      <c r="A439" s="9" t="s">
        <v>25</v>
      </c>
      <c r="B439" s="10" t="s">
        <v>43</v>
      </c>
      <c r="C439" s="10">
        <v>1.11352836321855</v>
      </c>
      <c r="D439" s="10">
        <v>1975</v>
      </c>
    </row>
    <row r="440" spans="1:4" ht="19.95" customHeight="1" x14ac:dyDescent="0.25">
      <c r="A440" s="9" t="s">
        <v>26</v>
      </c>
      <c r="B440" s="10" t="s">
        <v>43</v>
      </c>
      <c r="C440" s="10">
        <v>2.6280968872478399</v>
      </c>
      <c r="D440" s="10">
        <v>1975</v>
      </c>
    </row>
    <row r="441" spans="1:4" ht="19.95" customHeight="1" x14ac:dyDescent="0.25">
      <c r="A441" s="9" t="s">
        <v>28</v>
      </c>
      <c r="B441" s="10" t="s">
        <v>43</v>
      </c>
      <c r="C441" s="10">
        <v>2.36346842393933</v>
      </c>
      <c r="D441" s="10">
        <v>1975</v>
      </c>
    </row>
    <row r="442" spans="1:4" ht="19.95" customHeight="1" x14ac:dyDescent="0.25">
      <c r="A442" s="9" t="s">
        <v>29</v>
      </c>
      <c r="B442" s="10" t="s">
        <v>43</v>
      </c>
      <c r="C442" s="10">
        <v>2.16505187525346</v>
      </c>
      <c r="D442" s="10">
        <v>1975</v>
      </c>
    </row>
    <row r="443" spans="1:4" ht="19.95" customHeight="1" x14ac:dyDescent="0.25">
      <c r="A443" s="9" t="s">
        <v>30</v>
      </c>
      <c r="B443" s="10" t="s">
        <v>43</v>
      </c>
      <c r="C443" s="10">
        <v>3.0826277202555201</v>
      </c>
      <c r="D443" s="10">
        <v>1975</v>
      </c>
    </row>
    <row r="444" spans="1:4" ht="19.95" customHeight="1" x14ac:dyDescent="0.25">
      <c r="A444" s="9" t="s">
        <v>31</v>
      </c>
      <c r="B444" s="10" t="s">
        <v>43</v>
      </c>
      <c r="C444" s="10">
        <v>2.8197157371770198</v>
      </c>
      <c r="D444" s="10">
        <v>1975</v>
      </c>
    </row>
    <row r="445" spans="1:4" ht="19.95" customHeight="1" x14ac:dyDescent="0.25">
      <c r="A445" s="9" t="s">
        <v>32</v>
      </c>
      <c r="B445" s="10" t="s">
        <v>43</v>
      </c>
      <c r="C445" s="10">
        <v>3.0818809792619599</v>
      </c>
      <c r="D445" s="10">
        <v>1975</v>
      </c>
    </row>
    <row r="446" spans="1:4" ht="19.95" customHeight="1" x14ac:dyDescent="0.25">
      <c r="A446" s="9" t="s">
        <v>33</v>
      </c>
      <c r="B446" s="10" t="s">
        <v>43</v>
      </c>
      <c r="C446" s="10">
        <v>2.3727663750041899</v>
      </c>
      <c r="D446" s="10">
        <v>1975</v>
      </c>
    </row>
    <row r="447" spans="1:4" ht="19.95" customHeight="1" x14ac:dyDescent="0.25">
      <c r="A447" s="9" t="s">
        <v>34</v>
      </c>
      <c r="B447" s="10" t="s">
        <v>43</v>
      </c>
      <c r="C447" s="10">
        <v>1.8577313406925999</v>
      </c>
      <c r="D447" s="10">
        <v>1975</v>
      </c>
    </row>
    <row r="448" spans="1:4" ht="19.95" customHeight="1" x14ac:dyDescent="0.25">
      <c r="A448" s="9" t="s">
        <v>35</v>
      </c>
      <c r="B448" s="10" t="s">
        <v>43</v>
      </c>
      <c r="C448" s="10">
        <v>2.83672601254893</v>
      </c>
      <c r="D448" s="10">
        <v>1975</v>
      </c>
    </row>
    <row r="449" spans="1:4" ht="19.95" customHeight="1" x14ac:dyDescent="0.25">
      <c r="A449" s="9" t="s">
        <v>36</v>
      </c>
      <c r="B449" s="10" t="s">
        <v>43</v>
      </c>
      <c r="C449" s="10">
        <v>3.1982729526143001</v>
      </c>
      <c r="D449" s="10">
        <v>1975</v>
      </c>
    </row>
    <row r="450" spans="1:4" ht="19.95" customHeight="1" x14ac:dyDescent="0.25">
      <c r="A450" s="9" t="s">
        <v>37</v>
      </c>
      <c r="B450" s="10" t="s">
        <v>43</v>
      </c>
      <c r="C450" s="10">
        <v>2.7475431025988502</v>
      </c>
      <c r="D450" s="10">
        <v>1975</v>
      </c>
    </row>
    <row r="451" spans="1:4" ht="19.95" customHeight="1" x14ac:dyDescent="0.25">
      <c r="A451" s="9" t="s">
        <v>38</v>
      </c>
      <c r="B451" s="10" t="s">
        <v>43</v>
      </c>
      <c r="C451" s="10">
        <v>3.4856855071695199</v>
      </c>
      <c r="D451" s="10">
        <v>1975</v>
      </c>
    </row>
    <row r="452" spans="1:4" ht="19.95" customHeight="1" x14ac:dyDescent="0.25">
      <c r="A452" s="9" t="s">
        <v>39</v>
      </c>
      <c r="B452" s="10" t="s">
        <v>43</v>
      </c>
      <c r="C452" s="10">
        <v>3.23095475077228</v>
      </c>
      <c r="D452" s="10">
        <v>1975</v>
      </c>
    </row>
    <row r="453" spans="1:4" ht="19.95" customHeight="1" x14ac:dyDescent="0.25">
      <c r="A453" s="9" t="s">
        <v>9</v>
      </c>
      <c r="B453" s="10" t="s">
        <v>43</v>
      </c>
      <c r="C453" s="10">
        <v>1.83957671002837</v>
      </c>
      <c r="D453" s="10">
        <v>1976</v>
      </c>
    </row>
    <row r="454" spans="1:4" ht="19.95" customHeight="1" x14ac:dyDescent="0.25">
      <c r="A454" s="9" t="s">
        <v>12</v>
      </c>
      <c r="B454" s="10" t="s">
        <v>43</v>
      </c>
      <c r="C454" s="10">
        <v>2.8042520542847602</v>
      </c>
      <c r="D454" s="10">
        <v>1976</v>
      </c>
    </row>
    <row r="455" spans="1:4" ht="19.95" customHeight="1" x14ac:dyDescent="0.25">
      <c r="A455" s="9" t="s">
        <v>13</v>
      </c>
      <c r="B455" s="10" t="s">
        <v>43</v>
      </c>
      <c r="C455" s="10">
        <v>2.0407532389332901</v>
      </c>
      <c r="D455" s="10">
        <v>1976</v>
      </c>
    </row>
    <row r="456" spans="1:4" ht="19.95" customHeight="1" x14ac:dyDescent="0.25">
      <c r="A456" s="9" t="s">
        <v>15</v>
      </c>
      <c r="B456" s="10" t="s">
        <v>43</v>
      </c>
      <c r="C456" s="10">
        <v>3.3115748046094802</v>
      </c>
      <c r="D456" s="10">
        <v>1976</v>
      </c>
    </row>
    <row r="457" spans="1:4" ht="19.95" customHeight="1" x14ac:dyDescent="0.25">
      <c r="A457" s="9" t="s">
        <v>16</v>
      </c>
      <c r="B457" s="10" t="s">
        <v>43</v>
      </c>
      <c r="C457" s="10">
        <v>10.320548965431</v>
      </c>
      <c r="D457" s="10">
        <v>1976</v>
      </c>
    </row>
    <row r="458" spans="1:4" ht="19.95" customHeight="1" x14ac:dyDescent="0.25">
      <c r="A458" s="9" t="s">
        <v>1</v>
      </c>
      <c r="B458" s="10" t="s">
        <v>43</v>
      </c>
      <c r="C458" s="10">
        <v>1.7654917045357601</v>
      </c>
      <c r="D458" s="10">
        <v>1976</v>
      </c>
    </row>
    <row r="459" spans="1:4" ht="19.95" customHeight="1" x14ac:dyDescent="0.25">
      <c r="A459" s="9" t="s">
        <v>17</v>
      </c>
      <c r="B459" s="10" t="s">
        <v>43</v>
      </c>
      <c r="C459" s="10">
        <v>0.39073398278809801</v>
      </c>
      <c r="D459" s="10">
        <v>1976</v>
      </c>
    </row>
    <row r="460" spans="1:4" ht="19.95" customHeight="1" x14ac:dyDescent="0.25">
      <c r="A460" s="9" t="s">
        <v>18</v>
      </c>
      <c r="B460" s="10" t="s">
        <v>43</v>
      </c>
      <c r="C460" s="10">
        <v>1.88639862612842</v>
      </c>
      <c r="D460" s="10">
        <v>1976</v>
      </c>
    </row>
    <row r="461" spans="1:4" ht="19.95" customHeight="1" x14ac:dyDescent="0.25">
      <c r="A461" s="9" t="s">
        <v>19</v>
      </c>
      <c r="B461" s="10" t="s">
        <v>43</v>
      </c>
      <c r="C461" s="10">
        <v>3.71231231404425</v>
      </c>
      <c r="D461" s="10">
        <v>1976</v>
      </c>
    </row>
    <row r="462" spans="1:4" ht="19.95" customHeight="1" x14ac:dyDescent="0.25">
      <c r="A462" s="9" t="s">
        <v>20</v>
      </c>
      <c r="B462" s="10" t="s">
        <v>43</v>
      </c>
      <c r="C462" s="10">
        <v>2.2391690314901198</v>
      </c>
      <c r="D462" s="10">
        <v>1976</v>
      </c>
    </row>
    <row r="463" spans="1:4" ht="19.95" customHeight="1" x14ac:dyDescent="0.25">
      <c r="A463" s="9" t="s">
        <v>21</v>
      </c>
      <c r="B463" s="10" t="s">
        <v>43</v>
      </c>
      <c r="C463" s="10">
        <v>2.8684108655239098</v>
      </c>
      <c r="D463" s="10">
        <v>1976</v>
      </c>
    </row>
    <row r="464" spans="1:4" ht="19.95" customHeight="1" x14ac:dyDescent="0.25">
      <c r="A464" s="9" t="s">
        <v>22</v>
      </c>
      <c r="B464" s="10" t="s">
        <v>43</v>
      </c>
      <c r="C464" s="10">
        <v>2.8368562027462998</v>
      </c>
      <c r="D464" s="10">
        <v>1976</v>
      </c>
    </row>
    <row r="465" spans="1:4" ht="19.95" customHeight="1" x14ac:dyDescent="0.25">
      <c r="A465" s="9" t="s">
        <v>23</v>
      </c>
      <c r="B465" s="10" t="s">
        <v>43</v>
      </c>
      <c r="C465" s="10">
        <v>3.0129621102615598</v>
      </c>
      <c r="D465" s="10">
        <v>1976</v>
      </c>
    </row>
    <row r="466" spans="1:4" ht="19.95" customHeight="1" x14ac:dyDescent="0.25">
      <c r="A466" s="9" t="s">
        <v>24</v>
      </c>
      <c r="B466" s="10" t="s">
        <v>43</v>
      </c>
      <c r="C466" s="10">
        <v>1.75085982713751</v>
      </c>
      <c r="D466" s="10">
        <v>1976</v>
      </c>
    </row>
    <row r="467" spans="1:4" ht="19.95" customHeight="1" x14ac:dyDescent="0.25">
      <c r="A467" s="9" t="s">
        <v>25</v>
      </c>
      <c r="B467" s="10" t="s">
        <v>43</v>
      </c>
      <c r="C467" s="10">
        <v>1.00995502684135</v>
      </c>
      <c r="D467" s="10">
        <v>1976</v>
      </c>
    </row>
    <row r="468" spans="1:4" ht="19.95" customHeight="1" x14ac:dyDescent="0.25">
      <c r="A468" s="9" t="s">
        <v>26</v>
      </c>
      <c r="B468" s="10" t="s">
        <v>43</v>
      </c>
      <c r="C468" s="10">
        <v>2.7501579980572401</v>
      </c>
      <c r="D468" s="10">
        <v>1976</v>
      </c>
    </row>
    <row r="469" spans="1:4" ht="19.95" customHeight="1" x14ac:dyDescent="0.25">
      <c r="A469" s="9" t="s">
        <v>28</v>
      </c>
      <c r="B469" s="10" t="s">
        <v>43</v>
      </c>
      <c r="C469" s="10">
        <v>2.3477952479220199</v>
      </c>
      <c r="D469" s="10">
        <v>1976</v>
      </c>
    </row>
    <row r="470" spans="1:4" ht="19.95" customHeight="1" x14ac:dyDescent="0.25">
      <c r="A470" s="9" t="s">
        <v>29</v>
      </c>
      <c r="B470" s="10" t="s">
        <v>43</v>
      </c>
      <c r="C470" s="10">
        <v>2.19177388317443</v>
      </c>
      <c r="D470" s="10">
        <v>1976</v>
      </c>
    </row>
    <row r="471" spans="1:4" ht="19.95" customHeight="1" x14ac:dyDescent="0.25">
      <c r="A471" s="9" t="s">
        <v>30</v>
      </c>
      <c r="B471" s="10" t="s">
        <v>43</v>
      </c>
      <c r="C471" s="10">
        <v>3.0775364265031802</v>
      </c>
      <c r="D471" s="10">
        <v>1976</v>
      </c>
    </row>
    <row r="472" spans="1:4" ht="19.95" customHeight="1" x14ac:dyDescent="0.25">
      <c r="A472" s="9" t="s">
        <v>31</v>
      </c>
      <c r="B472" s="10" t="s">
        <v>43</v>
      </c>
      <c r="C472" s="10">
        <v>2.8540124723486899</v>
      </c>
      <c r="D472" s="10">
        <v>1976</v>
      </c>
    </row>
    <row r="473" spans="1:4" ht="19.95" customHeight="1" x14ac:dyDescent="0.25">
      <c r="A473" s="9" t="s">
        <v>32</v>
      </c>
      <c r="B473" s="10" t="s">
        <v>43</v>
      </c>
      <c r="C473" s="10">
        <v>3.17045009203791</v>
      </c>
      <c r="D473" s="10">
        <v>1976</v>
      </c>
    </row>
    <row r="474" spans="1:4" ht="19.95" customHeight="1" x14ac:dyDescent="0.25">
      <c r="A474" s="9" t="s">
        <v>33</v>
      </c>
      <c r="B474" s="10" t="s">
        <v>43</v>
      </c>
      <c r="C474" s="10">
        <v>2.7202976563671801</v>
      </c>
      <c r="D474" s="10">
        <v>1976</v>
      </c>
    </row>
    <row r="475" spans="1:4" ht="19.95" customHeight="1" x14ac:dyDescent="0.25">
      <c r="A475" s="9" t="s">
        <v>34</v>
      </c>
      <c r="B475" s="10" t="s">
        <v>43</v>
      </c>
      <c r="C475" s="10">
        <v>1.85583116580881</v>
      </c>
      <c r="D475" s="10">
        <v>1976</v>
      </c>
    </row>
    <row r="476" spans="1:4" ht="19.95" customHeight="1" x14ac:dyDescent="0.25">
      <c r="A476" s="9" t="s">
        <v>35</v>
      </c>
      <c r="B476" s="10" t="s">
        <v>43</v>
      </c>
      <c r="C476" s="10">
        <v>2.81207420447637</v>
      </c>
      <c r="D476" s="10">
        <v>1976</v>
      </c>
    </row>
    <row r="477" spans="1:4" ht="19.95" customHeight="1" x14ac:dyDescent="0.25">
      <c r="A477" s="9" t="s">
        <v>36</v>
      </c>
      <c r="B477" s="10" t="s">
        <v>43</v>
      </c>
      <c r="C477" s="10">
        <v>3.1597764783108699</v>
      </c>
      <c r="D477" s="10">
        <v>1976</v>
      </c>
    </row>
    <row r="478" spans="1:4" ht="19.95" customHeight="1" x14ac:dyDescent="0.25">
      <c r="A478" s="9" t="s">
        <v>37</v>
      </c>
      <c r="B478" s="10" t="s">
        <v>43</v>
      </c>
      <c r="C478" s="10">
        <v>2.8470651958649298</v>
      </c>
      <c r="D478" s="10">
        <v>1976</v>
      </c>
    </row>
    <row r="479" spans="1:4" ht="19.95" customHeight="1" x14ac:dyDescent="0.25">
      <c r="A479" s="9" t="s">
        <v>38</v>
      </c>
      <c r="B479" s="10" t="s">
        <v>43</v>
      </c>
      <c r="C479" s="10">
        <v>3.4485087054724501</v>
      </c>
      <c r="D479" s="10">
        <v>1976</v>
      </c>
    </row>
    <row r="480" spans="1:4" ht="19.95" customHeight="1" x14ac:dyDescent="0.25">
      <c r="A480" s="9" t="s">
        <v>39</v>
      </c>
      <c r="B480" s="10" t="s">
        <v>43</v>
      </c>
      <c r="C480" s="10">
        <v>3.1060952366803498</v>
      </c>
      <c r="D480" s="10">
        <v>1976</v>
      </c>
    </row>
    <row r="481" spans="1:4" ht="19.95" customHeight="1" x14ac:dyDescent="0.25">
      <c r="A481" s="9" t="s">
        <v>9</v>
      </c>
      <c r="B481" s="10" t="s">
        <v>43</v>
      </c>
      <c r="C481" s="10">
        <v>2.1568508426082502</v>
      </c>
      <c r="D481" s="10">
        <v>1977</v>
      </c>
    </row>
    <row r="482" spans="1:4" ht="19.95" customHeight="1" x14ac:dyDescent="0.25">
      <c r="A482" s="9" t="s">
        <v>12</v>
      </c>
      <c r="B482" s="10" t="s">
        <v>43</v>
      </c>
      <c r="C482" s="10">
        <v>2.8474688087493401</v>
      </c>
      <c r="D482" s="10">
        <v>1977</v>
      </c>
    </row>
    <row r="483" spans="1:4" ht="19.95" customHeight="1" x14ac:dyDescent="0.25">
      <c r="A483" s="9" t="s">
        <v>13</v>
      </c>
      <c r="B483" s="10" t="s">
        <v>43</v>
      </c>
      <c r="C483" s="10">
        <v>1.94064659198251</v>
      </c>
      <c r="D483" s="10">
        <v>1977</v>
      </c>
    </row>
    <row r="484" spans="1:4" ht="19.95" customHeight="1" x14ac:dyDescent="0.25">
      <c r="A484" s="9" t="s">
        <v>15</v>
      </c>
      <c r="B484" s="10" t="s">
        <v>43</v>
      </c>
      <c r="C484" s="10">
        <v>3.6718879782687202</v>
      </c>
      <c r="D484" s="10">
        <v>1977</v>
      </c>
    </row>
    <row r="485" spans="1:4" ht="19.95" customHeight="1" x14ac:dyDescent="0.25">
      <c r="A485" s="9" t="s">
        <v>16</v>
      </c>
      <c r="B485" s="10" t="s">
        <v>43</v>
      </c>
      <c r="C485" s="10">
        <v>11.007708238587901</v>
      </c>
      <c r="D485" s="10">
        <v>1977</v>
      </c>
    </row>
    <row r="486" spans="1:4" ht="19.95" customHeight="1" x14ac:dyDescent="0.25">
      <c r="A486" s="9" t="s">
        <v>1</v>
      </c>
      <c r="B486" s="10" t="s">
        <v>43</v>
      </c>
      <c r="C486" s="10">
        <v>1.4243287679822401</v>
      </c>
      <c r="D486" s="10">
        <v>1977</v>
      </c>
    </row>
    <row r="487" spans="1:4" ht="19.95" customHeight="1" x14ac:dyDescent="0.25">
      <c r="A487" s="9" t="s">
        <v>17</v>
      </c>
      <c r="B487" s="10" t="s">
        <v>43</v>
      </c>
      <c r="C487" s="10">
        <v>0.38457533857674298</v>
      </c>
      <c r="D487" s="10">
        <v>1977</v>
      </c>
    </row>
    <row r="488" spans="1:4" ht="19.95" customHeight="1" x14ac:dyDescent="0.25">
      <c r="A488" s="9" t="s">
        <v>18</v>
      </c>
      <c r="B488" s="10" t="s">
        <v>43</v>
      </c>
      <c r="C488" s="10">
        <v>1.9504829439757601</v>
      </c>
      <c r="D488" s="10">
        <v>1977</v>
      </c>
    </row>
    <row r="489" spans="1:4" ht="19.95" customHeight="1" x14ac:dyDescent="0.25">
      <c r="A489" s="9" t="s">
        <v>19</v>
      </c>
      <c r="B489" s="10" t="s">
        <v>43</v>
      </c>
      <c r="C489" s="10">
        <v>3.7276116280935399</v>
      </c>
      <c r="D489" s="10">
        <v>1977</v>
      </c>
    </row>
    <row r="490" spans="1:4" ht="19.95" customHeight="1" x14ac:dyDescent="0.25">
      <c r="A490" s="9" t="s">
        <v>20</v>
      </c>
      <c r="B490" s="10" t="s">
        <v>43</v>
      </c>
      <c r="C490" s="10">
        <v>2.12022076506029</v>
      </c>
      <c r="D490" s="10">
        <v>1977</v>
      </c>
    </row>
    <row r="491" spans="1:4" ht="19.95" customHeight="1" x14ac:dyDescent="0.25">
      <c r="A491" s="9" t="s">
        <v>21</v>
      </c>
      <c r="B491" s="10" t="s">
        <v>43</v>
      </c>
      <c r="C491" s="10">
        <v>2.84086283397549</v>
      </c>
      <c r="D491" s="10">
        <v>1977</v>
      </c>
    </row>
    <row r="492" spans="1:4" ht="19.95" customHeight="1" x14ac:dyDescent="0.25">
      <c r="A492" s="9" t="s">
        <v>22</v>
      </c>
      <c r="B492" s="10" t="s">
        <v>43</v>
      </c>
      <c r="C492" s="10">
        <v>2.8498062705814702</v>
      </c>
      <c r="D492" s="10">
        <v>1977</v>
      </c>
    </row>
    <row r="493" spans="1:4" ht="19.95" customHeight="1" x14ac:dyDescent="0.25">
      <c r="A493" s="9" t="s">
        <v>23</v>
      </c>
      <c r="B493" s="10" t="s">
        <v>43</v>
      </c>
      <c r="C493" s="10">
        <v>3.1192618846017099</v>
      </c>
      <c r="D493" s="10">
        <v>1977</v>
      </c>
    </row>
    <row r="494" spans="1:4" ht="19.95" customHeight="1" x14ac:dyDescent="0.25">
      <c r="A494" s="9" t="s">
        <v>24</v>
      </c>
      <c r="B494" s="10" t="s">
        <v>43</v>
      </c>
      <c r="C494" s="10">
        <v>1.7376121054270901</v>
      </c>
      <c r="D494" s="10">
        <v>1977</v>
      </c>
    </row>
    <row r="495" spans="1:4" ht="19.95" customHeight="1" x14ac:dyDescent="0.25">
      <c r="A495" s="9" t="s">
        <v>25</v>
      </c>
      <c r="B495" s="10" t="s">
        <v>43</v>
      </c>
      <c r="C495" s="10">
        <v>0.84900449328314598</v>
      </c>
      <c r="D495" s="10">
        <v>1977</v>
      </c>
    </row>
    <row r="496" spans="1:4" ht="19.95" customHeight="1" x14ac:dyDescent="0.25">
      <c r="A496" s="9" t="s">
        <v>26</v>
      </c>
      <c r="B496" s="10" t="s">
        <v>43</v>
      </c>
      <c r="C496" s="10">
        <v>2.8189707176192198</v>
      </c>
      <c r="D496" s="10">
        <v>1977</v>
      </c>
    </row>
    <row r="497" spans="1:4" ht="19.95" customHeight="1" x14ac:dyDescent="0.25">
      <c r="A497" s="9" t="s">
        <v>28</v>
      </c>
      <c r="B497" s="10" t="s">
        <v>43</v>
      </c>
      <c r="C497" s="10">
        <v>2.3267659015687201</v>
      </c>
      <c r="D497" s="10">
        <v>1977</v>
      </c>
    </row>
    <row r="498" spans="1:4" ht="19.95" customHeight="1" x14ac:dyDescent="0.25">
      <c r="A498" s="9" t="s">
        <v>29</v>
      </c>
      <c r="B498" s="10" t="s">
        <v>43</v>
      </c>
      <c r="C498" s="10">
        <v>2.2155471261569302</v>
      </c>
      <c r="D498" s="10">
        <v>1977</v>
      </c>
    </row>
    <row r="499" spans="1:4" ht="19.95" customHeight="1" x14ac:dyDescent="0.25">
      <c r="A499" s="9" t="s">
        <v>30</v>
      </c>
      <c r="B499" s="10" t="s">
        <v>43</v>
      </c>
      <c r="C499" s="10">
        <v>3.06106511221101</v>
      </c>
      <c r="D499" s="10">
        <v>1977</v>
      </c>
    </row>
    <row r="500" spans="1:4" ht="19.95" customHeight="1" x14ac:dyDescent="0.25">
      <c r="A500" s="9" t="s">
        <v>31</v>
      </c>
      <c r="B500" s="10" t="s">
        <v>43</v>
      </c>
      <c r="C500" s="10">
        <v>2.8822486575438302</v>
      </c>
      <c r="D500" s="10">
        <v>1977</v>
      </c>
    </row>
    <row r="501" spans="1:4" ht="19.95" customHeight="1" x14ac:dyDescent="0.25">
      <c r="A501" s="9" t="s">
        <v>32</v>
      </c>
      <c r="B501" s="10" t="s">
        <v>43</v>
      </c>
      <c r="C501" s="10">
        <v>3.2385905081492599</v>
      </c>
      <c r="D501" s="10">
        <v>1977</v>
      </c>
    </row>
    <row r="502" spans="1:4" ht="19.95" customHeight="1" x14ac:dyDescent="0.25">
      <c r="A502" s="9" t="s">
        <v>33</v>
      </c>
      <c r="B502" s="10" t="s">
        <v>43</v>
      </c>
      <c r="C502" s="10">
        <v>2.9586823770086301</v>
      </c>
      <c r="D502" s="10">
        <v>1977</v>
      </c>
    </row>
    <row r="503" spans="1:4" ht="19.95" customHeight="1" x14ac:dyDescent="0.25">
      <c r="A503" s="9" t="s">
        <v>34</v>
      </c>
      <c r="B503" s="10" t="s">
        <v>43</v>
      </c>
      <c r="C503" s="10">
        <v>1.84162866260145</v>
      </c>
      <c r="D503" s="10">
        <v>1977</v>
      </c>
    </row>
    <row r="504" spans="1:4" ht="19.95" customHeight="1" x14ac:dyDescent="0.25">
      <c r="A504" s="9" t="s">
        <v>35</v>
      </c>
      <c r="B504" s="10" t="s">
        <v>43</v>
      </c>
      <c r="C504" s="10">
        <v>2.7950081143304999</v>
      </c>
      <c r="D504" s="10">
        <v>1977</v>
      </c>
    </row>
    <row r="505" spans="1:4" ht="19.95" customHeight="1" x14ac:dyDescent="0.25">
      <c r="A505" s="9" t="s">
        <v>36</v>
      </c>
      <c r="B505" s="10" t="s">
        <v>43</v>
      </c>
      <c r="C505" s="10">
        <v>3.12976750176434</v>
      </c>
      <c r="D505" s="10">
        <v>1977</v>
      </c>
    </row>
    <row r="506" spans="1:4" ht="19.95" customHeight="1" x14ac:dyDescent="0.25">
      <c r="A506" s="9" t="s">
        <v>37</v>
      </c>
      <c r="B506" s="10" t="s">
        <v>43</v>
      </c>
      <c r="C506" s="10">
        <v>2.92832734128987</v>
      </c>
      <c r="D506" s="10">
        <v>1977</v>
      </c>
    </row>
    <row r="507" spans="1:4" ht="19.95" customHeight="1" x14ac:dyDescent="0.25">
      <c r="A507" s="9" t="s">
        <v>38</v>
      </c>
      <c r="B507" s="10" t="s">
        <v>43</v>
      </c>
      <c r="C507" s="10">
        <v>3.416355772118</v>
      </c>
      <c r="D507" s="10">
        <v>1977</v>
      </c>
    </row>
    <row r="508" spans="1:4" ht="19.95" customHeight="1" x14ac:dyDescent="0.25">
      <c r="A508" s="9" t="s">
        <v>39</v>
      </c>
      <c r="B508" s="10" t="s">
        <v>43</v>
      </c>
      <c r="C508" s="10">
        <v>3.02271386457832</v>
      </c>
      <c r="D508" s="10">
        <v>1977</v>
      </c>
    </row>
    <row r="509" spans="1:4" ht="19.95" customHeight="1" x14ac:dyDescent="0.25">
      <c r="A509" s="9" t="s">
        <v>9</v>
      </c>
      <c r="B509" s="10" t="s">
        <v>43</v>
      </c>
      <c r="C509" s="10">
        <v>2.3937653592388899</v>
      </c>
      <c r="D509" s="10">
        <v>1978</v>
      </c>
    </row>
    <row r="510" spans="1:4" ht="19.95" customHeight="1" x14ac:dyDescent="0.25">
      <c r="A510" s="9" t="s">
        <v>12</v>
      </c>
      <c r="B510" s="10" t="s">
        <v>43</v>
      </c>
      <c r="C510" s="10">
        <v>2.89226178790646</v>
      </c>
      <c r="D510" s="10">
        <v>1978</v>
      </c>
    </row>
    <row r="511" spans="1:4" ht="19.95" customHeight="1" x14ac:dyDescent="0.25">
      <c r="A511" s="9" t="s">
        <v>13</v>
      </c>
      <c r="B511" s="10" t="s">
        <v>43</v>
      </c>
      <c r="C511" s="10">
        <v>1.9013257118762401</v>
      </c>
      <c r="D511" s="10">
        <v>1978</v>
      </c>
    </row>
    <row r="512" spans="1:4" ht="19.95" customHeight="1" x14ac:dyDescent="0.25">
      <c r="A512" s="9" t="s">
        <v>15</v>
      </c>
      <c r="B512" s="10" t="s">
        <v>43</v>
      </c>
      <c r="C512" s="10">
        <v>3.8167659374639298</v>
      </c>
      <c r="D512" s="10">
        <v>1978</v>
      </c>
    </row>
    <row r="513" spans="1:4" ht="19.95" customHeight="1" x14ac:dyDescent="0.25">
      <c r="A513" s="9" t="s">
        <v>16</v>
      </c>
      <c r="B513" s="10" t="s">
        <v>43</v>
      </c>
      <c r="C513" s="10">
        <v>10.438050201496401</v>
      </c>
      <c r="D513" s="10">
        <v>1978</v>
      </c>
    </row>
    <row r="514" spans="1:4" ht="19.95" customHeight="1" x14ac:dyDescent="0.25">
      <c r="A514" s="9" t="s">
        <v>1</v>
      </c>
      <c r="B514" s="10" t="s">
        <v>43</v>
      </c>
      <c r="C514" s="10">
        <v>1.3175588710823001</v>
      </c>
      <c r="D514" s="10">
        <v>1978</v>
      </c>
    </row>
    <row r="515" spans="1:4" ht="19.95" customHeight="1" x14ac:dyDescent="0.25">
      <c r="A515" s="9" t="s">
        <v>17</v>
      </c>
      <c r="B515" s="10" t="s">
        <v>43</v>
      </c>
      <c r="C515" s="10">
        <v>0.51362881691648599</v>
      </c>
      <c r="D515" s="10">
        <v>1978</v>
      </c>
    </row>
    <row r="516" spans="1:4" ht="19.95" customHeight="1" x14ac:dyDescent="0.25">
      <c r="A516" s="9" t="s">
        <v>18</v>
      </c>
      <c r="B516" s="10" t="s">
        <v>43</v>
      </c>
      <c r="C516" s="10">
        <v>2.0224989537654201</v>
      </c>
      <c r="D516" s="10">
        <v>1978</v>
      </c>
    </row>
    <row r="517" spans="1:4" ht="19.95" customHeight="1" x14ac:dyDescent="0.25">
      <c r="A517" s="9" t="s">
        <v>19</v>
      </c>
      <c r="B517" s="10" t="s">
        <v>43</v>
      </c>
      <c r="C517" s="10">
        <v>3.7469894380080899</v>
      </c>
      <c r="D517" s="10">
        <v>1978</v>
      </c>
    </row>
    <row r="518" spans="1:4" ht="19.95" customHeight="1" x14ac:dyDescent="0.25">
      <c r="A518" s="9" t="s">
        <v>20</v>
      </c>
      <c r="B518" s="10" t="s">
        <v>43</v>
      </c>
      <c r="C518" s="10">
        <v>2.0761991448429198</v>
      </c>
      <c r="D518" s="10">
        <v>1978</v>
      </c>
    </row>
    <row r="519" spans="1:4" ht="19.95" customHeight="1" x14ac:dyDescent="0.25">
      <c r="A519" s="9" t="s">
        <v>21</v>
      </c>
      <c r="B519" s="10" t="s">
        <v>43</v>
      </c>
      <c r="C519" s="10">
        <v>2.9080346710570502</v>
      </c>
      <c r="D519" s="10">
        <v>1978</v>
      </c>
    </row>
    <row r="520" spans="1:4" ht="19.95" customHeight="1" x14ac:dyDescent="0.25">
      <c r="A520" s="9" t="s">
        <v>22</v>
      </c>
      <c r="B520" s="10" t="s">
        <v>43</v>
      </c>
      <c r="C520" s="10">
        <v>2.8600487454349799</v>
      </c>
      <c r="D520" s="10">
        <v>1978</v>
      </c>
    </row>
    <row r="521" spans="1:4" ht="19.95" customHeight="1" x14ac:dyDescent="0.25">
      <c r="A521" s="9" t="s">
        <v>23</v>
      </c>
      <c r="B521" s="10" t="s">
        <v>43</v>
      </c>
      <c r="C521" s="10">
        <v>3.13662362681622</v>
      </c>
      <c r="D521" s="10">
        <v>1978</v>
      </c>
    </row>
    <row r="522" spans="1:4" ht="19.95" customHeight="1" x14ac:dyDescent="0.25">
      <c r="A522" s="9" t="s">
        <v>24</v>
      </c>
      <c r="B522" s="10" t="s">
        <v>43</v>
      </c>
      <c r="C522" s="10">
        <v>1.7557549172344999</v>
      </c>
      <c r="D522" s="10">
        <v>1978</v>
      </c>
    </row>
    <row r="523" spans="1:4" ht="19.95" customHeight="1" x14ac:dyDescent="0.25">
      <c r="A523" s="9" t="s">
        <v>25</v>
      </c>
      <c r="B523" s="10" t="s">
        <v>43</v>
      </c>
      <c r="C523" s="10">
        <v>0.81191244385041905</v>
      </c>
      <c r="D523" s="10">
        <v>1978</v>
      </c>
    </row>
    <row r="524" spans="1:4" ht="19.95" customHeight="1" x14ac:dyDescent="0.25">
      <c r="A524" s="9" t="s">
        <v>26</v>
      </c>
      <c r="B524" s="10" t="s">
        <v>43</v>
      </c>
      <c r="C524" s="10">
        <v>2.8048740035988402</v>
      </c>
      <c r="D524" s="10">
        <v>1978</v>
      </c>
    </row>
    <row r="525" spans="1:4" ht="19.95" customHeight="1" x14ac:dyDescent="0.25">
      <c r="A525" s="9" t="s">
        <v>28</v>
      </c>
      <c r="B525" s="10" t="s">
        <v>43</v>
      </c>
      <c r="C525" s="10">
        <v>2.3103084199618098</v>
      </c>
      <c r="D525" s="10">
        <v>1978</v>
      </c>
    </row>
    <row r="526" spans="1:4" ht="19.95" customHeight="1" x14ac:dyDescent="0.25">
      <c r="A526" s="9" t="s">
        <v>29</v>
      </c>
      <c r="B526" s="10" t="s">
        <v>43</v>
      </c>
      <c r="C526" s="10">
        <v>2.23771599519044</v>
      </c>
      <c r="D526" s="10">
        <v>1978</v>
      </c>
    </row>
    <row r="527" spans="1:4" ht="19.95" customHeight="1" x14ac:dyDescent="0.25">
      <c r="A527" s="9" t="s">
        <v>30</v>
      </c>
      <c r="B527" s="10" t="s">
        <v>43</v>
      </c>
      <c r="C527" s="10">
        <v>3.0243127680169302</v>
      </c>
      <c r="D527" s="10">
        <v>1978</v>
      </c>
    </row>
    <row r="528" spans="1:4" ht="19.95" customHeight="1" x14ac:dyDescent="0.25">
      <c r="A528" s="9" t="s">
        <v>31</v>
      </c>
      <c r="B528" s="10" t="s">
        <v>43</v>
      </c>
      <c r="C528" s="10">
        <v>2.8976271460531802</v>
      </c>
      <c r="D528" s="10">
        <v>1978</v>
      </c>
    </row>
    <row r="529" spans="1:4" ht="19.95" customHeight="1" x14ac:dyDescent="0.25">
      <c r="A529" s="9" t="s">
        <v>32</v>
      </c>
      <c r="B529" s="10" t="s">
        <v>43</v>
      </c>
      <c r="C529" s="10">
        <v>3.30374738222699</v>
      </c>
      <c r="D529" s="10">
        <v>1978</v>
      </c>
    </row>
    <row r="530" spans="1:4" ht="19.95" customHeight="1" x14ac:dyDescent="0.25">
      <c r="A530" s="9" t="s">
        <v>33</v>
      </c>
      <c r="B530" s="10" t="s">
        <v>43</v>
      </c>
      <c r="C530" s="10">
        <v>2.9913847557959898</v>
      </c>
      <c r="D530" s="10">
        <v>1978</v>
      </c>
    </row>
    <row r="531" spans="1:4" ht="19.95" customHeight="1" x14ac:dyDescent="0.25">
      <c r="A531" s="9" t="s">
        <v>34</v>
      </c>
      <c r="B531" s="10" t="s">
        <v>43</v>
      </c>
      <c r="C531" s="10">
        <v>1.80591000356412</v>
      </c>
      <c r="D531" s="10">
        <v>1978</v>
      </c>
    </row>
    <row r="532" spans="1:4" ht="19.95" customHeight="1" x14ac:dyDescent="0.25">
      <c r="A532" s="9" t="s">
        <v>35</v>
      </c>
      <c r="B532" s="10" t="s">
        <v>43</v>
      </c>
      <c r="C532" s="10">
        <v>2.8012175109597499</v>
      </c>
      <c r="D532" s="10">
        <v>1978</v>
      </c>
    </row>
    <row r="533" spans="1:4" ht="19.95" customHeight="1" x14ac:dyDescent="0.25">
      <c r="A533" s="9" t="s">
        <v>36</v>
      </c>
      <c r="B533" s="10" t="s">
        <v>43</v>
      </c>
      <c r="C533" s="10">
        <v>3.1114733348945398</v>
      </c>
      <c r="D533" s="10">
        <v>1978</v>
      </c>
    </row>
    <row r="534" spans="1:4" ht="19.95" customHeight="1" x14ac:dyDescent="0.25">
      <c r="A534" s="9" t="s">
        <v>37</v>
      </c>
      <c r="B534" s="10" t="s">
        <v>43</v>
      </c>
      <c r="C534" s="10">
        <v>2.9839253132475299</v>
      </c>
      <c r="D534" s="10">
        <v>1978</v>
      </c>
    </row>
    <row r="535" spans="1:4" ht="19.95" customHeight="1" x14ac:dyDescent="0.25">
      <c r="A535" s="9" t="s">
        <v>38</v>
      </c>
      <c r="B535" s="10" t="s">
        <v>43</v>
      </c>
      <c r="C535" s="10">
        <v>3.3982881578535999</v>
      </c>
      <c r="D535" s="10">
        <v>1978</v>
      </c>
    </row>
    <row r="536" spans="1:4" ht="19.95" customHeight="1" x14ac:dyDescent="0.25">
      <c r="A536" s="9" t="s">
        <v>39</v>
      </c>
      <c r="B536" s="10" t="s">
        <v>43</v>
      </c>
      <c r="C536" s="10">
        <v>3.0488973757320501</v>
      </c>
      <c r="D536" s="10">
        <v>1978</v>
      </c>
    </row>
    <row r="537" spans="1:4" ht="19.95" customHeight="1" x14ac:dyDescent="0.25">
      <c r="A537" s="9" t="s">
        <v>9</v>
      </c>
      <c r="B537" s="10" t="s">
        <v>43</v>
      </c>
      <c r="C537" s="10">
        <v>2.5115744424679201</v>
      </c>
      <c r="D537" s="10">
        <v>1979</v>
      </c>
    </row>
    <row r="538" spans="1:4" ht="19.95" customHeight="1" x14ac:dyDescent="0.25">
      <c r="A538" s="9" t="s">
        <v>12</v>
      </c>
      <c r="B538" s="10" t="s">
        <v>43</v>
      </c>
      <c r="C538" s="10">
        <v>2.9395050315339599</v>
      </c>
      <c r="D538" s="10">
        <v>1979</v>
      </c>
    </row>
    <row r="539" spans="1:4" ht="19.95" customHeight="1" x14ac:dyDescent="0.25">
      <c r="A539" s="9" t="s">
        <v>13</v>
      </c>
      <c r="B539" s="10" t="s">
        <v>43</v>
      </c>
      <c r="C539" s="10">
        <v>1.94312858288497</v>
      </c>
      <c r="D539" s="10">
        <v>1979</v>
      </c>
    </row>
    <row r="540" spans="1:4" ht="19.95" customHeight="1" x14ac:dyDescent="0.25">
      <c r="A540" s="9" t="s">
        <v>15</v>
      </c>
      <c r="B540" s="10" t="s">
        <v>43</v>
      </c>
      <c r="C540" s="10">
        <v>3.7029917256479998</v>
      </c>
      <c r="D540" s="10">
        <v>1979</v>
      </c>
    </row>
    <row r="541" spans="1:4" ht="19.95" customHeight="1" x14ac:dyDescent="0.25">
      <c r="A541" s="9" t="s">
        <v>16</v>
      </c>
      <c r="B541" s="10" t="s">
        <v>43</v>
      </c>
      <c r="C541" s="10">
        <v>8.7238347498370192</v>
      </c>
      <c r="D541" s="10">
        <v>1979</v>
      </c>
    </row>
    <row r="542" spans="1:4" ht="19.95" customHeight="1" x14ac:dyDescent="0.25">
      <c r="A542" s="9" t="s">
        <v>1</v>
      </c>
      <c r="B542" s="10" t="s">
        <v>43</v>
      </c>
      <c r="C542" s="10">
        <v>1.5203353805656601</v>
      </c>
      <c r="D542" s="10">
        <v>1979</v>
      </c>
    </row>
    <row r="543" spans="1:4" ht="19.95" customHeight="1" x14ac:dyDescent="0.25">
      <c r="A543" s="9" t="s">
        <v>17</v>
      </c>
      <c r="B543" s="10" t="s">
        <v>43</v>
      </c>
      <c r="C543" s="10">
        <v>0.80971701027887999</v>
      </c>
      <c r="D543" s="10">
        <v>1979</v>
      </c>
    </row>
    <row r="544" spans="1:4" ht="19.95" customHeight="1" x14ac:dyDescent="0.25">
      <c r="A544" s="9" t="s">
        <v>18</v>
      </c>
      <c r="B544" s="10" t="s">
        <v>43</v>
      </c>
      <c r="C544" s="10">
        <v>2.1008114569511802</v>
      </c>
      <c r="D544" s="10">
        <v>1979</v>
      </c>
    </row>
    <row r="545" spans="1:4" ht="19.95" customHeight="1" x14ac:dyDescent="0.25">
      <c r="A545" s="9" t="s">
        <v>19</v>
      </c>
      <c r="B545" s="10" t="s">
        <v>43</v>
      </c>
      <c r="C545" s="10">
        <v>3.7723910044709599</v>
      </c>
      <c r="D545" s="10">
        <v>1979</v>
      </c>
    </row>
    <row r="546" spans="1:4" ht="19.95" customHeight="1" x14ac:dyDescent="0.25">
      <c r="A546" s="9" t="s">
        <v>20</v>
      </c>
      <c r="B546" s="10" t="s">
        <v>43</v>
      </c>
      <c r="C546" s="10">
        <v>2.1010600062356399</v>
      </c>
      <c r="D546" s="10">
        <v>1979</v>
      </c>
    </row>
    <row r="547" spans="1:4" ht="19.95" customHeight="1" x14ac:dyDescent="0.25">
      <c r="A547" s="9" t="s">
        <v>21</v>
      </c>
      <c r="B547" s="10" t="s">
        <v>43</v>
      </c>
      <c r="C547" s="10">
        <v>3.0921241719669701</v>
      </c>
      <c r="D547" s="10">
        <v>1979</v>
      </c>
    </row>
    <row r="548" spans="1:4" ht="19.95" customHeight="1" x14ac:dyDescent="0.25">
      <c r="A548" s="9" t="s">
        <v>22</v>
      </c>
      <c r="B548" s="10" t="s">
        <v>43</v>
      </c>
      <c r="C548" s="10">
        <v>2.8679280207651501</v>
      </c>
      <c r="D548" s="10">
        <v>1979</v>
      </c>
    </row>
    <row r="549" spans="1:4" ht="19.95" customHeight="1" x14ac:dyDescent="0.25">
      <c r="A549" s="9" t="s">
        <v>23</v>
      </c>
      <c r="B549" s="10" t="s">
        <v>43</v>
      </c>
      <c r="C549" s="10">
        <v>3.04414765287778</v>
      </c>
      <c r="D549" s="10">
        <v>1979</v>
      </c>
    </row>
    <row r="550" spans="1:4" ht="19.95" customHeight="1" x14ac:dyDescent="0.25">
      <c r="A550" s="9" t="s">
        <v>24</v>
      </c>
      <c r="B550" s="10" t="s">
        <v>43</v>
      </c>
      <c r="C550" s="10">
        <v>1.81735702255861</v>
      </c>
      <c r="D550" s="10">
        <v>1979</v>
      </c>
    </row>
    <row r="551" spans="1:4" ht="19.95" customHeight="1" x14ac:dyDescent="0.25">
      <c r="A551" s="9" t="s">
        <v>25</v>
      </c>
      <c r="B551" s="10" t="s">
        <v>43</v>
      </c>
      <c r="C551" s="10">
        <v>0.80537348070968295</v>
      </c>
      <c r="D551" s="10">
        <v>1979</v>
      </c>
    </row>
    <row r="552" spans="1:4" ht="19.95" customHeight="1" x14ac:dyDescent="0.25">
      <c r="A552" s="9" t="s">
        <v>26</v>
      </c>
      <c r="B552" s="10" t="s">
        <v>43</v>
      </c>
      <c r="C552" s="10">
        <v>2.6922001653747198</v>
      </c>
      <c r="D552" s="10">
        <v>1979</v>
      </c>
    </row>
    <row r="553" spans="1:4" ht="19.95" customHeight="1" x14ac:dyDescent="0.25">
      <c r="A553" s="9" t="s">
        <v>28</v>
      </c>
      <c r="B553" s="10" t="s">
        <v>43</v>
      </c>
      <c r="C553" s="10">
        <v>2.3003112183525301</v>
      </c>
      <c r="D553" s="10">
        <v>1979</v>
      </c>
    </row>
    <row r="554" spans="1:4" ht="19.95" customHeight="1" x14ac:dyDescent="0.25">
      <c r="A554" s="9" t="s">
        <v>29</v>
      </c>
      <c r="B554" s="10" t="s">
        <v>43</v>
      </c>
      <c r="C554" s="10">
        <v>2.2584057501156898</v>
      </c>
      <c r="D554" s="10">
        <v>1979</v>
      </c>
    </row>
    <row r="555" spans="1:4" ht="19.95" customHeight="1" x14ac:dyDescent="0.25">
      <c r="A555" s="9" t="s">
        <v>30</v>
      </c>
      <c r="B555" s="10" t="s">
        <v>43</v>
      </c>
      <c r="C555" s="10">
        <v>2.96489102014029</v>
      </c>
      <c r="D555" s="10">
        <v>1979</v>
      </c>
    </row>
    <row r="556" spans="1:4" ht="19.95" customHeight="1" x14ac:dyDescent="0.25">
      <c r="A556" s="9" t="s">
        <v>31</v>
      </c>
      <c r="B556" s="10" t="s">
        <v>43</v>
      </c>
      <c r="C556" s="10">
        <v>2.89712552843188</v>
      </c>
      <c r="D556" s="10">
        <v>1979</v>
      </c>
    </row>
    <row r="557" spans="1:4" ht="19.95" customHeight="1" x14ac:dyDescent="0.25">
      <c r="A557" s="9" t="s">
        <v>32</v>
      </c>
      <c r="B557" s="10" t="s">
        <v>43</v>
      </c>
      <c r="C557" s="10">
        <v>3.36405812344809</v>
      </c>
      <c r="D557" s="10">
        <v>1979</v>
      </c>
    </row>
    <row r="558" spans="1:4" ht="19.95" customHeight="1" x14ac:dyDescent="0.25">
      <c r="A558" s="9" t="s">
        <v>33</v>
      </c>
      <c r="B558" s="10" t="s">
        <v>43</v>
      </c>
      <c r="C558" s="10">
        <v>2.8020088774328702</v>
      </c>
      <c r="D558" s="10">
        <v>1979</v>
      </c>
    </row>
    <row r="559" spans="1:4" ht="19.95" customHeight="1" x14ac:dyDescent="0.25">
      <c r="A559" s="9" t="s">
        <v>34</v>
      </c>
      <c r="B559" s="10" t="s">
        <v>43</v>
      </c>
      <c r="C559" s="10">
        <v>1.74092895643012</v>
      </c>
      <c r="D559" s="10">
        <v>1979</v>
      </c>
    </row>
    <row r="560" spans="1:4" ht="19.95" customHeight="1" x14ac:dyDescent="0.25">
      <c r="A560" s="9" t="s">
        <v>35</v>
      </c>
      <c r="B560" s="10" t="s">
        <v>43</v>
      </c>
      <c r="C560" s="10">
        <v>2.8342873622372902</v>
      </c>
      <c r="D560" s="10">
        <v>1979</v>
      </c>
    </row>
    <row r="561" spans="1:4" ht="19.95" customHeight="1" x14ac:dyDescent="0.25">
      <c r="A561" s="9" t="s">
        <v>36</v>
      </c>
      <c r="B561" s="10" t="s">
        <v>43</v>
      </c>
      <c r="C561" s="10">
        <v>3.1090917218382899</v>
      </c>
      <c r="D561" s="10">
        <v>1979</v>
      </c>
    </row>
    <row r="562" spans="1:4" ht="19.95" customHeight="1" x14ac:dyDescent="0.25">
      <c r="A562" s="9" t="s">
        <v>37</v>
      </c>
      <c r="B562" s="10" t="s">
        <v>43</v>
      </c>
      <c r="C562" s="10">
        <v>3.0025944997557001</v>
      </c>
      <c r="D562" s="10">
        <v>1979</v>
      </c>
    </row>
    <row r="563" spans="1:4" ht="19.95" customHeight="1" x14ac:dyDescent="0.25">
      <c r="A563" s="9" t="s">
        <v>38</v>
      </c>
      <c r="B563" s="10" t="s">
        <v>43</v>
      </c>
      <c r="C563" s="10">
        <v>3.4006797272704299</v>
      </c>
      <c r="D563" s="10">
        <v>1979</v>
      </c>
    </row>
    <row r="564" spans="1:4" ht="19.95" customHeight="1" x14ac:dyDescent="0.25">
      <c r="A564" s="9" t="s">
        <v>39</v>
      </c>
      <c r="B564" s="10" t="s">
        <v>43</v>
      </c>
      <c r="C564" s="10">
        <v>3.2092067671664402</v>
      </c>
      <c r="D564" s="10">
        <v>1979</v>
      </c>
    </row>
    <row r="565" spans="1:4" ht="19.95" customHeight="1" x14ac:dyDescent="0.25">
      <c r="A565" s="9" t="s">
        <v>9</v>
      </c>
      <c r="B565" s="10" t="s">
        <v>43</v>
      </c>
      <c r="C565" s="10">
        <v>2.5463954715550199</v>
      </c>
      <c r="D565" s="10">
        <v>1980</v>
      </c>
    </row>
    <row r="566" spans="1:4" ht="19.95" customHeight="1" x14ac:dyDescent="0.25">
      <c r="A566" s="9" t="s">
        <v>12</v>
      </c>
      <c r="B566" s="10" t="s">
        <v>43</v>
      </c>
      <c r="C566" s="10">
        <v>2.9857505966567199</v>
      </c>
      <c r="D566" s="10">
        <v>1980</v>
      </c>
    </row>
    <row r="567" spans="1:4" ht="19.95" customHeight="1" x14ac:dyDescent="0.25">
      <c r="A567" s="9" t="s">
        <v>13</v>
      </c>
      <c r="B567" s="10" t="s">
        <v>43</v>
      </c>
      <c r="C567" s="10">
        <v>2.04481487423564</v>
      </c>
      <c r="D567" s="10">
        <v>1980</v>
      </c>
    </row>
    <row r="568" spans="1:4" ht="19.95" customHeight="1" x14ac:dyDescent="0.25">
      <c r="A568" s="9" t="s">
        <v>15</v>
      </c>
      <c r="B568" s="10" t="s">
        <v>43</v>
      </c>
      <c r="C568" s="10">
        <v>3.4308376136315899</v>
      </c>
      <c r="D568" s="10">
        <v>1980</v>
      </c>
    </row>
    <row r="569" spans="1:4" ht="19.95" customHeight="1" x14ac:dyDescent="0.25">
      <c r="A569" s="9" t="s">
        <v>16</v>
      </c>
      <c r="B569" s="10" t="s">
        <v>43</v>
      </c>
      <c r="C569" s="10">
        <v>6.58468575071283</v>
      </c>
      <c r="D569" s="10">
        <v>1980</v>
      </c>
    </row>
    <row r="570" spans="1:4" ht="19.95" customHeight="1" x14ac:dyDescent="0.25">
      <c r="A570" s="9" t="s">
        <v>1</v>
      </c>
      <c r="B570" s="10" t="s">
        <v>43</v>
      </c>
      <c r="C570" s="10">
        <v>1.9316921661753601</v>
      </c>
      <c r="D570" s="10">
        <v>1980</v>
      </c>
    </row>
    <row r="571" spans="1:4" ht="19.95" customHeight="1" x14ac:dyDescent="0.25">
      <c r="A571" s="9" t="s">
        <v>17</v>
      </c>
      <c r="B571" s="10" t="s">
        <v>43</v>
      </c>
      <c r="C571" s="10">
        <v>1.22253997295211</v>
      </c>
      <c r="D571" s="10">
        <v>1980</v>
      </c>
    </row>
    <row r="572" spans="1:4" ht="19.95" customHeight="1" x14ac:dyDescent="0.25">
      <c r="A572" s="9" t="s">
        <v>18</v>
      </c>
      <c r="B572" s="10" t="s">
        <v>43</v>
      </c>
      <c r="C572" s="10">
        <v>2.1781205674730999</v>
      </c>
      <c r="D572" s="10">
        <v>1980</v>
      </c>
    </row>
    <row r="573" spans="1:4" ht="19.95" customHeight="1" x14ac:dyDescent="0.25">
      <c r="A573" s="9" t="s">
        <v>19</v>
      </c>
      <c r="B573" s="10" t="s">
        <v>43</v>
      </c>
      <c r="C573" s="10">
        <v>3.7969047829016098</v>
      </c>
      <c r="D573" s="10">
        <v>1980</v>
      </c>
    </row>
    <row r="574" spans="1:4" ht="19.95" customHeight="1" x14ac:dyDescent="0.25">
      <c r="A574" s="9" t="s">
        <v>20</v>
      </c>
      <c r="B574" s="10" t="s">
        <v>43</v>
      </c>
      <c r="C574" s="10">
        <v>1.9920977494554299</v>
      </c>
      <c r="D574" s="10">
        <v>1980</v>
      </c>
    </row>
    <row r="575" spans="1:4" ht="19.95" customHeight="1" x14ac:dyDescent="0.25">
      <c r="A575" s="9" t="s">
        <v>21</v>
      </c>
      <c r="B575" s="10" t="s">
        <v>43</v>
      </c>
      <c r="C575" s="10">
        <v>3.30742262791289</v>
      </c>
      <c r="D575" s="10">
        <v>1980</v>
      </c>
    </row>
    <row r="576" spans="1:4" ht="19.95" customHeight="1" x14ac:dyDescent="0.25">
      <c r="A576" s="9" t="s">
        <v>22</v>
      </c>
      <c r="B576" s="10" t="s">
        <v>43</v>
      </c>
      <c r="C576" s="10">
        <v>2.87320786021529</v>
      </c>
      <c r="D576" s="10">
        <v>1980</v>
      </c>
    </row>
    <row r="577" spans="1:4" ht="19.95" customHeight="1" x14ac:dyDescent="0.25">
      <c r="A577" s="9" t="s">
        <v>23</v>
      </c>
      <c r="B577" s="10" t="s">
        <v>43</v>
      </c>
      <c r="C577" s="10">
        <v>2.9097781948165302</v>
      </c>
      <c r="D577" s="10">
        <v>1980</v>
      </c>
    </row>
    <row r="578" spans="1:4" ht="19.95" customHeight="1" x14ac:dyDescent="0.25">
      <c r="A578" s="9" t="s">
        <v>24</v>
      </c>
      <c r="B578" s="10" t="s">
        <v>43</v>
      </c>
      <c r="C578" s="10">
        <v>1.9015281374491999</v>
      </c>
      <c r="D578" s="10">
        <v>1980</v>
      </c>
    </row>
    <row r="579" spans="1:4" ht="19.95" customHeight="1" x14ac:dyDescent="0.25">
      <c r="A579" s="9" t="s">
        <v>25</v>
      </c>
      <c r="B579" s="10" t="s">
        <v>43</v>
      </c>
      <c r="C579" s="10">
        <v>0.88731726804867295</v>
      </c>
      <c r="D579" s="10">
        <v>1980</v>
      </c>
    </row>
    <row r="580" spans="1:4" ht="19.95" customHeight="1" x14ac:dyDescent="0.25">
      <c r="A580" s="9" t="s">
        <v>26</v>
      </c>
      <c r="B580" s="10" t="s">
        <v>43</v>
      </c>
      <c r="C580" s="10">
        <v>2.50705874502273</v>
      </c>
      <c r="D580" s="10">
        <v>1980</v>
      </c>
    </row>
    <row r="581" spans="1:4" ht="19.95" customHeight="1" x14ac:dyDescent="0.25">
      <c r="A581" s="9" t="s">
        <v>28</v>
      </c>
      <c r="B581" s="10" t="s">
        <v>43</v>
      </c>
      <c r="C581" s="10">
        <v>2.29104522944596</v>
      </c>
      <c r="D581" s="10">
        <v>1980</v>
      </c>
    </row>
    <row r="582" spans="1:4" ht="19.95" customHeight="1" x14ac:dyDescent="0.25">
      <c r="A582" s="9" t="s">
        <v>29</v>
      </c>
      <c r="B582" s="10" t="s">
        <v>43</v>
      </c>
      <c r="C582" s="10">
        <v>2.2768886288236301</v>
      </c>
      <c r="D582" s="10">
        <v>1980</v>
      </c>
    </row>
    <row r="583" spans="1:4" ht="19.95" customHeight="1" x14ac:dyDescent="0.25">
      <c r="A583" s="9" t="s">
        <v>30</v>
      </c>
      <c r="B583" s="10" t="s">
        <v>43</v>
      </c>
      <c r="C583" s="10">
        <v>2.8892651869439199</v>
      </c>
      <c r="D583" s="10">
        <v>1980</v>
      </c>
    </row>
    <row r="584" spans="1:4" ht="19.95" customHeight="1" x14ac:dyDescent="0.25">
      <c r="A584" s="9" t="s">
        <v>31</v>
      </c>
      <c r="B584" s="10" t="s">
        <v>43</v>
      </c>
      <c r="C584" s="10">
        <v>2.8864896007573999</v>
      </c>
      <c r="D584" s="10">
        <v>1980</v>
      </c>
    </row>
    <row r="585" spans="1:4" ht="19.95" customHeight="1" x14ac:dyDescent="0.25">
      <c r="A585" s="9" t="s">
        <v>32</v>
      </c>
      <c r="B585" s="10" t="s">
        <v>43</v>
      </c>
      <c r="C585" s="10">
        <v>3.4160129526322698</v>
      </c>
      <c r="D585" s="10">
        <v>1980</v>
      </c>
    </row>
    <row r="586" spans="1:4" ht="19.95" customHeight="1" x14ac:dyDescent="0.25">
      <c r="A586" s="9" t="s">
        <v>33</v>
      </c>
      <c r="B586" s="10" t="s">
        <v>43</v>
      </c>
      <c r="C586" s="10">
        <v>2.45217459789896</v>
      </c>
      <c r="D586" s="10">
        <v>1980</v>
      </c>
    </row>
    <row r="587" spans="1:4" ht="19.95" customHeight="1" x14ac:dyDescent="0.25">
      <c r="A587" s="9" t="s">
        <v>34</v>
      </c>
      <c r="B587" s="10" t="s">
        <v>43</v>
      </c>
      <c r="C587" s="10">
        <v>1.65806616142207</v>
      </c>
      <c r="D587" s="10">
        <v>1980</v>
      </c>
    </row>
    <row r="588" spans="1:4" ht="19.95" customHeight="1" x14ac:dyDescent="0.25">
      <c r="A588" s="9" t="s">
        <v>35</v>
      </c>
      <c r="B588" s="10" t="s">
        <v>43</v>
      </c>
      <c r="C588" s="10">
        <v>2.8831973050131698</v>
      </c>
      <c r="D588" s="10">
        <v>1980</v>
      </c>
    </row>
    <row r="589" spans="1:4" ht="19.95" customHeight="1" x14ac:dyDescent="0.25">
      <c r="A589" s="9" t="s">
        <v>36</v>
      </c>
      <c r="B589" s="10" t="s">
        <v>43</v>
      </c>
      <c r="C589" s="10">
        <v>3.1164556229867699</v>
      </c>
      <c r="D589" s="10">
        <v>1980</v>
      </c>
    </row>
    <row r="590" spans="1:4" ht="19.95" customHeight="1" x14ac:dyDescent="0.25">
      <c r="A590" s="9" t="s">
        <v>37</v>
      </c>
      <c r="B590" s="10" t="s">
        <v>43</v>
      </c>
      <c r="C590" s="10">
        <v>3.0008296613223702</v>
      </c>
      <c r="D590" s="10">
        <v>1980</v>
      </c>
    </row>
    <row r="591" spans="1:4" ht="19.95" customHeight="1" x14ac:dyDescent="0.25">
      <c r="A591" s="9" t="s">
        <v>38</v>
      </c>
      <c r="B591" s="10" t="s">
        <v>43</v>
      </c>
      <c r="C591" s="10">
        <v>3.4107676789552999</v>
      </c>
      <c r="D591" s="10">
        <v>1980</v>
      </c>
    </row>
    <row r="592" spans="1:4" ht="19.95" customHeight="1" x14ac:dyDescent="0.25">
      <c r="A592" s="9" t="s">
        <v>39</v>
      </c>
      <c r="B592" s="10" t="s">
        <v>43</v>
      </c>
      <c r="C592" s="10">
        <v>3.4418086143453599</v>
      </c>
      <c r="D592" s="10">
        <v>1980</v>
      </c>
    </row>
    <row r="593" spans="1:4" ht="19.95" customHeight="1" x14ac:dyDescent="0.25">
      <c r="A593" s="9" t="s">
        <v>9</v>
      </c>
      <c r="B593" s="10" t="s">
        <v>43</v>
      </c>
      <c r="C593" s="10">
        <v>2.5511658632490999</v>
      </c>
      <c r="D593" s="10">
        <v>1981</v>
      </c>
    </row>
    <row r="594" spans="1:4" ht="19.95" customHeight="1" x14ac:dyDescent="0.25">
      <c r="A594" s="9" t="s">
        <v>12</v>
      </c>
      <c r="B594" s="10" t="s">
        <v>43</v>
      </c>
      <c r="C594" s="10">
        <v>3.0247023813248801</v>
      </c>
      <c r="D594" s="10">
        <v>1981</v>
      </c>
    </row>
    <row r="595" spans="1:4" ht="19.95" customHeight="1" x14ac:dyDescent="0.25">
      <c r="A595" s="9" t="s">
        <v>13</v>
      </c>
      <c r="B595" s="10" t="s">
        <v>43</v>
      </c>
      <c r="C595" s="10">
        <v>2.1514259285883202</v>
      </c>
      <c r="D595" s="10">
        <v>1981</v>
      </c>
    </row>
    <row r="596" spans="1:4" ht="19.95" customHeight="1" x14ac:dyDescent="0.25">
      <c r="A596" s="9" t="s">
        <v>15</v>
      </c>
      <c r="B596" s="10" t="s">
        <v>43</v>
      </c>
      <c r="C596" s="10">
        <v>3.1267186891516898</v>
      </c>
      <c r="D596" s="10">
        <v>1981</v>
      </c>
    </row>
    <row r="597" spans="1:4" ht="19.95" customHeight="1" x14ac:dyDescent="0.25">
      <c r="A597" s="9" t="s">
        <v>16</v>
      </c>
      <c r="B597" s="10" t="s">
        <v>43</v>
      </c>
      <c r="C597" s="10">
        <v>4.3547050189102201</v>
      </c>
      <c r="D597" s="10">
        <v>1981</v>
      </c>
    </row>
    <row r="598" spans="1:4" ht="19.95" customHeight="1" x14ac:dyDescent="0.25">
      <c r="A598" s="9" t="s">
        <v>1</v>
      </c>
      <c r="B598" s="10" t="s">
        <v>43</v>
      </c>
      <c r="C598" s="10">
        <v>2.3966623669182998</v>
      </c>
      <c r="D598" s="10">
        <v>1981</v>
      </c>
    </row>
    <row r="599" spans="1:4" ht="19.95" customHeight="1" x14ac:dyDescent="0.25">
      <c r="A599" s="9" t="s">
        <v>17</v>
      </c>
      <c r="B599" s="10" t="s">
        <v>43</v>
      </c>
      <c r="C599" s="10">
        <v>1.7114170039901</v>
      </c>
      <c r="D599" s="10">
        <v>1981</v>
      </c>
    </row>
    <row r="600" spans="1:4" ht="19.95" customHeight="1" x14ac:dyDescent="0.25">
      <c r="A600" s="9" t="s">
        <v>18</v>
      </c>
      <c r="B600" s="10" t="s">
        <v>43</v>
      </c>
      <c r="C600" s="10">
        <v>2.25662273609074</v>
      </c>
      <c r="D600" s="10">
        <v>1981</v>
      </c>
    </row>
    <row r="601" spans="1:4" ht="19.95" customHeight="1" x14ac:dyDescent="0.25">
      <c r="A601" s="9" t="s">
        <v>19</v>
      </c>
      <c r="B601" s="10" t="s">
        <v>43</v>
      </c>
      <c r="C601" s="10">
        <v>3.8152005914296199</v>
      </c>
      <c r="D601" s="10">
        <v>1981</v>
      </c>
    </row>
    <row r="602" spans="1:4" ht="19.95" customHeight="1" x14ac:dyDescent="0.25">
      <c r="A602" s="9" t="s">
        <v>20</v>
      </c>
      <c r="B602" s="10" t="s">
        <v>43</v>
      </c>
      <c r="C602" s="10">
        <v>2.0176408483871202</v>
      </c>
      <c r="D602" s="10">
        <v>1981</v>
      </c>
    </row>
    <row r="603" spans="1:4" ht="19.95" customHeight="1" x14ac:dyDescent="0.25">
      <c r="A603" s="9" t="s">
        <v>21</v>
      </c>
      <c r="B603" s="10" t="s">
        <v>43</v>
      </c>
      <c r="C603" s="10">
        <v>3.5961303526066799</v>
      </c>
      <c r="D603" s="10">
        <v>1981</v>
      </c>
    </row>
    <row r="604" spans="1:4" ht="19.95" customHeight="1" x14ac:dyDescent="0.25">
      <c r="A604" s="9" t="s">
        <v>22</v>
      </c>
      <c r="B604" s="10" t="s">
        <v>43</v>
      </c>
      <c r="C604" s="10">
        <v>2.88117474839928</v>
      </c>
      <c r="D604" s="10">
        <v>1981</v>
      </c>
    </row>
    <row r="605" spans="1:4" ht="19.95" customHeight="1" x14ac:dyDescent="0.25">
      <c r="A605" s="9" t="s">
        <v>23</v>
      </c>
      <c r="B605" s="10" t="s">
        <v>43</v>
      </c>
      <c r="C605" s="10">
        <v>2.6339465571325098</v>
      </c>
      <c r="D605" s="10">
        <v>1981</v>
      </c>
    </row>
    <row r="606" spans="1:4" ht="19.95" customHeight="1" x14ac:dyDescent="0.25">
      <c r="A606" s="9" t="s">
        <v>24</v>
      </c>
      <c r="B606" s="10" t="s">
        <v>43</v>
      </c>
      <c r="C606" s="10">
        <v>2.0130906297942102</v>
      </c>
      <c r="D606" s="10">
        <v>1981</v>
      </c>
    </row>
    <row r="607" spans="1:4" ht="19.95" customHeight="1" x14ac:dyDescent="0.25">
      <c r="A607" s="9" t="s">
        <v>25</v>
      </c>
      <c r="B607" s="10" t="s">
        <v>43</v>
      </c>
      <c r="C607" s="10">
        <v>0.96704050316824797</v>
      </c>
      <c r="D607" s="10">
        <v>1981</v>
      </c>
    </row>
    <row r="608" spans="1:4" ht="19.95" customHeight="1" x14ac:dyDescent="0.25">
      <c r="A608" s="9" t="s">
        <v>26</v>
      </c>
      <c r="B608" s="10" t="s">
        <v>43</v>
      </c>
      <c r="C608" s="10">
        <v>2.3748098339939698</v>
      </c>
      <c r="D608" s="10">
        <v>1981</v>
      </c>
    </row>
    <row r="609" spans="1:4" ht="19.95" customHeight="1" x14ac:dyDescent="0.25">
      <c r="A609" s="9" t="s">
        <v>28</v>
      </c>
      <c r="B609" s="10" t="s">
        <v>43</v>
      </c>
      <c r="C609" s="10">
        <v>2.2795571517950899</v>
      </c>
      <c r="D609" s="10">
        <v>1981</v>
      </c>
    </row>
    <row r="610" spans="1:4" ht="19.95" customHeight="1" x14ac:dyDescent="0.25">
      <c r="A610" s="9" t="s">
        <v>29</v>
      </c>
      <c r="B610" s="10" t="s">
        <v>43</v>
      </c>
      <c r="C610" s="10">
        <v>2.3008212712541898</v>
      </c>
      <c r="D610" s="10">
        <v>1981</v>
      </c>
    </row>
    <row r="611" spans="1:4" ht="19.95" customHeight="1" x14ac:dyDescent="0.25">
      <c r="A611" s="9" t="s">
        <v>30</v>
      </c>
      <c r="B611" s="10" t="s">
        <v>43</v>
      </c>
      <c r="C611" s="10">
        <v>2.8142286022651399</v>
      </c>
      <c r="D611" s="10">
        <v>1981</v>
      </c>
    </row>
    <row r="612" spans="1:4" ht="19.95" customHeight="1" x14ac:dyDescent="0.25">
      <c r="A612" s="9" t="s">
        <v>31</v>
      </c>
      <c r="B612" s="10" t="s">
        <v>43</v>
      </c>
      <c r="C612" s="10">
        <v>2.8818467084652202</v>
      </c>
      <c r="D612" s="10">
        <v>1981</v>
      </c>
    </row>
    <row r="613" spans="1:4" ht="19.95" customHeight="1" x14ac:dyDescent="0.25">
      <c r="A613" s="9" t="s">
        <v>32</v>
      </c>
      <c r="B613" s="10" t="s">
        <v>43</v>
      </c>
      <c r="C613" s="10">
        <v>3.3346663095251099</v>
      </c>
      <c r="D613" s="10">
        <v>1981</v>
      </c>
    </row>
    <row r="614" spans="1:4" ht="19.95" customHeight="1" x14ac:dyDescent="0.25">
      <c r="A614" s="9" t="s">
        <v>33</v>
      </c>
      <c r="B614" s="10" t="s">
        <v>43</v>
      </c>
      <c r="C614" s="10">
        <v>2.08554763446993</v>
      </c>
      <c r="D614" s="10">
        <v>1981</v>
      </c>
    </row>
    <row r="615" spans="1:4" ht="19.95" customHeight="1" x14ac:dyDescent="0.25">
      <c r="A615" s="9" t="s">
        <v>34</v>
      </c>
      <c r="B615" s="10" t="s">
        <v>43</v>
      </c>
      <c r="C615" s="10">
        <v>1.56744153530276</v>
      </c>
      <c r="D615" s="10">
        <v>1981</v>
      </c>
    </row>
    <row r="616" spans="1:4" ht="19.95" customHeight="1" x14ac:dyDescent="0.25">
      <c r="A616" s="9" t="s">
        <v>35</v>
      </c>
      <c r="B616" s="10" t="s">
        <v>43</v>
      </c>
      <c r="C616" s="10">
        <v>2.91118767012212</v>
      </c>
      <c r="D616" s="10">
        <v>1981</v>
      </c>
    </row>
    <row r="617" spans="1:4" ht="19.95" customHeight="1" x14ac:dyDescent="0.25">
      <c r="A617" s="9" t="s">
        <v>36</v>
      </c>
      <c r="B617" s="10" t="s">
        <v>43</v>
      </c>
      <c r="C617" s="10">
        <v>3.1295855127537502</v>
      </c>
      <c r="D617" s="10">
        <v>1981</v>
      </c>
    </row>
    <row r="618" spans="1:4" ht="19.95" customHeight="1" x14ac:dyDescent="0.25">
      <c r="A618" s="9" t="s">
        <v>37</v>
      </c>
      <c r="B618" s="10" t="s">
        <v>43</v>
      </c>
      <c r="C618" s="10">
        <v>2.98823450933273</v>
      </c>
      <c r="D618" s="10">
        <v>1981</v>
      </c>
    </row>
    <row r="619" spans="1:4" ht="19.95" customHeight="1" x14ac:dyDescent="0.25">
      <c r="A619" s="9" t="s">
        <v>38</v>
      </c>
      <c r="B619" s="10" t="s">
        <v>43</v>
      </c>
      <c r="C619" s="10">
        <v>3.4213224666925002</v>
      </c>
      <c r="D619" s="10">
        <v>1981</v>
      </c>
    </row>
    <row r="620" spans="1:4" ht="19.95" customHeight="1" x14ac:dyDescent="0.25">
      <c r="A620" s="9" t="s">
        <v>39</v>
      </c>
      <c r="B620" s="10" t="s">
        <v>43</v>
      </c>
      <c r="C620" s="10">
        <v>3.6694435438150799</v>
      </c>
      <c r="D620" s="10">
        <v>1981</v>
      </c>
    </row>
    <row r="621" spans="1:4" ht="19.95" customHeight="1" x14ac:dyDescent="0.25">
      <c r="A621" s="9" t="s">
        <v>9</v>
      </c>
      <c r="B621" s="10" t="s">
        <v>43</v>
      </c>
      <c r="C621" s="10">
        <v>2.5757271975506599</v>
      </c>
      <c r="D621" s="10">
        <v>1982</v>
      </c>
    </row>
    <row r="622" spans="1:4" ht="19.95" customHeight="1" x14ac:dyDescent="0.25">
      <c r="A622" s="9" t="s">
        <v>12</v>
      </c>
      <c r="B622" s="10" t="s">
        <v>43</v>
      </c>
      <c r="C622" s="10">
        <v>3.0548477233201399</v>
      </c>
      <c r="D622" s="10">
        <v>1982</v>
      </c>
    </row>
    <row r="623" spans="1:4" ht="19.95" customHeight="1" x14ac:dyDescent="0.25">
      <c r="A623" s="9" t="s">
        <v>13</v>
      </c>
      <c r="B623" s="10" t="s">
        <v>43</v>
      </c>
      <c r="C623" s="10">
        <v>2.2526614811891199</v>
      </c>
      <c r="D623" s="10">
        <v>1982</v>
      </c>
    </row>
    <row r="624" spans="1:4" ht="19.95" customHeight="1" x14ac:dyDescent="0.25">
      <c r="A624" s="9" t="s">
        <v>15</v>
      </c>
      <c r="B624" s="10" t="s">
        <v>43</v>
      </c>
      <c r="C624" s="10">
        <v>2.89833987636649</v>
      </c>
      <c r="D624" s="10">
        <v>1982</v>
      </c>
    </row>
    <row r="625" spans="1:4" ht="19.95" customHeight="1" x14ac:dyDescent="0.25">
      <c r="A625" s="9" t="s">
        <v>16</v>
      </c>
      <c r="B625" s="10" t="s">
        <v>43</v>
      </c>
      <c r="C625" s="10">
        <v>2.7188970916179498</v>
      </c>
      <c r="D625" s="10">
        <v>1982</v>
      </c>
    </row>
    <row r="626" spans="1:4" ht="19.95" customHeight="1" x14ac:dyDescent="0.25">
      <c r="A626" s="9" t="s">
        <v>1</v>
      </c>
      <c r="B626" s="10" t="s">
        <v>43</v>
      </c>
      <c r="C626" s="10">
        <v>2.7754982317363202</v>
      </c>
      <c r="D626" s="10">
        <v>1982</v>
      </c>
    </row>
    <row r="627" spans="1:4" ht="19.95" customHeight="1" x14ac:dyDescent="0.25">
      <c r="A627" s="9" t="s">
        <v>17</v>
      </c>
      <c r="B627" s="10" t="s">
        <v>43</v>
      </c>
      <c r="C627" s="10">
        <v>2.17286078648592</v>
      </c>
      <c r="D627" s="10">
        <v>1982</v>
      </c>
    </row>
    <row r="628" spans="1:4" ht="19.95" customHeight="1" x14ac:dyDescent="0.25">
      <c r="A628" s="9" t="s">
        <v>18</v>
      </c>
      <c r="B628" s="10" t="s">
        <v>43</v>
      </c>
      <c r="C628" s="10">
        <v>2.32041529222542</v>
      </c>
      <c r="D628" s="10">
        <v>1982</v>
      </c>
    </row>
    <row r="629" spans="1:4" ht="19.95" customHeight="1" x14ac:dyDescent="0.25">
      <c r="A629" s="9" t="s">
        <v>19</v>
      </c>
      <c r="B629" s="10" t="s">
        <v>43</v>
      </c>
      <c r="C629" s="10">
        <v>3.81782797682432</v>
      </c>
      <c r="D629" s="10">
        <v>1982</v>
      </c>
    </row>
    <row r="630" spans="1:4" ht="19.95" customHeight="1" x14ac:dyDescent="0.25">
      <c r="A630" s="9" t="s">
        <v>20</v>
      </c>
      <c r="B630" s="10" t="s">
        <v>43</v>
      </c>
      <c r="C630" s="10">
        <v>1.91454475844351</v>
      </c>
      <c r="D630" s="10">
        <v>1982</v>
      </c>
    </row>
    <row r="631" spans="1:4" ht="19.95" customHeight="1" x14ac:dyDescent="0.25">
      <c r="A631" s="9" t="s">
        <v>21</v>
      </c>
      <c r="B631" s="10" t="s">
        <v>43</v>
      </c>
      <c r="C631" s="10">
        <v>3.7301037113717799</v>
      </c>
      <c r="D631" s="10">
        <v>1982</v>
      </c>
    </row>
    <row r="632" spans="1:4" ht="19.95" customHeight="1" x14ac:dyDescent="0.25">
      <c r="A632" s="9" t="s">
        <v>22</v>
      </c>
      <c r="B632" s="10" t="s">
        <v>43</v>
      </c>
      <c r="C632" s="10">
        <v>2.8870685008849599</v>
      </c>
      <c r="D632" s="10">
        <v>1982</v>
      </c>
    </row>
    <row r="633" spans="1:4" ht="19.95" customHeight="1" x14ac:dyDescent="0.25">
      <c r="A633" s="9" t="s">
        <v>23</v>
      </c>
      <c r="B633" s="10" t="s">
        <v>43</v>
      </c>
      <c r="C633" s="10">
        <v>2.4491193340913502</v>
      </c>
      <c r="D633" s="10">
        <v>1982</v>
      </c>
    </row>
    <row r="634" spans="1:4" ht="19.95" customHeight="1" x14ac:dyDescent="0.25">
      <c r="A634" s="9" t="s">
        <v>24</v>
      </c>
      <c r="B634" s="10" t="s">
        <v>43</v>
      </c>
      <c r="C634" s="10">
        <v>2.0976481067295398</v>
      </c>
      <c r="D634" s="10">
        <v>1982</v>
      </c>
    </row>
    <row r="635" spans="1:4" ht="19.95" customHeight="1" x14ac:dyDescent="0.25">
      <c r="A635" s="9" t="s">
        <v>25</v>
      </c>
      <c r="B635" s="10" t="s">
        <v>43</v>
      </c>
      <c r="C635" s="10">
        <v>1.01553172194054</v>
      </c>
      <c r="D635" s="10">
        <v>1982</v>
      </c>
    </row>
    <row r="636" spans="1:4" ht="19.95" customHeight="1" x14ac:dyDescent="0.25">
      <c r="A636" s="9" t="s">
        <v>26</v>
      </c>
      <c r="B636" s="10" t="s">
        <v>43</v>
      </c>
      <c r="C636" s="10">
        <v>2.2506486041998599</v>
      </c>
      <c r="D636" s="10">
        <v>1982</v>
      </c>
    </row>
    <row r="637" spans="1:4" ht="19.95" customHeight="1" x14ac:dyDescent="0.25">
      <c r="A637" s="9" t="s">
        <v>28</v>
      </c>
      <c r="B637" s="10" t="s">
        <v>43</v>
      </c>
      <c r="C637" s="10">
        <v>2.2555214775436898</v>
      </c>
      <c r="D637" s="10">
        <v>1982</v>
      </c>
    </row>
    <row r="638" spans="1:4" ht="19.95" customHeight="1" x14ac:dyDescent="0.25">
      <c r="A638" s="9" t="s">
        <v>29</v>
      </c>
      <c r="B638" s="10" t="s">
        <v>43</v>
      </c>
      <c r="C638" s="10">
        <v>2.3220069952597702</v>
      </c>
      <c r="D638" s="10">
        <v>1982</v>
      </c>
    </row>
    <row r="639" spans="1:4" ht="19.95" customHeight="1" x14ac:dyDescent="0.25">
      <c r="A639" s="9" t="s">
        <v>30</v>
      </c>
      <c r="B639" s="10" t="s">
        <v>43</v>
      </c>
      <c r="C639" s="10">
        <v>2.7400162750491401</v>
      </c>
      <c r="D639" s="10">
        <v>1982</v>
      </c>
    </row>
    <row r="640" spans="1:4" ht="19.95" customHeight="1" x14ac:dyDescent="0.25">
      <c r="A640" s="9" t="s">
        <v>31</v>
      </c>
      <c r="B640" s="10" t="s">
        <v>43</v>
      </c>
      <c r="C640" s="10">
        <v>2.8842806044226599</v>
      </c>
      <c r="D640" s="10">
        <v>1982</v>
      </c>
    </row>
    <row r="641" spans="1:4" ht="19.95" customHeight="1" x14ac:dyDescent="0.25">
      <c r="A641" s="9" t="s">
        <v>32</v>
      </c>
      <c r="B641" s="10" t="s">
        <v>43</v>
      </c>
      <c r="C641" s="10">
        <v>3.22657181553343</v>
      </c>
      <c r="D641" s="10">
        <v>1982</v>
      </c>
    </row>
    <row r="642" spans="1:4" ht="19.95" customHeight="1" x14ac:dyDescent="0.25">
      <c r="A642" s="9" t="s">
        <v>33</v>
      </c>
      <c r="B642" s="10" t="s">
        <v>43</v>
      </c>
      <c r="C642" s="10">
        <v>1.79503531766776</v>
      </c>
      <c r="D642" s="10">
        <v>1982</v>
      </c>
    </row>
    <row r="643" spans="1:4" ht="19.95" customHeight="1" x14ac:dyDescent="0.25">
      <c r="A643" s="9" t="s">
        <v>34</v>
      </c>
      <c r="B643" s="10" t="s">
        <v>43</v>
      </c>
      <c r="C643" s="10">
        <v>1.4890104833365301</v>
      </c>
      <c r="D643" s="10">
        <v>1982</v>
      </c>
    </row>
    <row r="644" spans="1:4" ht="19.95" customHeight="1" x14ac:dyDescent="0.25">
      <c r="A644" s="9" t="s">
        <v>35</v>
      </c>
      <c r="B644" s="10" t="s">
        <v>43</v>
      </c>
      <c r="C644" s="10">
        <v>2.9282688491793398</v>
      </c>
      <c r="D644" s="10">
        <v>1982</v>
      </c>
    </row>
    <row r="645" spans="1:4" ht="19.95" customHeight="1" x14ac:dyDescent="0.25">
      <c r="A645" s="9" t="s">
        <v>36</v>
      </c>
      <c r="B645" s="10" t="s">
        <v>43</v>
      </c>
      <c r="C645" s="10">
        <v>3.1376639960459198</v>
      </c>
      <c r="D645" s="10">
        <v>1982</v>
      </c>
    </row>
    <row r="646" spans="1:4" ht="19.95" customHeight="1" x14ac:dyDescent="0.25">
      <c r="A646" s="9" t="s">
        <v>37</v>
      </c>
      <c r="B646" s="10" t="s">
        <v>43</v>
      </c>
      <c r="C646" s="10">
        <v>2.9950427367146899</v>
      </c>
      <c r="D646" s="10">
        <v>1982</v>
      </c>
    </row>
    <row r="647" spans="1:4" ht="19.95" customHeight="1" x14ac:dyDescent="0.25">
      <c r="A647" s="9" t="s">
        <v>38</v>
      </c>
      <c r="B647" s="10" t="s">
        <v>43</v>
      </c>
      <c r="C647" s="10">
        <v>3.41169297973995</v>
      </c>
      <c r="D647" s="10">
        <v>1982</v>
      </c>
    </row>
    <row r="648" spans="1:4" ht="19.95" customHeight="1" x14ac:dyDescent="0.25">
      <c r="A648" s="9" t="s">
        <v>39</v>
      </c>
      <c r="B648" s="10" t="s">
        <v>43</v>
      </c>
      <c r="C648" s="10">
        <v>3.8226379694633699</v>
      </c>
      <c r="D648" s="10">
        <v>1982</v>
      </c>
    </row>
    <row r="649" spans="1:4" ht="19.95" customHeight="1" x14ac:dyDescent="0.25">
      <c r="A649" s="9" t="s">
        <v>9</v>
      </c>
      <c r="B649" s="10" t="s">
        <v>43</v>
      </c>
      <c r="C649" s="10">
        <v>2.6268990054985899</v>
      </c>
      <c r="D649" s="10">
        <v>1983</v>
      </c>
    </row>
    <row r="650" spans="1:4" ht="19.95" customHeight="1" x14ac:dyDescent="0.25">
      <c r="A650" s="9" t="s">
        <v>12</v>
      </c>
      <c r="B650" s="10" t="s">
        <v>43</v>
      </c>
      <c r="C650" s="10">
        <v>3.0796202369363401</v>
      </c>
      <c r="D650" s="10">
        <v>1983</v>
      </c>
    </row>
    <row r="651" spans="1:4" ht="19.95" customHeight="1" x14ac:dyDescent="0.25">
      <c r="A651" s="9" t="s">
        <v>13</v>
      </c>
      <c r="B651" s="10" t="s">
        <v>43</v>
      </c>
      <c r="C651" s="10">
        <v>2.38681756689975</v>
      </c>
      <c r="D651" s="10">
        <v>1983</v>
      </c>
    </row>
    <row r="652" spans="1:4" ht="19.95" customHeight="1" x14ac:dyDescent="0.25">
      <c r="A652" s="9" t="s">
        <v>15</v>
      </c>
      <c r="B652" s="10" t="s">
        <v>43</v>
      </c>
      <c r="C652" s="10">
        <v>2.7601813794507599</v>
      </c>
      <c r="D652" s="10">
        <v>1983</v>
      </c>
    </row>
    <row r="653" spans="1:4" ht="19.95" customHeight="1" x14ac:dyDescent="0.25">
      <c r="A653" s="9" t="s">
        <v>16</v>
      </c>
      <c r="B653" s="10" t="s">
        <v>43</v>
      </c>
      <c r="C653" s="10">
        <v>2.1901262139281399</v>
      </c>
      <c r="D653" s="10">
        <v>1983</v>
      </c>
    </row>
    <row r="654" spans="1:4" ht="19.95" customHeight="1" x14ac:dyDescent="0.25">
      <c r="A654" s="9" t="s">
        <v>1</v>
      </c>
      <c r="B654" s="10" t="s">
        <v>43</v>
      </c>
      <c r="C654" s="10">
        <v>3.0471553905964499</v>
      </c>
      <c r="D654" s="10">
        <v>1983</v>
      </c>
    </row>
    <row r="655" spans="1:4" ht="19.95" customHeight="1" x14ac:dyDescent="0.25">
      <c r="A655" s="9" t="s">
        <v>17</v>
      </c>
      <c r="B655" s="10" t="s">
        <v>43</v>
      </c>
      <c r="C655" s="10">
        <v>2.5238625297958701</v>
      </c>
      <c r="D655" s="10">
        <v>1983</v>
      </c>
    </row>
    <row r="656" spans="1:4" ht="19.95" customHeight="1" x14ac:dyDescent="0.25">
      <c r="A656" s="9" t="s">
        <v>18</v>
      </c>
      <c r="B656" s="10" t="s">
        <v>43</v>
      </c>
      <c r="C656" s="10">
        <v>2.3470290927950601</v>
      </c>
      <c r="D656" s="10">
        <v>1983</v>
      </c>
    </row>
    <row r="657" spans="1:4" ht="19.95" customHeight="1" x14ac:dyDescent="0.25">
      <c r="A657" s="9" t="s">
        <v>19</v>
      </c>
      <c r="B657" s="10" t="s">
        <v>43</v>
      </c>
      <c r="C657" s="10">
        <v>3.7993181130280398</v>
      </c>
      <c r="D657" s="10">
        <v>1983</v>
      </c>
    </row>
    <row r="658" spans="1:4" ht="19.95" customHeight="1" x14ac:dyDescent="0.25">
      <c r="A658" s="9" t="s">
        <v>20</v>
      </c>
      <c r="B658" s="10" t="s">
        <v>43</v>
      </c>
      <c r="C658" s="10">
        <v>2.0025700502294801</v>
      </c>
      <c r="D658" s="10">
        <v>1983</v>
      </c>
    </row>
    <row r="659" spans="1:4" ht="19.95" customHeight="1" x14ac:dyDescent="0.25">
      <c r="A659" s="9" t="s">
        <v>21</v>
      </c>
      <c r="B659" s="10" t="s">
        <v>43</v>
      </c>
      <c r="C659" s="10">
        <v>3.4375867236644901</v>
      </c>
      <c r="D659" s="10">
        <v>1983</v>
      </c>
    </row>
    <row r="660" spans="1:4" ht="19.95" customHeight="1" x14ac:dyDescent="0.25">
      <c r="A660" s="9" t="s">
        <v>22</v>
      </c>
      <c r="B660" s="10" t="s">
        <v>43</v>
      </c>
      <c r="C660" s="10">
        <v>2.8836034583847798</v>
      </c>
      <c r="D660" s="10">
        <v>1983</v>
      </c>
    </row>
    <row r="661" spans="1:4" ht="19.95" customHeight="1" x14ac:dyDescent="0.25">
      <c r="A661" s="9" t="s">
        <v>23</v>
      </c>
      <c r="B661" s="10" t="s">
        <v>43</v>
      </c>
      <c r="C661" s="10">
        <v>2.69160561713083</v>
      </c>
      <c r="D661" s="10">
        <v>1983</v>
      </c>
    </row>
    <row r="662" spans="1:4" ht="19.95" customHeight="1" x14ac:dyDescent="0.25">
      <c r="A662" s="9" t="s">
        <v>24</v>
      </c>
      <c r="B662" s="10" t="s">
        <v>43</v>
      </c>
      <c r="C662" s="10">
        <v>2.09079786822798</v>
      </c>
      <c r="D662" s="10">
        <v>1983</v>
      </c>
    </row>
    <row r="663" spans="1:4" ht="19.95" customHeight="1" x14ac:dyDescent="0.25">
      <c r="A663" s="9" t="s">
        <v>25</v>
      </c>
      <c r="B663" s="10" t="s">
        <v>43</v>
      </c>
      <c r="C663" s="10">
        <v>1.03389777951793</v>
      </c>
      <c r="D663" s="10">
        <v>1983</v>
      </c>
    </row>
    <row r="664" spans="1:4" ht="19.95" customHeight="1" x14ac:dyDescent="0.25">
      <c r="A664" s="9" t="s">
        <v>26</v>
      </c>
      <c r="B664" s="10" t="s">
        <v>43</v>
      </c>
      <c r="C664" s="10">
        <v>1.9824759510011201</v>
      </c>
      <c r="D664" s="10">
        <v>1983</v>
      </c>
    </row>
    <row r="665" spans="1:4" ht="19.95" customHeight="1" x14ac:dyDescent="0.25">
      <c r="A665" s="9" t="s">
        <v>28</v>
      </c>
      <c r="B665" s="10" t="s">
        <v>43</v>
      </c>
      <c r="C665" s="10">
        <v>2.2093619564948801</v>
      </c>
      <c r="D665" s="10">
        <v>1983</v>
      </c>
    </row>
    <row r="666" spans="1:4" ht="19.95" customHeight="1" x14ac:dyDescent="0.25">
      <c r="A666" s="9" t="s">
        <v>29</v>
      </c>
      <c r="B666" s="10" t="s">
        <v>43</v>
      </c>
      <c r="C666" s="10">
        <v>2.3254040009264099</v>
      </c>
      <c r="D666" s="10">
        <v>1983</v>
      </c>
    </row>
    <row r="667" spans="1:4" ht="19.95" customHeight="1" x14ac:dyDescent="0.25">
      <c r="A667" s="9" t="s">
        <v>30</v>
      </c>
      <c r="B667" s="10" t="s">
        <v>43</v>
      </c>
      <c r="C667" s="10">
        <v>2.6544095321975898</v>
      </c>
      <c r="D667" s="10">
        <v>1983</v>
      </c>
    </row>
    <row r="668" spans="1:4" ht="19.95" customHeight="1" x14ac:dyDescent="0.25">
      <c r="A668" s="9" t="s">
        <v>31</v>
      </c>
      <c r="B668" s="10" t="s">
        <v>43</v>
      </c>
      <c r="C668" s="10">
        <v>2.88210134892421</v>
      </c>
      <c r="D668" s="10">
        <v>1983</v>
      </c>
    </row>
    <row r="669" spans="1:4" ht="19.95" customHeight="1" x14ac:dyDescent="0.25">
      <c r="A669" s="9" t="s">
        <v>32</v>
      </c>
      <c r="B669" s="10" t="s">
        <v>43</v>
      </c>
      <c r="C669" s="10">
        <v>3.3021553836535</v>
      </c>
      <c r="D669" s="10">
        <v>1983</v>
      </c>
    </row>
    <row r="670" spans="1:4" ht="19.95" customHeight="1" x14ac:dyDescent="0.25">
      <c r="A670" s="9" t="s">
        <v>33</v>
      </c>
      <c r="B670" s="10" t="s">
        <v>43</v>
      </c>
      <c r="C670" s="10">
        <v>1.61994056163967</v>
      </c>
      <c r="D670" s="10">
        <v>1983</v>
      </c>
    </row>
    <row r="671" spans="1:4" ht="19.95" customHeight="1" x14ac:dyDescent="0.25">
      <c r="A671" s="9" t="s">
        <v>34</v>
      </c>
      <c r="B671" s="10" t="s">
        <v>43</v>
      </c>
      <c r="C671" s="10">
        <v>1.4364121788338799</v>
      </c>
      <c r="D671" s="10">
        <v>1983</v>
      </c>
    </row>
    <row r="672" spans="1:4" ht="19.95" customHeight="1" x14ac:dyDescent="0.25">
      <c r="A672" s="9" t="s">
        <v>35</v>
      </c>
      <c r="B672" s="10" t="s">
        <v>43</v>
      </c>
      <c r="C672" s="10">
        <v>2.9741987778032799</v>
      </c>
      <c r="D672" s="10">
        <v>1983</v>
      </c>
    </row>
    <row r="673" spans="1:4" ht="19.95" customHeight="1" x14ac:dyDescent="0.25">
      <c r="A673" s="9" t="s">
        <v>36</v>
      </c>
      <c r="B673" s="10" t="s">
        <v>43</v>
      </c>
      <c r="C673" s="10">
        <v>3.1332464476351798</v>
      </c>
      <c r="D673" s="10">
        <v>1983</v>
      </c>
    </row>
    <row r="674" spans="1:4" ht="19.95" customHeight="1" x14ac:dyDescent="0.25">
      <c r="A674" s="9" t="s">
        <v>37</v>
      </c>
      <c r="B674" s="10" t="s">
        <v>43</v>
      </c>
      <c r="C674" s="10">
        <v>3.0450265987746601</v>
      </c>
      <c r="D674" s="10">
        <v>1983</v>
      </c>
    </row>
    <row r="675" spans="1:4" ht="19.95" customHeight="1" x14ac:dyDescent="0.25">
      <c r="A675" s="9" t="s">
        <v>38</v>
      </c>
      <c r="B675" s="10" t="s">
        <v>43</v>
      </c>
      <c r="C675" s="10">
        <v>3.3655437512636301</v>
      </c>
      <c r="D675" s="10">
        <v>1983</v>
      </c>
    </row>
    <row r="676" spans="1:4" ht="19.95" customHeight="1" x14ac:dyDescent="0.25">
      <c r="A676" s="9" t="s">
        <v>39</v>
      </c>
      <c r="B676" s="10" t="s">
        <v>43</v>
      </c>
      <c r="C676" s="10">
        <v>3.88679361381452</v>
      </c>
      <c r="D676" s="10">
        <v>1983</v>
      </c>
    </row>
    <row r="677" spans="1:4" ht="19.95" customHeight="1" x14ac:dyDescent="0.25">
      <c r="A677" s="9" t="s">
        <v>9</v>
      </c>
      <c r="B677" s="10" t="s">
        <v>43</v>
      </c>
      <c r="C677" s="10">
        <v>2.7177665677437202</v>
      </c>
      <c r="D677" s="10">
        <v>1984</v>
      </c>
    </row>
    <row r="678" spans="1:4" ht="19.95" customHeight="1" x14ac:dyDescent="0.25">
      <c r="A678" s="9" t="s">
        <v>12</v>
      </c>
      <c r="B678" s="10" t="s">
        <v>43</v>
      </c>
      <c r="C678" s="10">
        <v>3.09876129481114</v>
      </c>
      <c r="D678" s="10">
        <v>1984</v>
      </c>
    </row>
    <row r="679" spans="1:4" ht="19.95" customHeight="1" x14ac:dyDescent="0.25">
      <c r="A679" s="9" t="s">
        <v>13</v>
      </c>
      <c r="B679" s="10" t="s">
        <v>43</v>
      </c>
      <c r="C679" s="10">
        <v>2.5545744020133001</v>
      </c>
      <c r="D679" s="10">
        <v>1984</v>
      </c>
    </row>
    <row r="680" spans="1:4" ht="19.95" customHeight="1" x14ac:dyDescent="0.25">
      <c r="A680" s="9" t="s">
        <v>15</v>
      </c>
      <c r="B680" s="10" t="s">
        <v>43</v>
      </c>
      <c r="C680" s="10">
        <v>2.7497396820767799</v>
      </c>
      <c r="D680" s="10">
        <v>1984</v>
      </c>
    </row>
    <row r="681" spans="1:4" ht="19.95" customHeight="1" x14ac:dyDescent="0.25">
      <c r="A681" s="9" t="s">
        <v>16</v>
      </c>
      <c r="B681" s="10" t="s">
        <v>43</v>
      </c>
      <c r="C681" s="10">
        <v>3.0546785734019402</v>
      </c>
      <c r="D681" s="10">
        <v>1984</v>
      </c>
    </row>
    <row r="682" spans="1:4" ht="19.95" customHeight="1" x14ac:dyDescent="0.25">
      <c r="A682" s="9" t="s">
        <v>1</v>
      </c>
      <c r="B682" s="10" t="s">
        <v>43</v>
      </c>
      <c r="C682" s="10">
        <v>3.1695295188350499</v>
      </c>
      <c r="D682" s="10">
        <v>1984</v>
      </c>
    </row>
    <row r="683" spans="1:4" ht="19.95" customHeight="1" x14ac:dyDescent="0.25">
      <c r="A683" s="9" t="s">
        <v>17</v>
      </c>
      <c r="B683" s="10" t="s">
        <v>43</v>
      </c>
      <c r="C683" s="10">
        <v>2.7201368702058302</v>
      </c>
      <c r="D683" s="10">
        <v>1984</v>
      </c>
    </row>
    <row r="684" spans="1:4" ht="19.95" customHeight="1" x14ac:dyDescent="0.25">
      <c r="A684" s="9" t="s">
        <v>18</v>
      </c>
      <c r="B684" s="10" t="s">
        <v>43</v>
      </c>
      <c r="C684" s="10">
        <v>2.3286576348291899</v>
      </c>
      <c r="D684" s="10">
        <v>1984</v>
      </c>
    </row>
    <row r="685" spans="1:4" ht="19.95" customHeight="1" x14ac:dyDescent="0.25">
      <c r="A685" s="9" t="s">
        <v>19</v>
      </c>
      <c r="B685" s="10" t="s">
        <v>43</v>
      </c>
      <c r="C685" s="10">
        <v>3.75723421736462</v>
      </c>
      <c r="D685" s="10">
        <v>1984</v>
      </c>
    </row>
    <row r="686" spans="1:4" ht="19.95" customHeight="1" x14ac:dyDescent="0.25">
      <c r="A686" s="9" t="s">
        <v>20</v>
      </c>
      <c r="B686" s="10" t="s">
        <v>43</v>
      </c>
      <c r="C686" s="10">
        <v>2.0239881347746098</v>
      </c>
      <c r="D686" s="10">
        <v>1984</v>
      </c>
    </row>
    <row r="687" spans="1:4" ht="19.95" customHeight="1" x14ac:dyDescent="0.25">
      <c r="A687" s="9" t="s">
        <v>21</v>
      </c>
      <c r="B687" s="10" t="s">
        <v>43</v>
      </c>
      <c r="C687" s="10">
        <v>2.63637981408686</v>
      </c>
      <c r="D687" s="10">
        <v>1984</v>
      </c>
    </row>
    <row r="688" spans="1:4" ht="19.95" customHeight="1" x14ac:dyDescent="0.25">
      <c r="A688" s="9" t="s">
        <v>22</v>
      </c>
      <c r="B688" s="10" t="s">
        <v>43</v>
      </c>
      <c r="C688" s="10">
        <v>2.86863129447377</v>
      </c>
      <c r="D688" s="10">
        <v>1984</v>
      </c>
    </row>
    <row r="689" spans="1:4" ht="19.95" customHeight="1" x14ac:dyDescent="0.25">
      <c r="A689" s="9" t="s">
        <v>23</v>
      </c>
      <c r="B689" s="10" t="s">
        <v>43</v>
      </c>
      <c r="C689" s="10">
        <v>3.4607724800993198</v>
      </c>
      <c r="D689" s="10">
        <v>1984</v>
      </c>
    </row>
    <row r="690" spans="1:4" ht="19.95" customHeight="1" x14ac:dyDescent="0.25">
      <c r="A690" s="9" t="s">
        <v>24</v>
      </c>
      <c r="B690" s="10" t="s">
        <v>43</v>
      </c>
      <c r="C690" s="10">
        <v>1.96790449723715</v>
      </c>
      <c r="D690" s="10">
        <v>1984</v>
      </c>
    </row>
    <row r="691" spans="1:4" ht="19.95" customHeight="1" x14ac:dyDescent="0.25">
      <c r="A691" s="9" t="s">
        <v>25</v>
      </c>
      <c r="B691" s="10" t="s">
        <v>43</v>
      </c>
      <c r="C691" s="10">
        <v>1.0233176280028999</v>
      </c>
      <c r="D691" s="10">
        <v>1984</v>
      </c>
    </row>
    <row r="692" spans="1:4" ht="19.95" customHeight="1" x14ac:dyDescent="0.25">
      <c r="A692" s="9" t="s">
        <v>26</v>
      </c>
      <c r="B692" s="10" t="s">
        <v>43</v>
      </c>
      <c r="C692" s="10">
        <v>1.5371573835974099</v>
      </c>
      <c r="D692" s="10">
        <v>1984</v>
      </c>
    </row>
    <row r="693" spans="1:4" ht="19.95" customHeight="1" x14ac:dyDescent="0.25">
      <c r="A693" s="9" t="s">
        <v>28</v>
      </c>
      <c r="B693" s="10" t="s">
        <v>43</v>
      </c>
      <c r="C693" s="10">
        <v>2.1366445463433301</v>
      </c>
      <c r="D693" s="10">
        <v>1984</v>
      </c>
    </row>
    <row r="694" spans="1:4" ht="19.95" customHeight="1" x14ac:dyDescent="0.25">
      <c r="A694" s="9" t="s">
        <v>29</v>
      </c>
      <c r="B694" s="10" t="s">
        <v>43</v>
      </c>
      <c r="C694" s="10">
        <v>2.3070505223825899</v>
      </c>
      <c r="D694" s="10">
        <v>1984</v>
      </c>
    </row>
    <row r="695" spans="1:4" ht="19.95" customHeight="1" x14ac:dyDescent="0.25">
      <c r="A695" s="9" t="s">
        <v>30</v>
      </c>
      <c r="B695" s="10" t="s">
        <v>43</v>
      </c>
      <c r="C695" s="10">
        <v>2.5553803207054</v>
      </c>
      <c r="D695" s="10">
        <v>1984</v>
      </c>
    </row>
    <row r="696" spans="1:4" ht="19.95" customHeight="1" x14ac:dyDescent="0.25">
      <c r="A696" s="9" t="s">
        <v>31</v>
      </c>
      <c r="B696" s="10" t="s">
        <v>43</v>
      </c>
      <c r="C696" s="10">
        <v>2.8748633316296601</v>
      </c>
      <c r="D696" s="10">
        <v>1984</v>
      </c>
    </row>
    <row r="697" spans="1:4" ht="19.95" customHeight="1" x14ac:dyDescent="0.25">
      <c r="A697" s="9" t="s">
        <v>32</v>
      </c>
      <c r="B697" s="10" t="s">
        <v>43</v>
      </c>
      <c r="C697" s="10">
        <v>3.6054554581449598</v>
      </c>
      <c r="D697" s="10">
        <v>1984</v>
      </c>
    </row>
    <row r="698" spans="1:4" ht="19.95" customHeight="1" x14ac:dyDescent="0.25">
      <c r="A698" s="9" t="s">
        <v>33</v>
      </c>
      <c r="B698" s="10" t="s">
        <v>43</v>
      </c>
      <c r="C698" s="10">
        <v>1.5793992053958601</v>
      </c>
      <c r="D698" s="10">
        <v>1984</v>
      </c>
    </row>
    <row r="699" spans="1:4" ht="19.95" customHeight="1" x14ac:dyDescent="0.25">
      <c r="A699" s="9" t="s">
        <v>34</v>
      </c>
      <c r="B699" s="10" t="s">
        <v>43</v>
      </c>
      <c r="C699" s="10">
        <v>1.4181588246283101</v>
      </c>
      <c r="D699" s="10">
        <v>1984</v>
      </c>
    </row>
    <row r="700" spans="1:4" ht="19.95" customHeight="1" x14ac:dyDescent="0.25">
      <c r="A700" s="9" t="s">
        <v>35</v>
      </c>
      <c r="B700" s="10" t="s">
        <v>43</v>
      </c>
      <c r="C700" s="10">
        <v>3.0541790147641898</v>
      </c>
      <c r="D700" s="10">
        <v>1984</v>
      </c>
    </row>
    <row r="701" spans="1:4" ht="19.95" customHeight="1" x14ac:dyDescent="0.25">
      <c r="A701" s="9" t="s">
        <v>36</v>
      </c>
      <c r="B701" s="10" t="s">
        <v>43</v>
      </c>
      <c r="C701" s="10">
        <v>3.1127881967676898</v>
      </c>
      <c r="D701" s="10">
        <v>1984</v>
      </c>
    </row>
    <row r="702" spans="1:4" ht="19.95" customHeight="1" x14ac:dyDescent="0.25">
      <c r="A702" s="9" t="s">
        <v>37</v>
      </c>
      <c r="B702" s="10" t="s">
        <v>43</v>
      </c>
      <c r="C702" s="10">
        <v>3.1475409176269999</v>
      </c>
      <c r="D702" s="10">
        <v>1984</v>
      </c>
    </row>
    <row r="703" spans="1:4" ht="19.95" customHeight="1" x14ac:dyDescent="0.25">
      <c r="A703" s="9" t="s">
        <v>38</v>
      </c>
      <c r="B703" s="10" t="s">
        <v>43</v>
      </c>
      <c r="C703" s="10">
        <v>3.2765822669768601</v>
      </c>
      <c r="D703" s="10">
        <v>1984</v>
      </c>
    </row>
    <row r="704" spans="1:4" ht="19.95" customHeight="1" x14ac:dyDescent="0.25">
      <c r="A704" s="9" t="s">
        <v>39</v>
      </c>
      <c r="B704" s="10" t="s">
        <v>43</v>
      </c>
      <c r="C704" s="10">
        <v>3.8445127076087502</v>
      </c>
      <c r="D704" s="10">
        <v>1984</v>
      </c>
    </row>
    <row r="705" spans="1:4" ht="19.95" customHeight="1" x14ac:dyDescent="0.25">
      <c r="A705" s="9" t="s">
        <v>9</v>
      </c>
      <c r="B705" s="10" t="s">
        <v>43</v>
      </c>
      <c r="C705" s="10">
        <v>2.8206108301397999</v>
      </c>
      <c r="D705" s="10">
        <v>1985</v>
      </c>
    </row>
    <row r="706" spans="1:4" ht="19.95" customHeight="1" x14ac:dyDescent="0.25">
      <c r="A706" s="9" t="s">
        <v>12</v>
      </c>
      <c r="B706" s="10" t="s">
        <v>43</v>
      </c>
      <c r="C706" s="10">
        <v>3.1101491529771401</v>
      </c>
      <c r="D706" s="10">
        <v>1985</v>
      </c>
    </row>
    <row r="707" spans="1:4" ht="19.95" customHeight="1" x14ac:dyDescent="0.25">
      <c r="A707" s="9" t="s">
        <v>13</v>
      </c>
      <c r="B707" s="10" t="s">
        <v>43</v>
      </c>
      <c r="C707" s="10">
        <v>2.7374740358080398</v>
      </c>
      <c r="D707" s="10">
        <v>1985</v>
      </c>
    </row>
    <row r="708" spans="1:4" ht="19.95" customHeight="1" x14ac:dyDescent="0.25">
      <c r="A708" s="9" t="s">
        <v>15</v>
      </c>
      <c r="B708" s="10" t="s">
        <v>43</v>
      </c>
      <c r="C708" s="10">
        <v>2.8172404692651001</v>
      </c>
      <c r="D708" s="10">
        <v>1985</v>
      </c>
    </row>
    <row r="709" spans="1:4" ht="19.95" customHeight="1" x14ac:dyDescent="0.25">
      <c r="A709" s="9" t="s">
        <v>16</v>
      </c>
      <c r="B709" s="10" t="s">
        <v>43</v>
      </c>
      <c r="C709" s="10">
        <v>4.7135452027413702</v>
      </c>
      <c r="D709" s="10">
        <v>1985</v>
      </c>
    </row>
    <row r="710" spans="1:4" ht="19.95" customHeight="1" x14ac:dyDescent="0.25">
      <c r="A710" s="9" t="s">
        <v>1</v>
      </c>
      <c r="B710" s="10" t="s">
        <v>43</v>
      </c>
      <c r="C710" s="10">
        <v>3.1913954886921401</v>
      </c>
      <c r="D710" s="10">
        <v>1985</v>
      </c>
    </row>
    <row r="711" spans="1:4" ht="19.95" customHeight="1" x14ac:dyDescent="0.25">
      <c r="A711" s="9" t="s">
        <v>17</v>
      </c>
      <c r="B711" s="10" t="s">
        <v>43</v>
      </c>
      <c r="C711" s="10">
        <v>2.82476414019269</v>
      </c>
      <c r="D711" s="10">
        <v>1985</v>
      </c>
    </row>
    <row r="712" spans="1:4" ht="19.95" customHeight="1" x14ac:dyDescent="0.25">
      <c r="A712" s="9" t="s">
        <v>18</v>
      </c>
      <c r="B712" s="10" t="s">
        <v>43</v>
      </c>
      <c r="C712" s="10">
        <v>2.2792499443366698</v>
      </c>
      <c r="D712" s="10">
        <v>1985</v>
      </c>
    </row>
    <row r="713" spans="1:4" ht="19.95" customHeight="1" x14ac:dyDescent="0.25">
      <c r="A713" s="9" t="s">
        <v>19</v>
      </c>
      <c r="B713" s="10" t="s">
        <v>43</v>
      </c>
      <c r="C713" s="10">
        <v>3.6983026491692899</v>
      </c>
      <c r="D713" s="10">
        <v>1985</v>
      </c>
    </row>
    <row r="714" spans="1:4" ht="19.95" customHeight="1" x14ac:dyDescent="0.25">
      <c r="A714" s="9" t="s">
        <v>20</v>
      </c>
      <c r="B714" s="10" t="s">
        <v>43</v>
      </c>
      <c r="C714" s="10">
        <v>2.1028110355253</v>
      </c>
      <c r="D714" s="10">
        <v>1985</v>
      </c>
    </row>
    <row r="715" spans="1:4" ht="19.95" customHeight="1" x14ac:dyDescent="0.25">
      <c r="A715" s="9" t="s">
        <v>21</v>
      </c>
      <c r="B715" s="10" t="s">
        <v>43</v>
      </c>
      <c r="C715" s="10">
        <v>1.5381156997016301</v>
      </c>
      <c r="D715" s="10">
        <v>1985</v>
      </c>
    </row>
    <row r="716" spans="1:4" ht="19.95" customHeight="1" x14ac:dyDescent="0.25">
      <c r="A716" s="9" t="s">
        <v>22</v>
      </c>
      <c r="B716" s="10" t="s">
        <v>43</v>
      </c>
      <c r="C716" s="10">
        <v>2.8485878217494802</v>
      </c>
      <c r="D716" s="10">
        <v>1985</v>
      </c>
    </row>
    <row r="717" spans="1:4" ht="19.95" customHeight="1" x14ac:dyDescent="0.25">
      <c r="A717" s="9" t="s">
        <v>23</v>
      </c>
      <c r="B717" s="10" t="s">
        <v>43</v>
      </c>
      <c r="C717" s="10">
        <v>4.4691106444219404</v>
      </c>
      <c r="D717" s="10">
        <v>1985</v>
      </c>
    </row>
    <row r="718" spans="1:4" ht="19.95" customHeight="1" x14ac:dyDescent="0.25">
      <c r="A718" s="9" t="s">
        <v>24</v>
      </c>
      <c r="B718" s="10" t="s">
        <v>43</v>
      </c>
      <c r="C718" s="10">
        <v>1.7806209587467301</v>
      </c>
      <c r="D718" s="10">
        <v>1985</v>
      </c>
    </row>
    <row r="719" spans="1:4" ht="19.95" customHeight="1" x14ac:dyDescent="0.25">
      <c r="A719" s="9" t="s">
        <v>25</v>
      </c>
      <c r="B719" s="10" t="s">
        <v>43</v>
      </c>
      <c r="C719" s="10">
        <v>0.95694510161506696</v>
      </c>
      <c r="D719" s="10">
        <v>1985</v>
      </c>
    </row>
    <row r="720" spans="1:4" ht="19.95" customHeight="1" x14ac:dyDescent="0.25">
      <c r="A720" s="9" t="s">
        <v>26</v>
      </c>
      <c r="B720" s="10" t="s">
        <v>43</v>
      </c>
      <c r="C720" s="10">
        <v>1.0111090454645</v>
      </c>
      <c r="D720" s="10">
        <v>1985</v>
      </c>
    </row>
    <row r="721" spans="1:4" ht="19.95" customHeight="1" x14ac:dyDescent="0.25">
      <c r="A721" s="9" t="s">
        <v>28</v>
      </c>
      <c r="B721" s="10" t="s">
        <v>43</v>
      </c>
      <c r="C721" s="10">
        <v>2.0448423035068402</v>
      </c>
      <c r="D721" s="10">
        <v>1985</v>
      </c>
    </row>
    <row r="722" spans="1:4" ht="19.95" customHeight="1" x14ac:dyDescent="0.25">
      <c r="A722" s="9" t="s">
        <v>29</v>
      </c>
      <c r="B722" s="10" t="s">
        <v>43</v>
      </c>
      <c r="C722" s="10">
        <v>2.2782984442269498</v>
      </c>
      <c r="D722" s="10">
        <v>1985</v>
      </c>
    </row>
    <row r="723" spans="1:4" ht="19.95" customHeight="1" x14ac:dyDescent="0.25">
      <c r="A723" s="9" t="s">
        <v>30</v>
      </c>
      <c r="B723" s="10" t="s">
        <v>43</v>
      </c>
      <c r="C723" s="10">
        <v>2.45191821688613</v>
      </c>
      <c r="D723" s="10">
        <v>1985</v>
      </c>
    </row>
    <row r="724" spans="1:4" ht="19.95" customHeight="1" x14ac:dyDescent="0.25">
      <c r="A724" s="9" t="s">
        <v>31</v>
      </c>
      <c r="B724" s="10" t="s">
        <v>43</v>
      </c>
      <c r="C724" s="10">
        <v>2.8687668830036799</v>
      </c>
      <c r="D724" s="10">
        <v>1985</v>
      </c>
    </row>
    <row r="725" spans="1:4" ht="19.95" customHeight="1" x14ac:dyDescent="0.25">
      <c r="A725" s="9" t="s">
        <v>32</v>
      </c>
      <c r="B725" s="10" t="s">
        <v>43</v>
      </c>
      <c r="C725" s="10">
        <v>3.9698720986279099</v>
      </c>
      <c r="D725" s="10">
        <v>1985</v>
      </c>
    </row>
    <row r="726" spans="1:4" ht="19.95" customHeight="1" x14ac:dyDescent="0.25">
      <c r="A726" s="9" t="s">
        <v>33</v>
      </c>
      <c r="B726" s="10" t="s">
        <v>43</v>
      </c>
      <c r="C726" s="10">
        <v>1.67263287768492</v>
      </c>
      <c r="D726" s="10">
        <v>1985</v>
      </c>
    </row>
    <row r="727" spans="1:4" ht="19.95" customHeight="1" x14ac:dyDescent="0.25">
      <c r="A727" s="9" t="s">
        <v>34</v>
      </c>
      <c r="B727" s="10" t="s">
        <v>43</v>
      </c>
      <c r="C727" s="10">
        <v>1.42153245307194</v>
      </c>
      <c r="D727" s="10">
        <v>1985</v>
      </c>
    </row>
    <row r="728" spans="1:4" ht="19.95" customHeight="1" x14ac:dyDescent="0.25">
      <c r="A728" s="9" t="s">
        <v>35</v>
      </c>
      <c r="B728" s="10" t="s">
        <v>43</v>
      </c>
      <c r="C728" s="10">
        <v>3.1398006361070099</v>
      </c>
      <c r="D728" s="10">
        <v>1985</v>
      </c>
    </row>
    <row r="729" spans="1:4" ht="19.95" customHeight="1" x14ac:dyDescent="0.25">
      <c r="A729" s="9" t="s">
        <v>36</v>
      </c>
      <c r="B729" s="10" t="s">
        <v>43</v>
      </c>
      <c r="C729" s="10">
        <v>3.08504686746311</v>
      </c>
      <c r="D729" s="10">
        <v>1985</v>
      </c>
    </row>
    <row r="730" spans="1:4" ht="19.95" customHeight="1" x14ac:dyDescent="0.25">
      <c r="A730" s="9" t="s">
        <v>37</v>
      </c>
      <c r="B730" s="10" t="s">
        <v>43</v>
      </c>
      <c r="C730" s="10">
        <v>3.2767406076765702</v>
      </c>
      <c r="D730" s="10">
        <v>1985</v>
      </c>
    </row>
    <row r="731" spans="1:4" ht="19.95" customHeight="1" x14ac:dyDescent="0.25">
      <c r="A731" s="9" t="s">
        <v>38</v>
      </c>
      <c r="B731" s="10" t="s">
        <v>43</v>
      </c>
      <c r="C731" s="10">
        <v>3.1614632865341301</v>
      </c>
      <c r="D731" s="10">
        <v>1985</v>
      </c>
    </row>
    <row r="732" spans="1:4" ht="19.95" customHeight="1" x14ac:dyDescent="0.25">
      <c r="A732" s="9" t="s">
        <v>39</v>
      </c>
      <c r="B732" s="10" t="s">
        <v>43</v>
      </c>
      <c r="C732" s="10">
        <v>3.72563565293897</v>
      </c>
      <c r="D732" s="10">
        <v>1985</v>
      </c>
    </row>
    <row r="733" spans="1:4" ht="19.95" customHeight="1" x14ac:dyDescent="0.25">
      <c r="A733" s="9" t="s">
        <v>9</v>
      </c>
      <c r="B733" s="10" t="s">
        <v>43</v>
      </c>
      <c r="C733" s="10">
        <v>2.9236028971024099</v>
      </c>
      <c r="D733" s="10">
        <v>1986</v>
      </c>
    </row>
    <row r="734" spans="1:4" ht="19.95" customHeight="1" x14ac:dyDescent="0.25">
      <c r="A734" s="9" t="s">
        <v>12</v>
      </c>
      <c r="B734" s="10" t="s">
        <v>43</v>
      </c>
      <c r="C734" s="10">
        <v>3.1178151316809699</v>
      </c>
      <c r="D734" s="10">
        <v>1986</v>
      </c>
    </row>
    <row r="735" spans="1:4" ht="19.95" customHeight="1" x14ac:dyDescent="0.25">
      <c r="A735" s="9" t="s">
        <v>13</v>
      </c>
      <c r="B735" s="10" t="s">
        <v>43</v>
      </c>
      <c r="C735" s="10">
        <v>2.9315641164670301</v>
      </c>
      <c r="D735" s="10">
        <v>1986</v>
      </c>
    </row>
    <row r="736" spans="1:4" ht="19.95" customHeight="1" x14ac:dyDescent="0.25">
      <c r="A736" s="9" t="s">
        <v>15</v>
      </c>
      <c r="B736" s="10" t="s">
        <v>43</v>
      </c>
      <c r="C736" s="10">
        <v>2.89107456526623</v>
      </c>
      <c r="D736" s="10">
        <v>1986</v>
      </c>
    </row>
    <row r="737" spans="1:4" ht="19.95" customHeight="1" x14ac:dyDescent="0.25">
      <c r="A737" s="9" t="s">
        <v>16</v>
      </c>
      <c r="B737" s="10" t="s">
        <v>43</v>
      </c>
      <c r="C737" s="10">
        <v>6.5361553585041197</v>
      </c>
      <c r="D737" s="10">
        <v>1986</v>
      </c>
    </row>
    <row r="738" spans="1:4" ht="19.95" customHeight="1" x14ac:dyDescent="0.25">
      <c r="A738" s="9" t="s">
        <v>1</v>
      </c>
      <c r="B738" s="10" t="s">
        <v>43</v>
      </c>
      <c r="C738" s="10">
        <v>3.18495303120618</v>
      </c>
      <c r="D738" s="10">
        <v>1986</v>
      </c>
    </row>
    <row r="739" spans="1:4" ht="19.95" customHeight="1" x14ac:dyDescent="0.25">
      <c r="A739" s="9" t="s">
        <v>17</v>
      </c>
      <c r="B739" s="10" t="s">
        <v>43</v>
      </c>
      <c r="C739" s="10">
        <v>2.8123255383553398</v>
      </c>
      <c r="D739" s="10">
        <v>1986</v>
      </c>
    </row>
    <row r="740" spans="1:4" ht="19.95" customHeight="1" x14ac:dyDescent="0.25">
      <c r="A740" s="9" t="s">
        <v>18</v>
      </c>
      <c r="B740" s="10" t="s">
        <v>43</v>
      </c>
      <c r="C740" s="10">
        <v>2.22052042900145</v>
      </c>
      <c r="D740" s="10">
        <v>1986</v>
      </c>
    </row>
    <row r="741" spans="1:4" ht="19.95" customHeight="1" x14ac:dyDescent="0.25">
      <c r="A741" s="9" t="s">
        <v>19</v>
      </c>
      <c r="B741" s="10" t="s">
        <v>43</v>
      </c>
      <c r="C741" s="10">
        <v>3.6346929144466298</v>
      </c>
      <c r="D741" s="10">
        <v>1986</v>
      </c>
    </row>
    <row r="742" spans="1:4" ht="19.95" customHeight="1" x14ac:dyDescent="0.25">
      <c r="A742" s="9" t="s">
        <v>20</v>
      </c>
      <c r="B742" s="10" t="s">
        <v>43</v>
      </c>
      <c r="C742" s="10">
        <v>2.0595020364582202</v>
      </c>
      <c r="D742" s="10">
        <v>1986</v>
      </c>
    </row>
    <row r="743" spans="1:4" ht="19.95" customHeight="1" x14ac:dyDescent="0.25">
      <c r="A743" s="9" t="s">
        <v>21</v>
      </c>
      <c r="B743" s="10" t="s">
        <v>43</v>
      </c>
      <c r="C743" s="10">
        <v>0.42226648107777098</v>
      </c>
      <c r="D743" s="10">
        <v>1986</v>
      </c>
    </row>
    <row r="744" spans="1:4" ht="19.95" customHeight="1" x14ac:dyDescent="0.25">
      <c r="A744" s="9" t="s">
        <v>22</v>
      </c>
      <c r="B744" s="10" t="s">
        <v>43</v>
      </c>
      <c r="C744" s="10">
        <v>2.8276809810506198</v>
      </c>
      <c r="D744" s="10">
        <v>1986</v>
      </c>
    </row>
    <row r="745" spans="1:4" ht="19.95" customHeight="1" x14ac:dyDescent="0.25">
      <c r="A745" s="9" t="s">
        <v>23</v>
      </c>
      <c r="B745" s="10" t="s">
        <v>43</v>
      </c>
      <c r="C745" s="10">
        <v>5.5850122777657996</v>
      </c>
      <c r="D745" s="10">
        <v>1986</v>
      </c>
    </row>
    <row r="746" spans="1:4" ht="19.95" customHeight="1" x14ac:dyDescent="0.25">
      <c r="A746" s="9" t="s">
        <v>24</v>
      </c>
      <c r="B746" s="10" t="s">
        <v>43</v>
      </c>
      <c r="C746" s="10">
        <v>1.56175450393972</v>
      </c>
      <c r="D746" s="10">
        <v>1986</v>
      </c>
    </row>
    <row r="747" spans="1:4" ht="19.95" customHeight="1" x14ac:dyDescent="0.25">
      <c r="A747" s="9" t="s">
        <v>25</v>
      </c>
      <c r="B747" s="10" t="s">
        <v>43</v>
      </c>
      <c r="C747" s="10">
        <v>0.89236509622166005</v>
      </c>
      <c r="D747" s="10">
        <v>1986</v>
      </c>
    </row>
    <row r="748" spans="1:4" ht="19.95" customHeight="1" x14ac:dyDescent="0.25">
      <c r="A748" s="9" t="s">
        <v>26</v>
      </c>
      <c r="B748" s="10" t="s">
        <v>43</v>
      </c>
      <c r="C748" s="10">
        <v>0.38418436425672498</v>
      </c>
      <c r="D748" s="10">
        <v>1986</v>
      </c>
    </row>
    <row r="749" spans="1:4" ht="19.95" customHeight="1" x14ac:dyDescent="0.25">
      <c r="A749" s="9" t="s">
        <v>28</v>
      </c>
      <c r="B749" s="10" t="s">
        <v>43</v>
      </c>
      <c r="C749" s="10">
        <v>1.95547501852096</v>
      </c>
      <c r="D749" s="10">
        <v>1986</v>
      </c>
    </row>
    <row r="750" spans="1:4" ht="19.95" customHeight="1" x14ac:dyDescent="0.25">
      <c r="A750" s="9" t="s">
        <v>29</v>
      </c>
      <c r="B750" s="10" t="s">
        <v>43</v>
      </c>
      <c r="C750" s="10">
        <v>2.2302711509270998</v>
      </c>
      <c r="D750" s="10">
        <v>1986</v>
      </c>
    </row>
    <row r="751" spans="1:4" ht="19.95" customHeight="1" x14ac:dyDescent="0.25">
      <c r="A751" s="9" t="s">
        <v>30</v>
      </c>
      <c r="B751" s="10" t="s">
        <v>43</v>
      </c>
      <c r="C751" s="10">
        <v>2.3402588526542201</v>
      </c>
      <c r="D751" s="10">
        <v>1986</v>
      </c>
    </row>
    <row r="752" spans="1:4" ht="19.95" customHeight="1" x14ac:dyDescent="0.25">
      <c r="A752" s="9" t="s">
        <v>31</v>
      </c>
      <c r="B752" s="10" t="s">
        <v>43</v>
      </c>
      <c r="C752" s="10">
        <v>2.86233049269247</v>
      </c>
      <c r="D752" s="10">
        <v>1986</v>
      </c>
    </row>
    <row r="753" spans="1:4" ht="19.95" customHeight="1" x14ac:dyDescent="0.25">
      <c r="A753" s="9" t="s">
        <v>32</v>
      </c>
      <c r="B753" s="10" t="s">
        <v>43</v>
      </c>
      <c r="C753" s="10">
        <v>4.5916442407003002</v>
      </c>
      <c r="D753" s="10">
        <v>1986</v>
      </c>
    </row>
    <row r="754" spans="1:4" ht="19.95" customHeight="1" x14ac:dyDescent="0.25">
      <c r="A754" s="9" t="s">
        <v>33</v>
      </c>
      <c r="B754" s="10" t="s">
        <v>43</v>
      </c>
      <c r="C754" s="10">
        <v>1.7599015733266301</v>
      </c>
      <c r="D754" s="10">
        <v>1986</v>
      </c>
    </row>
    <row r="755" spans="1:4" ht="19.95" customHeight="1" x14ac:dyDescent="0.25">
      <c r="A755" s="9" t="s">
        <v>34</v>
      </c>
      <c r="B755" s="10" t="s">
        <v>43</v>
      </c>
      <c r="C755" s="10">
        <v>1.42927922084702</v>
      </c>
      <c r="D755" s="10">
        <v>1986</v>
      </c>
    </row>
    <row r="756" spans="1:4" ht="19.95" customHeight="1" x14ac:dyDescent="0.25">
      <c r="A756" s="9" t="s">
        <v>35</v>
      </c>
      <c r="B756" s="10" t="s">
        <v>43</v>
      </c>
      <c r="C756" s="10">
        <v>3.24132078688171</v>
      </c>
      <c r="D756" s="10">
        <v>1986</v>
      </c>
    </row>
    <row r="757" spans="1:4" ht="19.95" customHeight="1" x14ac:dyDescent="0.25">
      <c r="A757" s="9" t="s">
        <v>36</v>
      </c>
      <c r="B757" s="10" t="s">
        <v>43</v>
      </c>
      <c r="C757" s="10">
        <v>3.0409140285950498</v>
      </c>
      <c r="D757" s="10">
        <v>1986</v>
      </c>
    </row>
    <row r="758" spans="1:4" ht="19.95" customHeight="1" x14ac:dyDescent="0.25">
      <c r="A758" s="9" t="s">
        <v>37</v>
      </c>
      <c r="B758" s="10" t="s">
        <v>43</v>
      </c>
      <c r="C758" s="10">
        <v>3.4089038058967902</v>
      </c>
      <c r="D758" s="10">
        <v>1986</v>
      </c>
    </row>
    <row r="759" spans="1:4" ht="19.95" customHeight="1" x14ac:dyDescent="0.25">
      <c r="A759" s="9" t="s">
        <v>38</v>
      </c>
      <c r="B759" s="10" t="s">
        <v>43</v>
      </c>
      <c r="C759" s="10">
        <v>3.0505836176795902</v>
      </c>
      <c r="D759" s="10">
        <v>1986</v>
      </c>
    </row>
    <row r="760" spans="1:4" ht="19.95" customHeight="1" x14ac:dyDescent="0.25">
      <c r="A760" s="9" t="s">
        <v>39</v>
      </c>
      <c r="B760" s="10" t="s">
        <v>43</v>
      </c>
      <c r="C760" s="10">
        <v>3.5994459480249601</v>
      </c>
      <c r="D760" s="10">
        <v>1986</v>
      </c>
    </row>
    <row r="761" spans="1:4" ht="19.95" customHeight="1" x14ac:dyDescent="0.25">
      <c r="A761" s="9" t="s">
        <v>9</v>
      </c>
      <c r="B761" s="10" t="s">
        <v>43</v>
      </c>
      <c r="C761" s="10">
        <v>2.9744083821677298</v>
      </c>
      <c r="D761" s="10">
        <v>1987</v>
      </c>
    </row>
    <row r="762" spans="1:4" ht="19.95" customHeight="1" x14ac:dyDescent="0.25">
      <c r="A762" s="9" t="s">
        <v>12</v>
      </c>
      <c r="B762" s="10" t="s">
        <v>43</v>
      </c>
      <c r="C762" s="10">
        <v>3.1142382148145198</v>
      </c>
      <c r="D762" s="10">
        <v>1987</v>
      </c>
    </row>
    <row r="763" spans="1:4" ht="19.95" customHeight="1" x14ac:dyDescent="0.25">
      <c r="A763" s="9" t="s">
        <v>13</v>
      </c>
      <c r="B763" s="10" t="s">
        <v>43</v>
      </c>
      <c r="C763" s="10">
        <v>3.1000427916642801</v>
      </c>
      <c r="D763" s="10">
        <v>1987</v>
      </c>
    </row>
    <row r="764" spans="1:4" ht="19.95" customHeight="1" x14ac:dyDescent="0.25">
      <c r="A764" s="9" t="s">
        <v>15</v>
      </c>
      <c r="B764" s="10" t="s">
        <v>43</v>
      </c>
      <c r="C764" s="10">
        <v>2.9349613547801998</v>
      </c>
      <c r="D764" s="10">
        <v>1987</v>
      </c>
    </row>
    <row r="765" spans="1:4" ht="19.95" customHeight="1" x14ac:dyDescent="0.25">
      <c r="A765" s="9" t="s">
        <v>16</v>
      </c>
      <c r="B765" s="10" t="s">
        <v>43</v>
      </c>
      <c r="C765" s="10">
        <v>7.6186597554922502</v>
      </c>
      <c r="D765" s="10">
        <v>1987</v>
      </c>
    </row>
    <row r="766" spans="1:4" ht="19.95" customHeight="1" x14ac:dyDescent="0.25">
      <c r="A766" s="9" t="s">
        <v>1</v>
      </c>
      <c r="B766" s="10" t="s">
        <v>43</v>
      </c>
      <c r="C766" s="10">
        <v>3.2066493828912499</v>
      </c>
      <c r="D766" s="10">
        <v>1987</v>
      </c>
    </row>
    <row r="767" spans="1:4" ht="19.95" customHeight="1" x14ac:dyDescent="0.25">
      <c r="A767" s="9" t="s">
        <v>17</v>
      </c>
      <c r="B767" s="10" t="s">
        <v>43</v>
      </c>
      <c r="C767" s="10">
        <v>2.8591523954699598</v>
      </c>
      <c r="D767" s="10">
        <v>1987</v>
      </c>
    </row>
    <row r="768" spans="1:4" ht="19.95" customHeight="1" x14ac:dyDescent="0.25">
      <c r="A768" s="9" t="s">
        <v>18</v>
      </c>
      <c r="B768" s="10" t="s">
        <v>43</v>
      </c>
      <c r="C768" s="10">
        <v>2.16744046393227</v>
      </c>
      <c r="D768" s="10">
        <v>1987</v>
      </c>
    </row>
    <row r="769" spans="1:4" ht="19.95" customHeight="1" x14ac:dyDescent="0.25">
      <c r="A769" s="9" t="s">
        <v>19</v>
      </c>
      <c r="B769" s="10" t="s">
        <v>43</v>
      </c>
      <c r="C769" s="10">
        <v>3.5701560166466599</v>
      </c>
      <c r="D769" s="10">
        <v>1987</v>
      </c>
    </row>
    <row r="770" spans="1:4" ht="19.95" customHeight="1" x14ac:dyDescent="0.25">
      <c r="A770" s="9" t="s">
        <v>20</v>
      </c>
      <c r="B770" s="10" t="s">
        <v>43</v>
      </c>
      <c r="C770" s="10">
        <v>2.0750024023759099</v>
      </c>
      <c r="D770" s="10">
        <v>1987</v>
      </c>
    </row>
    <row r="771" spans="1:4" ht="19.95" customHeight="1" x14ac:dyDescent="0.25">
      <c r="A771" s="9" t="s">
        <v>21</v>
      </c>
      <c r="B771" s="10" t="s">
        <v>43</v>
      </c>
      <c r="C771" s="10">
        <v>-0.492163723119458</v>
      </c>
      <c r="D771" s="10">
        <v>1987</v>
      </c>
    </row>
    <row r="772" spans="1:4" ht="19.95" customHeight="1" x14ac:dyDescent="0.25">
      <c r="A772" s="9" t="s">
        <v>22</v>
      </c>
      <c r="B772" s="10" t="s">
        <v>43</v>
      </c>
      <c r="C772" s="10">
        <v>2.8157648241541802</v>
      </c>
      <c r="D772" s="10">
        <v>1987</v>
      </c>
    </row>
    <row r="773" spans="1:4" ht="19.95" customHeight="1" x14ac:dyDescent="0.25">
      <c r="A773" s="9" t="s">
        <v>23</v>
      </c>
      <c r="B773" s="10" t="s">
        <v>43</v>
      </c>
      <c r="C773" s="10">
        <v>6.2869285616472901</v>
      </c>
      <c r="D773" s="10">
        <v>1987</v>
      </c>
    </row>
    <row r="774" spans="1:4" ht="19.95" customHeight="1" x14ac:dyDescent="0.25">
      <c r="A774" s="9" t="s">
        <v>24</v>
      </c>
      <c r="B774" s="10" t="s">
        <v>43</v>
      </c>
      <c r="C774" s="10">
        <v>1.40543470579171</v>
      </c>
      <c r="D774" s="10">
        <v>1987</v>
      </c>
    </row>
    <row r="775" spans="1:4" ht="19.95" customHeight="1" x14ac:dyDescent="0.25">
      <c r="A775" s="9" t="s">
        <v>25</v>
      </c>
      <c r="B775" s="10" t="s">
        <v>43</v>
      </c>
      <c r="C775" s="10">
        <v>0.85695064853005498</v>
      </c>
      <c r="D775" s="10">
        <v>1987</v>
      </c>
    </row>
    <row r="776" spans="1:4" ht="19.95" customHeight="1" x14ac:dyDescent="0.25">
      <c r="A776" s="9" t="s">
        <v>26</v>
      </c>
      <c r="B776" s="10" t="s">
        <v>43</v>
      </c>
      <c r="C776" s="10">
        <v>-0.103810197873531</v>
      </c>
      <c r="D776" s="10">
        <v>1987</v>
      </c>
    </row>
    <row r="777" spans="1:4" ht="19.95" customHeight="1" x14ac:dyDescent="0.25">
      <c r="A777" s="9" t="s">
        <v>28</v>
      </c>
      <c r="B777" s="10" t="s">
        <v>43</v>
      </c>
      <c r="C777" s="10">
        <v>1.8685227085920599</v>
      </c>
      <c r="D777" s="10">
        <v>1987</v>
      </c>
    </row>
    <row r="778" spans="1:4" ht="19.95" customHeight="1" x14ac:dyDescent="0.25">
      <c r="A778" s="9" t="s">
        <v>29</v>
      </c>
      <c r="B778" s="10" t="s">
        <v>43</v>
      </c>
      <c r="C778" s="10">
        <v>2.1965163575974498</v>
      </c>
      <c r="D778" s="10">
        <v>1987</v>
      </c>
    </row>
    <row r="779" spans="1:4" ht="19.95" customHeight="1" x14ac:dyDescent="0.25">
      <c r="A779" s="9" t="s">
        <v>30</v>
      </c>
      <c r="B779" s="10" t="s">
        <v>43</v>
      </c>
      <c r="C779" s="10">
        <v>2.2403949622076098</v>
      </c>
      <c r="D779" s="10">
        <v>1987</v>
      </c>
    </row>
    <row r="780" spans="1:4" ht="19.95" customHeight="1" x14ac:dyDescent="0.25">
      <c r="A780" s="9" t="s">
        <v>31</v>
      </c>
      <c r="B780" s="10" t="s">
        <v>43</v>
      </c>
      <c r="C780" s="10">
        <v>2.8702076685535398</v>
      </c>
      <c r="D780" s="10">
        <v>1987</v>
      </c>
    </row>
    <row r="781" spans="1:4" ht="19.95" customHeight="1" x14ac:dyDescent="0.25">
      <c r="A781" s="9" t="s">
        <v>32</v>
      </c>
      <c r="B781" s="10" t="s">
        <v>43</v>
      </c>
      <c r="C781" s="10">
        <v>4.9395712999569898</v>
      </c>
      <c r="D781" s="10">
        <v>1987</v>
      </c>
    </row>
    <row r="782" spans="1:4" ht="19.95" customHeight="1" x14ac:dyDescent="0.25">
      <c r="A782" s="9" t="s">
        <v>33</v>
      </c>
      <c r="B782" s="10" t="s">
        <v>43</v>
      </c>
      <c r="C782" s="10">
        <v>1.82353600812039</v>
      </c>
      <c r="D782" s="10">
        <v>1987</v>
      </c>
    </row>
    <row r="783" spans="1:4" ht="19.95" customHeight="1" x14ac:dyDescent="0.25">
      <c r="A783" s="9" t="s">
        <v>34</v>
      </c>
      <c r="B783" s="10" t="s">
        <v>43</v>
      </c>
      <c r="C783" s="10">
        <v>1.4230689784619399</v>
      </c>
      <c r="D783" s="10">
        <v>1987</v>
      </c>
    </row>
    <row r="784" spans="1:4" ht="19.95" customHeight="1" x14ac:dyDescent="0.25">
      <c r="A784" s="9" t="s">
        <v>35</v>
      </c>
      <c r="B784" s="10" t="s">
        <v>43</v>
      </c>
      <c r="C784" s="10">
        <v>3.2877613141119801</v>
      </c>
      <c r="D784" s="10">
        <v>1987</v>
      </c>
    </row>
    <row r="785" spans="1:4" ht="19.95" customHeight="1" x14ac:dyDescent="0.25">
      <c r="A785" s="9" t="s">
        <v>36</v>
      </c>
      <c r="B785" s="10" t="s">
        <v>43</v>
      </c>
      <c r="C785" s="10">
        <v>3.0074170618024598</v>
      </c>
      <c r="D785" s="10">
        <v>1987</v>
      </c>
    </row>
    <row r="786" spans="1:4" ht="19.95" customHeight="1" x14ac:dyDescent="0.25">
      <c r="A786" s="9" t="s">
        <v>37</v>
      </c>
      <c r="B786" s="10" t="s">
        <v>43</v>
      </c>
      <c r="C786" s="10">
        <v>3.5069473354897598</v>
      </c>
      <c r="D786" s="10">
        <v>1987</v>
      </c>
    </row>
    <row r="787" spans="1:4" ht="19.95" customHeight="1" x14ac:dyDescent="0.25">
      <c r="A787" s="9" t="s">
        <v>38</v>
      </c>
      <c r="B787" s="10" t="s">
        <v>43</v>
      </c>
      <c r="C787" s="10">
        <v>2.9546659908992199</v>
      </c>
      <c r="D787" s="10">
        <v>1987</v>
      </c>
    </row>
    <row r="788" spans="1:4" ht="19.95" customHeight="1" x14ac:dyDescent="0.25">
      <c r="A788" s="9" t="s">
        <v>39</v>
      </c>
      <c r="B788" s="10" t="s">
        <v>43</v>
      </c>
      <c r="C788" s="10">
        <v>3.4714693940211299</v>
      </c>
      <c r="D788" s="10">
        <v>1987</v>
      </c>
    </row>
    <row r="789" spans="1:4" ht="19.95" customHeight="1" x14ac:dyDescent="0.25">
      <c r="A789" s="9" t="s">
        <v>9</v>
      </c>
      <c r="B789" s="10" t="s">
        <v>43</v>
      </c>
      <c r="C789" s="10">
        <v>2.9283899980524302</v>
      </c>
      <c r="D789" s="10">
        <v>1988</v>
      </c>
    </row>
    <row r="790" spans="1:4" ht="19.95" customHeight="1" x14ac:dyDescent="0.25">
      <c r="A790" s="9" t="s">
        <v>12</v>
      </c>
      <c r="B790" s="10" t="s">
        <v>43</v>
      </c>
      <c r="C790" s="10">
        <v>3.08880957214574</v>
      </c>
      <c r="D790" s="10">
        <v>1988</v>
      </c>
    </row>
    <row r="791" spans="1:4" ht="19.95" customHeight="1" x14ac:dyDescent="0.25">
      <c r="A791" s="9" t="s">
        <v>13</v>
      </c>
      <c r="B791" s="10" t="s">
        <v>43</v>
      </c>
      <c r="C791" s="10">
        <v>3.2070646897028099</v>
      </c>
      <c r="D791" s="10">
        <v>1988</v>
      </c>
    </row>
    <row r="792" spans="1:4" ht="19.95" customHeight="1" x14ac:dyDescent="0.25">
      <c r="A792" s="9" t="s">
        <v>15</v>
      </c>
      <c r="B792" s="10" t="s">
        <v>43</v>
      </c>
      <c r="C792" s="10">
        <v>2.9582980097150799</v>
      </c>
      <c r="D792" s="10">
        <v>1988</v>
      </c>
    </row>
    <row r="793" spans="1:4" ht="19.95" customHeight="1" x14ac:dyDescent="0.25">
      <c r="A793" s="9" t="s">
        <v>16</v>
      </c>
      <c r="B793" s="10" t="s">
        <v>43</v>
      </c>
      <c r="C793" s="10">
        <v>7.5907907683656797</v>
      </c>
      <c r="D793" s="10">
        <v>1988</v>
      </c>
    </row>
    <row r="794" spans="1:4" ht="19.95" customHeight="1" x14ac:dyDescent="0.25">
      <c r="A794" s="9" t="s">
        <v>1</v>
      </c>
      <c r="B794" s="10" t="s">
        <v>43</v>
      </c>
      <c r="C794" s="10">
        <v>3.2545147774421102</v>
      </c>
      <c r="D794" s="10">
        <v>1988</v>
      </c>
    </row>
    <row r="795" spans="1:4" ht="19.95" customHeight="1" x14ac:dyDescent="0.25">
      <c r="A795" s="9" t="s">
        <v>17</v>
      </c>
      <c r="B795" s="10" t="s">
        <v>43</v>
      </c>
      <c r="C795" s="10">
        <v>3.1713193995084699</v>
      </c>
      <c r="D795" s="10">
        <v>1988</v>
      </c>
    </row>
    <row r="796" spans="1:4" ht="19.95" customHeight="1" x14ac:dyDescent="0.25">
      <c r="A796" s="9" t="s">
        <v>18</v>
      </c>
      <c r="B796" s="10" t="s">
        <v>43</v>
      </c>
      <c r="C796" s="10">
        <v>2.1178615583821401</v>
      </c>
      <c r="D796" s="10">
        <v>1988</v>
      </c>
    </row>
    <row r="797" spans="1:4" ht="19.95" customHeight="1" x14ac:dyDescent="0.25">
      <c r="A797" s="9" t="s">
        <v>19</v>
      </c>
      <c r="B797" s="10" t="s">
        <v>43</v>
      </c>
      <c r="C797" s="10">
        <v>3.49936009359216</v>
      </c>
      <c r="D797" s="10">
        <v>1988</v>
      </c>
    </row>
    <row r="798" spans="1:4" ht="19.95" customHeight="1" x14ac:dyDescent="0.25">
      <c r="A798" s="9" t="s">
        <v>20</v>
      </c>
      <c r="B798" s="10" t="s">
        <v>43</v>
      </c>
      <c r="C798" s="10">
        <v>2.1445517139477199</v>
      </c>
      <c r="D798" s="10">
        <v>1988</v>
      </c>
    </row>
    <row r="799" spans="1:4" ht="19.95" customHeight="1" x14ac:dyDescent="0.25">
      <c r="A799" s="9" t="s">
        <v>21</v>
      </c>
      <c r="B799" s="10" t="s">
        <v>43</v>
      </c>
      <c r="C799" s="10">
        <v>-1.19066270187364</v>
      </c>
      <c r="D799" s="10">
        <v>1988</v>
      </c>
    </row>
    <row r="800" spans="1:4" ht="19.95" customHeight="1" x14ac:dyDescent="0.25">
      <c r="A800" s="9" t="s">
        <v>22</v>
      </c>
      <c r="B800" s="10" t="s">
        <v>43</v>
      </c>
      <c r="C800" s="10">
        <v>2.8209175911839401</v>
      </c>
      <c r="D800" s="10">
        <v>1988</v>
      </c>
    </row>
    <row r="801" spans="1:4" ht="19.95" customHeight="1" x14ac:dyDescent="0.25">
      <c r="A801" s="9" t="s">
        <v>23</v>
      </c>
      <c r="B801" s="10" t="s">
        <v>43</v>
      </c>
      <c r="C801" s="10">
        <v>6.1706167198600497</v>
      </c>
      <c r="D801" s="10">
        <v>1988</v>
      </c>
    </row>
    <row r="802" spans="1:4" ht="19.95" customHeight="1" x14ac:dyDescent="0.25">
      <c r="A802" s="9" t="s">
        <v>24</v>
      </c>
      <c r="B802" s="10" t="s">
        <v>43</v>
      </c>
      <c r="C802" s="10">
        <v>1.39055196096571</v>
      </c>
      <c r="D802" s="10">
        <v>1988</v>
      </c>
    </row>
    <row r="803" spans="1:4" ht="19.95" customHeight="1" x14ac:dyDescent="0.25">
      <c r="A803" s="9" t="s">
        <v>25</v>
      </c>
      <c r="B803" s="10" t="s">
        <v>43</v>
      </c>
      <c r="C803" s="10">
        <v>0.74043941742100905</v>
      </c>
      <c r="D803" s="10">
        <v>1988</v>
      </c>
    </row>
    <row r="804" spans="1:4" ht="19.95" customHeight="1" x14ac:dyDescent="0.25">
      <c r="A804" s="9" t="s">
        <v>26</v>
      </c>
      <c r="B804" s="10" t="s">
        <v>43</v>
      </c>
      <c r="C804" s="10">
        <v>-0.14070408302661799</v>
      </c>
      <c r="D804" s="10">
        <v>1988</v>
      </c>
    </row>
    <row r="805" spans="1:4" ht="19.95" customHeight="1" x14ac:dyDescent="0.25">
      <c r="A805" s="9" t="s">
        <v>28</v>
      </c>
      <c r="B805" s="10" t="s">
        <v>43</v>
      </c>
      <c r="C805" s="10">
        <v>1.7656577587440501</v>
      </c>
      <c r="D805" s="10">
        <v>1988</v>
      </c>
    </row>
    <row r="806" spans="1:4" ht="19.95" customHeight="1" x14ac:dyDescent="0.25">
      <c r="A806" s="9" t="s">
        <v>29</v>
      </c>
      <c r="B806" s="10" t="s">
        <v>43</v>
      </c>
      <c r="C806" s="10">
        <v>2.22184547461924</v>
      </c>
      <c r="D806" s="10">
        <v>1988</v>
      </c>
    </row>
    <row r="807" spans="1:4" ht="19.95" customHeight="1" x14ac:dyDescent="0.25">
      <c r="A807" s="9" t="s">
        <v>30</v>
      </c>
      <c r="B807" s="10" t="s">
        <v>43</v>
      </c>
      <c r="C807" s="10">
        <v>2.1783226930105801</v>
      </c>
      <c r="D807" s="10">
        <v>1988</v>
      </c>
    </row>
    <row r="808" spans="1:4" ht="19.95" customHeight="1" x14ac:dyDescent="0.25">
      <c r="A808" s="9" t="s">
        <v>31</v>
      </c>
      <c r="B808" s="10" t="s">
        <v>43</v>
      </c>
      <c r="C808" s="10">
        <v>2.9103341690029199</v>
      </c>
      <c r="D808" s="10">
        <v>1988</v>
      </c>
    </row>
    <row r="809" spans="1:4" ht="19.95" customHeight="1" x14ac:dyDescent="0.25">
      <c r="A809" s="9" t="s">
        <v>32</v>
      </c>
      <c r="B809" s="10" t="s">
        <v>43</v>
      </c>
      <c r="C809" s="10">
        <v>4.3320432364723196</v>
      </c>
      <c r="D809" s="10">
        <v>1988</v>
      </c>
    </row>
    <row r="810" spans="1:4" ht="19.95" customHeight="1" x14ac:dyDescent="0.25">
      <c r="A810" s="9" t="s">
        <v>33</v>
      </c>
      <c r="B810" s="10" t="s">
        <v>43</v>
      </c>
      <c r="C810" s="10">
        <v>1.89507019894532</v>
      </c>
      <c r="D810" s="10">
        <v>1988</v>
      </c>
    </row>
    <row r="811" spans="1:4" ht="19.95" customHeight="1" x14ac:dyDescent="0.25">
      <c r="A811" s="9" t="s">
        <v>34</v>
      </c>
      <c r="B811" s="10" t="s">
        <v>43</v>
      </c>
      <c r="C811" s="10">
        <v>1.3972375469129199</v>
      </c>
      <c r="D811" s="10">
        <v>1988</v>
      </c>
    </row>
    <row r="812" spans="1:4" ht="19.95" customHeight="1" x14ac:dyDescent="0.25">
      <c r="A812" s="9" t="s">
        <v>35</v>
      </c>
      <c r="B812" s="10" t="s">
        <v>43</v>
      </c>
      <c r="C812" s="10">
        <v>3.19291777630005</v>
      </c>
      <c r="D812" s="10">
        <v>1988</v>
      </c>
    </row>
    <row r="813" spans="1:4" ht="19.95" customHeight="1" x14ac:dyDescent="0.25">
      <c r="A813" s="9" t="s">
        <v>36</v>
      </c>
      <c r="B813" s="10" t="s">
        <v>43</v>
      </c>
      <c r="C813" s="10">
        <v>3.02058136727931</v>
      </c>
      <c r="D813" s="10">
        <v>1988</v>
      </c>
    </row>
    <row r="814" spans="1:4" ht="19.95" customHeight="1" x14ac:dyDescent="0.25">
      <c r="A814" s="9" t="s">
        <v>37</v>
      </c>
      <c r="B814" s="10" t="s">
        <v>43</v>
      </c>
      <c r="C814" s="10">
        <v>3.5495496410157199</v>
      </c>
      <c r="D814" s="10">
        <v>1988</v>
      </c>
    </row>
    <row r="815" spans="1:4" ht="19.95" customHeight="1" x14ac:dyDescent="0.25">
      <c r="A815" s="9" t="s">
        <v>38</v>
      </c>
      <c r="B815" s="10" t="s">
        <v>43</v>
      </c>
      <c r="C815" s="10">
        <v>2.8613918267118499</v>
      </c>
      <c r="D815" s="10">
        <v>1988</v>
      </c>
    </row>
    <row r="816" spans="1:4" ht="19.95" customHeight="1" x14ac:dyDescent="0.25">
      <c r="A816" s="9" t="s">
        <v>39</v>
      </c>
      <c r="B816" s="10" t="s">
        <v>43</v>
      </c>
      <c r="C816" s="10">
        <v>3.29192419550896</v>
      </c>
      <c r="D816" s="10">
        <v>1988</v>
      </c>
    </row>
    <row r="817" spans="1:4" ht="19.95" customHeight="1" x14ac:dyDescent="0.25">
      <c r="A817" s="9" t="s">
        <v>9</v>
      </c>
      <c r="B817" s="10" t="s">
        <v>43</v>
      </c>
      <c r="C817" s="10">
        <v>2.7664643789615</v>
      </c>
      <c r="D817" s="10">
        <v>1989</v>
      </c>
    </row>
    <row r="818" spans="1:4" ht="19.95" customHeight="1" x14ac:dyDescent="0.25">
      <c r="A818" s="9" t="s">
        <v>12</v>
      </c>
      <c r="B818" s="10" t="s">
        <v>43</v>
      </c>
      <c r="C818" s="10">
        <v>3.0384711088426002</v>
      </c>
      <c r="D818" s="10">
        <v>1989</v>
      </c>
    </row>
    <row r="819" spans="1:4" ht="19.95" customHeight="1" x14ac:dyDescent="0.25">
      <c r="A819" s="9" t="s">
        <v>13</v>
      </c>
      <c r="B819" s="10" t="s">
        <v>43</v>
      </c>
      <c r="C819" s="10">
        <v>3.2374236932532701</v>
      </c>
      <c r="D819" s="10">
        <v>1989</v>
      </c>
    </row>
    <row r="820" spans="1:4" ht="19.95" customHeight="1" x14ac:dyDescent="0.25">
      <c r="A820" s="9" t="s">
        <v>15</v>
      </c>
      <c r="B820" s="10" t="s">
        <v>43</v>
      </c>
      <c r="C820" s="10">
        <v>2.96341493968414</v>
      </c>
      <c r="D820" s="10">
        <v>1989</v>
      </c>
    </row>
    <row r="821" spans="1:4" ht="19.95" customHeight="1" x14ac:dyDescent="0.25">
      <c r="A821" s="9" t="s">
        <v>16</v>
      </c>
      <c r="B821" s="10" t="s">
        <v>43</v>
      </c>
      <c r="C821" s="10">
        <v>6.3826546171282699</v>
      </c>
      <c r="D821" s="10">
        <v>1989</v>
      </c>
    </row>
    <row r="822" spans="1:4" ht="19.95" customHeight="1" x14ac:dyDescent="0.25">
      <c r="A822" s="9" t="s">
        <v>1</v>
      </c>
      <c r="B822" s="10" t="s">
        <v>43</v>
      </c>
      <c r="C822" s="10">
        <v>3.3416670445560799</v>
      </c>
      <c r="D822" s="10">
        <v>1989</v>
      </c>
    </row>
    <row r="823" spans="1:4" ht="19.95" customHeight="1" x14ac:dyDescent="0.25">
      <c r="A823" s="9" t="s">
        <v>17</v>
      </c>
      <c r="B823" s="10" t="s">
        <v>43</v>
      </c>
      <c r="C823" s="10">
        <v>3.8107891661318898</v>
      </c>
      <c r="D823" s="10">
        <v>1989</v>
      </c>
    </row>
    <row r="824" spans="1:4" ht="19.95" customHeight="1" x14ac:dyDescent="0.25">
      <c r="A824" s="9" t="s">
        <v>18</v>
      </c>
      <c r="B824" s="10" t="s">
        <v>43</v>
      </c>
      <c r="C824" s="10">
        <v>2.0764094489702898</v>
      </c>
      <c r="D824" s="10">
        <v>1989</v>
      </c>
    </row>
    <row r="825" spans="1:4" ht="19.95" customHeight="1" x14ac:dyDescent="0.25">
      <c r="A825" s="9" t="s">
        <v>19</v>
      </c>
      <c r="B825" s="10" t="s">
        <v>43</v>
      </c>
      <c r="C825" s="10">
        <v>3.42282226931763</v>
      </c>
      <c r="D825" s="10">
        <v>1989</v>
      </c>
    </row>
    <row r="826" spans="1:4" ht="19.95" customHeight="1" x14ac:dyDescent="0.25">
      <c r="A826" s="9" t="s">
        <v>20</v>
      </c>
      <c r="B826" s="10" t="s">
        <v>43</v>
      </c>
      <c r="C826" s="10">
        <v>1.9901154317295</v>
      </c>
      <c r="D826" s="10">
        <v>1989</v>
      </c>
    </row>
    <row r="827" spans="1:4" ht="19.95" customHeight="1" x14ac:dyDescent="0.25">
      <c r="A827" s="9" t="s">
        <v>21</v>
      </c>
      <c r="B827" s="10" t="s">
        <v>43</v>
      </c>
      <c r="C827" s="10">
        <v>-1.56242450454169</v>
      </c>
      <c r="D827" s="10">
        <v>1989</v>
      </c>
    </row>
    <row r="828" spans="1:4" ht="19.95" customHeight="1" x14ac:dyDescent="0.25">
      <c r="A828" s="9" t="s">
        <v>22</v>
      </c>
      <c r="B828" s="10" t="s">
        <v>43</v>
      </c>
      <c r="C828" s="10">
        <v>2.84670899576914</v>
      </c>
      <c r="D828" s="10">
        <v>1989</v>
      </c>
    </row>
    <row r="829" spans="1:4" ht="19.95" customHeight="1" x14ac:dyDescent="0.25">
      <c r="A829" s="9" t="s">
        <v>23</v>
      </c>
      <c r="B829" s="10" t="s">
        <v>43</v>
      </c>
      <c r="C829" s="10">
        <v>5.1640863085405497</v>
      </c>
      <c r="D829" s="10">
        <v>1989</v>
      </c>
    </row>
    <row r="830" spans="1:4" ht="19.95" customHeight="1" x14ac:dyDescent="0.25">
      <c r="A830" s="9" t="s">
        <v>24</v>
      </c>
      <c r="B830" s="10" t="s">
        <v>43</v>
      </c>
      <c r="C830" s="10">
        <v>1.5622025038577001</v>
      </c>
      <c r="D830" s="10">
        <v>1989</v>
      </c>
    </row>
    <row r="831" spans="1:4" ht="19.95" customHeight="1" x14ac:dyDescent="0.25">
      <c r="A831" s="9" t="s">
        <v>25</v>
      </c>
      <c r="B831" s="10" t="s">
        <v>43</v>
      </c>
      <c r="C831" s="10">
        <v>0.57213069836091202</v>
      </c>
      <c r="D831" s="10">
        <v>1989</v>
      </c>
    </row>
    <row r="832" spans="1:4" ht="19.95" customHeight="1" x14ac:dyDescent="0.25">
      <c r="A832" s="9" t="s">
        <v>26</v>
      </c>
      <c r="B832" s="10" t="s">
        <v>43</v>
      </c>
      <c r="C832" s="10">
        <v>0.43787681477041401</v>
      </c>
      <c r="D832" s="10">
        <v>1989</v>
      </c>
    </row>
    <row r="833" spans="1:4" ht="19.95" customHeight="1" x14ac:dyDescent="0.25">
      <c r="A833" s="9" t="s">
        <v>28</v>
      </c>
      <c r="B833" s="10" t="s">
        <v>43</v>
      </c>
      <c r="C833" s="10">
        <v>1.6446443671322</v>
      </c>
      <c r="D833" s="10">
        <v>1989</v>
      </c>
    </row>
    <row r="834" spans="1:4" ht="19.95" customHeight="1" x14ac:dyDescent="0.25">
      <c r="A834" s="9" t="s">
        <v>29</v>
      </c>
      <c r="B834" s="10" t="s">
        <v>43</v>
      </c>
      <c r="C834" s="10">
        <v>2.32180584212847</v>
      </c>
      <c r="D834" s="10">
        <v>1989</v>
      </c>
    </row>
    <row r="835" spans="1:4" ht="19.95" customHeight="1" x14ac:dyDescent="0.25">
      <c r="A835" s="9" t="s">
        <v>30</v>
      </c>
      <c r="B835" s="10" t="s">
        <v>43</v>
      </c>
      <c r="C835" s="10">
        <v>2.16394386497947</v>
      </c>
      <c r="D835" s="10">
        <v>1989</v>
      </c>
    </row>
    <row r="836" spans="1:4" ht="19.95" customHeight="1" x14ac:dyDescent="0.25">
      <c r="A836" s="9" t="s">
        <v>31</v>
      </c>
      <c r="B836" s="10" t="s">
        <v>43</v>
      </c>
      <c r="C836" s="10">
        <v>2.9885076551016798</v>
      </c>
      <c r="D836" s="10">
        <v>1989</v>
      </c>
    </row>
    <row r="837" spans="1:4" ht="19.95" customHeight="1" x14ac:dyDescent="0.25">
      <c r="A837" s="9" t="s">
        <v>32</v>
      </c>
      <c r="B837" s="10" t="s">
        <v>43</v>
      </c>
      <c r="C837" s="10">
        <v>2.6092495216045601</v>
      </c>
      <c r="D837" s="10">
        <v>1989</v>
      </c>
    </row>
    <row r="838" spans="1:4" ht="19.95" customHeight="1" x14ac:dyDescent="0.25">
      <c r="A838" s="9" t="s">
        <v>33</v>
      </c>
      <c r="B838" s="10" t="s">
        <v>43</v>
      </c>
      <c r="C838" s="10">
        <v>1.9512417052945801</v>
      </c>
      <c r="D838" s="10">
        <v>1989</v>
      </c>
    </row>
    <row r="839" spans="1:4" ht="19.95" customHeight="1" x14ac:dyDescent="0.25">
      <c r="A839" s="9" t="s">
        <v>34</v>
      </c>
      <c r="B839" s="10" t="s">
        <v>43</v>
      </c>
      <c r="C839" s="10">
        <v>1.34455977181194</v>
      </c>
      <c r="D839" s="10">
        <v>1989</v>
      </c>
    </row>
    <row r="840" spans="1:4" ht="19.95" customHeight="1" x14ac:dyDescent="0.25">
      <c r="A840" s="9" t="s">
        <v>35</v>
      </c>
      <c r="B840" s="10" t="s">
        <v>43</v>
      </c>
      <c r="C840" s="10">
        <v>2.9298573721070702</v>
      </c>
      <c r="D840" s="10">
        <v>1989</v>
      </c>
    </row>
    <row r="841" spans="1:4" ht="19.95" customHeight="1" x14ac:dyDescent="0.25">
      <c r="A841" s="9" t="s">
        <v>36</v>
      </c>
      <c r="B841" s="10" t="s">
        <v>43</v>
      </c>
      <c r="C841" s="10">
        <v>3.09109569899304</v>
      </c>
      <c r="D841" s="10">
        <v>1989</v>
      </c>
    </row>
    <row r="842" spans="1:4" ht="19.95" customHeight="1" x14ac:dyDescent="0.25">
      <c r="A842" s="9" t="s">
        <v>37</v>
      </c>
      <c r="B842" s="10" t="s">
        <v>43</v>
      </c>
      <c r="C842" s="10">
        <v>3.5254709348578199</v>
      </c>
      <c r="D842" s="10">
        <v>1989</v>
      </c>
    </row>
    <row r="843" spans="1:4" ht="19.95" customHeight="1" x14ac:dyDescent="0.25">
      <c r="A843" s="9" t="s">
        <v>38</v>
      </c>
      <c r="B843" s="10" t="s">
        <v>43</v>
      </c>
      <c r="C843" s="10">
        <v>2.7734704117065201</v>
      </c>
      <c r="D843" s="10">
        <v>1989</v>
      </c>
    </row>
    <row r="844" spans="1:4" ht="19.95" customHeight="1" x14ac:dyDescent="0.25">
      <c r="A844" s="9" t="s">
        <v>39</v>
      </c>
      <c r="B844" s="10" t="s">
        <v>43</v>
      </c>
      <c r="C844" s="10">
        <v>3.0580166794000698</v>
      </c>
      <c r="D844" s="10">
        <v>1989</v>
      </c>
    </row>
    <row r="845" spans="1:4" ht="19.95" customHeight="1" x14ac:dyDescent="0.25">
      <c r="A845" s="9" t="s">
        <v>9</v>
      </c>
      <c r="B845" s="10" t="s">
        <v>43</v>
      </c>
      <c r="C845" s="10">
        <v>2.5318873319789099</v>
      </c>
      <c r="D845" s="10">
        <v>1990</v>
      </c>
    </row>
    <row r="846" spans="1:4" ht="19.95" customHeight="1" x14ac:dyDescent="0.25">
      <c r="A846" s="9" t="s">
        <v>12</v>
      </c>
      <c r="B846" s="10" t="s">
        <v>43</v>
      </c>
      <c r="C846" s="10">
        <v>2.9720417073527901</v>
      </c>
      <c r="D846" s="10">
        <v>1990</v>
      </c>
    </row>
    <row r="847" spans="1:4" ht="19.95" customHeight="1" x14ac:dyDescent="0.25">
      <c r="A847" s="9" t="s">
        <v>13</v>
      </c>
      <c r="B847" s="10" t="s">
        <v>43</v>
      </c>
      <c r="C847" s="10">
        <v>3.2203019015123502</v>
      </c>
      <c r="D847" s="10">
        <v>1990</v>
      </c>
    </row>
    <row r="848" spans="1:4" ht="19.95" customHeight="1" x14ac:dyDescent="0.25">
      <c r="A848" s="9" t="s">
        <v>15</v>
      </c>
      <c r="B848" s="10" t="s">
        <v>43</v>
      </c>
      <c r="C848" s="10">
        <v>2.9493302945929898</v>
      </c>
      <c r="D848" s="10">
        <v>1990</v>
      </c>
    </row>
    <row r="849" spans="1:4" ht="19.95" customHeight="1" x14ac:dyDescent="0.25">
      <c r="A849" s="9" t="s">
        <v>16</v>
      </c>
      <c r="B849" s="10" t="s">
        <v>43</v>
      </c>
      <c r="C849" s="10">
        <v>4.5983798078022602</v>
      </c>
      <c r="D849" s="10">
        <v>1990</v>
      </c>
    </row>
    <row r="850" spans="1:4" ht="19.95" customHeight="1" x14ac:dyDescent="0.25">
      <c r="A850" s="9" t="s">
        <v>1</v>
      </c>
      <c r="B850" s="10" t="s">
        <v>43</v>
      </c>
      <c r="C850" s="10">
        <v>3.4433474572363698</v>
      </c>
      <c r="D850" s="10">
        <v>1990</v>
      </c>
    </row>
    <row r="851" spans="1:4" ht="19.95" customHeight="1" x14ac:dyDescent="0.25">
      <c r="A851" s="9" t="s">
        <v>17</v>
      </c>
      <c r="B851" s="10" t="s">
        <v>43</v>
      </c>
      <c r="C851" s="10">
        <v>4.5800048970153098</v>
      </c>
      <c r="D851" s="10">
        <v>1990</v>
      </c>
    </row>
    <row r="852" spans="1:4" ht="19.95" customHeight="1" x14ac:dyDescent="0.25">
      <c r="A852" s="9" t="s">
        <v>18</v>
      </c>
      <c r="B852" s="10" t="s">
        <v>43</v>
      </c>
      <c r="C852" s="10">
        <v>2.0409313059321499</v>
      </c>
      <c r="D852" s="10">
        <v>1990</v>
      </c>
    </row>
    <row r="853" spans="1:4" ht="19.95" customHeight="1" x14ac:dyDescent="0.25">
      <c r="A853" s="9" t="s">
        <v>19</v>
      </c>
      <c r="B853" s="10" t="s">
        <v>43</v>
      </c>
      <c r="C853" s="10">
        <v>3.3433163097955498</v>
      </c>
      <c r="D853" s="10">
        <v>1990</v>
      </c>
    </row>
    <row r="854" spans="1:4" ht="19.95" customHeight="1" x14ac:dyDescent="0.25">
      <c r="A854" s="9" t="s">
        <v>20</v>
      </c>
      <c r="B854" s="10" t="s">
        <v>43</v>
      </c>
      <c r="C854" s="10">
        <v>1.89759014590056</v>
      </c>
      <c r="D854" s="10">
        <v>1990</v>
      </c>
    </row>
    <row r="855" spans="1:4" ht="19.95" customHeight="1" x14ac:dyDescent="0.25">
      <c r="A855" s="9" t="s">
        <v>21</v>
      </c>
      <c r="B855" s="10" t="s">
        <v>43</v>
      </c>
      <c r="C855" s="10">
        <v>-1.62193059441523</v>
      </c>
      <c r="D855" s="10">
        <v>1990</v>
      </c>
    </row>
    <row r="856" spans="1:4" ht="19.95" customHeight="1" x14ac:dyDescent="0.25">
      <c r="A856" s="9" t="s">
        <v>22</v>
      </c>
      <c r="B856" s="10" t="s">
        <v>43</v>
      </c>
      <c r="C856" s="10">
        <v>2.88620025751485</v>
      </c>
      <c r="D856" s="10">
        <v>1990</v>
      </c>
    </row>
    <row r="857" spans="1:4" ht="19.95" customHeight="1" x14ac:dyDescent="0.25">
      <c r="A857" s="9" t="s">
        <v>23</v>
      </c>
      <c r="B857" s="10" t="s">
        <v>43</v>
      </c>
      <c r="C857" s="10">
        <v>3.70080928594383</v>
      </c>
      <c r="D857" s="10">
        <v>1990</v>
      </c>
    </row>
    <row r="858" spans="1:4" ht="19.95" customHeight="1" x14ac:dyDescent="0.25">
      <c r="A858" s="9" t="s">
        <v>24</v>
      </c>
      <c r="B858" s="10" t="s">
        <v>43</v>
      </c>
      <c r="C858" s="10">
        <v>1.8559055186561599</v>
      </c>
      <c r="D858" s="10">
        <v>1990</v>
      </c>
    </row>
    <row r="859" spans="1:4" ht="19.95" customHeight="1" x14ac:dyDescent="0.25">
      <c r="A859" s="9" t="s">
        <v>25</v>
      </c>
      <c r="B859" s="10" t="s">
        <v>43</v>
      </c>
      <c r="C859" s="10">
        <v>0.40666993825536102</v>
      </c>
      <c r="D859" s="10">
        <v>1990</v>
      </c>
    </row>
    <row r="860" spans="1:4" ht="19.95" customHeight="1" x14ac:dyDescent="0.25">
      <c r="A860" s="9" t="s">
        <v>26</v>
      </c>
      <c r="B860" s="10" t="s">
        <v>43</v>
      </c>
      <c r="C860" s="10">
        <v>1.42956117830082</v>
      </c>
      <c r="D860" s="10">
        <v>1990</v>
      </c>
    </row>
    <row r="861" spans="1:4" ht="19.95" customHeight="1" x14ac:dyDescent="0.25">
      <c r="A861" s="9" t="s">
        <v>28</v>
      </c>
      <c r="B861" s="10" t="s">
        <v>43</v>
      </c>
      <c r="C861" s="10">
        <v>1.516347430098</v>
      </c>
      <c r="D861" s="10">
        <v>1990</v>
      </c>
    </row>
    <row r="862" spans="1:4" ht="19.95" customHeight="1" x14ac:dyDescent="0.25">
      <c r="A862" s="9" t="s">
        <v>29</v>
      </c>
      <c r="B862" s="10" t="s">
        <v>43</v>
      </c>
      <c r="C862" s="10">
        <v>2.4615501120551699</v>
      </c>
      <c r="D862" s="10">
        <v>1990</v>
      </c>
    </row>
    <row r="863" spans="1:4" ht="19.95" customHeight="1" x14ac:dyDescent="0.25">
      <c r="A863" s="9" t="s">
        <v>30</v>
      </c>
      <c r="B863" s="10" t="s">
        <v>43</v>
      </c>
      <c r="C863" s="10">
        <v>2.1781800512271099</v>
      </c>
      <c r="D863" s="10">
        <v>1990</v>
      </c>
    </row>
    <row r="864" spans="1:4" ht="19.95" customHeight="1" x14ac:dyDescent="0.25">
      <c r="A864" s="9" t="s">
        <v>31</v>
      </c>
      <c r="B864" s="10" t="s">
        <v>43</v>
      </c>
      <c r="C864" s="10">
        <v>3.0907063449440502</v>
      </c>
      <c r="D864" s="10">
        <v>1990</v>
      </c>
    </row>
    <row r="865" spans="1:4" ht="19.95" customHeight="1" x14ac:dyDescent="0.25">
      <c r="A865" s="9" t="s">
        <v>32</v>
      </c>
      <c r="B865" s="10" t="s">
        <v>43</v>
      </c>
      <c r="C865" s="10">
        <v>0.27359881488436599</v>
      </c>
      <c r="D865" s="10">
        <v>1990</v>
      </c>
    </row>
    <row r="866" spans="1:4" ht="19.95" customHeight="1" x14ac:dyDescent="0.25">
      <c r="A866" s="9" t="s">
        <v>33</v>
      </c>
      <c r="B866" s="10" t="s">
        <v>43</v>
      </c>
      <c r="C866" s="10">
        <v>2.0096454976351699</v>
      </c>
      <c r="D866" s="10">
        <v>1990</v>
      </c>
    </row>
    <row r="867" spans="1:4" ht="19.95" customHeight="1" x14ac:dyDescent="0.25">
      <c r="A867" s="9" t="s">
        <v>34</v>
      </c>
      <c r="B867" s="10" t="s">
        <v>43</v>
      </c>
      <c r="C867" s="10">
        <v>1.27177841403097</v>
      </c>
      <c r="D867" s="10">
        <v>1990</v>
      </c>
    </row>
    <row r="868" spans="1:4" ht="19.95" customHeight="1" x14ac:dyDescent="0.25">
      <c r="A868" s="9" t="s">
        <v>35</v>
      </c>
      <c r="B868" s="10" t="s">
        <v>43</v>
      </c>
      <c r="C868" s="10">
        <v>2.5673447663890201</v>
      </c>
      <c r="D868" s="10">
        <v>1990</v>
      </c>
    </row>
    <row r="869" spans="1:4" ht="19.95" customHeight="1" x14ac:dyDescent="0.25">
      <c r="A869" s="9" t="s">
        <v>36</v>
      </c>
      <c r="B869" s="10" t="s">
        <v>43</v>
      </c>
      <c r="C869" s="10">
        <v>3.1887224621309</v>
      </c>
      <c r="D869" s="10">
        <v>1990</v>
      </c>
    </row>
    <row r="870" spans="1:4" ht="19.95" customHeight="1" x14ac:dyDescent="0.25">
      <c r="A870" s="9" t="s">
        <v>37</v>
      </c>
      <c r="B870" s="10" t="s">
        <v>43</v>
      </c>
      <c r="C870" s="10">
        <v>3.4585162105067702</v>
      </c>
      <c r="D870" s="10">
        <v>1990</v>
      </c>
    </row>
    <row r="871" spans="1:4" ht="19.95" customHeight="1" x14ac:dyDescent="0.25">
      <c r="A871" s="9" t="s">
        <v>38</v>
      </c>
      <c r="B871" s="10" t="s">
        <v>43</v>
      </c>
      <c r="C871" s="10">
        <v>2.6949952228694198</v>
      </c>
      <c r="D871" s="10">
        <v>1990</v>
      </c>
    </row>
    <row r="872" spans="1:4" ht="19.95" customHeight="1" x14ac:dyDescent="0.25">
      <c r="A872" s="9" t="s">
        <v>39</v>
      </c>
      <c r="B872" s="10" t="s">
        <v>43</v>
      </c>
      <c r="C872" s="10">
        <v>2.7939470164437301</v>
      </c>
      <c r="D872" s="10">
        <v>1990</v>
      </c>
    </row>
    <row r="873" spans="1:4" ht="19.95" customHeight="1" x14ac:dyDescent="0.25">
      <c r="A873" s="9" t="s">
        <v>9</v>
      </c>
      <c r="B873" s="10" t="s">
        <v>43</v>
      </c>
      <c r="C873" s="10">
        <v>2.3114591054270202</v>
      </c>
      <c r="D873" s="10">
        <v>1991</v>
      </c>
    </row>
    <row r="874" spans="1:4" ht="19.95" customHeight="1" x14ac:dyDescent="0.25">
      <c r="A874" s="9" t="s">
        <v>12</v>
      </c>
      <c r="B874" s="10" t="s">
        <v>43</v>
      </c>
      <c r="C874" s="10">
        <v>2.9065956825294799</v>
      </c>
      <c r="D874" s="10">
        <v>1991</v>
      </c>
    </row>
    <row r="875" spans="1:4" ht="19.95" customHeight="1" x14ac:dyDescent="0.25">
      <c r="A875" s="9" t="s">
        <v>13</v>
      </c>
      <c r="B875" s="10" t="s">
        <v>43</v>
      </c>
      <c r="C875" s="10">
        <v>3.19219237293456</v>
      </c>
      <c r="D875" s="10">
        <v>1991</v>
      </c>
    </row>
    <row r="876" spans="1:4" ht="19.95" customHeight="1" x14ac:dyDescent="0.25">
      <c r="A876" s="9" t="s">
        <v>15</v>
      </c>
      <c r="B876" s="10" t="s">
        <v>43</v>
      </c>
      <c r="C876" s="10">
        <v>2.9394096268344101</v>
      </c>
      <c r="D876" s="10">
        <v>1991</v>
      </c>
    </row>
    <row r="877" spans="1:4" ht="19.95" customHeight="1" x14ac:dyDescent="0.25">
      <c r="A877" s="9" t="s">
        <v>16</v>
      </c>
      <c r="B877" s="10" t="s">
        <v>43</v>
      </c>
      <c r="C877" s="10">
        <v>2.7474870634819299</v>
      </c>
      <c r="D877" s="10">
        <v>1991</v>
      </c>
    </row>
    <row r="878" spans="1:4" ht="19.95" customHeight="1" x14ac:dyDescent="0.25">
      <c r="A878" s="9" t="s">
        <v>1</v>
      </c>
      <c r="B878" s="10" t="s">
        <v>43</v>
      </c>
      <c r="C878" s="10">
        <v>3.5436442684646399</v>
      </c>
      <c r="D878" s="10">
        <v>1991</v>
      </c>
    </row>
    <row r="879" spans="1:4" ht="19.95" customHeight="1" x14ac:dyDescent="0.25">
      <c r="A879" s="9" t="s">
        <v>17</v>
      </c>
      <c r="B879" s="10" t="s">
        <v>43</v>
      </c>
      <c r="C879" s="10">
        <v>5.3693709229607398</v>
      </c>
      <c r="D879" s="10">
        <v>1991</v>
      </c>
    </row>
    <row r="880" spans="1:4" ht="19.95" customHeight="1" x14ac:dyDescent="0.25">
      <c r="A880" s="9" t="s">
        <v>18</v>
      </c>
      <c r="B880" s="10" t="s">
        <v>43</v>
      </c>
      <c r="C880" s="10">
        <v>2.0032430056321302</v>
      </c>
      <c r="D880" s="10">
        <v>1991</v>
      </c>
    </row>
    <row r="881" spans="1:4" ht="19.95" customHeight="1" x14ac:dyDescent="0.25">
      <c r="A881" s="9" t="s">
        <v>19</v>
      </c>
      <c r="B881" s="10" t="s">
        <v>43</v>
      </c>
      <c r="C881" s="10">
        <v>3.2666066361210402</v>
      </c>
      <c r="D881" s="10">
        <v>1991</v>
      </c>
    </row>
    <row r="882" spans="1:4" ht="19.95" customHeight="1" x14ac:dyDescent="0.25">
      <c r="A882" s="9" t="s">
        <v>20</v>
      </c>
      <c r="B882" s="10" t="s">
        <v>43</v>
      </c>
      <c r="C882" s="10">
        <v>1.9149521332860699</v>
      </c>
      <c r="D882" s="10">
        <v>1991</v>
      </c>
    </row>
    <row r="883" spans="1:4" ht="19.95" customHeight="1" x14ac:dyDescent="0.25">
      <c r="A883" s="9" t="s">
        <v>21</v>
      </c>
      <c r="B883" s="10" t="s">
        <v>43</v>
      </c>
      <c r="C883" s="10">
        <v>-1.77827939865456</v>
      </c>
      <c r="D883" s="10">
        <v>1991</v>
      </c>
    </row>
    <row r="884" spans="1:4" ht="19.95" customHeight="1" x14ac:dyDescent="0.25">
      <c r="A884" s="9" t="s">
        <v>22</v>
      </c>
      <c r="B884" s="10" t="s">
        <v>43</v>
      </c>
      <c r="C884" s="10">
        <v>2.9242930909852798</v>
      </c>
      <c r="D884" s="10">
        <v>1991</v>
      </c>
    </row>
    <row r="885" spans="1:4" ht="19.95" customHeight="1" x14ac:dyDescent="0.25">
      <c r="A885" s="9" t="s">
        <v>23</v>
      </c>
      <c r="B885" s="10" t="s">
        <v>43</v>
      </c>
      <c r="C885" s="10">
        <v>2.1343976825964699</v>
      </c>
      <c r="D885" s="10">
        <v>1991</v>
      </c>
    </row>
    <row r="886" spans="1:4" ht="19.95" customHeight="1" x14ac:dyDescent="0.25">
      <c r="A886" s="9" t="s">
        <v>24</v>
      </c>
      <c r="B886" s="10" t="s">
        <v>43</v>
      </c>
      <c r="C886" s="10">
        <v>2.1887690120765302</v>
      </c>
      <c r="D886" s="10">
        <v>1991</v>
      </c>
    </row>
    <row r="887" spans="1:4" ht="19.95" customHeight="1" x14ac:dyDescent="0.25">
      <c r="A887" s="9" t="s">
        <v>25</v>
      </c>
      <c r="B887" s="10" t="s">
        <v>43</v>
      </c>
      <c r="C887" s="10">
        <v>0.216216300449532</v>
      </c>
      <c r="D887" s="10">
        <v>1991</v>
      </c>
    </row>
    <row r="888" spans="1:4" ht="19.95" customHeight="1" x14ac:dyDescent="0.25">
      <c r="A888" s="9" t="s">
        <v>26</v>
      </c>
      <c r="B888" s="10" t="s">
        <v>43</v>
      </c>
      <c r="C888" s="10">
        <v>2.5659074459801299</v>
      </c>
      <c r="D888" s="10">
        <v>1991</v>
      </c>
    </row>
    <row r="889" spans="1:4" ht="19.95" customHeight="1" x14ac:dyDescent="0.25">
      <c r="A889" s="9" t="s">
        <v>28</v>
      </c>
      <c r="B889" s="10" t="s">
        <v>43</v>
      </c>
      <c r="C889" s="10">
        <v>1.3784886360530799</v>
      </c>
      <c r="D889" s="10">
        <v>1991</v>
      </c>
    </row>
    <row r="890" spans="1:4" ht="19.95" customHeight="1" x14ac:dyDescent="0.25">
      <c r="A890" s="9" t="s">
        <v>29</v>
      </c>
      <c r="B890" s="10" t="s">
        <v>43</v>
      </c>
      <c r="C890" s="10">
        <v>2.60920207407914</v>
      </c>
      <c r="D890" s="10">
        <v>1991</v>
      </c>
    </row>
    <row r="891" spans="1:4" ht="19.95" customHeight="1" x14ac:dyDescent="0.25">
      <c r="A891" s="9" t="s">
        <v>30</v>
      </c>
      <c r="B891" s="10" t="s">
        <v>43</v>
      </c>
      <c r="C891" s="10">
        <v>2.2010665985320998</v>
      </c>
      <c r="D891" s="10">
        <v>1991</v>
      </c>
    </row>
    <row r="892" spans="1:4" ht="19.95" customHeight="1" x14ac:dyDescent="0.25">
      <c r="A892" s="9" t="s">
        <v>31</v>
      </c>
      <c r="B892" s="10" t="s">
        <v>43</v>
      </c>
      <c r="C892" s="10">
        <v>3.1946423366529899</v>
      </c>
      <c r="D892" s="10">
        <v>1991</v>
      </c>
    </row>
    <row r="893" spans="1:4" ht="19.95" customHeight="1" x14ac:dyDescent="0.25">
      <c r="A893" s="9" t="s">
        <v>32</v>
      </c>
      <c r="B893" s="10" t="s">
        <v>43</v>
      </c>
      <c r="C893" s="10">
        <v>-2.5763561918270201</v>
      </c>
      <c r="D893" s="10">
        <v>1991</v>
      </c>
    </row>
    <row r="894" spans="1:4" ht="19.95" customHeight="1" x14ac:dyDescent="0.25">
      <c r="A894" s="9" t="s">
        <v>33</v>
      </c>
      <c r="B894" s="10" t="s">
        <v>43</v>
      </c>
      <c r="C894" s="10">
        <v>2.08620563343371</v>
      </c>
      <c r="D894" s="10">
        <v>1991</v>
      </c>
    </row>
    <row r="895" spans="1:4" ht="19.95" customHeight="1" x14ac:dyDescent="0.25">
      <c r="A895" s="9" t="s">
        <v>34</v>
      </c>
      <c r="B895" s="10" t="s">
        <v>43</v>
      </c>
      <c r="C895" s="10">
        <v>1.20405204086527</v>
      </c>
      <c r="D895" s="10">
        <v>1991</v>
      </c>
    </row>
    <row r="896" spans="1:4" ht="19.95" customHeight="1" x14ac:dyDescent="0.25">
      <c r="A896" s="9" t="s">
        <v>35</v>
      </c>
      <c r="B896" s="10" t="s">
        <v>43</v>
      </c>
      <c r="C896" s="10">
        <v>2.1899257871155502</v>
      </c>
      <c r="D896" s="10">
        <v>1991</v>
      </c>
    </row>
    <row r="897" spans="1:4" ht="19.95" customHeight="1" x14ac:dyDescent="0.25">
      <c r="A897" s="9" t="s">
        <v>36</v>
      </c>
      <c r="B897" s="10" t="s">
        <v>43</v>
      </c>
      <c r="C897" s="10">
        <v>3.3046573622039799</v>
      </c>
      <c r="D897" s="10">
        <v>1991</v>
      </c>
    </row>
    <row r="898" spans="1:4" ht="19.95" customHeight="1" x14ac:dyDescent="0.25">
      <c r="A898" s="9" t="s">
        <v>37</v>
      </c>
      <c r="B898" s="10" t="s">
        <v>43</v>
      </c>
      <c r="C898" s="10">
        <v>3.3912049220383702</v>
      </c>
      <c r="D898" s="10">
        <v>1991</v>
      </c>
    </row>
    <row r="899" spans="1:4" ht="19.95" customHeight="1" x14ac:dyDescent="0.25">
      <c r="A899" s="9" t="s">
        <v>38</v>
      </c>
      <c r="B899" s="10" t="s">
        <v>43</v>
      </c>
      <c r="C899" s="10">
        <v>2.61254418432299</v>
      </c>
      <c r="D899" s="10">
        <v>1991</v>
      </c>
    </row>
    <row r="900" spans="1:4" ht="19.95" customHeight="1" x14ac:dyDescent="0.25">
      <c r="A900" s="9" t="s">
        <v>39</v>
      </c>
      <c r="B900" s="10" t="s">
        <v>43</v>
      </c>
      <c r="C900" s="10">
        <v>2.52052550254573</v>
      </c>
      <c r="D900" s="10">
        <v>1991</v>
      </c>
    </row>
    <row r="901" spans="1:4" ht="19.95" customHeight="1" x14ac:dyDescent="0.25">
      <c r="A901" s="9" t="s">
        <v>9</v>
      </c>
      <c r="B901" s="10" t="s">
        <v>43</v>
      </c>
      <c r="C901" s="10">
        <v>2.12610011823655</v>
      </c>
      <c r="D901" s="10">
        <v>1992</v>
      </c>
    </row>
    <row r="902" spans="1:4" ht="19.95" customHeight="1" x14ac:dyDescent="0.25">
      <c r="A902" s="9" t="s">
        <v>12</v>
      </c>
      <c r="B902" s="10" t="s">
        <v>43</v>
      </c>
      <c r="C902" s="10">
        <v>2.84618180633854</v>
      </c>
      <c r="D902" s="10">
        <v>1992</v>
      </c>
    </row>
    <row r="903" spans="1:4" ht="19.95" customHeight="1" x14ac:dyDescent="0.25">
      <c r="A903" s="9" t="s">
        <v>13</v>
      </c>
      <c r="B903" s="10" t="s">
        <v>43</v>
      </c>
      <c r="C903" s="10">
        <v>3.18460855822453</v>
      </c>
      <c r="D903" s="10">
        <v>1992</v>
      </c>
    </row>
    <row r="904" spans="1:4" ht="19.95" customHeight="1" x14ac:dyDescent="0.25">
      <c r="A904" s="9" t="s">
        <v>15</v>
      </c>
      <c r="B904" s="10" t="s">
        <v>43</v>
      </c>
      <c r="C904" s="10">
        <v>2.9237715881950401</v>
      </c>
      <c r="D904" s="10">
        <v>1992</v>
      </c>
    </row>
    <row r="905" spans="1:4" ht="19.95" customHeight="1" x14ac:dyDescent="0.25">
      <c r="A905" s="9" t="s">
        <v>16</v>
      </c>
      <c r="B905" s="10" t="s">
        <v>43</v>
      </c>
      <c r="C905" s="10">
        <v>1.3438312448475001</v>
      </c>
      <c r="D905" s="10">
        <v>1992</v>
      </c>
    </row>
    <row r="906" spans="1:4" ht="19.95" customHeight="1" x14ac:dyDescent="0.25">
      <c r="A906" s="9" t="s">
        <v>1</v>
      </c>
      <c r="B906" s="10" t="s">
        <v>43</v>
      </c>
      <c r="C906" s="10">
        <v>3.6008732836427999</v>
      </c>
      <c r="D906" s="10">
        <v>1992</v>
      </c>
    </row>
    <row r="907" spans="1:4" ht="19.95" customHeight="1" x14ac:dyDescent="0.25">
      <c r="A907" s="9" t="s">
        <v>17</v>
      </c>
      <c r="B907" s="10" t="s">
        <v>43</v>
      </c>
      <c r="C907" s="10">
        <v>5.8572151185525998</v>
      </c>
      <c r="D907" s="10">
        <v>1992</v>
      </c>
    </row>
    <row r="908" spans="1:4" ht="19.95" customHeight="1" x14ac:dyDescent="0.25">
      <c r="A908" s="9" t="s">
        <v>18</v>
      </c>
      <c r="B908" s="10" t="s">
        <v>43</v>
      </c>
      <c r="C908" s="10">
        <v>1.96288473047601</v>
      </c>
      <c r="D908" s="10">
        <v>1992</v>
      </c>
    </row>
    <row r="909" spans="1:4" ht="19.95" customHeight="1" x14ac:dyDescent="0.25">
      <c r="A909" s="9" t="s">
        <v>19</v>
      </c>
      <c r="B909" s="10" t="s">
        <v>43</v>
      </c>
      <c r="C909" s="10">
        <v>3.19236846206493</v>
      </c>
      <c r="D909" s="10">
        <v>1992</v>
      </c>
    </row>
    <row r="910" spans="1:4" ht="19.95" customHeight="1" x14ac:dyDescent="0.25">
      <c r="A910" s="9" t="s">
        <v>20</v>
      </c>
      <c r="B910" s="10" t="s">
        <v>43</v>
      </c>
      <c r="C910" s="10">
        <v>1.7755035602590099</v>
      </c>
      <c r="D910" s="10">
        <v>1992</v>
      </c>
    </row>
    <row r="911" spans="1:4" ht="19.95" customHeight="1" x14ac:dyDescent="0.25">
      <c r="A911" s="9" t="s">
        <v>21</v>
      </c>
      <c r="B911" s="10" t="s">
        <v>43</v>
      </c>
      <c r="C911" s="10">
        <v>-1.83879963070125</v>
      </c>
      <c r="D911" s="10">
        <v>1992</v>
      </c>
    </row>
    <row r="912" spans="1:4" ht="19.95" customHeight="1" x14ac:dyDescent="0.25">
      <c r="A912" s="9" t="s">
        <v>22</v>
      </c>
      <c r="B912" s="10" t="s">
        <v>43</v>
      </c>
      <c r="C912" s="10">
        <v>2.9577697115717099</v>
      </c>
      <c r="D912" s="10">
        <v>1992</v>
      </c>
    </row>
    <row r="913" spans="1:4" ht="19.95" customHeight="1" x14ac:dyDescent="0.25">
      <c r="A913" s="9" t="s">
        <v>23</v>
      </c>
      <c r="B913" s="10" t="s">
        <v>43</v>
      </c>
      <c r="C913" s="10">
        <v>0.91441031923636695</v>
      </c>
      <c r="D913" s="10">
        <v>1992</v>
      </c>
    </row>
    <row r="914" spans="1:4" ht="19.95" customHeight="1" x14ac:dyDescent="0.25">
      <c r="A914" s="9" t="s">
        <v>24</v>
      </c>
      <c r="B914" s="10" t="s">
        <v>43</v>
      </c>
      <c r="C914" s="10">
        <v>2.4629033953181398</v>
      </c>
      <c r="D914" s="10">
        <v>1992</v>
      </c>
    </row>
    <row r="915" spans="1:4" ht="19.95" customHeight="1" x14ac:dyDescent="0.25">
      <c r="A915" s="9" t="s">
        <v>25</v>
      </c>
      <c r="B915" s="10" t="s">
        <v>43</v>
      </c>
      <c r="C915" s="10">
        <v>5.3981107923500797E-2</v>
      </c>
      <c r="D915" s="10">
        <v>1992</v>
      </c>
    </row>
    <row r="916" spans="1:4" ht="19.95" customHeight="1" x14ac:dyDescent="0.25">
      <c r="A916" s="9" t="s">
        <v>26</v>
      </c>
      <c r="B916" s="10" t="s">
        <v>43</v>
      </c>
      <c r="C916" s="10">
        <v>3.4653181228522101</v>
      </c>
      <c r="D916" s="10">
        <v>1992</v>
      </c>
    </row>
    <row r="917" spans="1:4" ht="19.95" customHeight="1" x14ac:dyDescent="0.25">
      <c r="A917" s="9" t="s">
        <v>28</v>
      </c>
      <c r="B917" s="10" t="s">
        <v>43</v>
      </c>
      <c r="C917" s="10">
        <v>1.25767352957901</v>
      </c>
      <c r="D917" s="10">
        <v>1992</v>
      </c>
    </row>
    <row r="918" spans="1:4" ht="19.95" customHeight="1" x14ac:dyDescent="0.25">
      <c r="A918" s="9" t="s">
        <v>29</v>
      </c>
      <c r="B918" s="10" t="s">
        <v>43</v>
      </c>
      <c r="C918" s="10">
        <v>2.71023204607746</v>
      </c>
      <c r="D918" s="10">
        <v>1992</v>
      </c>
    </row>
    <row r="919" spans="1:4" ht="19.95" customHeight="1" x14ac:dyDescent="0.25">
      <c r="A919" s="9" t="s">
        <v>30</v>
      </c>
      <c r="B919" s="10" t="s">
        <v>43</v>
      </c>
      <c r="C919" s="10">
        <v>2.2053914355220501</v>
      </c>
      <c r="D919" s="10">
        <v>1992</v>
      </c>
    </row>
    <row r="920" spans="1:4" ht="19.95" customHeight="1" x14ac:dyDescent="0.25">
      <c r="A920" s="9" t="s">
        <v>31</v>
      </c>
      <c r="B920" s="10" t="s">
        <v>43</v>
      </c>
      <c r="C920" s="10">
        <v>3.2869613057687799</v>
      </c>
      <c r="D920" s="10">
        <v>1992</v>
      </c>
    </row>
    <row r="921" spans="1:4" ht="19.95" customHeight="1" x14ac:dyDescent="0.25">
      <c r="A921" s="9" t="s">
        <v>32</v>
      </c>
      <c r="B921" s="10" t="s">
        <v>43</v>
      </c>
      <c r="C921" s="10">
        <v>-5.0893332350964604</v>
      </c>
      <c r="D921" s="10">
        <v>1992</v>
      </c>
    </row>
    <row r="922" spans="1:4" ht="19.95" customHeight="1" x14ac:dyDescent="0.25">
      <c r="A922" s="9" t="s">
        <v>33</v>
      </c>
      <c r="B922" s="10" t="s">
        <v>43</v>
      </c>
      <c r="C922" s="10">
        <v>2.1454610514569099</v>
      </c>
      <c r="D922" s="10">
        <v>1992</v>
      </c>
    </row>
    <row r="923" spans="1:4" ht="19.95" customHeight="1" x14ac:dyDescent="0.25">
      <c r="A923" s="9" t="s">
        <v>34</v>
      </c>
      <c r="B923" s="10" t="s">
        <v>43</v>
      </c>
      <c r="C923" s="10">
        <v>1.13948206683813</v>
      </c>
      <c r="D923" s="10">
        <v>1992</v>
      </c>
    </row>
    <row r="924" spans="1:4" ht="19.95" customHeight="1" x14ac:dyDescent="0.25">
      <c r="A924" s="9" t="s">
        <v>35</v>
      </c>
      <c r="B924" s="10" t="s">
        <v>43</v>
      </c>
      <c r="C924" s="10">
        <v>1.8757869758752299</v>
      </c>
      <c r="D924" s="10">
        <v>1992</v>
      </c>
    </row>
    <row r="925" spans="1:4" ht="19.95" customHeight="1" x14ac:dyDescent="0.25">
      <c r="A925" s="9" t="s">
        <v>36</v>
      </c>
      <c r="B925" s="10" t="s">
        <v>43</v>
      </c>
      <c r="C925" s="10">
        <v>3.3798387243935002</v>
      </c>
      <c r="D925" s="10">
        <v>1992</v>
      </c>
    </row>
    <row r="926" spans="1:4" ht="19.95" customHeight="1" x14ac:dyDescent="0.25">
      <c r="A926" s="9" t="s">
        <v>37</v>
      </c>
      <c r="B926" s="10" t="s">
        <v>43</v>
      </c>
      <c r="C926" s="10">
        <v>3.33852465404274</v>
      </c>
      <c r="D926" s="10">
        <v>1992</v>
      </c>
    </row>
    <row r="927" spans="1:4" ht="19.95" customHeight="1" x14ac:dyDescent="0.25">
      <c r="A927" s="9" t="s">
        <v>38</v>
      </c>
      <c r="B927" s="10" t="s">
        <v>43</v>
      </c>
      <c r="C927" s="10">
        <v>2.5467816781603401</v>
      </c>
      <c r="D927" s="10">
        <v>1992</v>
      </c>
    </row>
    <row r="928" spans="1:4" ht="19.95" customHeight="1" x14ac:dyDescent="0.25">
      <c r="A928" s="9" t="s">
        <v>39</v>
      </c>
      <c r="B928" s="10" t="s">
        <v>43</v>
      </c>
      <c r="C928" s="10">
        <v>2.2705321727995602</v>
      </c>
      <c r="D928" s="10">
        <v>1992</v>
      </c>
    </row>
    <row r="929" spans="1:4" ht="19.95" customHeight="1" x14ac:dyDescent="0.25">
      <c r="A929" s="9" t="s">
        <v>9</v>
      </c>
      <c r="B929" s="10" t="s">
        <v>43</v>
      </c>
      <c r="C929" s="10">
        <v>1.9289230149249199</v>
      </c>
      <c r="D929" s="10">
        <v>1993</v>
      </c>
    </row>
    <row r="930" spans="1:4" ht="19.95" customHeight="1" x14ac:dyDescent="0.25">
      <c r="A930" s="9" t="s">
        <v>12</v>
      </c>
      <c r="B930" s="10" t="s">
        <v>43</v>
      </c>
      <c r="C930" s="10">
        <v>2.7811122849640002</v>
      </c>
      <c r="D930" s="10">
        <v>1993</v>
      </c>
    </row>
    <row r="931" spans="1:4" ht="19.95" customHeight="1" x14ac:dyDescent="0.25">
      <c r="A931" s="9" t="s">
        <v>13</v>
      </c>
      <c r="B931" s="10" t="s">
        <v>43</v>
      </c>
      <c r="C931" s="10">
        <v>3.2008765785800799</v>
      </c>
      <c r="D931" s="10">
        <v>1993</v>
      </c>
    </row>
    <row r="932" spans="1:4" ht="19.95" customHeight="1" x14ac:dyDescent="0.25">
      <c r="A932" s="9" t="s">
        <v>15</v>
      </c>
      <c r="B932" s="10" t="s">
        <v>43</v>
      </c>
      <c r="C932" s="10">
        <v>2.8963707862897401</v>
      </c>
      <c r="D932" s="10">
        <v>1993</v>
      </c>
    </row>
    <row r="933" spans="1:4" ht="19.95" customHeight="1" x14ac:dyDescent="0.25">
      <c r="A933" s="9" t="s">
        <v>16</v>
      </c>
      <c r="B933" s="10" t="s">
        <v>43</v>
      </c>
      <c r="C933" s="10">
        <v>0.55790388955488202</v>
      </c>
      <c r="D933" s="10">
        <v>1993</v>
      </c>
    </row>
    <row r="934" spans="1:4" ht="19.95" customHeight="1" x14ac:dyDescent="0.25">
      <c r="A934" s="9" t="s">
        <v>1</v>
      </c>
      <c r="B934" s="10" t="s">
        <v>43</v>
      </c>
      <c r="C934" s="10">
        <v>3.5850483559922099</v>
      </c>
      <c r="D934" s="10">
        <v>1993</v>
      </c>
    </row>
    <row r="935" spans="1:4" ht="19.95" customHeight="1" x14ac:dyDescent="0.25">
      <c r="A935" s="9" t="s">
        <v>17</v>
      </c>
      <c r="B935" s="10" t="s">
        <v>43</v>
      </c>
      <c r="C935" s="10">
        <v>5.8110852390409997</v>
      </c>
      <c r="D935" s="10">
        <v>1993</v>
      </c>
    </row>
    <row r="936" spans="1:4" ht="19.95" customHeight="1" x14ac:dyDescent="0.25">
      <c r="A936" s="9" t="s">
        <v>18</v>
      </c>
      <c r="B936" s="10" t="s">
        <v>43</v>
      </c>
      <c r="C936" s="10">
        <v>1.9270348710154901</v>
      </c>
      <c r="D936" s="10">
        <v>1993</v>
      </c>
    </row>
    <row r="937" spans="1:4" ht="19.95" customHeight="1" x14ac:dyDescent="0.25">
      <c r="A937" s="9" t="s">
        <v>19</v>
      </c>
      <c r="B937" s="10" t="s">
        <v>43</v>
      </c>
      <c r="C937" s="10">
        <v>3.1161476979729699</v>
      </c>
      <c r="D937" s="10">
        <v>1993</v>
      </c>
    </row>
    <row r="938" spans="1:4" ht="19.95" customHeight="1" x14ac:dyDescent="0.25">
      <c r="A938" s="9" t="s">
        <v>20</v>
      </c>
      <c r="B938" s="10" t="s">
        <v>43</v>
      </c>
      <c r="C938" s="10">
        <v>1.69365095308983</v>
      </c>
      <c r="D938" s="10">
        <v>1993</v>
      </c>
    </row>
    <row r="939" spans="1:4" ht="19.95" customHeight="1" x14ac:dyDescent="0.25">
      <c r="A939" s="9" t="s">
        <v>21</v>
      </c>
      <c r="B939" s="10" t="s">
        <v>43</v>
      </c>
      <c r="C939" s="10">
        <v>-1.1176416873517601</v>
      </c>
      <c r="D939" s="10">
        <v>1993</v>
      </c>
    </row>
    <row r="940" spans="1:4" ht="19.95" customHeight="1" x14ac:dyDescent="0.25">
      <c r="A940" s="9" t="s">
        <v>22</v>
      </c>
      <c r="B940" s="10" t="s">
        <v>43</v>
      </c>
      <c r="C940" s="10">
        <v>2.99599663658711</v>
      </c>
      <c r="D940" s="10">
        <v>1993</v>
      </c>
    </row>
    <row r="941" spans="1:4" ht="19.95" customHeight="1" x14ac:dyDescent="0.25">
      <c r="A941" s="9" t="s">
        <v>23</v>
      </c>
      <c r="B941" s="10" t="s">
        <v>43</v>
      </c>
      <c r="C941" s="10">
        <v>0.26830121279310598</v>
      </c>
      <c r="D941" s="10">
        <v>1993</v>
      </c>
    </row>
    <row r="942" spans="1:4" ht="19.95" customHeight="1" x14ac:dyDescent="0.25">
      <c r="A942" s="9" t="s">
        <v>24</v>
      </c>
      <c r="B942" s="10" t="s">
        <v>43</v>
      </c>
      <c r="C942" s="10">
        <v>2.6396602975781902</v>
      </c>
      <c r="D942" s="10">
        <v>1993</v>
      </c>
    </row>
    <row r="943" spans="1:4" ht="19.95" customHeight="1" x14ac:dyDescent="0.25">
      <c r="A943" s="9" t="s">
        <v>25</v>
      </c>
      <c r="B943" s="10" t="s">
        <v>43</v>
      </c>
      <c r="C943" s="10">
        <v>-0.13500744591491301</v>
      </c>
      <c r="D943" s="10">
        <v>1993</v>
      </c>
    </row>
    <row r="944" spans="1:4" ht="19.95" customHeight="1" x14ac:dyDescent="0.25">
      <c r="A944" s="9" t="s">
        <v>26</v>
      </c>
      <c r="B944" s="10" t="s">
        <v>43</v>
      </c>
      <c r="C944" s="10">
        <v>3.9419869486674202</v>
      </c>
      <c r="D944" s="10">
        <v>1993</v>
      </c>
    </row>
    <row r="945" spans="1:4" ht="19.95" customHeight="1" x14ac:dyDescent="0.25">
      <c r="A945" s="9" t="s">
        <v>28</v>
      </c>
      <c r="B945" s="10" t="s">
        <v>43</v>
      </c>
      <c r="C945" s="10">
        <v>1.1875869299748101</v>
      </c>
      <c r="D945" s="10">
        <v>1993</v>
      </c>
    </row>
    <row r="946" spans="1:4" ht="19.95" customHeight="1" x14ac:dyDescent="0.25">
      <c r="A946" s="9" t="s">
        <v>29</v>
      </c>
      <c r="B946" s="10" t="s">
        <v>43</v>
      </c>
      <c r="C946" s="10">
        <v>2.7307032725477498</v>
      </c>
      <c r="D946" s="10">
        <v>1993</v>
      </c>
    </row>
    <row r="947" spans="1:4" ht="19.95" customHeight="1" x14ac:dyDescent="0.25">
      <c r="A947" s="9" t="s">
        <v>30</v>
      </c>
      <c r="B947" s="10" t="s">
        <v>43</v>
      </c>
      <c r="C947" s="10">
        <v>2.1764859172387099</v>
      </c>
      <c r="D947" s="10">
        <v>1993</v>
      </c>
    </row>
    <row r="948" spans="1:4" ht="19.95" customHeight="1" x14ac:dyDescent="0.25">
      <c r="A948" s="9" t="s">
        <v>31</v>
      </c>
      <c r="B948" s="10" t="s">
        <v>43</v>
      </c>
      <c r="C948" s="10">
        <v>3.36961171269333</v>
      </c>
      <c r="D948" s="10">
        <v>1993</v>
      </c>
    </row>
    <row r="949" spans="1:4" ht="19.95" customHeight="1" x14ac:dyDescent="0.25">
      <c r="A949" s="9" t="s">
        <v>32</v>
      </c>
      <c r="B949" s="10" t="s">
        <v>43</v>
      </c>
      <c r="C949" s="10">
        <v>-6.1848568049758104</v>
      </c>
      <c r="D949" s="10">
        <v>1993</v>
      </c>
    </row>
    <row r="950" spans="1:4" ht="19.95" customHeight="1" x14ac:dyDescent="0.25">
      <c r="A950" s="9" t="s">
        <v>33</v>
      </c>
      <c r="B950" s="10" t="s">
        <v>43</v>
      </c>
      <c r="C950" s="10">
        <v>2.1572459594448001</v>
      </c>
      <c r="D950" s="10">
        <v>1993</v>
      </c>
    </row>
    <row r="951" spans="1:4" ht="19.95" customHeight="1" x14ac:dyDescent="0.25">
      <c r="A951" s="9" t="s">
        <v>34</v>
      </c>
      <c r="B951" s="10" t="s">
        <v>43</v>
      </c>
      <c r="C951" s="10">
        <v>1.05379807062486</v>
      </c>
      <c r="D951" s="10">
        <v>1993</v>
      </c>
    </row>
    <row r="952" spans="1:4" ht="19.95" customHeight="1" x14ac:dyDescent="0.25">
      <c r="A952" s="9" t="s">
        <v>35</v>
      </c>
      <c r="B952" s="10" t="s">
        <v>43</v>
      </c>
      <c r="C952" s="10">
        <v>1.6425936738979801</v>
      </c>
      <c r="D952" s="10">
        <v>1993</v>
      </c>
    </row>
    <row r="953" spans="1:4" ht="19.95" customHeight="1" x14ac:dyDescent="0.25">
      <c r="A953" s="9" t="s">
        <v>36</v>
      </c>
      <c r="B953" s="10" t="s">
        <v>43</v>
      </c>
      <c r="C953" s="10">
        <v>3.3585482122703398</v>
      </c>
      <c r="D953" s="10">
        <v>1993</v>
      </c>
    </row>
    <row r="954" spans="1:4" ht="19.95" customHeight="1" x14ac:dyDescent="0.25">
      <c r="A954" s="9" t="s">
        <v>37</v>
      </c>
      <c r="B954" s="10" t="s">
        <v>43</v>
      </c>
      <c r="C954" s="10">
        <v>3.28297725950251</v>
      </c>
      <c r="D954" s="10">
        <v>1993</v>
      </c>
    </row>
    <row r="955" spans="1:4" ht="19.95" customHeight="1" x14ac:dyDescent="0.25">
      <c r="A955" s="9" t="s">
        <v>38</v>
      </c>
      <c r="B955" s="10" t="s">
        <v>43</v>
      </c>
      <c r="C955" s="10">
        <v>2.5337187194366102</v>
      </c>
      <c r="D955" s="10">
        <v>1993</v>
      </c>
    </row>
    <row r="956" spans="1:4" ht="19.95" customHeight="1" x14ac:dyDescent="0.25">
      <c r="A956" s="9" t="s">
        <v>39</v>
      </c>
      <c r="B956" s="10" t="s">
        <v>43</v>
      </c>
      <c r="C956" s="10">
        <v>2.0649386440245001</v>
      </c>
      <c r="D956" s="10">
        <v>1993</v>
      </c>
    </row>
    <row r="957" spans="1:4" ht="19.95" customHeight="1" x14ac:dyDescent="0.25">
      <c r="A957" s="9" t="s">
        <v>9</v>
      </c>
      <c r="B957" s="10" t="s">
        <v>43</v>
      </c>
      <c r="C957" s="10">
        <v>1.72140224114754</v>
      </c>
      <c r="D957" s="10">
        <v>1994</v>
      </c>
    </row>
    <row r="958" spans="1:4" ht="19.95" customHeight="1" x14ac:dyDescent="0.25">
      <c r="A958" s="9" t="s">
        <v>12</v>
      </c>
      <c r="B958" s="10" t="s">
        <v>43</v>
      </c>
      <c r="C958" s="10">
        <v>2.7121784891719001</v>
      </c>
      <c r="D958" s="10">
        <v>1994</v>
      </c>
    </row>
    <row r="959" spans="1:4" ht="19.95" customHeight="1" x14ac:dyDescent="0.25">
      <c r="A959" s="9" t="s">
        <v>13</v>
      </c>
      <c r="B959" s="10" t="s">
        <v>43</v>
      </c>
      <c r="C959" s="10">
        <v>3.24959999394388</v>
      </c>
      <c r="D959" s="10">
        <v>1994</v>
      </c>
    </row>
    <row r="960" spans="1:4" ht="19.95" customHeight="1" x14ac:dyDescent="0.25">
      <c r="A960" s="9" t="s">
        <v>15</v>
      </c>
      <c r="B960" s="10" t="s">
        <v>43</v>
      </c>
      <c r="C960" s="10">
        <v>2.8531331905402499</v>
      </c>
      <c r="D960" s="10">
        <v>1994</v>
      </c>
    </row>
    <row r="961" spans="1:4" ht="19.95" customHeight="1" x14ac:dyDescent="0.25">
      <c r="A961" s="9" t="s">
        <v>16</v>
      </c>
      <c r="B961" s="10" t="s">
        <v>43</v>
      </c>
      <c r="C961" s="10">
        <v>0.62392363972092002</v>
      </c>
      <c r="D961" s="10">
        <v>1994</v>
      </c>
    </row>
    <row r="962" spans="1:4" ht="19.95" customHeight="1" x14ac:dyDescent="0.25">
      <c r="A962" s="9" t="s">
        <v>1</v>
      </c>
      <c r="B962" s="10" t="s">
        <v>43</v>
      </c>
      <c r="C962" s="10">
        <v>3.48437587617657</v>
      </c>
      <c r="D962" s="10">
        <v>1994</v>
      </c>
    </row>
    <row r="963" spans="1:4" ht="19.95" customHeight="1" x14ac:dyDescent="0.25">
      <c r="A963" s="9" t="s">
        <v>17</v>
      </c>
      <c r="B963" s="10" t="s">
        <v>43</v>
      </c>
      <c r="C963" s="10">
        <v>5.1829284109385396</v>
      </c>
      <c r="D963" s="10">
        <v>1994</v>
      </c>
    </row>
    <row r="964" spans="1:4" ht="19.95" customHeight="1" x14ac:dyDescent="0.25">
      <c r="A964" s="9" t="s">
        <v>18</v>
      </c>
      <c r="B964" s="10" t="s">
        <v>43</v>
      </c>
      <c r="C964" s="10">
        <v>1.8968034387603701</v>
      </c>
      <c r="D964" s="10">
        <v>1994</v>
      </c>
    </row>
    <row r="965" spans="1:4" ht="19.95" customHeight="1" x14ac:dyDescent="0.25">
      <c r="A965" s="9" t="s">
        <v>19</v>
      </c>
      <c r="B965" s="10" t="s">
        <v>43</v>
      </c>
      <c r="C965" s="10">
        <v>3.0378340241230899</v>
      </c>
      <c r="D965" s="10">
        <v>1994</v>
      </c>
    </row>
    <row r="966" spans="1:4" ht="19.95" customHeight="1" x14ac:dyDescent="0.25">
      <c r="A966" s="9" t="s">
        <v>20</v>
      </c>
      <c r="B966" s="10" t="s">
        <v>43</v>
      </c>
      <c r="C966" s="10">
        <v>1.6153809112453501</v>
      </c>
      <c r="D966" s="10">
        <v>1994</v>
      </c>
    </row>
    <row r="967" spans="1:4" ht="19.95" customHeight="1" x14ac:dyDescent="0.25">
      <c r="A967" s="9" t="s">
        <v>21</v>
      </c>
      <c r="B967" s="10" t="s">
        <v>43</v>
      </c>
      <c r="C967" s="10">
        <v>0.62978434894833102</v>
      </c>
      <c r="D967" s="10">
        <v>1994</v>
      </c>
    </row>
    <row r="968" spans="1:4" ht="19.95" customHeight="1" x14ac:dyDescent="0.25">
      <c r="A968" s="9" t="s">
        <v>22</v>
      </c>
      <c r="B968" s="10" t="s">
        <v>43</v>
      </c>
      <c r="C968" s="10">
        <v>3.0387153065879899</v>
      </c>
      <c r="D968" s="10">
        <v>1994</v>
      </c>
    </row>
    <row r="969" spans="1:4" ht="19.95" customHeight="1" x14ac:dyDescent="0.25">
      <c r="A969" s="9" t="s">
        <v>23</v>
      </c>
      <c r="B969" s="10" t="s">
        <v>43</v>
      </c>
      <c r="C969" s="10">
        <v>0.42059440303226298</v>
      </c>
      <c r="D969" s="10">
        <v>1994</v>
      </c>
    </row>
    <row r="970" spans="1:4" ht="19.95" customHeight="1" x14ac:dyDescent="0.25">
      <c r="A970" s="9" t="s">
        <v>24</v>
      </c>
      <c r="B970" s="10" t="s">
        <v>43</v>
      </c>
      <c r="C970" s="10">
        <v>2.6862758383866399</v>
      </c>
      <c r="D970" s="10">
        <v>1994</v>
      </c>
    </row>
    <row r="971" spans="1:4" ht="19.95" customHeight="1" x14ac:dyDescent="0.25">
      <c r="A971" s="9" t="s">
        <v>25</v>
      </c>
      <c r="B971" s="10" t="s">
        <v>43</v>
      </c>
      <c r="C971" s="10">
        <v>-0.27056293561574202</v>
      </c>
      <c r="D971" s="10">
        <v>1994</v>
      </c>
    </row>
    <row r="972" spans="1:4" ht="19.95" customHeight="1" x14ac:dyDescent="0.25">
      <c r="A972" s="9" t="s">
        <v>26</v>
      </c>
      <c r="B972" s="10" t="s">
        <v>43</v>
      </c>
      <c r="C972" s="10">
        <v>3.8863887535024499</v>
      </c>
      <c r="D972" s="10">
        <v>1994</v>
      </c>
    </row>
    <row r="973" spans="1:4" ht="19.95" customHeight="1" x14ac:dyDescent="0.25">
      <c r="A973" s="9" t="s">
        <v>28</v>
      </c>
      <c r="B973" s="10" t="s">
        <v>43</v>
      </c>
      <c r="C973" s="10">
        <v>1.18332318360501</v>
      </c>
      <c r="D973" s="10">
        <v>1994</v>
      </c>
    </row>
    <row r="974" spans="1:4" ht="19.95" customHeight="1" x14ac:dyDescent="0.25">
      <c r="A974" s="9" t="s">
        <v>29</v>
      </c>
      <c r="B974" s="10" t="s">
        <v>43</v>
      </c>
      <c r="C974" s="10">
        <v>2.6511747822629599</v>
      </c>
      <c r="D974" s="10">
        <v>1994</v>
      </c>
    </row>
    <row r="975" spans="1:4" ht="19.95" customHeight="1" x14ac:dyDescent="0.25">
      <c r="A975" s="9" t="s">
        <v>30</v>
      </c>
      <c r="B975" s="10" t="s">
        <v>43</v>
      </c>
      <c r="C975" s="10">
        <v>2.1045102336540098</v>
      </c>
      <c r="D975" s="10">
        <v>1994</v>
      </c>
    </row>
    <row r="976" spans="1:4" ht="19.95" customHeight="1" x14ac:dyDescent="0.25">
      <c r="A976" s="9" t="s">
        <v>31</v>
      </c>
      <c r="B976" s="10" t="s">
        <v>43</v>
      </c>
      <c r="C976" s="10">
        <v>3.4386508937919</v>
      </c>
      <c r="D976" s="10">
        <v>1994</v>
      </c>
    </row>
    <row r="977" spans="1:4" ht="19.95" customHeight="1" x14ac:dyDescent="0.25">
      <c r="A977" s="9" t="s">
        <v>32</v>
      </c>
      <c r="B977" s="10" t="s">
        <v>43</v>
      </c>
      <c r="C977" s="10">
        <v>-4.7926913292035804</v>
      </c>
      <c r="D977" s="10">
        <v>1994</v>
      </c>
    </row>
    <row r="978" spans="1:4" ht="19.95" customHeight="1" x14ac:dyDescent="0.25">
      <c r="A978" s="9" t="s">
        <v>33</v>
      </c>
      <c r="B978" s="10" t="s">
        <v>43</v>
      </c>
      <c r="C978" s="10">
        <v>2.0915262371218399</v>
      </c>
      <c r="D978" s="10">
        <v>1994</v>
      </c>
    </row>
    <row r="979" spans="1:4" ht="19.95" customHeight="1" x14ac:dyDescent="0.25">
      <c r="A979" s="9" t="s">
        <v>34</v>
      </c>
      <c r="B979" s="10" t="s">
        <v>43</v>
      </c>
      <c r="C979" s="10">
        <v>0.94247988915501202</v>
      </c>
      <c r="D979" s="10">
        <v>1994</v>
      </c>
    </row>
    <row r="980" spans="1:4" ht="19.95" customHeight="1" x14ac:dyDescent="0.25">
      <c r="A980" s="9" t="s">
        <v>35</v>
      </c>
      <c r="B980" s="10" t="s">
        <v>43</v>
      </c>
      <c r="C980" s="10">
        <v>1.52066812812541</v>
      </c>
      <c r="D980" s="10">
        <v>1994</v>
      </c>
    </row>
    <row r="981" spans="1:4" ht="19.95" customHeight="1" x14ac:dyDescent="0.25">
      <c r="A981" s="9" t="s">
        <v>36</v>
      </c>
      <c r="B981" s="10" t="s">
        <v>43</v>
      </c>
      <c r="C981" s="10">
        <v>3.2204387990677201</v>
      </c>
      <c r="D981" s="10">
        <v>1994</v>
      </c>
    </row>
    <row r="982" spans="1:4" ht="19.95" customHeight="1" x14ac:dyDescent="0.25">
      <c r="A982" s="9" t="s">
        <v>37</v>
      </c>
      <c r="B982" s="10" t="s">
        <v>43</v>
      </c>
      <c r="C982" s="10">
        <v>3.2272463403943799</v>
      </c>
      <c r="D982" s="10">
        <v>1994</v>
      </c>
    </row>
    <row r="983" spans="1:4" ht="19.95" customHeight="1" x14ac:dyDescent="0.25">
      <c r="A983" s="9" t="s">
        <v>38</v>
      </c>
      <c r="B983" s="10" t="s">
        <v>43</v>
      </c>
      <c r="C983" s="10">
        <v>2.5841167034425001</v>
      </c>
      <c r="D983" s="10">
        <v>1994</v>
      </c>
    </row>
    <row r="984" spans="1:4" ht="19.95" customHeight="1" x14ac:dyDescent="0.25">
      <c r="A984" s="9" t="s">
        <v>39</v>
      </c>
      <c r="B984" s="10" t="s">
        <v>43</v>
      </c>
      <c r="C984" s="10">
        <v>1.91800674717188</v>
      </c>
      <c r="D984" s="10">
        <v>1994</v>
      </c>
    </row>
    <row r="985" spans="1:4" ht="19.95" customHeight="1" x14ac:dyDescent="0.25">
      <c r="A985" s="9" t="s">
        <v>9</v>
      </c>
      <c r="B985" s="10" t="s">
        <v>43</v>
      </c>
      <c r="C985" s="10">
        <v>1.52873622081271</v>
      </c>
      <c r="D985" s="10">
        <v>1995</v>
      </c>
    </row>
    <row r="986" spans="1:4" ht="19.95" customHeight="1" x14ac:dyDescent="0.25">
      <c r="A986" s="9" t="s">
        <v>12</v>
      </c>
      <c r="B986" s="10" t="s">
        <v>43</v>
      </c>
      <c r="C986" s="10">
        <v>2.6446806891655998</v>
      </c>
      <c r="D986" s="10">
        <v>1995</v>
      </c>
    </row>
    <row r="987" spans="1:4" ht="19.95" customHeight="1" x14ac:dyDescent="0.25">
      <c r="A987" s="9" t="s">
        <v>13</v>
      </c>
      <c r="B987" s="10" t="s">
        <v>43</v>
      </c>
      <c r="C987" s="10">
        <v>3.3197182822711899</v>
      </c>
      <c r="D987" s="10">
        <v>1995</v>
      </c>
    </row>
    <row r="988" spans="1:4" ht="19.95" customHeight="1" x14ac:dyDescent="0.25">
      <c r="A988" s="9" t="s">
        <v>15</v>
      </c>
      <c r="B988" s="10" t="s">
        <v>43</v>
      </c>
      <c r="C988" s="10">
        <v>2.7979655382905801</v>
      </c>
      <c r="D988" s="10">
        <v>1995</v>
      </c>
    </row>
    <row r="989" spans="1:4" ht="19.95" customHeight="1" x14ac:dyDescent="0.25">
      <c r="A989" s="9" t="s">
        <v>16</v>
      </c>
      <c r="B989" s="10" t="s">
        <v>43</v>
      </c>
      <c r="C989" s="10">
        <v>1.2807158706794399</v>
      </c>
      <c r="D989" s="10">
        <v>1995</v>
      </c>
    </row>
    <row r="990" spans="1:4" ht="19.95" customHeight="1" x14ac:dyDescent="0.25">
      <c r="A990" s="9" t="s">
        <v>1</v>
      </c>
      <c r="B990" s="10" t="s">
        <v>43</v>
      </c>
      <c r="C990" s="10">
        <v>3.3331811672434002</v>
      </c>
      <c r="D990" s="10">
        <v>1995</v>
      </c>
    </row>
    <row r="991" spans="1:4" ht="19.95" customHeight="1" x14ac:dyDescent="0.25">
      <c r="A991" s="9" t="s">
        <v>17</v>
      </c>
      <c r="B991" s="10" t="s">
        <v>43</v>
      </c>
      <c r="C991" s="10">
        <v>4.2415980048721602</v>
      </c>
      <c r="D991" s="10">
        <v>1995</v>
      </c>
    </row>
    <row r="992" spans="1:4" ht="19.95" customHeight="1" x14ac:dyDescent="0.25">
      <c r="A992" s="9" t="s">
        <v>18</v>
      </c>
      <c r="B992" s="10" t="s">
        <v>43</v>
      </c>
      <c r="C992" s="10">
        <v>1.8703048750528</v>
      </c>
      <c r="D992" s="10">
        <v>1995</v>
      </c>
    </row>
    <row r="993" spans="1:4" ht="19.95" customHeight="1" x14ac:dyDescent="0.25">
      <c r="A993" s="9" t="s">
        <v>19</v>
      </c>
      <c r="B993" s="10" t="s">
        <v>43</v>
      </c>
      <c r="C993" s="10">
        <v>2.9614219367277101</v>
      </c>
      <c r="D993" s="10">
        <v>1995</v>
      </c>
    </row>
    <row r="994" spans="1:4" ht="19.95" customHeight="1" x14ac:dyDescent="0.25">
      <c r="A994" s="9" t="s">
        <v>20</v>
      </c>
      <c r="B994" s="10" t="s">
        <v>43</v>
      </c>
      <c r="C994" s="10">
        <v>1.5897006409999499</v>
      </c>
      <c r="D994" s="10">
        <v>1995</v>
      </c>
    </row>
    <row r="995" spans="1:4" ht="19.95" customHeight="1" x14ac:dyDescent="0.25">
      <c r="A995" s="9" t="s">
        <v>21</v>
      </c>
      <c r="B995" s="10" t="s">
        <v>43</v>
      </c>
      <c r="C995" s="10">
        <v>2.9660303330356701</v>
      </c>
      <c r="D995" s="10">
        <v>1995</v>
      </c>
    </row>
    <row r="996" spans="1:4" ht="19.95" customHeight="1" x14ac:dyDescent="0.25">
      <c r="A996" s="9" t="s">
        <v>22</v>
      </c>
      <c r="B996" s="10" t="s">
        <v>43</v>
      </c>
      <c r="C996" s="10">
        <v>3.0810807157788802</v>
      </c>
      <c r="D996" s="10">
        <v>1995</v>
      </c>
    </row>
    <row r="997" spans="1:4" ht="19.95" customHeight="1" x14ac:dyDescent="0.25">
      <c r="A997" s="9" t="s">
        <v>23</v>
      </c>
      <c r="B997" s="10" t="s">
        <v>43</v>
      </c>
      <c r="C997" s="10">
        <v>1.1378549222752701</v>
      </c>
      <c r="D997" s="10">
        <v>1995</v>
      </c>
    </row>
    <row r="998" spans="1:4" ht="19.95" customHeight="1" x14ac:dyDescent="0.25">
      <c r="A998" s="9" t="s">
        <v>24</v>
      </c>
      <c r="B998" s="10" t="s">
        <v>43</v>
      </c>
      <c r="C998" s="10">
        <v>2.6488222869853701</v>
      </c>
      <c r="D998" s="10">
        <v>1995</v>
      </c>
    </row>
    <row r="999" spans="1:4" ht="19.95" customHeight="1" x14ac:dyDescent="0.25">
      <c r="A999" s="9" t="s">
        <v>25</v>
      </c>
      <c r="B999" s="10" t="s">
        <v>43</v>
      </c>
      <c r="C999" s="10">
        <v>-0.43173529703935798</v>
      </c>
      <c r="D999" s="10">
        <v>1995</v>
      </c>
    </row>
    <row r="1000" spans="1:4" ht="19.95" customHeight="1" x14ac:dyDescent="0.25">
      <c r="A1000" s="9" t="s">
        <v>26</v>
      </c>
      <c r="B1000" s="10" t="s">
        <v>43</v>
      </c>
      <c r="C1000" s="10">
        <v>3.5003891334133299</v>
      </c>
      <c r="D1000" s="10">
        <v>1995</v>
      </c>
    </row>
    <row r="1001" spans="1:4" ht="19.95" customHeight="1" x14ac:dyDescent="0.25">
      <c r="A1001" s="9" t="s">
        <v>28</v>
      </c>
      <c r="B1001" s="10" t="s">
        <v>43</v>
      </c>
      <c r="C1001" s="10">
        <v>1.22297954379916</v>
      </c>
      <c r="D1001" s="10">
        <v>1995</v>
      </c>
    </row>
    <row r="1002" spans="1:4" ht="19.95" customHeight="1" x14ac:dyDescent="0.25">
      <c r="A1002" s="9" t="s">
        <v>29</v>
      </c>
      <c r="B1002" s="10" t="s">
        <v>43</v>
      </c>
      <c r="C1002" s="10">
        <v>2.5046742123547698</v>
      </c>
      <c r="D1002" s="10">
        <v>1995</v>
      </c>
    </row>
    <row r="1003" spans="1:4" ht="19.95" customHeight="1" x14ac:dyDescent="0.25">
      <c r="A1003" s="9" t="s">
        <v>30</v>
      </c>
      <c r="B1003" s="10" t="s">
        <v>43</v>
      </c>
      <c r="C1003" s="10">
        <v>2.0038658226326098</v>
      </c>
      <c r="D1003" s="10">
        <v>1995</v>
      </c>
    </row>
    <row r="1004" spans="1:4" ht="19.95" customHeight="1" x14ac:dyDescent="0.25">
      <c r="A1004" s="9" t="s">
        <v>31</v>
      </c>
      <c r="B1004" s="10" t="s">
        <v>43</v>
      </c>
      <c r="C1004" s="10">
        <v>3.49564092494332</v>
      </c>
      <c r="D1004" s="10">
        <v>1995</v>
      </c>
    </row>
    <row r="1005" spans="1:4" ht="19.95" customHeight="1" x14ac:dyDescent="0.25">
      <c r="A1005" s="9" t="s">
        <v>32</v>
      </c>
      <c r="B1005" s="10" t="s">
        <v>43</v>
      </c>
      <c r="C1005" s="10">
        <v>-1.2908229754726399</v>
      </c>
      <c r="D1005" s="10">
        <v>1995</v>
      </c>
    </row>
    <row r="1006" spans="1:4" ht="19.95" customHeight="1" x14ac:dyDescent="0.25">
      <c r="A1006" s="9" t="s">
        <v>33</v>
      </c>
      <c r="B1006" s="10" t="s">
        <v>43</v>
      </c>
      <c r="C1006" s="10">
        <v>1.98148057118676</v>
      </c>
      <c r="D1006" s="10">
        <v>1995</v>
      </c>
    </row>
    <row r="1007" spans="1:4" ht="19.95" customHeight="1" x14ac:dyDescent="0.25">
      <c r="A1007" s="9" t="s">
        <v>34</v>
      </c>
      <c r="B1007" s="10" t="s">
        <v>43</v>
      </c>
      <c r="C1007" s="10">
        <v>0.81866507713401004</v>
      </c>
      <c r="D1007" s="10">
        <v>1995</v>
      </c>
    </row>
    <row r="1008" spans="1:4" ht="19.95" customHeight="1" x14ac:dyDescent="0.25">
      <c r="A1008" s="9" t="s">
        <v>35</v>
      </c>
      <c r="B1008" s="10" t="s">
        <v>43</v>
      </c>
      <c r="C1008" s="10">
        <v>1.48335410074331</v>
      </c>
      <c r="D1008" s="10">
        <v>1995</v>
      </c>
    </row>
    <row r="1009" spans="1:4" ht="19.95" customHeight="1" x14ac:dyDescent="0.25">
      <c r="A1009" s="9" t="s">
        <v>36</v>
      </c>
      <c r="B1009" s="10" t="s">
        <v>43</v>
      </c>
      <c r="C1009" s="10">
        <v>3.0161189337434098</v>
      </c>
      <c r="D1009" s="10">
        <v>1995</v>
      </c>
    </row>
    <row r="1010" spans="1:4" ht="19.95" customHeight="1" x14ac:dyDescent="0.25">
      <c r="A1010" s="9" t="s">
        <v>37</v>
      </c>
      <c r="B1010" s="10" t="s">
        <v>43</v>
      </c>
      <c r="C1010" s="10">
        <v>3.1771825167633101</v>
      </c>
      <c r="D1010" s="10">
        <v>1995</v>
      </c>
    </row>
    <row r="1011" spans="1:4" ht="19.95" customHeight="1" x14ac:dyDescent="0.25">
      <c r="A1011" s="9" t="s">
        <v>38</v>
      </c>
      <c r="B1011" s="10" t="s">
        <v>43</v>
      </c>
      <c r="C1011" s="10">
        <v>2.67265411236919</v>
      </c>
      <c r="D1011" s="10">
        <v>1995</v>
      </c>
    </row>
    <row r="1012" spans="1:4" ht="19.95" customHeight="1" x14ac:dyDescent="0.25">
      <c r="A1012" s="9" t="s">
        <v>39</v>
      </c>
      <c r="B1012" s="10" t="s">
        <v>43</v>
      </c>
      <c r="C1012" s="10">
        <v>1.8130846959325799</v>
      </c>
      <c r="D1012" s="10">
        <v>1995</v>
      </c>
    </row>
    <row r="1013" spans="1:4" ht="19.95" customHeight="1" x14ac:dyDescent="0.25">
      <c r="A1013" s="9" t="s">
        <v>9</v>
      </c>
      <c r="B1013" s="10" t="s">
        <v>43</v>
      </c>
      <c r="C1013" s="10">
        <v>1.3172377473904699</v>
      </c>
      <c r="D1013" s="10">
        <v>1996</v>
      </c>
    </row>
    <row r="1014" spans="1:4" ht="19.95" customHeight="1" x14ac:dyDescent="0.25">
      <c r="A1014" s="9" t="s">
        <v>12</v>
      </c>
      <c r="B1014" s="10" t="s">
        <v>43</v>
      </c>
      <c r="C1014" s="10">
        <v>2.5775782196854</v>
      </c>
      <c r="D1014" s="10">
        <v>1996</v>
      </c>
    </row>
    <row r="1015" spans="1:4" ht="19.95" customHeight="1" x14ac:dyDescent="0.25">
      <c r="A1015" s="9" t="s">
        <v>13</v>
      </c>
      <c r="B1015" s="10" t="s">
        <v>43</v>
      </c>
      <c r="C1015" s="10">
        <v>3.3764537373109902</v>
      </c>
      <c r="D1015" s="10">
        <v>1996</v>
      </c>
    </row>
    <row r="1016" spans="1:4" ht="19.95" customHeight="1" x14ac:dyDescent="0.25">
      <c r="A1016" s="9" t="s">
        <v>15</v>
      </c>
      <c r="B1016" s="10" t="s">
        <v>43</v>
      </c>
      <c r="C1016" s="10">
        <v>2.7455483327516399</v>
      </c>
      <c r="D1016" s="10">
        <v>1996</v>
      </c>
    </row>
    <row r="1017" spans="1:4" ht="19.95" customHeight="1" x14ac:dyDescent="0.25">
      <c r="A1017" s="9" t="s">
        <v>16</v>
      </c>
      <c r="B1017" s="10" t="s">
        <v>43</v>
      </c>
      <c r="C1017" s="10">
        <v>2.0869312501134201</v>
      </c>
      <c r="D1017" s="10">
        <v>1996</v>
      </c>
    </row>
    <row r="1018" spans="1:4" ht="19.95" customHeight="1" x14ac:dyDescent="0.25">
      <c r="A1018" s="9" t="s">
        <v>1</v>
      </c>
      <c r="B1018" s="10" t="s">
        <v>43</v>
      </c>
      <c r="C1018" s="10">
        <v>3.1690584918240301</v>
      </c>
      <c r="D1018" s="10">
        <v>1996</v>
      </c>
    </row>
    <row r="1019" spans="1:4" ht="19.95" customHeight="1" x14ac:dyDescent="0.25">
      <c r="A1019" s="9" t="s">
        <v>17</v>
      </c>
      <c r="B1019" s="10" t="s">
        <v>43</v>
      </c>
      <c r="C1019" s="10">
        <v>3.2667675105796801</v>
      </c>
      <c r="D1019" s="10">
        <v>1996</v>
      </c>
    </row>
    <row r="1020" spans="1:4" ht="19.95" customHeight="1" x14ac:dyDescent="0.25">
      <c r="A1020" s="9" t="s">
        <v>18</v>
      </c>
      <c r="B1020" s="10" t="s">
        <v>43</v>
      </c>
      <c r="C1020" s="10">
        <v>1.8466623637383901</v>
      </c>
      <c r="D1020" s="10">
        <v>1996</v>
      </c>
    </row>
    <row r="1021" spans="1:4" ht="19.95" customHeight="1" x14ac:dyDescent="0.25">
      <c r="A1021" s="9" t="s">
        <v>19</v>
      </c>
      <c r="B1021" s="10" t="s">
        <v>43</v>
      </c>
      <c r="C1021" s="10">
        <v>2.8879913062755298</v>
      </c>
      <c r="D1021" s="10">
        <v>1996</v>
      </c>
    </row>
    <row r="1022" spans="1:4" ht="19.95" customHeight="1" x14ac:dyDescent="0.25">
      <c r="A1022" s="9" t="s">
        <v>20</v>
      </c>
      <c r="B1022" s="10" t="s">
        <v>43</v>
      </c>
      <c r="C1022" s="10">
        <v>1.46773672019747</v>
      </c>
      <c r="D1022" s="10">
        <v>1996</v>
      </c>
    </row>
    <row r="1023" spans="1:4" ht="19.95" customHeight="1" x14ac:dyDescent="0.25">
      <c r="A1023" s="9" t="s">
        <v>21</v>
      </c>
      <c r="B1023" s="10" t="s">
        <v>43</v>
      </c>
      <c r="C1023" s="10">
        <v>5.5210435438681396</v>
      </c>
      <c r="D1023" s="10">
        <v>1996</v>
      </c>
    </row>
    <row r="1024" spans="1:4" ht="19.95" customHeight="1" x14ac:dyDescent="0.25">
      <c r="A1024" s="9" t="s">
        <v>22</v>
      </c>
      <c r="B1024" s="10" t="s">
        <v>43</v>
      </c>
      <c r="C1024" s="10">
        <v>3.1216401780262801</v>
      </c>
      <c r="D1024" s="10">
        <v>1996</v>
      </c>
    </row>
    <row r="1025" spans="1:4" ht="19.95" customHeight="1" x14ac:dyDescent="0.25">
      <c r="A1025" s="9" t="s">
        <v>23</v>
      </c>
      <c r="B1025" s="10" t="s">
        <v>43</v>
      </c>
      <c r="C1025" s="10">
        <v>2.0051846536519702</v>
      </c>
      <c r="D1025" s="10">
        <v>1996</v>
      </c>
    </row>
    <row r="1026" spans="1:4" ht="19.95" customHeight="1" x14ac:dyDescent="0.25">
      <c r="A1026" s="9" t="s">
        <v>24</v>
      </c>
      <c r="B1026" s="10" t="s">
        <v>43</v>
      </c>
      <c r="C1026" s="10">
        <v>2.5936054117640399</v>
      </c>
      <c r="D1026" s="10">
        <v>1996</v>
      </c>
    </row>
    <row r="1027" spans="1:4" ht="19.95" customHeight="1" x14ac:dyDescent="0.25">
      <c r="A1027" s="9" t="s">
        <v>25</v>
      </c>
      <c r="B1027" s="10" t="s">
        <v>43</v>
      </c>
      <c r="C1027" s="10">
        <v>-0.20022213334363201</v>
      </c>
      <c r="D1027" s="10">
        <v>1996</v>
      </c>
    </row>
    <row r="1028" spans="1:4" ht="19.95" customHeight="1" x14ac:dyDescent="0.25">
      <c r="A1028" s="9" t="s">
        <v>26</v>
      </c>
      <c r="B1028" s="10" t="s">
        <v>43</v>
      </c>
      <c r="C1028" s="10">
        <v>3.05640960857425</v>
      </c>
      <c r="D1028" s="10">
        <v>1996</v>
      </c>
    </row>
    <row r="1029" spans="1:4" ht="19.95" customHeight="1" x14ac:dyDescent="0.25">
      <c r="A1029" s="9" t="s">
        <v>28</v>
      </c>
      <c r="B1029" s="10" t="s">
        <v>43</v>
      </c>
      <c r="C1029" s="10">
        <v>1.2766138353054599</v>
      </c>
      <c r="D1029" s="10">
        <v>1996</v>
      </c>
    </row>
    <row r="1030" spans="1:4" ht="19.95" customHeight="1" x14ac:dyDescent="0.25">
      <c r="A1030" s="9" t="s">
        <v>29</v>
      </c>
      <c r="B1030" s="10" t="s">
        <v>43</v>
      </c>
      <c r="C1030" s="10">
        <v>2.3418981370256402</v>
      </c>
      <c r="D1030" s="10">
        <v>1996</v>
      </c>
    </row>
    <row r="1031" spans="1:4" ht="19.95" customHeight="1" x14ac:dyDescent="0.25">
      <c r="A1031" s="9" t="s">
        <v>30</v>
      </c>
      <c r="B1031" s="10" t="s">
        <v>43</v>
      </c>
      <c r="C1031" s="10">
        <v>1.90172022245982</v>
      </c>
      <c r="D1031" s="10">
        <v>1996</v>
      </c>
    </row>
    <row r="1032" spans="1:4" ht="19.95" customHeight="1" x14ac:dyDescent="0.25">
      <c r="A1032" s="9" t="s">
        <v>31</v>
      </c>
      <c r="B1032" s="10" t="s">
        <v>43</v>
      </c>
      <c r="C1032" s="10">
        <v>3.5514508799327098</v>
      </c>
      <c r="D1032" s="10">
        <v>1996</v>
      </c>
    </row>
    <row r="1033" spans="1:4" ht="19.95" customHeight="1" x14ac:dyDescent="0.25">
      <c r="A1033" s="9" t="s">
        <v>32</v>
      </c>
      <c r="B1033" s="10" t="s">
        <v>43</v>
      </c>
      <c r="C1033" s="10">
        <v>3.1072196385791302</v>
      </c>
      <c r="D1033" s="10">
        <v>1996</v>
      </c>
    </row>
    <row r="1034" spans="1:4" ht="19.95" customHeight="1" x14ac:dyDescent="0.25">
      <c r="A1034" s="9" t="s">
        <v>33</v>
      </c>
      <c r="B1034" s="10" t="s">
        <v>43</v>
      </c>
      <c r="C1034" s="10">
        <v>1.8545238186167201</v>
      </c>
      <c r="D1034" s="10">
        <v>1996</v>
      </c>
    </row>
    <row r="1035" spans="1:4" ht="19.95" customHeight="1" x14ac:dyDescent="0.25">
      <c r="A1035" s="9" t="s">
        <v>34</v>
      </c>
      <c r="B1035" s="10" t="s">
        <v>43</v>
      </c>
      <c r="C1035" s="10">
        <v>0.68269839613943695</v>
      </c>
      <c r="D1035" s="10">
        <v>1996</v>
      </c>
    </row>
    <row r="1036" spans="1:4" ht="19.95" customHeight="1" x14ac:dyDescent="0.25">
      <c r="A1036" s="9" t="s">
        <v>35</v>
      </c>
      <c r="B1036" s="10" t="s">
        <v>43</v>
      </c>
      <c r="C1036" s="10">
        <v>1.46078298351547</v>
      </c>
      <c r="D1036" s="10">
        <v>1996</v>
      </c>
    </row>
    <row r="1037" spans="1:4" ht="19.95" customHeight="1" x14ac:dyDescent="0.25">
      <c r="A1037" s="9" t="s">
        <v>36</v>
      </c>
      <c r="B1037" s="10" t="s">
        <v>43</v>
      </c>
      <c r="C1037" s="10">
        <v>2.80104265506974</v>
      </c>
      <c r="D1037" s="10">
        <v>1996</v>
      </c>
    </row>
    <row r="1038" spans="1:4" ht="19.95" customHeight="1" x14ac:dyDescent="0.25">
      <c r="A1038" s="9" t="s">
        <v>37</v>
      </c>
      <c r="B1038" s="10" t="s">
        <v>43</v>
      </c>
      <c r="C1038" s="10">
        <v>3.1225980922180998</v>
      </c>
      <c r="D1038" s="10">
        <v>1996</v>
      </c>
    </row>
    <row r="1039" spans="1:4" ht="19.95" customHeight="1" x14ac:dyDescent="0.25">
      <c r="A1039" s="9" t="s">
        <v>38</v>
      </c>
      <c r="B1039" s="10" t="s">
        <v>43</v>
      </c>
      <c r="C1039" s="10">
        <v>2.7763016908039799</v>
      </c>
      <c r="D1039" s="10">
        <v>1996</v>
      </c>
    </row>
    <row r="1040" spans="1:4" ht="19.95" customHeight="1" x14ac:dyDescent="0.25">
      <c r="A1040" s="9" t="s">
        <v>39</v>
      </c>
      <c r="B1040" s="10" t="s">
        <v>43</v>
      </c>
      <c r="C1040" s="10">
        <v>1.7332138151509699</v>
      </c>
      <c r="D1040" s="10">
        <v>1996</v>
      </c>
    </row>
    <row r="1041" spans="1:4" ht="19.95" customHeight="1" x14ac:dyDescent="0.25">
      <c r="A1041" s="9" t="s">
        <v>9</v>
      </c>
      <c r="B1041" s="10" t="s">
        <v>43</v>
      </c>
      <c r="C1041" s="10">
        <v>1.1681821195567701</v>
      </c>
      <c r="D1041" s="10">
        <v>1997</v>
      </c>
    </row>
    <row r="1042" spans="1:4" ht="19.95" customHeight="1" x14ac:dyDescent="0.25">
      <c r="A1042" s="9" t="s">
        <v>12</v>
      </c>
      <c r="B1042" s="10" t="s">
        <v>43</v>
      </c>
      <c r="C1042" s="10">
        <v>2.5232043046758998</v>
      </c>
      <c r="D1042" s="10">
        <v>1997</v>
      </c>
    </row>
    <row r="1043" spans="1:4" ht="19.95" customHeight="1" x14ac:dyDescent="0.25">
      <c r="A1043" s="9" t="s">
        <v>13</v>
      </c>
      <c r="B1043" s="10" t="s">
        <v>43</v>
      </c>
      <c r="C1043" s="10">
        <v>3.4224924785825799</v>
      </c>
      <c r="D1043" s="10">
        <v>1997</v>
      </c>
    </row>
    <row r="1044" spans="1:4" ht="19.95" customHeight="1" x14ac:dyDescent="0.25">
      <c r="A1044" s="9" t="s">
        <v>15</v>
      </c>
      <c r="B1044" s="10" t="s">
        <v>43</v>
      </c>
      <c r="C1044" s="10">
        <v>2.6907072587393901</v>
      </c>
      <c r="D1044" s="10">
        <v>1997</v>
      </c>
    </row>
    <row r="1045" spans="1:4" ht="19.95" customHeight="1" x14ac:dyDescent="0.25">
      <c r="A1045" s="9" t="s">
        <v>16</v>
      </c>
      <c r="B1045" s="10" t="s">
        <v>43</v>
      </c>
      <c r="C1045" s="10">
        <v>2.6477917605727002</v>
      </c>
      <c r="D1045" s="10">
        <v>1997</v>
      </c>
    </row>
    <row r="1046" spans="1:4" ht="19.95" customHeight="1" x14ac:dyDescent="0.25">
      <c r="A1046" s="9" t="s">
        <v>1</v>
      </c>
      <c r="B1046" s="10" t="s">
        <v>43</v>
      </c>
      <c r="C1046" s="10">
        <v>3.03241044527612</v>
      </c>
      <c r="D1046" s="10">
        <v>1997</v>
      </c>
    </row>
    <row r="1047" spans="1:4" ht="19.95" customHeight="1" x14ac:dyDescent="0.25">
      <c r="A1047" s="9" t="s">
        <v>17</v>
      </c>
      <c r="B1047" s="10" t="s">
        <v>43</v>
      </c>
      <c r="C1047" s="10">
        <v>2.4947166820834799</v>
      </c>
      <c r="D1047" s="10">
        <v>1997</v>
      </c>
    </row>
    <row r="1048" spans="1:4" ht="19.95" customHeight="1" x14ac:dyDescent="0.25">
      <c r="A1048" s="9" t="s">
        <v>18</v>
      </c>
      <c r="B1048" s="10" t="s">
        <v>43</v>
      </c>
      <c r="C1048" s="10">
        <v>1.8212036693926399</v>
      </c>
      <c r="D1048" s="10">
        <v>1997</v>
      </c>
    </row>
    <row r="1049" spans="1:4" ht="19.95" customHeight="1" x14ac:dyDescent="0.25">
      <c r="A1049" s="9" t="s">
        <v>19</v>
      </c>
      <c r="B1049" s="10" t="s">
        <v>43</v>
      </c>
      <c r="C1049" s="10">
        <v>2.8245446994010601</v>
      </c>
      <c r="D1049" s="10">
        <v>1997</v>
      </c>
    </row>
    <row r="1050" spans="1:4" ht="19.95" customHeight="1" x14ac:dyDescent="0.25">
      <c r="A1050" s="9" t="s">
        <v>20</v>
      </c>
      <c r="B1050" s="10" t="s">
        <v>43</v>
      </c>
      <c r="C1050" s="10">
        <v>1.3027928532928199</v>
      </c>
      <c r="D1050" s="10">
        <v>1997</v>
      </c>
    </row>
    <row r="1051" spans="1:4" ht="19.95" customHeight="1" x14ac:dyDescent="0.25">
      <c r="A1051" s="9" t="s">
        <v>21</v>
      </c>
      <c r="B1051" s="10" t="s">
        <v>43</v>
      </c>
      <c r="C1051" s="10">
        <v>7.3572924577270404</v>
      </c>
      <c r="D1051" s="10">
        <v>1997</v>
      </c>
    </row>
    <row r="1052" spans="1:4" ht="19.95" customHeight="1" x14ac:dyDescent="0.25">
      <c r="A1052" s="9" t="s">
        <v>22</v>
      </c>
      <c r="B1052" s="10" t="s">
        <v>43</v>
      </c>
      <c r="C1052" s="10">
        <v>3.1518181248171602</v>
      </c>
      <c r="D1052" s="10">
        <v>1997</v>
      </c>
    </row>
    <row r="1053" spans="1:4" ht="19.95" customHeight="1" x14ac:dyDescent="0.25">
      <c r="A1053" s="9" t="s">
        <v>23</v>
      </c>
      <c r="B1053" s="10" t="s">
        <v>43</v>
      </c>
      <c r="C1053" s="10">
        <v>2.6556082690863301</v>
      </c>
      <c r="D1053" s="10">
        <v>1997</v>
      </c>
    </row>
    <row r="1054" spans="1:4" ht="19.95" customHeight="1" x14ac:dyDescent="0.25">
      <c r="A1054" s="9" t="s">
        <v>24</v>
      </c>
      <c r="B1054" s="10" t="s">
        <v>43</v>
      </c>
      <c r="C1054" s="10">
        <v>2.5767309806607899</v>
      </c>
      <c r="D1054" s="10">
        <v>1997</v>
      </c>
    </row>
    <row r="1055" spans="1:4" ht="19.95" customHeight="1" x14ac:dyDescent="0.25">
      <c r="A1055" s="9" t="s">
        <v>25</v>
      </c>
      <c r="B1055" s="10" t="s">
        <v>43</v>
      </c>
      <c r="C1055" s="10">
        <v>-0.36984694893285602</v>
      </c>
      <c r="D1055" s="10">
        <v>1997</v>
      </c>
    </row>
    <row r="1056" spans="1:4" ht="19.95" customHeight="1" x14ac:dyDescent="0.25">
      <c r="A1056" s="9" t="s">
        <v>26</v>
      </c>
      <c r="B1056" s="10" t="s">
        <v>43</v>
      </c>
      <c r="C1056" s="10">
        <v>2.75055114976217</v>
      </c>
      <c r="D1056" s="10">
        <v>1997</v>
      </c>
    </row>
    <row r="1057" spans="1:4" ht="19.95" customHeight="1" x14ac:dyDescent="0.25">
      <c r="A1057" s="9" t="s">
        <v>28</v>
      </c>
      <c r="B1057" s="10" t="s">
        <v>43</v>
      </c>
      <c r="C1057" s="10">
        <v>1.3116868879574599</v>
      </c>
      <c r="D1057" s="10">
        <v>1997</v>
      </c>
    </row>
    <row r="1058" spans="1:4" ht="19.95" customHeight="1" x14ac:dyDescent="0.25">
      <c r="A1058" s="9" t="s">
        <v>29</v>
      </c>
      <c r="B1058" s="10" t="s">
        <v>43</v>
      </c>
      <c r="C1058" s="10">
        <v>2.1964714843090301</v>
      </c>
      <c r="D1058" s="10">
        <v>1997</v>
      </c>
    </row>
    <row r="1059" spans="1:4" ht="19.95" customHeight="1" x14ac:dyDescent="0.25">
      <c r="A1059" s="9" t="s">
        <v>30</v>
      </c>
      <c r="B1059" s="10" t="s">
        <v>43</v>
      </c>
      <c r="C1059" s="10">
        <v>1.8100464243077601</v>
      </c>
      <c r="D1059" s="10">
        <v>1997</v>
      </c>
    </row>
    <row r="1060" spans="1:4" ht="19.95" customHeight="1" x14ac:dyDescent="0.25">
      <c r="A1060" s="9" t="s">
        <v>31</v>
      </c>
      <c r="B1060" s="10" t="s">
        <v>43</v>
      </c>
      <c r="C1060" s="10">
        <v>3.6013546874002902</v>
      </c>
      <c r="D1060" s="10">
        <v>1997</v>
      </c>
    </row>
    <row r="1061" spans="1:4" ht="19.95" customHeight="1" x14ac:dyDescent="0.25">
      <c r="A1061" s="9" t="s">
        <v>32</v>
      </c>
      <c r="B1061" s="10" t="s">
        <v>43</v>
      </c>
      <c r="C1061" s="10">
        <v>6.4467404454658004</v>
      </c>
      <c r="D1061" s="10">
        <v>1997</v>
      </c>
    </row>
    <row r="1062" spans="1:4" ht="19.95" customHeight="1" x14ac:dyDescent="0.25">
      <c r="A1062" s="9" t="s">
        <v>33</v>
      </c>
      <c r="B1062" s="10" t="s">
        <v>43</v>
      </c>
      <c r="C1062" s="10">
        <v>1.7589939841309401</v>
      </c>
      <c r="D1062" s="10">
        <v>1997</v>
      </c>
    </row>
    <row r="1063" spans="1:4" ht="19.95" customHeight="1" x14ac:dyDescent="0.25">
      <c r="A1063" s="9" t="s">
        <v>34</v>
      </c>
      <c r="B1063" s="10" t="s">
        <v>43</v>
      </c>
      <c r="C1063" s="10">
        <v>0.56656268299766799</v>
      </c>
      <c r="D1063" s="10">
        <v>1997</v>
      </c>
    </row>
    <row r="1064" spans="1:4" ht="19.95" customHeight="1" x14ac:dyDescent="0.25">
      <c r="A1064" s="9" t="s">
        <v>35</v>
      </c>
      <c r="B1064" s="10" t="s">
        <v>43</v>
      </c>
      <c r="C1064" s="10">
        <v>1.4383017816275401</v>
      </c>
      <c r="D1064" s="10">
        <v>1997</v>
      </c>
    </row>
    <row r="1065" spans="1:4" ht="19.95" customHeight="1" x14ac:dyDescent="0.25">
      <c r="A1065" s="9" t="s">
        <v>36</v>
      </c>
      <c r="B1065" s="10" t="s">
        <v>43</v>
      </c>
      <c r="C1065" s="10">
        <v>2.63725507515232</v>
      </c>
      <c r="D1065" s="10">
        <v>1997</v>
      </c>
    </row>
    <row r="1066" spans="1:4" ht="19.95" customHeight="1" x14ac:dyDescent="0.25">
      <c r="A1066" s="9" t="s">
        <v>37</v>
      </c>
      <c r="B1066" s="10" t="s">
        <v>43</v>
      </c>
      <c r="C1066" s="10">
        <v>3.0828681075196398</v>
      </c>
      <c r="D1066" s="10">
        <v>1997</v>
      </c>
    </row>
    <row r="1067" spans="1:4" ht="19.95" customHeight="1" x14ac:dyDescent="0.25">
      <c r="A1067" s="9" t="s">
        <v>38</v>
      </c>
      <c r="B1067" s="10" t="s">
        <v>43</v>
      </c>
      <c r="C1067" s="10">
        <v>2.85708206997682</v>
      </c>
      <c r="D1067" s="10">
        <v>1997</v>
      </c>
    </row>
    <row r="1068" spans="1:4" ht="19.95" customHeight="1" x14ac:dyDescent="0.25">
      <c r="A1068" s="9" t="s">
        <v>39</v>
      </c>
      <c r="B1068" s="10" t="s">
        <v>43</v>
      </c>
      <c r="C1068" s="10">
        <v>1.6509145587843801</v>
      </c>
      <c r="D1068" s="10">
        <v>1997</v>
      </c>
    </row>
    <row r="1069" spans="1:4" ht="19.95" customHeight="1" x14ac:dyDescent="0.25">
      <c r="A1069" s="9" t="s">
        <v>9</v>
      </c>
      <c r="B1069" s="10" t="s">
        <v>43</v>
      </c>
      <c r="C1069" s="10">
        <v>1.2075653170326599</v>
      </c>
      <c r="D1069" s="10">
        <v>1998</v>
      </c>
    </row>
    <row r="1070" spans="1:4" ht="19.95" customHeight="1" x14ac:dyDescent="0.25">
      <c r="A1070" s="9" t="s">
        <v>12</v>
      </c>
      <c r="B1070" s="10" t="s">
        <v>43</v>
      </c>
      <c r="C1070" s="10">
        <v>2.4968851771364</v>
      </c>
      <c r="D1070" s="10">
        <v>1998</v>
      </c>
    </row>
    <row r="1071" spans="1:4" ht="19.95" customHeight="1" x14ac:dyDescent="0.25">
      <c r="A1071" s="9" t="s">
        <v>13</v>
      </c>
      <c r="B1071" s="10" t="s">
        <v>43</v>
      </c>
      <c r="C1071" s="10">
        <v>3.4883962314147601</v>
      </c>
      <c r="D1071" s="10">
        <v>1998</v>
      </c>
    </row>
    <row r="1072" spans="1:4" ht="19.95" customHeight="1" x14ac:dyDescent="0.25">
      <c r="A1072" s="9" t="s">
        <v>15</v>
      </c>
      <c r="B1072" s="10" t="s">
        <v>43</v>
      </c>
      <c r="C1072" s="10">
        <v>2.6407704375318302</v>
      </c>
      <c r="D1072" s="10">
        <v>1998</v>
      </c>
    </row>
    <row r="1073" spans="1:4" ht="19.95" customHeight="1" x14ac:dyDescent="0.25">
      <c r="A1073" s="9" t="s">
        <v>16</v>
      </c>
      <c r="B1073" s="10" t="s">
        <v>43</v>
      </c>
      <c r="C1073" s="10">
        <v>2.9309660476630901</v>
      </c>
      <c r="D1073" s="10">
        <v>1998</v>
      </c>
    </row>
    <row r="1074" spans="1:4" ht="19.95" customHeight="1" x14ac:dyDescent="0.25">
      <c r="A1074" s="9" t="s">
        <v>1</v>
      </c>
      <c r="B1074" s="10" t="s">
        <v>43</v>
      </c>
      <c r="C1074" s="10">
        <v>2.9374208136922499</v>
      </c>
      <c r="D1074" s="10">
        <v>1998</v>
      </c>
    </row>
    <row r="1075" spans="1:4" ht="19.95" customHeight="1" x14ac:dyDescent="0.25">
      <c r="A1075" s="9" t="s">
        <v>17</v>
      </c>
      <c r="B1075" s="10" t="s">
        <v>43</v>
      </c>
      <c r="C1075" s="10">
        <v>1.96320303787811</v>
      </c>
      <c r="D1075" s="10">
        <v>1998</v>
      </c>
    </row>
    <row r="1076" spans="1:4" ht="19.95" customHeight="1" x14ac:dyDescent="0.25">
      <c r="A1076" s="9" t="s">
        <v>18</v>
      </c>
      <c r="B1076" s="10" t="s">
        <v>43</v>
      </c>
      <c r="C1076" s="10">
        <v>1.79025080950335</v>
      </c>
      <c r="D1076" s="10">
        <v>1998</v>
      </c>
    </row>
    <row r="1077" spans="1:4" ht="19.95" customHeight="1" x14ac:dyDescent="0.25">
      <c r="A1077" s="9" t="s">
        <v>19</v>
      </c>
      <c r="B1077" s="10" t="s">
        <v>43</v>
      </c>
      <c r="C1077" s="10">
        <v>2.7782256601798898</v>
      </c>
      <c r="D1077" s="10">
        <v>1998</v>
      </c>
    </row>
    <row r="1078" spans="1:4" ht="19.95" customHeight="1" x14ac:dyDescent="0.25">
      <c r="A1078" s="9" t="s">
        <v>20</v>
      </c>
      <c r="B1078" s="10" t="s">
        <v>43</v>
      </c>
      <c r="C1078" s="10">
        <v>-5.9247334853605897</v>
      </c>
      <c r="D1078" s="10">
        <v>1998</v>
      </c>
    </row>
    <row r="1079" spans="1:4" ht="19.95" customHeight="1" x14ac:dyDescent="0.25">
      <c r="A1079" s="9" t="s">
        <v>21</v>
      </c>
      <c r="B1079" s="10" t="s">
        <v>43</v>
      </c>
      <c r="C1079" s="10">
        <v>7.8497063350393104</v>
      </c>
      <c r="D1079" s="10">
        <v>1998</v>
      </c>
    </row>
    <row r="1080" spans="1:4" ht="19.95" customHeight="1" x14ac:dyDescent="0.25">
      <c r="A1080" s="9" t="s">
        <v>22</v>
      </c>
      <c r="B1080" s="10" t="s">
        <v>43</v>
      </c>
      <c r="C1080" s="10">
        <v>3.1620606932379198</v>
      </c>
      <c r="D1080" s="10">
        <v>1998</v>
      </c>
    </row>
    <row r="1081" spans="1:4" ht="19.95" customHeight="1" x14ac:dyDescent="0.25">
      <c r="A1081" s="9" t="s">
        <v>23</v>
      </c>
      <c r="B1081" s="10" t="s">
        <v>43</v>
      </c>
      <c r="C1081" s="10">
        <v>3.0626762616718102</v>
      </c>
      <c r="D1081" s="10">
        <v>1998</v>
      </c>
    </row>
    <row r="1082" spans="1:4" ht="19.95" customHeight="1" x14ac:dyDescent="0.25">
      <c r="A1082" s="9" t="s">
        <v>24</v>
      </c>
      <c r="B1082" s="10" t="s">
        <v>43</v>
      </c>
      <c r="C1082" s="10">
        <v>2.6031420999831698</v>
      </c>
      <c r="D1082" s="10">
        <v>1998</v>
      </c>
    </row>
    <row r="1083" spans="1:4" ht="19.95" customHeight="1" x14ac:dyDescent="0.25">
      <c r="A1083" s="9" t="s">
        <v>25</v>
      </c>
      <c r="B1083" s="10" t="s">
        <v>43</v>
      </c>
      <c r="C1083" s="10">
        <v>-4.0399949091569902E-2</v>
      </c>
      <c r="D1083" s="10">
        <v>1998</v>
      </c>
    </row>
    <row r="1084" spans="1:4" ht="19.95" customHeight="1" x14ac:dyDescent="0.25">
      <c r="A1084" s="9" t="s">
        <v>26</v>
      </c>
      <c r="B1084" s="10" t="s">
        <v>43</v>
      </c>
      <c r="C1084" s="10">
        <v>2.5737416522534802</v>
      </c>
      <c r="D1084" s="10">
        <v>1998</v>
      </c>
    </row>
    <row r="1085" spans="1:4" ht="19.95" customHeight="1" x14ac:dyDescent="0.25">
      <c r="A1085" s="9" t="s">
        <v>28</v>
      </c>
      <c r="B1085" s="10" t="s">
        <v>43</v>
      </c>
      <c r="C1085" s="10">
        <v>1.31738249848053</v>
      </c>
      <c r="D1085" s="10">
        <v>1998</v>
      </c>
    </row>
    <row r="1086" spans="1:4" ht="19.95" customHeight="1" x14ac:dyDescent="0.25">
      <c r="A1086" s="9" t="s">
        <v>29</v>
      </c>
      <c r="B1086" s="10" t="s">
        <v>43</v>
      </c>
      <c r="C1086" s="10">
        <v>2.0621377255491602</v>
      </c>
      <c r="D1086" s="10">
        <v>1998</v>
      </c>
    </row>
    <row r="1087" spans="1:4" ht="19.95" customHeight="1" x14ac:dyDescent="0.25">
      <c r="A1087" s="9" t="s">
        <v>30</v>
      </c>
      <c r="B1087" s="10" t="s">
        <v>43</v>
      </c>
      <c r="C1087" s="10">
        <v>1.71884335250912</v>
      </c>
      <c r="D1087" s="10">
        <v>1998</v>
      </c>
    </row>
    <row r="1088" spans="1:4" ht="19.95" customHeight="1" x14ac:dyDescent="0.25">
      <c r="A1088" s="9" t="s">
        <v>31</v>
      </c>
      <c r="B1088" s="10" t="s">
        <v>43</v>
      </c>
      <c r="C1088" s="10">
        <v>3.6315422379304301</v>
      </c>
      <c r="D1088" s="10">
        <v>1998</v>
      </c>
    </row>
    <row r="1089" spans="1:4" ht="19.95" customHeight="1" x14ac:dyDescent="0.25">
      <c r="A1089" s="9" t="s">
        <v>32</v>
      </c>
      <c r="B1089" s="10" t="s">
        <v>43</v>
      </c>
      <c r="C1089" s="10">
        <v>7.9178917259825097</v>
      </c>
      <c r="D1089" s="10">
        <v>1998</v>
      </c>
    </row>
    <row r="1090" spans="1:4" ht="19.95" customHeight="1" x14ac:dyDescent="0.25">
      <c r="A1090" s="9" t="s">
        <v>33</v>
      </c>
      <c r="B1090" s="10" t="s">
        <v>43</v>
      </c>
      <c r="C1090" s="10">
        <v>1.74732732130007</v>
      </c>
      <c r="D1090" s="10">
        <v>1998</v>
      </c>
    </row>
    <row r="1091" spans="1:4" ht="19.95" customHeight="1" x14ac:dyDescent="0.25">
      <c r="A1091" s="9" t="s">
        <v>34</v>
      </c>
      <c r="B1091" s="10" t="s">
        <v>43</v>
      </c>
      <c r="C1091" s="10">
        <v>0.508519875892261</v>
      </c>
      <c r="D1091" s="10">
        <v>1998</v>
      </c>
    </row>
    <row r="1092" spans="1:4" ht="19.95" customHeight="1" x14ac:dyDescent="0.25">
      <c r="A1092" s="9" t="s">
        <v>35</v>
      </c>
      <c r="B1092" s="10" t="s">
        <v>43</v>
      </c>
      <c r="C1092" s="10">
        <v>1.4622073396805</v>
      </c>
      <c r="D1092" s="10">
        <v>1998</v>
      </c>
    </row>
    <row r="1093" spans="1:4" ht="19.95" customHeight="1" x14ac:dyDescent="0.25">
      <c r="A1093" s="9" t="s">
        <v>36</v>
      </c>
      <c r="B1093" s="10" t="s">
        <v>43</v>
      </c>
      <c r="C1093" s="10">
        <v>2.54811938454118</v>
      </c>
      <c r="D1093" s="10">
        <v>1998</v>
      </c>
    </row>
    <row r="1094" spans="1:4" ht="19.95" customHeight="1" x14ac:dyDescent="0.25">
      <c r="A1094" s="9" t="s">
        <v>37</v>
      </c>
      <c r="B1094" s="10" t="s">
        <v>43</v>
      </c>
      <c r="C1094" s="10">
        <v>3.0884634190075002</v>
      </c>
      <c r="D1094" s="10">
        <v>1998</v>
      </c>
    </row>
    <row r="1095" spans="1:4" ht="19.95" customHeight="1" x14ac:dyDescent="0.25">
      <c r="A1095" s="9" t="s">
        <v>38</v>
      </c>
      <c r="B1095" s="10" t="s">
        <v>43</v>
      </c>
      <c r="C1095" s="10">
        <v>2.8920694617407099</v>
      </c>
      <c r="D1095" s="10">
        <v>1998</v>
      </c>
    </row>
    <row r="1096" spans="1:4" ht="19.95" customHeight="1" x14ac:dyDescent="0.25">
      <c r="A1096" s="9" t="s">
        <v>39</v>
      </c>
      <c r="B1096" s="10" t="s">
        <v>43</v>
      </c>
      <c r="C1096" s="10">
        <v>1.5529940661425601</v>
      </c>
      <c r="D1096" s="10">
        <v>1998</v>
      </c>
    </row>
    <row r="1097" spans="1:4" ht="19.95" customHeight="1" x14ac:dyDescent="0.25">
      <c r="A1097" s="9" t="s">
        <v>9</v>
      </c>
      <c r="B1097" s="10" t="s">
        <v>43</v>
      </c>
      <c r="C1097" s="10">
        <v>1.4855601097126701</v>
      </c>
      <c r="D1097" s="10">
        <v>1999</v>
      </c>
    </row>
    <row r="1098" spans="1:4" ht="19.95" customHeight="1" x14ac:dyDescent="0.25">
      <c r="A1098" s="9" t="s">
        <v>12</v>
      </c>
      <c r="B1098" s="10" t="s">
        <v>43</v>
      </c>
      <c r="C1098" s="10">
        <v>2.5043989672862499</v>
      </c>
      <c r="D1098" s="10">
        <v>1999</v>
      </c>
    </row>
    <row r="1099" spans="1:4" ht="19.95" customHeight="1" x14ac:dyDescent="0.25">
      <c r="A1099" s="9" t="s">
        <v>13</v>
      </c>
      <c r="B1099" s="10" t="s">
        <v>43</v>
      </c>
      <c r="C1099" s="10">
        <v>3.5771947759741098</v>
      </c>
      <c r="D1099" s="10">
        <v>1999</v>
      </c>
    </row>
    <row r="1100" spans="1:4" ht="19.95" customHeight="1" x14ac:dyDescent="0.25">
      <c r="A1100" s="9" t="s">
        <v>15</v>
      </c>
      <c r="B1100" s="10" t="s">
        <v>43</v>
      </c>
      <c r="C1100" s="10">
        <v>2.5786861790334101</v>
      </c>
      <c r="D1100" s="10">
        <v>1999</v>
      </c>
    </row>
    <row r="1101" spans="1:4" ht="19.95" customHeight="1" x14ac:dyDescent="0.25">
      <c r="A1101" s="9" t="s">
        <v>16</v>
      </c>
      <c r="B1101" s="10" t="s">
        <v>43</v>
      </c>
      <c r="C1101" s="10">
        <v>2.8229360201767202</v>
      </c>
      <c r="D1101" s="10">
        <v>1999</v>
      </c>
    </row>
    <row r="1102" spans="1:4" ht="19.95" customHeight="1" x14ac:dyDescent="0.25">
      <c r="A1102" s="9" t="s">
        <v>1</v>
      </c>
      <c r="B1102" s="10" t="s">
        <v>43</v>
      </c>
      <c r="C1102" s="10">
        <v>2.8972317414567201</v>
      </c>
      <c r="D1102" s="10">
        <v>1999</v>
      </c>
    </row>
    <row r="1103" spans="1:4" ht="19.95" customHeight="1" x14ac:dyDescent="0.25">
      <c r="A1103" s="9" t="s">
        <v>17</v>
      </c>
      <c r="B1103" s="10" t="s">
        <v>43</v>
      </c>
      <c r="C1103" s="10">
        <v>1.75409779453395</v>
      </c>
      <c r="D1103" s="10">
        <v>1999</v>
      </c>
    </row>
    <row r="1104" spans="1:4" ht="19.95" customHeight="1" x14ac:dyDescent="0.25">
      <c r="A1104" s="9" t="s">
        <v>18</v>
      </c>
      <c r="B1104" s="10" t="s">
        <v>43</v>
      </c>
      <c r="C1104" s="10">
        <v>1.7514225770449701</v>
      </c>
      <c r="D1104" s="10">
        <v>1999</v>
      </c>
    </row>
    <row r="1105" spans="1:4" ht="19.95" customHeight="1" x14ac:dyDescent="0.25">
      <c r="A1105" s="9" t="s">
        <v>19</v>
      </c>
      <c r="B1105" s="10" t="s">
        <v>43</v>
      </c>
      <c r="C1105" s="10">
        <v>2.7518425124661698</v>
      </c>
      <c r="D1105" s="10">
        <v>1999</v>
      </c>
    </row>
    <row r="1106" spans="1:4" ht="19.95" customHeight="1" x14ac:dyDescent="0.25">
      <c r="A1106" s="9" t="s">
        <v>20</v>
      </c>
      <c r="B1106" s="10" t="s">
        <v>43</v>
      </c>
      <c r="C1106" s="10">
        <v>-10.955149421098699</v>
      </c>
      <c r="D1106" s="10">
        <v>1999</v>
      </c>
    </row>
    <row r="1107" spans="1:4" ht="19.95" customHeight="1" x14ac:dyDescent="0.25">
      <c r="A1107" s="9" t="s">
        <v>21</v>
      </c>
      <c r="B1107" s="10" t="s">
        <v>43</v>
      </c>
      <c r="C1107" s="10">
        <v>6.9445443280485701</v>
      </c>
      <c r="D1107" s="10">
        <v>1999</v>
      </c>
    </row>
    <row r="1108" spans="1:4" ht="19.95" customHeight="1" x14ac:dyDescent="0.25">
      <c r="A1108" s="9" t="s">
        <v>22</v>
      </c>
      <c r="B1108" s="10" t="s">
        <v>43</v>
      </c>
      <c r="C1108" s="10">
        <v>3.1488766124117098</v>
      </c>
      <c r="D1108" s="10">
        <v>1999</v>
      </c>
    </row>
    <row r="1109" spans="1:4" ht="19.95" customHeight="1" x14ac:dyDescent="0.25">
      <c r="A1109" s="9" t="s">
        <v>23</v>
      </c>
      <c r="B1109" s="10" t="s">
        <v>43</v>
      </c>
      <c r="C1109" s="10">
        <v>3.12325205491052</v>
      </c>
      <c r="D1109" s="10">
        <v>1999</v>
      </c>
    </row>
    <row r="1110" spans="1:4" ht="19.95" customHeight="1" x14ac:dyDescent="0.25">
      <c r="A1110" s="9" t="s">
        <v>24</v>
      </c>
      <c r="B1110" s="10" t="s">
        <v>43</v>
      </c>
      <c r="C1110" s="10">
        <v>2.6886289632946099</v>
      </c>
      <c r="D1110" s="10">
        <v>1999</v>
      </c>
    </row>
    <row r="1111" spans="1:4" ht="19.95" customHeight="1" x14ac:dyDescent="0.25">
      <c r="A1111" s="9" t="s">
        <v>25</v>
      </c>
      <c r="B1111" s="10" t="s">
        <v>43</v>
      </c>
      <c r="C1111" s="10">
        <v>-0.15701947393108101</v>
      </c>
      <c r="D1111" s="10">
        <v>1999</v>
      </c>
    </row>
    <row r="1112" spans="1:4" ht="19.95" customHeight="1" x14ac:dyDescent="0.25">
      <c r="A1112" s="9" t="s">
        <v>26</v>
      </c>
      <c r="B1112" s="10" t="s">
        <v>43</v>
      </c>
      <c r="C1112" s="10">
        <v>2.5811785490594001</v>
      </c>
      <c r="D1112" s="10">
        <v>1999</v>
      </c>
    </row>
    <row r="1113" spans="1:4" ht="19.95" customHeight="1" x14ac:dyDescent="0.25">
      <c r="A1113" s="9" t="s">
        <v>28</v>
      </c>
      <c r="B1113" s="10" t="s">
        <v>43</v>
      </c>
      <c r="C1113" s="10">
        <v>1.2806894028326701</v>
      </c>
      <c r="D1113" s="10">
        <v>1999</v>
      </c>
    </row>
    <row r="1114" spans="1:4" ht="19.95" customHeight="1" x14ac:dyDescent="0.25">
      <c r="A1114" s="9" t="s">
        <v>29</v>
      </c>
      <c r="B1114" s="10" t="s">
        <v>43</v>
      </c>
      <c r="C1114" s="10">
        <v>1.94835714499466</v>
      </c>
      <c r="D1114" s="10">
        <v>1999</v>
      </c>
    </row>
    <row r="1115" spans="1:4" ht="19.95" customHeight="1" x14ac:dyDescent="0.25">
      <c r="A1115" s="9" t="s">
        <v>30</v>
      </c>
      <c r="B1115" s="10" t="s">
        <v>43</v>
      </c>
      <c r="C1115" s="10">
        <v>1.63017499219604</v>
      </c>
      <c r="D1115" s="10">
        <v>1999</v>
      </c>
    </row>
    <row r="1116" spans="1:4" ht="19.95" customHeight="1" x14ac:dyDescent="0.25">
      <c r="A1116" s="9" t="s">
        <v>31</v>
      </c>
      <c r="B1116" s="10" t="s">
        <v>43</v>
      </c>
      <c r="C1116" s="10">
        <v>3.63947461400734</v>
      </c>
      <c r="D1116" s="10">
        <v>1999</v>
      </c>
    </row>
    <row r="1117" spans="1:4" ht="19.95" customHeight="1" x14ac:dyDescent="0.25">
      <c r="A1117" s="9" t="s">
        <v>32</v>
      </c>
      <c r="B1117" s="10" t="s">
        <v>43</v>
      </c>
      <c r="C1117" s="10">
        <v>7.28396821932989</v>
      </c>
      <c r="D1117" s="10">
        <v>1999</v>
      </c>
    </row>
    <row r="1118" spans="1:4" ht="19.95" customHeight="1" x14ac:dyDescent="0.25">
      <c r="A1118" s="9" t="s">
        <v>33</v>
      </c>
      <c r="B1118" s="10" t="s">
        <v>43</v>
      </c>
      <c r="C1118" s="10">
        <v>1.83292420136004</v>
      </c>
      <c r="D1118" s="10">
        <v>1999</v>
      </c>
    </row>
    <row r="1119" spans="1:4" ht="19.95" customHeight="1" x14ac:dyDescent="0.25">
      <c r="A1119" s="9" t="s">
        <v>34</v>
      </c>
      <c r="B1119" s="10" t="s">
        <v>43</v>
      </c>
      <c r="C1119" s="10">
        <v>0.52847876977113295</v>
      </c>
      <c r="D1119" s="10">
        <v>1999</v>
      </c>
    </row>
    <row r="1120" spans="1:4" ht="19.95" customHeight="1" x14ac:dyDescent="0.25">
      <c r="A1120" s="9" t="s">
        <v>35</v>
      </c>
      <c r="B1120" s="10" t="s">
        <v>43</v>
      </c>
      <c r="C1120" s="10">
        <v>1.5358009396911301</v>
      </c>
      <c r="D1120" s="10">
        <v>1999</v>
      </c>
    </row>
    <row r="1121" spans="1:4" ht="19.95" customHeight="1" x14ac:dyDescent="0.25">
      <c r="A1121" s="9" t="s">
        <v>36</v>
      </c>
      <c r="B1121" s="10" t="s">
        <v>43</v>
      </c>
      <c r="C1121" s="10">
        <v>2.55500799923231</v>
      </c>
      <c r="D1121" s="10">
        <v>1999</v>
      </c>
    </row>
    <row r="1122" spans="1:4" ht="19.95" customHeight="1" x14ac:dyDescent="0.25">
      <c r="A1122" s="9" t="s">
        <v>37</v>
      </c>
      <c r="B1122" s="10" t="s">
        <v>43</v>
      </c>
      <c r="C1122" s="10">
        <v>3.14792779078949</v>
      </c>
      <c r="D1122" s="10">
        <v>1999</v>
      </c>
    </row>
    <row r="1123" spans="1:4" ht="19.95" customHeight="1" x14ac:dyDescent="0.25">
      <c r="A1123" s="9" t="s">
        <v>38</v>
      </c>
      <c r="B1123" s="10" t="s">
        <v>43</v>
      </c>
      <c r="C1123" s="10">
        <v>2.8678626053909202</v>
      </c>
      <c r="D1123" s="10">
        <v>1999</v>
      </c>
    </row>
    <row r="1124" spans="1:4" ht="19.95" customHeight="1" x14ac:dyDescent="0.25">
      <c r="A1124" s="9" t="s">
        <v>39</v>
      </c>
      <c r="B1124" s="10" t="s">
        <v>43</v>
      </c>
      <c r="C1124" s="10">
        <v>1.42974607946843</v>
      </c>
      <c r="D1124" s="10">
        <v>1999</v>
      </c>
    </row>
    <row r="1125" spans="1:4" ht="19.95" customHeight="1" x14ac:dyDescent="0.25">
      <c r="A1125" s="9" t="s">
        <v>9</v>
      </c>
      <c r="B1125" s="10" t="s">
        <v>43</v>
      </c>
      <c r="C1125" s="10">
        <v>1.9207120357062599</v>
      </c>
      <c r="D1125" s="10">
        <v>2000</v>
      </c>
    </row>
    <row r="1126" spans="1:4" ht="19.95" customHeight="1" x14ac:dyDescent="0.25">
      <c r="A1126" s="9" t="s">
        <v>12</v>
      </c>
      <c r="B1126" s="10" t="s">
        <v>43</v>
      </c>
      <c r="C1126" s="10">
        <v>2.5350519883151099</v>
      </c>
      <c r="D1126" s="10">
        <v>2000</v>
      </c>
    </row>
    <row r="1127" spans="1:4" ht="19.95" customHeight="1" x14ac:dyDescent="0.25">
      <c r="A1127" s="9" t="s">
        <v>13</v>
      </c>
      <c r="B1127" s="10" t="s">
        <v>43</v>
      </c>
      <c r="C1127" s="10">
        <v>3.6711345012519501</v>
      </c>
      <c r="D1127" s="10">
        <v>2000</v>
      </c>
    </row>
    <row r="1128" spans="1:4" ht="19.95" customHeight="1" x14ac:dyDescent="0.25">
      <c r="A1128" s="9" t="s">
        <v>15</v>
      </c>
      <c r="B1128" s="10" t="s">
        <v>43</v>
      </c>
      <c r="C1128" s="10">
        <v>2.52234002212069</v>
      </c>
      <c r="D1128" s="10">
        <v>2000</v>
      </c>
    </row>
    <row r="1129" spans="1:4" ht="19.95" customHeight="1" x14ac:dyDescent="0.25">
      <c r="A1129" s="9" t="s">
        <v>16</v>
      </c>
      <c r="B1129" s="10" t="s">
        <v>43</v>
      </c>
      <c r="C1129" s="10">
        <v>2.46682603372233</v>
      </c>
      <c r="D1129" s="10">
        <v>2000</v>
      </c>
    </row>
    <row r="1130" spans="1:4" ht="19.95" customHeight="1" x14ac:dyDescent="0.25">
      <c r="A1130" s="9" t="s">
        <v>1</v>
      </c>
      <c r="B1130" s="10" t="s">
        <v>43</v>
      </c>
      <c r="C1130" s="10">
        <v>2.8928908966022502</v>
      </c>
      <c r="D1130" s="10">
        <v>2000</v>
      </c>
    </row>
    <row r="1131" spans="1:4" ht="19.95" customHeight="1" x14ac:dyDescent="0.25">
      <c r="A1131" s="9" t="s">
        <v>17</v>
      </c>
      <c r="B1131" s="10" t="s">
        <v>43</v>
      </c>
      <c r="C1131" s="10">
        <v>1.77274380123127</v>
      </c>
      <c r="D1131" s="10">
        <v>2000</v>
      </c>
    </row>
    <row r="1132" spans="1:4" ht="19.95" customHeight="1" x14ac:dyDescent="0.25">
      <c r="A1132" s="9" t="s">
        <v>18</v>
      </c>
      <c r="B1132" s="10" t="s">
        <v>43</v>
      </c>
      <c r="C1132" s="10">
        <v>1.7082571057376601</v>
      </c>
      <c r="D1132" s="10">
        <v>2000</v>
      </c>
    </row>
    <row r="1133" spans="1:4" ht="19.95" customHeight="1" x14ac:dyDescent="0.25">
      <c r="A1133" s="9" t="s">
        <v>19</v>
      </c>
      <c r="B1133" s="10" t="s">
        <v>43</v>
      </c>
      <c r="C1133" s="10">
        <v>2.7401358008788499</v>
      </c>
      <c r="D1133" s="10">
        <v>2000</v>
      </c>
    </row>
    <row r="1134" spans="1:4" ht="19.95" customHeight="1" x14ac:dyDescent="0.25">
      <c r="A1134" s="9" t="s">
        <v>20</v>
      </c>
      <c r="B1134" s="10" t="s">
        <v>43</v>
      </c>
      <c r="C1134" s="10">
        <v>-3.5821276451817301</v>
      </c>
      <c r="D1134" s="10">
        <v>2000</v>
      </c>
    </row>
    <row r="1135" spans="1:4" ht="19.95" customHeight="1" x14ac:dyDescent="0.25">
      <c r="A1135" s="9" t="s">
        <v>21</v>
      </c>
      <c r="B1135" s="10" t="s">
        <v>43</v>
      </c>
      <c r="C1135" s="10">
        <v>5.3404015318215903</v>
      </c>
      <c r="D1135" s="10">
        <v>2000</v>
      </c>
    </row>
    <row r="1136" spans="1:4" ht="19.95" customHeight="1" x14ac:dyDescent="0.25">
      <c r="A1136" s="9" t="s">
        <v>22</v>
      </c>
      <c r="B1136" s="10" t="s">
        <v>43</v>
      </c>
      <c r="C1136" s="10">
        <v>3.1197086959506399</v>
      </c>
      <c r="D1136" s="10">
        <v>2000</v>
      </c>
    </row>
    <row r="1137" spans="1:4" ht="19.95" customHeight="1" x14ac:dyDescent="0.25">
      <c r="A1137" s="9" t="s">
        <v>23</v>
      </c>
      <c r="B1137" s="10" t="s">
        <v>43</v>
      </c>
      <c r="C1137" s="10">
        <v>2.9601464250561</v>
      </c>
      <c r="D1137" s="10">
        <v>2000</v>
      </c>
    </row>
    <row r="1138" spans="1:4" ht="19.95" customHeight="1" x14ac:dyDescent="0.25">
      <c r="A1138" s="9" t="s">
        <v>24</v>
      </c>
      <c r="B1138" s="10" t="s">
        <v>43</v>
      </c>
      <c r="C1138" s="10">
        <v>2.8106070524497602</v>
      </c>
      <c r="D1138" s="10">
        <v>2000</v>
      </c>
    </row>
    <row r="1139" spans="1:4" ht="19.95" customHeight="1" x14ac:dyDescent="0.25">
      <c r="A1139" s="9" t="s">
        <v>25</v>
      </c>
      <c r="B1139" s="10" t="s">
        <v>43</v>
      </c>
      <c r="C1139" s="10">
        <v>-0.20335985702345799</v>
      </c>
      <c r="D1139" s="10">
        <v>2000</v>
      </c>
    </row>
    <row r="1140" spans="1:4" ht="19.95" customHeight="1" x14ac:dyDescent="0.25">
      <c r="A1140" s="9" t="s">
        <v>26</v>
      </c>
      <c r="B1140" s="10" t="s">
        <v>43</v>
      </c>
      <c r="C1140" s="10">
        <v>2.7086277830193199</v>
      </c>
      <c r="D1140" s="10">
        <v>2000</v>
      </c>
    </row>
    <row r="1141" spans="1:4" ht="19.95" customHeight="1" x14ac:dyDescent="0.25">
      <c r="A1141" s="9" t="s">
        <v>28</v>
      </c>
      <c r="B1141" s="10" t="s">
        <v>43</v>
      </c>
      <c r="C1141" s="10">
        <v>1.2135853096193301</v>
      </c>
      <c r="D1141" s="10">
        <v>2000</v>
      </c>
    </row>
    <row r="1142" spans="1:4" ht="19.95" customHeight="1" x14ac:dyDescent="0.25">
      <c r="A1142" s="9" t="s">
        <v>29</v>
      </c>
      <c r="B1142" s="10" t="s">
        <v>43</v>
      </c>
      <c r="C1142" s="10">
        <v>1.84891817908859</v>
      </c>
      <c r="D1142" s="10">
        <v>2000</v>
      </c>
    </row>
    <row r="1143" spans="1:4" ht="19.95" customHeight="1" x14ac:dyDescent="0.25">
      <c r="A1143" s="9" t="s">
        <v>30</v>
      </c>
      <c r="B1143" s="10" t="s">
        <v>43</v>
      </c>
      <c r="C1143" s="10">
        <v>1.5463915670813499</v>
      </c>
      <c r="D1143" s="10">
        <v>2000</v>
      </c>
    </row>
    <row r="1144" spans="1:4" ht="19.95" customHeight="1" x14ac:dyDescent="0.25">
      <c r="A1144" s="9" t="s">
        <v>31</v>
      </c>
      <c r="B1144" s="10" t="s">
        <v>43</v>
      </c>
      <c r="C1144" s="10">
        <v>3.6338476188293498</v>
      </c>
      <c r="D1144" s="10">
        <v>2000</v>
      </c>
    </row>
    <row r="1145" spans="1:4" ht="19.95" customHeight="1" x14ac:dyDescent="0.25">
      <c r="A1145" s="9" t="s">
        <v>32</v>
      </c>
      <c r="B1145" s="10" t="s">
        <v>43</v>
      </c>
      <c r="C1145" s="10">
        <v>5.5391020329888896</v>
      </c>
      <c r="D1145" s="10">
        <v>2000</v>
      </c>
    </row>
    <row r="1146" spans="1:4" ht="19.95" customHeight="1" x14ac:dyDescent="0.25">
      <c r="A1146" s="9" t="s">
        <v>33</v>
      </c>
      <c r="B1146" s="10" t="s">
        <v>43</v>
      </c>
      <c r="C1146" s="10">
        <v>1.98190769358248</v>
      </c>
      <c r="D1146" s="10">
        <v>2000</v>
      </c>
    </row>
    <row r="1147" spans="1:4" ht="19.95" customHeight="1" x14ac:dyDescent="0.25">
      <c r="A1147" s="9" t="s">
        <v>34</v>
      </c>
      <c r="B1147" s="10" t="s">
        <v>43</v>
      </c>
      <c r="C1147" s="10">
        <v>0.602575193660151</v>
      </c>
      <c r="D1147" s="10">
        <v>2000</v>
      </c>
    </row>
    <row r="1148" spans="1:4" ht="19.95" customHeight="1" x14ac:dyDescent="0.25">
      <c r="A1148" s="9" t="s">
        <v>35</v>
      </c>
      <c r="B1148" s="10" t="s">
        <v>43</v>
      </c>
      <c r="C1148" s="10">
        <v>1.6433465646087899</v>
      </c>
      <c r="D1148" s="10">
        <v>2000</v>
      </c>
    </row>
    <row r="1149" spans="1:4" ht="19.95" customHeight="1" x14ac:dyDescent="0.25">
      <c r="A1149" s="9" t="s">
        <v>36</v>
      </c>
      <c r="B1149" s="10" t="s">
        <v>43</v>
      </c>
      <c r="C1149" s="10">
        <v>2.6280080429486601</v>
      </c>
      <c r="D1149" s="10">
        <v>2000</v>
      </c>
    </row>
    <row r="1150" spans="1:4" ht="19.95" customHeight="1" x14ac:dyDescent="0.25">
      <c r="A1150" s="9" t="s">
        <v>37</v>
      </c>
      <c r="B1150" s="10" t="s">
        <v>43</v>
      </c>
      <c r="C1150" s="10">
        <v>3.2395234022493899</v>
      </c>
      <c r="D1150" s="10">
        <v>2000</v>
      </c>
    </row>
    <row r="1151" spans="1:4" ht="19.95" customHeight="1" x14ac:dyDescent="0.25">
      <c r="A1151" s="9" t="s">
        <v>38</v>
      </c>
      <c r="B1151" s="10" t="s">
        <v>43</v>
      </c>
      <c r="C1151" s="10">
        <v>2.80705843058242</v>
      </c>
      <c r="D1151" s="10">
        <v>2000</v>
      </c>
    </row>
    <row r="1152" spans="1:4" ht="19.95" customHeight="1" x14ac:dyDescent="0.25">
      <c r="A1152" s="9" t="s">
        <v>39</v>
      </c>
      <c r="B1152" s="10" t="s">
        <v>43</v>
      </c>
      <c r="C1152" s="10">
        <v>1.2987820124466001</v>
      </c>
      <c r="D1152" s="10">
        <v>2000</v>
      </c>
    </row>
    <row r="1153" spans="1:4" ht="19.95" customHeight="1" x14ac:dyDescent="0.25">
      <c r="A1153" s="9" t="s">
        <v>9</v>
      </c>
      <c r="B1153" s="10" t="s">
        <v>43</v>
      </c>
      <c r="C1153" s="10">
        <v>2.3946280782341498</v>
      </c>
      <c r="D1153" s="10">
        <v>2001</v>
      </c>
    </row>
    <row r="1154" spans="1:4" ht="19.95" customHeight="1" x14ac:dyDescent="0.25">
      <c r="A1154" s="9" t="s">
        <v>12</v>
      </c>
      <c r="B1154" s="10" t="s">
        <v>43</v>
      </c>
      <c r="C1154" s="10">
        <v>2.5703666141889299</v>
      </c>
      <c r="D1154" s="10">
        <v>2001</v>
      </c>
    </row>
    <row r="1155" spans="1:4" ht="19.95" customHeight="1" x14ac:dyDescent="0.25">
      <c r="A1155" s="9" t="s">
        <v>13</v>
      </c>
      <c r="B1155" s="10" t="s">
        <v>43</v>
      </c>
      <c r="C1155" s="10">
        <v>3.7692464269534001</v>
      </c>
      <c r="D1155" s="10">
        <v>2001</v>
      </c>
    </row>
    <row r="1156" spans="1:4" ht="19.95" customHeight="1" x14ac:dyDescent="0.25">
      <c r="A1156" s="9" t="s">
        <v>15</v>
      </c>
      <c r="B1156" s="10" t="s">
        <v>43</v>
      </c>
      <c r="C1156" s="10">
        <v>2.4642378912691498</v>
      </c>
      <c r="D1156" s="10">
        <v>2001</v>
      </c>
    </row>
    <row r="1157" spans="1:4" ht="19.95" customHeight="1" x14ac:dyDescent="0.25">
      <c r="A1157" s="9" t="s">
        <v>16</v>
      </c>
      <c r="B1157" s="10" t="s">
        <v>43</v>
      </c>
      <c r="C1157" s="10">
        <v>2.0861340066988801</v>
      </c>
      <c r="D1157" s="10">
        <v>2001</v>
      </c>
    </row>
    <row r="1158" spans="1:4" ht="19.95" customHeight="1" x14ac:dyDescent="0.25">
      <c r="A1158" s="9" t="s">
        <v>1</v>
      </c>
      <c r="B1158" s="10" t="s">
        <v>43</v>
      </c>
      <c r="C1158" s="10">
        <v>2.8957543808169799</v>
      </c>
      <c r="D1158" s="10">
        <v>2001</v>
      </c>
    </row>
    <row r="1159" spans="1:4" ht="19.95" customHeight="1" x14ac:dyDescent="0.25">
      <c r="A1159" s="9" t="s">
        <v>17</v>
      </c>
      <c r="B1159" s="10" t="s">
        <v>43</v>
      </c>
      <c r="C1159" s="10">
        <v>1.8290260227908901</v>
      </c>
      <c r="D1159" s="10">
        <v>2001</v>
      </c>
    </row>
    <row r="1160" spans="1:4" ht="19.95" customHeight="1" x14ac:dyDescent="0.25">
      <c r="A1160" s="9" t="s">
        <v>18</v>
      </c>
      <c r="B1160" s="10" t="s">
        <v>43</v>
      </c>
      <c r="C1160" s="10">
        <v>1.6630581344731299</v>
      </c>
      <c r="D1160" s="10">
        <v>2001</v>
      </c>
    </row>
    <row r="1161" spans="1:4" ht="19.95" customHeight="1" x14ac:dyDescent="0.25">
      <c r="A1161" s="9" t="s">
        <v>19</v>
      </c>
      <c r="B1161" s="10" t="s">
        <v>43</v>
      </c>
      <c r="C1161" s="10">
        <v>2.73177458228569</v>
      </c>
      <c r="D1161" s="10">
        <v>2001</v>
      </c>
    </row>
    <row r="1162" spans="1:4" ht="19.95" customHeight="1" x14ac:dyDescent="0.25">
      <c r="A1162" s="9" t="s">
        <v>20</v>
      </c>
      <c r="B1162" s="10" t="s">
        <v>43</v>
      </c>
      <c r="C1162" s="10">
        <v>6.7859323293424201E-2</v>
      </c>
      <c r="D1162" s="10">
        <v>2001</v>
      </c>
    </row>
    <row r="1163" spans="1:4" ht="19.95" customHeight="1" x14ac:dyDescent="0.25">
      <c r="A1163" s="9" t="s">
        <v>21</v>
      </c>
      <c r="B1163" s="10" t="s">
        <v>43</v>
      </c>
      <c r="C1163" s="10">
        <v>3.62927094137296</v>
      </c>
      <c r="D1163" s="10">
        <v>2001</v>
      </c>
    </row>
    <row r="1164" spans="1:4" ht="19.95" customHeight="1" x14ac:dyDescent="0.25">
      <c r="A1164" s="9" t="s">
        <v>22</v>
      </c>
      <c r="B1164" s="10" t="s">
        <v>43</v>
      </c>
      <c r="C1164" s="10">
        <v>3.0858577050171698</v>
      </c>
      <c r="D1164" s="10">
        <v>2001</v>
      </c>
    </row>
    <row r="1165" spans="1:4" ht="19.95" customHeight="1" x14ac:dyDescent="0.25">
      <c r="A1165" s="9" t="s">
        <v>23</v>
      </c>
      <c r="B1165" s="10" t="s">
        <v>43</v>
      </c>
      <c r="C1165" s="10">
        <v>2.7714197036011998</v>
      </c>
      <c r="D1165" s="10">
        <v>2001</v>
      </c>
    </row>
    <row r="1166" spans="1:4" ht="19.95" customHeight="1" x14ac:dyDescent="0.25">
      <c r="A1166" s="9" t="s">
        <v>24</v>
      </c>
      <c r="B1166" s="10" t="s">
        <v>43</v>
      </c>
      <c r="C1166" s="10">
        <v>2.92522326716387</v>
      </c>
      <c r="D1166" s="10">
        <v>2001</v>
      </c>
    </row>
    <row r="1167" spans="1:4" ht="19.95" customHeight="1" x14ac:dyDescent="0.25">
      <c r="A1167" s="9" t="s">
        <v>25</v>
      </c>
      <c r="B1167" s="10" t="s">
        <v>43</v>
      </c>
      <c r="C1167" s="10">
        <v>-0.22362654404981899</v>
      </c>
      <c r="D1167" s="10">
        <v>2001</v>
      </c>
    </row>
    <row r="1168" spans="1:4" ht="19.95" customHeight="1" x14ac:dyDescent="0.25">
      <c r="A1168" s="9" t="s">
        <v>26</v>
      </c>
      <c r="B1168" s="10" t="s">
        <v>43</v>
      </c>
      <c r="C1168" s="10">
        <v>2.8431895190952701</v>
      </c>
      <c r="D1168" s="10">
        <v>2001</v>
      </c>
    </row>
    <row r="1169" spans="1:4" ht="19.95" customHeight="1" x14ac:dyDescent="0.25">
      <c r="A1169" s="9" t="s">
        <v>28</v>
      </c>
      <c r="B1169" s="10" t="s">
        <v>43</v>
      </c>
      <c r="C1169" s="10">
        <v>1.14865834001569</v>
      </c>
      <c r="D1169" s="10">
        <v>2001</v>
      </c>
    </row>
    <row r="1170" spans="1:4" ht="19.95" customHeight="1" x14ac:dyDescent="0.25">
      <c r="A1170" s="9" t="s">
        <v>29</v>
      </c>
      <c r="B1170" s="10" t="s">
        <v>43</v>
      </c>
      <c r="C1170" s="10">
        <v>1.75721591888621</v>
      </c>
      <c r="D1170" s="10">
        <v>2001</v>
      </c>
    </row>
    <row r="1171" spans="1:4" ht="19.95" customHeight="1" x14ac:dyDescent="0.25">
      <c r="A1171" s="9" t="s">
        <v>30</v>
      </c>
      <c r="B1171" s="10" t="s">
        <v>43</v>
      </c>
      <c r="C1171" s="10">
        <v>1.4604784718046</v>
      </c>
      <c r="D1171" s="10">
        <v>2001</v>
      </c>
    </row>
    <row r="1172" spans="1:4" ht="19.95" customHeight="1" x14ac:dyDescent="0.25">
      <c r="A1172" s="9" t="s">
        <v>31</v>
      </c>
      <c r="B1172" s="10" t="s">
        <v>43</v>
      </c>
      <c r="C1172" s="10">
        <v>3.62421436796153</v>
      </c>
      <c r="D1172" s="10">
        <v>2001</v>
      </c>
    </row>
    <row r="1173" spans="1:4" ht="19.95" customHeight="1" x14ac:dyDescent="0.25">
      <c r="A1173" s="9" t="s">
        <v>32</v>
      </c>
      <c r="B1173" s="10" t="s">
        <v>43</v>
      </c>
      <c r="C1173" s="10">
        <v>3.7142878687348002</v>
      </c>
      <c r="D1173" s="10">
        <v>2001</v>
      </c>
    </row>
    <row r="1174" spans="1:4" ht="19.95" customHeight="1" x14ac:dyDescent="0.25">
      <c r="A1174" s="9" t="s">
        <v>33</v>
      </c>
      <c r="B1174" s="10" t="s">
        <v>43</v>
      </c>
      <c r="C1174" s="10">
        <v>2.1526160560913401</v>
      </c>
      <c r="D1174" s="10">
        <v>2001</v>
      </c>
    </row>
    <row r="1175" spans="1:4" ht="19.95" customHeight="1" x14ac:dyDescent="0.25">
      <c r="A1175" s="9" t="s">
        <v>34</v>
      </c>
      <c r="B1175" s="10" t="s">
        <v>43</v>
      </c>
      <c r="C1175" s="10">
        <v>0.69567081371493</v>
      </c>
      <c r="D1175" s="10">
        <v>2001</v>
      </c>
    </row>
    <row r="1176" spans="1:4" ht="19.95" customHeight="1" x14ac:dyDescent="0.25">
      <c r="A1176" s="9" t="s">
        <v>35</v>
      </c>
      <c r="B1176" s="10" t="s">
        <v>43</v>
      </c>
      <c r="C1176" s="10">
        <v>1.7686354638775199</v>
      </c>
      <c r="D1176" s="10">
        <v>2001</v>
      </c>
    </row>
    <row r="1177" spans="1:4" ht="19.95" customHeight="1" x14ac:dyDescent="0.25">
      <c r="A1177" s="9" t="s">
        <v>36</v>
      </c>
      <c r="B1177" s="10" t="s">
        <v>43</v>
      </c>
      <c r="C1177" s="10">
        <v>2.7102493669714498</v>
      </c>
      <c r="D1177" s="10">
        <v>2001</v>
      </c>
    </row>
    <row r="1178" spans="1:4" ht="19.95" customHeight="1" x14ac:dyDescent="0.25">
      <c r="A1178" s="9" t="s">
        <v>37</v>
      </c>
      <c r="B1178" s="10" t="s">
        <v>43</v>
      </c>
      <c r="C1178" s="10">
        <v>3.3365684791256598</v>
      </c>
      <c r="D1178" s="10">
        <v>2001</v>
      </c>
    </row>
    <row r="1179" spans="1:4" ht="19.95" customHeight="1" x14ac:dyDescent="0.25">
      <c r="A1179" s="9" t="s">
        <v>38</v>
      </c>
      <c r="B1179" s="10" t="s">
        <v>43</v>
      </c>
      <c r="C1179" s="10">
        <v>2.7433165373098198</v>
      </c>
      <c r="D1179" s="10">
        <v>2001</v>
      </c>
    </row>
    <row r="1180" spans="1:4" ht="19.95" customHeight="1" x14ac:dyDescent="0.25">
      <c r="A1180" s="9" t="s">
        <v>39</v>
      </c>
      <c r="B1180" s="10" t="s">
        <v>43</v>
      </c>
      <c r="C1180" s="10">
        <v>1.1705971085840501</v>
      </c>
      <c r="D1180" s="10">
        <v>2001</v>
      </c>
    </row>
    <row r="1181" spans="1:4" ht="19.95" customHeight="1" x14ac:dyDescent="0.25">
      <c r="A1181" s="9" t="s">
        <v>9</v>
      </c>
      <c r="B1181" s="10" t="s">
        <v>43</v>
      </c>
      <c r="C1181" s="10">
        <v>2.7938109586503002</v>
      </c>
      <c r="D1181" s="10">
        <v>2002</v>
      </c>
    </row>
    <row r="1182" spans="1:4" ht="19.95" customHeight="1" x14ac:dyDescent="0.25">
      <c r="A1182" s="9" t="s">
        <v>12</v>
      </c>
      <c r="B1182" s="10" t="s">
        <v>43</v>
      </c>
      <c r="C1182" s="10">
        <v>2.6009050674791601</v>
      </c>
      <c r="D1182" s="10">
        <v>2002</v>
      </c>
    </row>
    <row r="1183" spans="1:4" ht="19.95" customHeight="1" x14ac:dyDescent="0.25">
      <c r="A1183" s="9" t="s">
        <v>13</v>
      </c>
      <c r="B1183" s="10" t="s">
        <v>43</v>
      </c>
      <c r="C1183" s="10">
        <v>3.8349758287224902</v>
      </c>
      <c r="D1183" s="10">
        <v>2002</v>
      </c>
    </row>
    <row r="1184" spans="1:4" ht="19.95" customHeight="1" x14ac:dyDescent="0.25">
      <c r="A1184" s="9" t="s">
        <v>15</v>
      </c>
      <c r="B1184" s="10" t="s">
        <v>43</v>
      </c>
      <c r="C1184" s="10">
        <v>2.41550726459531</v>
      </c>
      <c r="D1184" s="10">
        <v>2002</v>
      </c>
    </row>
    <row r="1185" spans="1:4" ht="19.95" customHeight="1" x14ac:dyDescent="0.25">
      <c r="A1185" s="9" t="s">
        <v>16</v>
      </c>
      <c r="B1185" s="10" t="s">
        <v>43</v>
      </c>
      <c r="C1185" s="10">
        <v>1.82704489612125</v>
      </c>
      <c r="D1185" s="10">
        <v>2002</v>
      </c>
    </row>
    <row r="1186" spans="1:4" ht="19.95" customHeight="1" x14ac:dyDescent="0.25">
      <c r="A1186" s="9" t="s">
        <v>1</v>
      </c>
      <c r="B1186" s="10" t="s">
        <v>43</v>
      </c>
      <c r="C1186" s="10">
        <v>2.8852176855038798</v>
      </c>
      <c r="D1186" s="10">
        <v>2002</v>
      </c>
    </row>
    <row r="1187" spans="1:4" ht="19.95" customHeight="1" x14ac:dyDescent="0.25">
      <c r="A1187" s="9" t="s">
        <v>17</v>
      </c>
      <c r="B1187" s="10" t="s">
        <v>43</v>
      </c>
      <c r="C1187" s="10">
        <v>1.8357215039866801</v>
      </c>
      <c r="D1187" s="10">
        <v>2002</v>
      </c>
    </row>
    <row r="1188" spans="1:4" ht="19.95" customHeight="1" x14ac:dyDescent="0.25">
      <c r="A1188" s="9" t="s">
        <v>18</v>
      </c>
      <c r="B1188" s="10" t="s">
        <v>43</v>
      </c>
      <c r="C1188" s="10">
        <v>1.6222591937681901</v>
      </c>
      <c r="D1188" s="10">
        <v>2002</v>
      </c>
    </row>
    <row r="1189" spans="1:4" ht="19.95" customHeight="1" x14ac:dyDescent="0.25">
      <c r="A1189" s="9" t="s">
        <v>19</v>
      </c>
      <c r="B1189" s="10" t="s">
        <v>43</v>
      </c>
      <c r="C1189" s="10">
        <v>2.72396581925676</v>
      </c>
      <c r="D1189" s="10">
        <v>2002</v>
      </c>
    </row>
    <row r="1190" spans="1:4" ht="19.95" customHeight="1" x14ac:dyDescent="0.25">
      <c r="A1190" s="9" t="s">
        <v>20</v>
      </c>
      <c r="B1190" s="10" t="s">
        <v>43</v>
      </c>
      <c r="C1190" s="10">
        <v>6.7930793124533095E-2</v>
      </c>
      <c r="D1190" s="10">
        <v>2002</v>
      </c>
    </row>
    <row r="1191" spans="1:4" ht="19.95" customHeight="1" x14ac:dyDescent="0.25">
      <c r="A1191" s="9" t="s">
        <v>21</v>
      </c>
      <c r="B1191" s="10" t="s">
        <v>43</v>
      </c>
      <c r="C1191" s="10">
        <v>2.3698188387695298</v>
      </c>
      <c r="D1191" s="10">
        <v>2002</v>
      </c>
    </row>
    <row r="1192" spans="1:4" ht="19.95" customHeight="1" x14ac:dyDescent="0.25">
      <c r="A1192" s="9" t="s">
        <v>22</v>
      </c>
      <c r="B1192" s="10" t="s">
        <v>43</v>
      </c>
      <c r="C1192" s="10">
        <v>3.0534937668569202</v>
      </c>
      <c r="D1192" s="10">
        <v>2002</v>
      </c>
    </row>
    <row r="1193" spans="1:4" ht="19.95" customHeight="1" x14ac:dyDescent="0.25">
      <c r="A1193" s="9" t="s">
        <v>23</v>
      </c>
      <c r="B1193" s="10" t="s">
        <v>43</v>
      </c>
      <c r="C1193" s="10">
        <v>2.68133913372565</v>
      </c>
      <c r="D1193" s="10">
        <v>2002</v>
      </c>
    </row>
    <row r="1194" spans="1:4" ht="19.95" customHeight="1" x14ac:dyDescent="0.25">
      <c r="A1194" s="9" t="s">
        <v>24</v>
      </c>
      <c r="B1194" s="10" t="s">
        <v>43</v>
      </c>
      <c r="C1194" s="10">
        <v>3.0149517269435</v>
      </c>
      <c r="D1194" s="10">
        <v>2002</v>
      </c>
    </row>
    <row r="1195" spans="1:4" ht="19.95" customHeight="1" x14ac:dyDescent="0.25">
      <c r="A1195" s="9" t="s">
        <v>25</v>
      </c>
      <c r="B1195" s="10" t="s">
        <v>43</v>
      </c>
      <c r="C1195" s="10">
        <v>-0.231579735735711</v>
      </c>
      <c r="D1195" s="10">
        <v>2002</v>
      </c>
    </row>
    <row r="1196" spans="1:4" ht="19.95" customHeight="1" x14ac:dyDescent="0.25">
      <c r="A1196" s="9" t="s">
        <v>26</v>
      </c>
      <c r="B1196" s="10" t="s">
        <v>43</v>
      </c>
      <c r="C1196" s="10">
        <v>2.9205528138115899</v>
      </c>
      <c r="D1196" s="10">
        <v>2002</v>
      </c>
    </row>
    <row r="1197" spans="1:4" ht="19.95" customHeight="1" x14ac:dyDescent="0.25">
      <c r="A1197" s="9" t="s">
        <v>28</v>
      </c>
      <c r="B1197" s="10" t="s">
        <v>43</v>
      </c>
      <c r="C1197" s="10">
        <v>1.0925474067076899</v>
      </c>
      <c r="D1197" s="10">
        <v>2002</v>
      </c>
    </row>
    <row r="1198" spans="1:4" ht="19.95" customHeight="1" x14ac:dyDescent="0.25">
      <c r="A1198" s="9" t="s">
        <v>29</v>
      </c>
      <c r="B1198" s="10" t="s">
        <v>43</v>
      </c>
      <c r="C1198" s="10">
        <v>1.66053730140166</v>
      </c>
      <c r="D1198" s="10">
        <v>2002</v>
      </c>
    </row>
    <row r="1199" spans="1:4" ht="19.95" customHeight="1" x14ac:dyDescent="0.25">
      <c r="A1199" s="9" t="s">
        <v>30</v>
      </c>
      <c r="B1199" s="10" t="s">
        <v>43</v>
      </c>
      <c r="C1199" s="10">
        <v>1.3820441064153199</v>
      </c>
      <c r="D1199" s="10">
        <v>2002</v>
      </c>
    </row>
    <row r="1200" spans="1:4" ht="19.95" customHeight="1" x14ac:dyDescent="0.25">
      <c r="A1200" s="9" t="s">
        <v>31</v>
      </c>
      <c r="B1200" s="10" t="s">
        <v>43</v>
      </c>
      <c r="C1200" s="10">
        <v>3.62060063429676</v>
      </c>
      <c r="D1200" s="10">
        <v>2002</v>
      </c>
    </row>
    <row r="1201" spans="1:4" ht="19.95" customHeight="1" x14ac:dyDescent="0.25">
      <c r="A1201" s="9" t="s">
        <v>32</v>
      </c>
      <c r="B1201" s="10" t="s">
        <v>43</v>
      </c>
      <c r="C1201" s="10">
        <v>2.4524384530826899</v>
      </c>
      <c r="D1201" s="10">
        <v>2002</v>
      </c>
    </row>
    <row r="1202" spans="1:4" ht="19.95" customHeight="1" x14ac:dyDescent="0.25">
      <c r="A1202" s="9" t="s">
        <v>33</v>
      </c>
      <c r="B1202" s="10" t="s">
        <v>43</v>
      </c>
      <c r="C1202" s="10">
        <v>2.2806395598231002</v>
      </c>
      <c r="D1202" s="10">
        <v>2002</v>
      </c>
    </row>
    <row r="1203" spans="1:4" ht="19.95" customHeight="1" x14ac:dyDescent="0.25">
      <c r="A1203" s="9" t="s">
        <v>34</v>
      </c>
      <c r="B1203" s="10" t="s">
        <v>43</v>
      </c>
      <c r="C1203" s="10">
        <v>0.77027999423996296</v>
      </c>
      <c r="D1203" s="10">
        <v>2002</v>
      </c>
    </row>
    <row r="1204" spans="1:4" ht="19.95" customHeight="1" x14ac:dyDescent="0.25">
      <c r="A1204" s="9" t="s">
        <v>35</v>
      </c>
      <c r="B1204" s="10" t="s">
        <v>43</v>
      </c>
      <c r="C1204" s="10">
        <v>1.8875670368567501</v>
      </c>
      <c r="D1204" s="10">
        <v>2002</v>
      </c>
    </row>
    <row r="1205" spans="1:4" ht="19.95" customHeight="1" x14ac:dyDescent="0.25">
      <c r="A1205" s="9" t="s">
        <v>36</v>
      </c>
      <c r="B1205" s="10" t="s">
        <v>43</v>
      </c>
      <c r="C1205" s="10">
        <v>2.77678540702476</v>
      </c>
      <c r="D1205" s="10">
        <v>2002</v>
      </c>
    </row>
    <row r="1206" spans="1:4" ht="19.95" customHeight="1" x14ac:dyDescent="0.25">
      <c r="A1206" s="9" t="s">
        <v>37</v>
      </c>
      <c r="B1206" s="10" t="s">
        <v>43</v>
      </c>
      <c r="C1206" s="10">
        <v>3.4138407908558599</v>
      </c>
      <c r="D1206" s="10">
        <v>2002</v>
      </c>
    </row>
    <row r="1207" spans="1:4" ht="19.95" customHeight="1" x14ac:dyDescent="0.25">
      <c r="A1207" s="9" t="s">
        <v>38</v>
      </c>
      <c r="B1207" s="10" t="s">
        <v>43</v>
      </c>
      <c r="C1207" s="10">
        <v>2.7004629508844</v>
      </c>
      <c r="D1207" s="10">
        <v>2002</v>
      </c>
    </row>
    <row r="1208" spans="1:4" ht="19.95" customHeight="1" x14ac:dyDescent="0.25">
      <c r="A1208" s="9" t="s">
        <v>39</v>
      </c>
      <c r="B1208" s="10" t="s">
        <v>43</v>
      </c>
      <c r="C1208" s="10">
        <v>1.08065293415603</v>
      </c>
      <c r="D1208" s="10">
        <v>2002</v>
      </c>
    </row>
    <row r="1209" spans="1:4" ht="19.95" customHeight="1" x14ac:dyDescent="0.25">
      <c r="A1209" s="9" t="s">
        <v>9</v>
      </c>
      <c r="B1209" s="10" t="s">
        <v>43</v>
      </c>
      <c r="C1209" s="10">
        <v>3.0896785811888199</v>
      </c>
      <c r="D1209" s="10">
        <v>2003</v>
      </c>
    </row>
    <row r="1210" spans="1:4" ht="19.95" customHeight="1" x14ac:dyDescent="0.25">
      <c r="A1210" s="9" t="s">
        <v>12</v>
      </c>
      <c r="B1210" s="10" t="s">
        <v>43</v>
      </c>
      <c r="C1210" s="10">
        <v>2.6317653886536898</v>
      </c>
      <c r="D1210" s="10">
        <v>2003</v>
      </c>
    </row>
    <row r="1211" spans="1:4" ht="19.95" customHeight="1" x14ac:dyDescent="0.25">
      <c r="A1211" s="9" t="s">
        <v>13</v>
      </c>
      <c r="B1211" s="10" t="s">
        <v>43</v>
      </c>
      <c r="C1211" s="10">
        <v>3.8306411256675799</v>
      </c>
      <c r="D1211" s="10">
        <v>2003</v>
      </c>
    </row>
    <row r="1212" spans="1:4" ht="19.95" customHeight="1" x14ac:dyDescent="0.25">
      <c r="A1212" s="9" t="s">
        <v>15</v>
      </c>
      <c r="B1212" s="10" t="s">
        <v>43</v>
      </c>
      <c r="C1212" s="10">
        <v>2.3827134214535599</v>
      </c>
      <c r="D1212" s="10">
        <v>2003</v>
      </c>
    </row>
    <row r="1213" spans="1:4" ht="19.95" customHeight="1" x14ac:dyDescent="0.25">
      <c r="A1213" s="9" t="s">
        <v>16</v>
      </c>
      <c r="B1213" s="10" t="s">
        <v>43</v>
      </c>
      <c r="C1213" s="10">
        <v>1.64725993456733</v>
      </c>
      <c r="D1213" s="10">
        <v>2003</v>
      </c>
    </row>
    <row r="1214" spans="1:4" ht="19.95" customHeight="1" x14ac:dyDescent="0.25">
      <c r="A1214" s="9" t="s">
        <v>1</v>
      </c>
      <c r="B1214" s="10" t="s">
        <v>43</v>
      </c>
      <c r="C1214" s="10">
        <v>2.8636164702759599</v>
      </c>
      <c r="D1214" s="10">
        <v>2003</v>
      </c>
    </row>
    <row r="1215" spans="1:4" ht="19.95" customHeight="1" x14ac:dyDescent="0.25">
      <c r="A1215" s="9" t="s">
        <v>17</v>
      </c>
      <c r="B1215" s="10" t="s">
        <v>43</v>
      </c>
      <c r="C1215" s="10">
        <v>1.87029027573573</v>
      </c>
      <c r="D1215" s="10">
        <v>2003</v>
      </c>
    </row>
    <row r="1216" spans="1:4" ht="19.95" customHeight="1" x14ac:dyDescent="0.25">
      <c r="A1216" s="9" t="s">
        <v>18</v>
      </c>
      <c r="B1216" s="10" t="s">
        <v>43</v>
      </c>
      <c r="C1216" s="10">
        <v>1.59249596137289</v>
      </c>
      <c r="D1216" s="10">
        <v>2003</v>
      </c>
    </row>
    <row r="1217" spans="1:4" ht="19.95" customHeight="1" x14ac:dyDescent="0.25">
      <c r="A1217" s="9" t="s">
        <v>19</v>
      </c>
      <c r="B1217" s="10" t="s">
        <v>43</v>
      </c>
      <c r="C1217" s="10">
        <v>2.7229981227767999</v>
      </c>
      <c r="D1217" s="10">
        <v>2003</v>
      </c>
    </row>
    <row r="1218" spans="1:4" ht="19.95" customHeight="1" x14ac:dyDescent="0.25">
      <c r="A1218" s="9" t="s">
        <v>20</v>
      </c>
      <c r="B1218" s="10" t="s">
        <v>43</v>
      </c>
      <c r="C1218" s="10">
        <v>6.7884678522227695E-2</v>
      </c>
      <c r="D1218" s="10">
        <v>2003</v>
      </c>
    </row>
    <row r="1219" spans="1:4" ht="19.95" customHeight="1" x14ac:dyDescent="0.25">
      <c r="A1219" s="9" t="s">
        <v>21</v>
      </c>
      <c r="B1219" s="10" t="s">
        <v>43</v>
      </c>
      <c r="C1219" s="10">
        <v>1.72748011070889</v>
      </c>
      <c r="D1219" s="10">
        <v>2003</v>
      </c>
    </row>
    <row r="1220" spans="1:4" ht="19.95" customHeight="1" x14ac:dyDescent="0.25">
      <c r="A1220" s="9" t="s">
        <v>22</v>
      </c>
      <c r="B1220" s="10" t="s">
        <v>43</v>
      </c>
      <c r="C1220" s="10">
        <v>3.0199692773373399</v>
      </c>
      <c r="D1220" s="10">
        <v>2003</v>
      </c>
    </row>
    <row r="1221" spans="1:4" ht="19.95" customHeight="1" x14ac:dyDescent="0.25">
      <c r="A1221" s="9" t="s">
        <v>23</v>
      </c>
      <c r="B1221" s="10" t="s">
        <v>43</v>
      </c>
      <c r="C1221" s="10">
        <v>2.6528925062001001</v>
      </c>
      <c r="D1221" s="10">
        <v>2003</v>
      </c>
    </row>
    <row r="1222" spans="1:4" ht="19.95" customHeight="1" x14ac:dyDescent="0.25">
      <c r="A1222" s="9" t="s">
        <v>24</v>
      </c>
      <c r="B1222" s="10" t="s">
        <v>43</v>
      </c>
      <c r="C1222" s="10">
        <v>3.0978464079643602</v>
      </c>
      <c r="D1222" s="10">
        <v>2003</v>
      </c>
    </row>
    <row r="1223" spans="1:4" ht="19.95" customHeight="1" x14ac:dyDescent="0.25">
      <c r="A1223" s="9" t="s">
        <v>25</v>
      </c>
      <c r="B1223" s="10" t="s">
        <v>43</v>
      </c>
      <c r="C1223" s="10">
        <v>-0.28159471648710699</v>
      </c>
      <c r="D1223" s="10">
        <v>2003</v>
      </c>
    </row>
    <row r="1224" spans="1:4" ht="19.95" customHeight="1" x14ac:dyDescent="0.25">
      <c r="A1224" s="9" t="s">
        <v>26</v>
      </c>
      <c r="B1224" s="10" t="s">
        <v>43</v>
      </c>
      <c r="C1224" s="10">
        <v>2.9698301552437099</v>
      </c>
      <c r="D1224" s="10">
        <v>2003</v>
      </c>
    </row>
    <row r="1225" spans="1:4" ht="19.95" customHeight="1" x14ac:dyDescent="0.25">
      <c r="A1225" s="9" t="s">
        <v>28</v>
      </c>
      <c r="B1225" s="10" t="s">
        <v>43</v>
      </c>
      <c r="C1225" s="10">
        <v>1.0229043275996399</v>
      </c>
      <c r="D1225" s="10">
        <v>2003</v>
      </c>
    </row>
    <row r="1226" spans="1:4" ht="19.95" customHeight="1" x14ac:dyDescent="0.25">
      <c r="A1226" s="9" t="s">
        <v>29</v>
      </c>
      <c r="B1226" s="10" t="s">
        <v>43</v>
      </c>
      <c r="C1226" s="10">
        <v>1.55214971252955</v>
      </c>
      <c r="D1226" s="10">
        <v>2003</v>
      </c>
    </row>
    <row r="1227" spans="1:4" ht="19.95" customHeight="1" x14ac:dyDescent="0.25">
      <c r="A1227" s="9" t="s">
        <v>30</v>
      </c>
      <c r="B1227" s="10" t="s">
        <v>43</v>
      </c>
      <c r="C1227" s="10">
        <v>1.32812035505421</v>
      </c>
      <c r="D1227" s="10">
        <v>2003</v>
      </c>
    </row>
    <row r="1228" spans="1:4" ht="19.95" customHeight="1" x14ac:dyDescent="0.25">
      <c r="A1228" s="9" t="s">
        <v>31</v>
      </c>
      <c r="B1228" s="10" t="s">
        <v>43</v>
      </c>
      <c r="C1228" s="10">
        <v>3.6272352785145601</v>
      </c>
      <c r="D1228" s="10">
        <v>2003</v>
      </c>
    </row>
    <row r="1229" spans="1:4" ht="19.95" customHeight="1" x14ac:dyDescent="0.25">
      <c r="A1229" s="9" t="s">
        <v>32</v>
      </c>
      <c r="B1229" s="10" t="s">
        <v>43</v>
      </c>
      <c r="C1229" s="10">
        <v>1.6744859985356899</v>
      </c>
      <c r="D1229" s="10">
        <v>2003</v>
      </c>
    </row>
    <row r="1230" spans="1:4" ht="19.95" customHeight="1" x14ac:dyDescent="0.25">
      <c r="A1230" s="9" t="s">
        <v>33</v>
      </c>
      <c r="B1230" s="10" t="s">
        <v>43</v>
      </c>
      <c r="C1230" s="10">
        <v>2.3754701664578599</v>
      </c>
      <c r="D1230" s="10">
        <v>2003</v>
      </c>
    </row>
    <row r="1231" spans="1:4" ht="19.95" customHeight="1" x14ac:dyDescent="0.25">
      <c r="A1231" s="9" t="s">
        <v>34</v>
      </c>
      <c r="B1231" s="10" t="s">
        <v>43</v>
      </c>
      <c r="C1231" s="10">
        <v>0.81520295667792098</v>
      </c>
      <c r="D1231" s="10">
        <v>2003</v>
      </c>
    </row>
    <row r="1232" spans="1:4" ht="19.95" customHeight="1" x14ac:dyDescent="0.25">
      <c r="A1232" s="9" t="s">
        <v>35</v>
      </c>
      <c r="B1232" s="10" t="s">
        <v>43</v>
      </c>
      <c r="C1232" s="10">
        <v>1.9838395671823801</v>
      </c>
      <c r="D1232" s="10">
        <v>2003</v>
      </c>
    </row>
    <row r="1233" spans="1:4" ht="19.95" customHeight="1" x14ac:dyDescent="0.25">
      <c r="A1233" s="9" t="s">
        <v>36</v>
      </c>
      <c r="B1233" s="10" t="s">
        <v>43</v>
      </c>
      <c r="C1233" s="10">
        <v>2.8485052215598001</v>
      </c>
      <c r="D1233" s="10">
        <v>2003</v>
      </c>
    </row>
    <row r="1234" spans="1:4" ht="19.95" customHeight="1" x14ac:dyDescent="0.25">
      <c r="A1234" s="9" t="s">
        <v>37</v>
      </c>
      <c r="B1234" s="10" t="s">
        <v>43</v>
      </c>
      <c r="C1234" s="10">
        <v>3.4650861199774701</v>
      </c>
      <c r="D1234" s="10">
        <v>2003</v>
      </c>
    </row>
    <row r="1235" spans="1:4" ht="19.95" customHeight="1" x14ac:dyDescent="0.25">
      <c r="A1235" s="9" t="s">
        <v>38</v>
      </c>
      <c r="B1235" s="10" t="s">
        <v>43</v>
      </c>
      <c r="C1235" s="10">
        <v>2.6757850714639799</v>
      </c>
      <c r="D1235" s="10">
        <v>2003</v>
      </c>
    </row>
    <row r="1236" spans="1:4" ht="19.95" customHeight="1" x14ac:dyDescent="0.25">
      <c r="A1236" s="9" t="s">
        <v>39</v>
      </c>
      <c r="B1236" s="10" t="s">
        <v>43</v>
      </c>
      <c r="C1236" s="10">
        <v>1.06127964129117</v>
      </c>
      <c r="D1236" s="10">
        <v>2003</v>
      </c>
    </row>
    <row r="1237" spans="1:4" ht="19.95" customHeight="1" x14ac:dyDescent="0.25">
      <c r="A1237" s="9" t="s">
        <v>9</v>
      </c>
      <c r="B1237" s="10" t="s">
        <v>43</v>
      </c>
      <c r="C1237" s="10">
        <v>3.2451216748515499</v>
      </c>
      <c r="D1237" s="10">
        <v>2004</v>
      </c>
    </row>
    <row r="1238" spans="1:4" ht="19.95" customHeight="1" x14ac:dyDescent="0.25">
      <c r="A1238" s="9" t="s">
        <v>12</v>
      </c>
      <c r="B1238" s="10" t="s">
        <v>43</v>
      </c>
      <c r="C1238" s="10">
        <v>2.6605715370920699</v>
      </c>
      <c r="D1238" s="10">
        <v>2004</v>
      </c>
    </row>
    <row r="1239" spans="1:4" ht="19.95" customHeight="1" x14ac:dyDescent="0.25">
      <c r="A1239" s="9" t="s">
        <v>13</v>
      </c>
      <c r="B1239" s="10" t="s">
        <v>43</v>
      </c>
      <c r="C1239" s="10">
        <v>3.7442073065357202</v>
      </c>
      <c r="D1239" s="10">
        <v>2004</v>
      </c>
    </row>
    <row r="1240" spans="1:4" ht="19.95" customHeight="1" x14ac:dyDescent="0.25">
      <c r="A1240" s="9" t="s">
        <v>15</v>
      </c>
      <c r="B1240" s="10" t="s">
        <v>43</v>
      </c>
      <c r="C1240" s="10">
        <v>2.3749908060831801</v>
      </c>
      <c r="D1240" s="10">
        <v>2004</v>
      </c>
    </row>
    <row r="1241" spans="1:4" ht="19.95" customHeight="1" x14ac:dyDescent="0.25">
      <c r="A1241" s="9" t="s">
        <v>16</v>
      </c>
      <c r="B1241" s="10" t="s">
        <v>43</v>
      </c>
      <c r="C1241" s="10">
        <v>1.5872259312160899</v>
      </c>
      <c r="D1241" s="10">
        <v>2004</v>
      </c>
    </row>
    <row r="1242" spans="1:4" ht="19.95" customHeight="1" x14ac:dyDescent="0.25">
      <c r="A1242" s="9" t="s">
        <v>1</v>
      </c>
      <c r="B1242" s="10" t="s">
        <v>43</v>
      </c>
      <c r="C1242" s="10">
        <v>2.8258554541128502</v>
      </c>
      <c r="D1242" s="10">
        <v>2004</v>
      </c>
    </row>
    <row r="1243" spans="1:4" ht="19.95" customHeight="1" x14ac:dyDescent="0.25">
      <c r="A1243" s="9" t="s">
        <v>17</v>
      </c>
      <c r="B1243" s="10" t="s">
        <v>43</v>
      </c>
      <c r="C1243" s="10">
        <v>1.91899783694693</v>
      </c>
      <c r="D1243" s="10">
        <v>2004</v>
      </c>
    </row>
    <row r="1244" spans="1:4" ht="19.95" customHeight="1" x14ac:dyDescent="0.25">
      <c r="A1244" s="9" t="s">
        <v>18</v>
      </c>
      <c r="B1244" s="10" t="s">
        <v>43</v>
      </c>
      <c r="C1244" s="10">
        <v>1.57638242295371</v>
      </c>
      <c r="D1244" s="10">
        <v>2004</v>
      </c>
    </row>
    <row r="1245" spans="1:4" ht="19.95" customHeight="1" x14ac:dyDescent="0.25">
      <c r="A1245" s="9" t="s">
        <v>19</v>
      </c>
      <c r="B1245" s="10" t="s">
        <v>43</v>
      </c>
      <c r="C1245" s="10">
        <v>2.72849327911094</v>
      </c>
      <c r="D1245" s="10">
        <v>2004</v>
      </c>
    </row>
    <row r="1246" spans="1:4" ht="19.95" customHeight="1" x14ac:dyDescent="0.25">
      <c r="A1246" s="9" t="s">
        <v>20</v>
      </c>
      <c r="B1246" s="10" t="s">
        <v>43</v>
      </c>
      <c r="C1246" s="10">
        <v>6.78386264869726E-2</v>
      </c>
      <c r="D1246" s="10">
        <v>2004</v>
      </c>
    </row>
    <row r="1247" spans="1:4" ht="19.95" customHeight="1" x14ac:dyDescent="0.25">
      <c r="A1247" s="9" t="s">
        <v>21</v>
      </c>
      <c r="B1247" s="10" t="s">
        <v>43</v>
      </c>
      <c r="C1247" s="10">
        <v>1.91279869685765</v>
      </c>
      <c r="D1247" s="10">
        <v>2004</v>
      </c>
    </row>
    <row r="1248" spans="1:4" ht="19.95" customHeight="1" x14ac:dyDescent="0.25">
      <c r="A1248" s="9" t="s">
        <v>22</v>
      </c>
      <c r="B1248" s="10" t="s">
        <v>43</v>
      </c>
      <c r="C1248" s="10">
        <v>2.9866762419640098</v>
      </c>
      <c r="D1248" s="10">
        <v>2004</v>
      </c>
    </row>
    <row r="1249" spans="1:4" ht="19.95" customHeight="1" x14ac:dyDescent="0.25">
      <c r="A1249" s="9" t="s">
        <v>23</v>
      </c>
      <c r="B1249" s="10" t="s">
        <v>43</v>
      </c>
      <c r="C1249" s="10">
        <v>2.7135933683497302</v>
      </c>
      <c r="D1249" s="10">
        <v>2004</v>
      </c>
    </row>
    <row r="1250" spans="1:4" ht="19.95" customHeight="1" x14ac:dyDescent="0.25">
      <c r="A1250" s="9" t="s">
        <v>24</v>
      </c>
      <c r="B1250" s="10" t="s">
        <v>43</v>
      </c>
      <c r="C1250" s="10">
        <v>3.17096257062909</v>
      </c>
      <c r="D1250" s="10">
        <v>2004</v>
      </c>
    </row>
    <row r="1251" spans="1:4" ht="19.95" customHeight="1" x14ac:dyDescent="0.25">
      <c r="A1251" s="9" t="s">
        <v>25</v>
      </c>
      <c r="B1251" s="10" t="s">
        <v>43</v>
      </c>
      <c r="C1251" s="10">
        <v>-0.247449868318115</v>
      </c>
      <c r="D1251" s="10">
        <v>2004</v>
      </c>
    </row>
    <row r="1252" spans="1:4" ht="19.95" customHeight="1" x14ac:dyDescent="0.25">
      <c r="A1252" s="9" t="s">
        <v>26</v>
      </c>
      <c r="B1252" s="10" t="s">
        <v>43</v>
      </c>
      <c r="C1252" s="10">
        <v>2.9785733267674899</v>
      </c>
      <c r="D1252" s="10">
        <v>2004</v>
      </c>
    </row>
    <row r="1253" spans="1:4" ht="19.95" customHeight="1" x14ac:dyDescent="0.25">
      <c r="A1253" s="9" t="s">
        <v>28</v>
      </c>
      <c r="B1253" s="10" t="s">
        <v>43</v>
      </c>
      <c r="C1253" s="10">
        <v>0.93797879147312002</v>
      </c>
      <c r="D1253" s="10">
        <v>2004</v>
      </c>
    </row>
    <row r="1254" spans="1:4" ht="19.95" customHeight="1" x14ac:dyDescent="0.25">
      <c r="A1254" s="9" t="s">
        <v>29</v>
      </c>
      <c r="B1254" s="10" t="s">
        <v>43</v>
      </c>
      <c r="C1254" s="10">
        <v>1.42790124430349</v>
      </c>
      <c r="D1254" s="10">
        <v>2004</v>
      </c>
    </row>
    <row r="1255" spans="1:4" ht="19.95" customHeight="1" x14ac:dyDescent="0.25">
      <c r="A1255" s="9" t="s">
        <v>30</v>
      </c>
      <c r="B1255" s="10" t="s">
        <v>43</v>
      </c>
      <c r="C1255" s="10">
        <v>1.3046669129777599</v>
      </c>
      <c r="D1255" s="10">
        <v>2004</v>
      </c>
    </row>
    <row r="1256" spans="1:4" ht="19.95" customHeight="1" x14ac:dyDescent="0.25">
      <c r="A1256" s="9" t="s">
        <v>31</v>
      </c>
      <c r="B1256" s="10" t="s">
        <v>43</v>
      </c>
      <c r="C1256" s="10">
        <v>3.6471941205990599</v>
      </c>
      <c r="D1256" s="10">
        <v>2004</v>
      </c>
    </row>
    <row r="1257" spans="1:4" ht="19.95" customHeight="1" x14ac:dyDescent="0.25">
      <c r="A1257" s="9" t="s">
        <v>32</v>
      </c>
      <c r="B1257" s="10" t="s">
        <v>43</v>
      </c>
      <c r="C1257" s="10">
        <v>1.5783367200463601</v>
      </c>
      <c r="D1257" s="10">
        <v>2004</v>
      </c>
    </row>
    <row r="1258" spans="1:4" ht="19.95" customHeight="1" x14ac:dyDescent="0.25">
      <c r="A1258" s="9" t="s">
        <v>33</v>
      </c>
      <c r="B1258" s="10" t="s">
        <v>43</v>
      </c>
      <c r="C1258" s="10">
        <v>2.3953918991933598</v>
      </c>
      <c r="D1258" s="10">
        <v>2004</v>
      </c>
    </row>
    <row r="1259" spans="1:4" ht="19.95" customHeight="1" x14ac:dyDescent="0.25">
      <c r="A1259" s="9" t="s">
        <v>34</v>
      </c>
      <c r="B1259" s="10" t="s">
        <v>43</v>
      </c>
      <c r="C1259" s="10">
        <v>0.81492952070716096</v>
      </c>
      <c r="D1259" s="10">
        <v>2004</v>
      </c>
    </row>
    <row r="1260" spans="1:4" ht="19.95" customHeight="1" x14ac:dyDescent="0.25">
      <c r="A1260" s="9" t="s">
        <v>35</v>
      </c>
      <c r="B1260" s="10" t="s">
        <v>43</v>
      </c>
      <c r="C1260" s="10">
        <v>2.04622466808644</v>
      </c>
      <c r="D1260" s="10">
        <v>2004</v>
      </c>
    </row>
    <row r="1261" spans="1:4" ht="19.95" customHeight="1" x14ac:dyDescent="0.25">
      <c r="A1261" s="9" t="s">
        <v>36</v>
      </c>
      <c r="B1261" s="10" t="s">
        <v>43</v>
      </c>
      <c r="C1261" s="10">
        <v>2.9204350931611001</v>
      </c>
      <c r="D1261" s="10">
        <v>2004</v>
      </c>
    </row>
    <row r="1262" spans="1:4" ht="19.95" customHeight="1" x14ac:dyDescent="0.25">
      <c r="A1262" s="9" t="s">
        <v>37</v>
      </c>
      <c r="B1262" s="10" t="s">
        <v>43</v>
      </c>
      <c r="C1262" s="10">
        <v>3.4827631655343998</v>
      </c>
      <c r="D1262" s="10">
        <v>2004</v>
      </c>
    </row>
    <row r="1263" spans="1:4" ht="19.95" customHeight="1" x14ac:dyDescent="0.25">
      <c r="A1263" s="9" t="s">
        <v>38</v>
      </c>
      <c r="B1263" s="10" t="s">
        <v>43</v>
      </c>
      <c r="C1263" s="10">
        <v>2.6758581257087801</v>
      </c>
      <c r="D1263" s="10">
        <v>2004</v>
      </c>
    </row>
    <row r="1264" spans="1:4" ht="19.95" customHeight="1" x14ac:dyDescent="0.25">
      <c r="A1264" s="9" t="s">
        <v>39</v>
      </c>
      <c r="B1264" s="10" t="s">
        <v>43</v>
      </c>
      <c r="C1264" s="10">
        <v>1.13032327090155</v>
      </c>
      <c r="D1264" s="10">
        <v>2004</v>
      </c>
    </row>
    <row r="1265" spans="1:4" ht="19.95" customHeight="1" x14ac:dyDescent="0.25">
      <c r="A1265" s="9" t="s">
        <v>9</v>
      </c>
      <c r="B1265" s="10" t="s">
        <v>43</v>
      </c>
      <c r="C1265" s="10">
        <v>3.2981530712579001</v>
      </c>
      <c r="D1265" s="10">
        <v>2005</v>
      </c>
    </row>
    <row r="1266" spans="1:4" ht="19.95" customHeight="1" x14ac:dyDescent="0.25">
      <c r="A1266" s="9" t="s">
        <v>12</v>
      </c>
      <c r="B1266" s="10" t="s">
        <v>43</v>
      </c>
      <c r="C1266" s="10">
        <v>2.6861165006763099</v>
      </c>
      <c r="D1266" s="10">
        <v>2005</v>
      </c>
    </row>
    <row r="1267" spans="1:4" ht="19.95" customHeight="1" x14ac:dyDescent="0.25">
      <c r="A1267" s="9" t="s">
        <v>13</v>
      </c>
      <c r="B1267" s="10" t="s">
        <v>43</v>
      </c>
      <c r="C1267" s="10">
        <v>3.6102931039285702</v>
      </c>
      <c r="D1267" s="10">
        <v>2005</v>
      </c>
    </row>
    <row r="1268" spans="1:4" ht="19.95" customHeight="1" x14ac:dyDescent="0.25">
      <c r="A1268" s="9" t="s">
        <v>15</v>
      </c>
      <c r="B1268" s="10" t="s">
        <v>43</v>
      </c>
      <c r="C1268" s="10">
        <v>2.38236695500082</v>
      </c>
      <c r="D1268" s="10">
        <v>2005</v>
      </c>
    </row>
    <row r="1269" spans="1:4" ht="19.95" customHeight="1" x14ac:dyDescent="0.25">
      <c r="A1269" s="9" t="s">
        <v>16</v>
      </c>
      <c r="B1269" s="10" t="s">
        <v>43</v>
      </c>
      <c r="C1269" s="10">
        <v>1.6090375107515</v>
      </c>
      <c r="D1269" s="10">
        <v>2005</v>
      </c>
    </row>
    <row r="1270" spans="1:4" ht="19.95" customHeight="1" x14ac:dyDescent="0.25">
      <c r="A1270" s="9" t="s">
        <v>1</v>
      </c>
      <c r="B1270" s="10" t="s">
        <v>43</v>
      </c>
      <c r="C1270" s="10">
        <v>2.7787150564064098</v>
      </c>
      <c r="D1270" s="10">
        <v>2005</v>
      </c>
    </row>
    <row r="1271" spans="1:4" ht="19.95" customHeight="1" x14ac:dyDescent="0.25">
      <c r="A1271" s="9" t="s">
        <v>17</v>
      </c>
      <c r="B1271" s="10" t="s">
        <v>43</v>
      </c>
      <c r="C1271" s="10">
        <v>1.97728149717433</v>
      </c>
      <c r="D1271" s="10">
        <v>2005</v>
      </c>
    </row>
    <row r="1272" spans="1:4" ht="19.95" customHeight="1" x14ac:dyDescent="0.25">
      <c r="A1272" s="9" t="s">
        <v>18</v>
      </c>
      <c r="B1272" s="10" t="s">
        <v>43</v>
      </c>
      <c r="C1272" s="10">
        <v>1.5691915255403901</v>
      </c>
      <c r="D1272" s="10">
        <v>2005</v>
      </c>
    </row>
    <row r="1273" spans="1:4" ht="19.95" customHeight="1" x14ac:dyDescent="0.25">
      <c r="A1273" s="9" t="s">
        <v>19</v>
      </c>
      <c r="B1273" s="10" t="s">
        <v>43</v>
      </c>
      <c r="C1273" s="10">
        <v>2.73727142320356</v>
      </c>
      <c r="D1273" s="10">
        <v>2005</v>
      </c>
    </row>
    <row r="1274" spans="1:4" ht="19.95" customHeight="1" x14ac:dyDescent="0.25">
      <c r="A1274" s="9" t="s">
        <v>20</v>
      </c>
      <c r="B1274" s="10" t="s">
        <v>43</v>
      </c>
      <c r="C1274" s="10">
        <v>6.7909885374403595E-2</v>
      </c>
      <c r="D1274" s="10">
        <v>2005</v>
      </c>
    </row>
    <row r="1275" spans="1:4" ht="19.95" customHeight="1" x14ac:dyDescent="0.25">
      <c r="A1275" s="9" t="s">
        <v>21</v>
      </c>
      <c r="B1275" s="10" t="s">
        <v>43</v>
      </c>
      <c r="C1275" s="10">
        <v>2.6351537297577399</v>
      </c>
      <c r="D1275" s="10">
        <v>2005</v>
      </c>
    </row>
    <row r="1276" spans="1:4" ht="19.95" customHeight="1" x14ac:dyDescent="0.25">
      <c r="A1276" s="9" t="s">
        <v>22</v>
      </c>
      <c r="B1276" s="10" t="s">
        <v>43</v>
      </c>
      <c r="C1276" s="10">
        <v>2.9539011006818199</v>
      </c>
      <c r="D1276" s="10">
        <v>2005</v>
      </c>
    </row>
    <row r="1277" spans="1:4" ht="19.95" customHeight="1" x14ac:dyDescent="0.25">
      <c r="A1277" s="9" t="s">
        <v>23</v>
      </c>
      <c r="B1277" s="10" t="s">
        <v>43</v>
      </c>
      <c r="C1277" s="10">
        <v>2.8285954060943999</v>
      </c>
      <c r="D1277" s="10">
        <v>2005</v>
      </c>
    </row>
    <row r="1278" spans="1:4" ht="19.95" customHeight="1" x14ac:dyDescent="0.25">
      <c r="A1278" s="9" t="s">
        <v>24</v>
      </c>
      <c r="B1278" s="10" t="s">
        <v>43</v>
      </c>
      <c r="C1278" s="10">
        <v>3.2305008083825602</v>
      </c>
      <c r="D1278" s="10">
        <v>2005</v>
      </c>
    </row>
    <row r="1279" spans="1:4" ht="19.95" customHeight="1" x14ac:dyDescent="0.25">
      <c r="A1279" s="9" t="s">
        <v>25</v>
      </c>
      <c r="B1279" s="10" t="s">
        <v>43</v>
      </c>
      <c r="C1279" s="10">
        <v>-0.24330722982984601</v>
      </c>
      <c r="D1279" s="10">
        <v>2005</v>
      </c>
    </row>
    <row r="1280" spans="1:4" ht="19.95" customHeight="1" x14ac:dyDescent="0.25">
      <c r="A1280" s="9" t="s">
        <v>26</v>
      </c>
      <c r="B1280" s="10" t="s">
        <v>43</v>
      </c>
      <c r="C1280" s="10">
        <v>2.9605825605331302</v>
      </c>
      <c r="D1280" s="10">
        <v>2005</v>
      </c>
    </row>
    <row r="1281" spans="1:4" ht="19.95" customHeight="1" x14ac:dyDescent="0.25">
      <c r="A1281" s="9" t="s">
        <v>28</v>
      </c>
      <c r="B1281" s="10" t="s">
        <v>43</v>
      </c>
      <c r="C1281" s="10">
        <v>0.84698638120539405</v>
      </c>
      <c r="D1281" s="10">
        <v>2005</v>
      </c>
    </row>
    <row r="1282" spans="1:4" ht="19.95" customHeight="1" x14ac:dyDescent="0.25">
      <c r="A1282" s="9" t="s">
        <v>29</v>
      </c>
      <c r="B1282" s="10" t="s">
        <v>43</v>
      </c>
      <c r="C1282" s="10">
        <v>1.29870211688625</v>
      </c>
      <c r="D1282" s="10">
        <v>2005</v>
      </c>
    </row>
    <row r="1283" spans="1:4" ht="19.95" customHeight="1" x14ac:dyDescent="0.25">
      <c r="A1283" s="9" t="s">
        <v>30</v>
      </c>
      <c r="B1283" s="10" t="s">
        <v>43</v>
      </c>
      <c r="C1283" s="10">
        <v>1.3027557822765501</v>
      </c>
      <c r="D1283" s="10">
        <v>2005</v>
      </c>
    </row>
    <row r="1284" spans="1:4" ht="19.95" customHeight="1" x14ac:dyDescent="0.25">
      <c r="A1284" s="9" t="s">
        <v>31</v>
      </c>
      <c r="B1284" s="10" t="s">
        <v>43</v>
      </c>
      <c r="C1284" s="10">
        <v>3.6753325617677399</v>
      </c>
      <c r="D1284" s="10">
        <v>2005</v>
      </c>
    </row>
    <row r="1285" spans="1:4" ht="19.95" customHeight="1" x14ac:dyDescent="0.25">
      <c r="A1285" s="9" t="s">
        <v>32</v>
      </c>
      <c r="B1285" s="10" t="s">
        <v>43</v>
      </c>
      <c r="C1285" s="10">
        <v>1.9461065247081999</v>
      </c>
      <c r="D1285" s="10">
        <v>2005</v>
      </c>
    </row>
    <row r="1286" spans="1:4" ht="19.95" customHeight="1" x14ac:dyDescent="0.25">
      <c r="A1286" s="9" t="s">
        <v>33</v>
      </c>
      <c r="B1286" s="10" t="s">
        <v>43</v>
      </c>
      <c r="C1286" s="10">
        <v>2.3804842539156099</v>
      </c>
      <c r="D1286" s="10">
        <v>2005</v>
      </c>
    </row>
    <row r="1287" spans="1:4" ht="19.95" customHeight="1" x14ac:dyDescent="0.25">
      <c r="A1287" s="9" t="s">
        <v>34</v>
      </c>
      <c r="B1287" s="10" t="s">
        <v>43</v>
      </c>
      <c r="C1287" s="10">
        <v>0.78165616279988404</v>
      </c>
      <c r="D1287" s="10">
        <v>2005</v>
      </c>
    </row>
    <row r="1288" spans="1:4" ht="19.95" customHeight="1" x14ac:dyDescent="0.25">
      <c r="A1288" s="9" t="s">
        <v>35</v>
      </c>
      <c r="B1288" s="10" t="s">
        <v>43</v>
      </c>
      <c r="C1288" s="10">
        <v>2.0835842269133602</v>
      </c>
      <c r="D1288" s="10">
        <v>2005</v>
      </c>
    </row>
    <row r="1289" spans="1:4" ht="19.95" customHeight="1" x14ac:dyDescent="0.25">
      <c r="A1289" s="9" t="s">
        <v>36</v>
      </c>
      <c r="B1289" s="10" t="s">
        <v>43</v>
      </c>
      <c r="C1289" s="10">
        <v>2.9890278116906099</v>
      </c>
      <c r="D1289" s="10">
        <v>2005</v>
      </c>
    </row>
    <row r="1290" spans="1:4" ht="19.95" customHeight="1" x14ac:dyDescent="0.25">
      <c r="A1290" s="9" t="s">
        <v>37</v>
      </c>
      <c r="B1290" s="10" t="s">
        <v>43</v>
      </c>
      <c r="C1290" s="10">
        <v>3.4773159278752099</v>
      </c>
      <c r="D1290" s="10">
        <v>2005</v>
      </c>
    </row>
    <row r="1291" spans="1:4" ht="19.95" customHeight="1" x14ac:dyDescent="0.25">
      <c r="A1291" s="9" t="s">
        <v>38</v>
      </c>
      <c r="B1291" s="10" t="s">
        <v>43</v>
      </c>
      <c r="C1291" s="10">
        <v>2.6945064400693099</v>
      </c>
      <c r="D1291" s="10">
        <v>2005</v>
      </c>
    </row>
    <row r="1292" spans="1:4" ht="19.95" customHeight="1" x14ac:dyDescent="0.25">
      <c r="A1292" s="9" t="s">
        <v>39</v>
      </c>
      <c r="B1292" s="10" t="s">
        <v>43</v>
      </c>
      <c r="C1292" s="10">
        <v>1.2639089473576099</v>
      </c>
      <c r="D1292" s="10">
        <v>2005</v>
      </c>
    </row>
    <row r="1293" spans="1:4" ht="19.95" customHeight="1" x14ac:dyDescent="0.25">
      <c r="A1293" s="9" t="s">
        <v>9</v>
      </c>
      <c r="B1293" s="10" t="s">
        <v>43</v>
      </c>
      <c r="C1293" s="10">
        <v>3.3390111168039698</v>
      </c>
      <c r="D1293" s="10">
        <v>2006</v>
      </c>
    </row>
    <row r="1294" spans="1:4" ht="19.95" customHeight="1" x14ac:dyDescent="0.25">
      <c r="A1294" s="9" t="s">
        <v>12</v>
      </c>
      <c r="B1294" s="10" t="s">
        <v>43</v>
      </c>
      <c r="C1294" s="10">
        <v>2.7111635691955001</v>
      </c>
      <c r="D1294" s="10">
        <v>2006</v>
      </c>
    </row>
    <row r="1295" spans="1:4" ht="19.95" customHeight="1" x14ac:dyDescent="0.25">
      <c r="A1295" s="9" t="s">
        <v>13</v>
      </c>
      <c r="B1295" s="10" t="s">
        <v>43</v>
      </c>
      <c r="C1295" s="10">
        <v>3.4616645780489299</v>
      </c>
      <c r="D1295" s="10">
        <v>2006</v>
      </c>
    </row>
    <row r="1296" spans="1:4" ht="19.95" customHeight="1" x14ac:dyDescent="0.25">
      <c r="A1296" s="9" t="s">
        <v>15</v>
      </c>
      <c r="B1296" s="10" t="s">
        <v>43</v>
      </c>
      <c r="C1296" s="10">
        <v>2.3906434898981699</v>
      </c>
      <c r="D1296" s="10">
        <v>2006</v>
      </c>
    </row>
    <row r="1297" spans="1:4" ht="19.95" customHeight="1" x14ac:dyDescent="0.25">
      <c r="A1297" s="9" t="s">
        <v>16</v>
      </c>
      <c r="B1297" s="10" t="s">
        <v>43</v>
      </c>
      <c r="C1297" s="10">
        <v>1.6403421496910999</v>
      </c>
      <c r="D1297" s="10">
        <v>2006</v>
      </c>
    </row>
    <row r="1298" spans="1:4" ht="19.95" customHeight="1" x14ac:dyDescent="0.25">
      <c r="A1298" s="9" t="s">
        <v>1</v>
      </c>
      <c r="B1298" s="10" t="s">
        <v>43</v>
      </c>
      <c r="C1298" s="10">
        <v>2.7301302435492198</v>
      </c>
      <c r="D1298" s="10">
        <v>2006</v>
      </c>
    </row>
    <row r="1299" spans="1:4" ht="19.95" customHeight="1" x14ac:dyDescent="0.25">
      <c r="A1299" s="9" t="s">
        <v>17</v>
      </c>
      <c r="B1299" s="10" t="s">
        <v>43</v>
      </c>
      <c r="C1299" s="10">
        <v>2.0621477762343199</v>
      </c>
      <c r="D1299" s="10">
        <v>2006</v>
      </c>
    </row>
    <row r="1300" spans="1:4" ht="19.95" customHeight="1" x14ac:dyDescent="0.25">
      <c r="A1300" s="9" t="s">
        <v>18</v>
      </c>
      <c r="B1300" s="10" t="s">
        <v>43</v>
      </c>
      <c r="C1300" s="10">
        <v>1.5643663662107099</v>
      </c>
      <c r="D1300" s="10">
        <v>2006</v>
      </c>
    </row>
    <row r="1301" spans="1:4" ht="19.95" customHeight="1" x14ac:dyDescent="0.25">
      <c r="A1301" s="9" t="s">
        <v>19</v>
      </c>
      <c r="B1301" s="10" t="s">
        <v>43</v>
      </c>
      <c r="C1301" s="10">
        <v>2.74643078401802</v>
      </c>
      <c r="D1301" s="10">
        <v>2006</v>
      </c>
    </row>
    <row r="1302" spans="1:4" ht="19.95" customHeight="1" x14ac:dyDescent="0.25">
      <c r="A1302" s="9" t="s">
        <v>20</v>
      </c>
      <c r="B1302" s="10" t="s">
        <v>43</v>
      </c>
      <c r="C1302" s="10">
        <v>0.80320028595336201</v>
      </c>
      <c r="D1302" s="10">
        <v>2006</v>
      </c>
    </row>
    <row r="1303" spans="1:4" ht="19.95" customHeight="1" x14ac:dyDescent="0.25">
      <c r="A1303" s="9" t="s">
        <v>21</v>
      </c>
      <c r="B1303" s="10" t="s">
        <v>43</v>
      </c>
      <c r="C1303" s="10">
        <v>3.45391649682304</v>
      </c>
      <c r="D1303" s="10">
        <v>2006</v>
      </c>
    </row>
    <row r="1304" spans="1:4" ht="19.95" customHeight="1" x14ac:dyDescent="0.25">
      <c r="A1304" s="9" t="s">
        <v>22</v>
      </c>
      <c r="B1304" s="10" t="s">
        <v>43</v>
      </c>
      <c r="C1304" s="10">
        <v>2.9211530613257501</v>
      </c>
      <c r="D1304" s="10">
        <v>2006</v>
      </c>
    </row>
    <row r="1305" spans="1:4" ht="19.95" customHeight="1" x14ac:dyDescent="0.25">
      <c r="A1305" s="9" t="s">
        <v>23</v>
      </c>
      <c r="B1305" s="10" t="s">
        <v>43</v>
      </c>
      <c r="C1305" s="10">
        <v>2.9436663748131999</v>
      </c>
      <c r="D1305" s="10">
        <v>2006</v>
      </c>
    </row>
    <row r="1306" spans="1:4" ht="19.95" customHeight="1" x14ac:dyDescent="0.25">
      <c r="A1306" s="9" t="s">
        <v>24</v>
      </c>
      <c r="B1306" s="10" t="s">
        <v>43</v>
      </c>
      <c r="C1306" s="10">
        <v>3.2916507989376198</v>
      </c>
      <c r="D1306" s="10">
        <v>2006</v>
      </c>
    </row>
    <row r="1307" spans="1:4" ht="19.95" customHeight="1" x14ac:dyDescent="0.25">
      <c r="A1307" s="9" t="s">
        <v>25</v>
      </c>
      <c r="B1307" s="10" t="s">
        <v>43</v>
      </c>
      <c r="C1307" s="10">
        <v>-0.27792356919118899</v>
      </c>
      <c r="D1307" s="10">
        <v>2006</v>
      </c>
    </row>
    <row r="1308" spans="1:4" ht="19.95" customHeight="1" x14ac:dyDescent="0.25">
      <c r="A1308" s="9" t="s">
        <v>26</v>
      </c>
      <c r="B1308" s="10" t="s">
        <v>43</v>
      </c>
      <c r="C1308" s="10">
        <v>2.9405705449331299</v>
      </c>
      <c r="D1308" s="10">
        <v>2006</v>
      </c>
    </row>
    <row r="1309" spans="1:4" ht="19.95" customHeight="1" x14ac:dyDescent="0.25">
      <c r="A1309" s="9" t="s">
        <v>28</v>
      </c>
      <c r="B1309" s="10" t="s">
        <v>43</v>
      </c>
      <c r="C1309" s="10">
        <v>0.74769362909954895</v>
      </c>
      <c r="D1309" s="10">
        <v>2006</v>
      </c>
    </row>
    <row r="1310" spans="1:4" ht="19.95" customHeight="1" x14ac:dyDescent="0.25">
      <c r="A1310" s="9" t="s">
        <v>29</v>
      </c>
      <c r="B1310" s="10" t="s">
        <v>43</v>
      </c>
      <c r="C1310" s="10">
        <v>1.1645177376659499</v>
      </c>
      <c r="D1310" s="10">
        <v>2006</v>
      </c>
    </row>
    <row r="1311" spans="1:4" ht="19.95" customHeight="1" x14ac:dyDescent="0.25">
      <c r="A1311" s="9" t="s">
        <v>30</v>
      </c>
      <c r="B1311" s="10" t="s">
        <v>43</v>
      </c>
      <c r="C1311" s="10">
        <v>1.30908642130945</v>
      </c>
      <c r="D1311" s="10">
        <v>2006</v>
      </c>
    </row>
    <row r="1312" spans="1:4" ht="19.95" customHeight="1" x14ac:dyDescent="0.25">
      <c r="A1312" s="9" t="s">
        <v>31</v>
      </c>
      <c r="B1312" s="10" t="s">
        <v>43</v>
      </c>
      <c r="C1312" s="10">
        <v>3.7020840630823799</v>
      </c>
      <c r="D1312" s="10">
        <v>2006</v>
      </c>
    </row>
    <row r="1313" spans="1:4" ht="19.95" customHeight="1" x14ac:dyDescent="0.25">
      <c r="A1313" s="9" t="s">
        <v>32</v>
      </c>
      <c r="B1313" s="10" t="s">
        <v>43</v>
      </c>
      <c r="C1313" s="10">
        <v>2.3612623723730199</v>
      </c>
      <c r="D1313" s="10">
        <v>2006</v>
      </c>
    </row>
    <row r="1314" spans="1:4" ht="19.95" customHeight="1" x14ac:dyDescent="0.25">
      <c r="A1314" s="9" t="s">
        <v>33</v>
      </c>
      <c r="B1314" s="10" t="s">
        <v>43</v>
      </c>
      <c r="C1314" s="10">
        <v>2.3483575242853498</v>
      </c>
      <c r="D1314" s="10">
        <v>2006</v>
      </c>
    </row>
    <row r="1315" spans="1:4" ht="19.95" customHeight="1" x14ac:dyDescent="0.25">
      <c r="A1315" s="9" t="s">
        <v>34</v>
      </c>
      <c r="B1315" s="10" t="s">
        <v>43</v>
      </c>
      <c r="C1315" s="10">
        <v>0.74292512110060505</v>
      </c>
      <c r="D1315" s="10">
        <v>2006</v>
      </c>
    </row>
    <row r="1316" spans="1:4" ht="19.95" customHeight="1" x14ac:dyDescent="0.25">
      <c r="A1316" s="9" t="s">
        <v>35</v>
      </c>
      <c r="B1316" s="10" t="s">
        <v>43</v>
      </c>
      <c r="C1316" s="10">
        <v>2.1131615759565001</v>
      </c>
      <c r="D1316" s="10">
        <v>2006</v>
      </c>
    </row>
    <row r="1317" spans="1:4" ht="19.95" customHeight="1" x14ac:dyDescent="0.25">
      <c r="A1317" s="9" t="s">
        <v>36</v>
      </c>
      <c r="B1317" s="10" t="s">
        <v>43</v>
      </c>
      <c r="C1317" s="10">
        <v>3.0595064430638899</v>
      </c>
      <c r="D1317" s="10">
        <v>2006</v>
      </c>
    </row>
    <row r="1318" spans="1:4" ht="19.95" customHeight="1" x14ac:dyDescent="0.25">
      <c r="A1318" s="9" t="s">
        <v>37</v>
      </c>
      <c r="B1318" s="10" t="s">
        <v>43</v>
      </c>
      <c r="C1318" s="10">
        <v>3.46614919309937</v>
      </c>
      <c r="D1318" s="10">
        <v>2006</v>
      </c>
    </row>
    <row r="1319" spans="1:4" ht="19.95" customHeight="1" x14ac:dyDescent="0.25">
      <c r="A1319" s="9" t="s">
        <v>38</v>
      </c>
      <c r="B1319" s="10" t="s">
        <v>43</v>
      </c>
      <c r="C1319" s="10">
        <v>2.7117015610598498</v>
      </c>
      <c r="D1319" s="10">
        <v>2006</v>
      </c>
    </row>
    <row r="1320" spans="1:4" ht="19.95" customHeight="1" x14ac:dyDescent="0.25">
      <c r="A1320" s="9" t="s">
        <v>39</v>
      </c>
      <c r="B1320" s="10" t="s">
        <v>43</v>
      </c>
      <c r="C1320" s="10">
        <v>1.4137197277320199</v>
      </c>
      <c r="D1320" s="10">
        <v>2006</v>
      </c>
    </row>
    <row r="1321" spans="1:4" ht="19.95" customHeight="1" x14ac:dyDescent="0.25">
      <c r="A1321" s="9" t="s">
        <v>9</v>
      </c>
      <c r="B1321" s="10" t="s">
        <v>43</v>
      </c>
      <c r="C1321" s="10">
        <v>3.3847163883889699</v>
      </c>
      <c r="D1321" s="10">
        <v>2007</v>
      </c>
    </row>
    <row r="1322" spans="1:4" ht="19.95" customHeight="1" x14ac:dyDescent="0.25">
      <c r="A1322" s="9" t="s">
        <v>12</v>
      </c>
      <c r="B1322" s="10" t="s">
        <v>43</v>
      </c>
      <c r="C1322" s="10">
        <v>2.7323792110382299</v>
      </c>
      <c r="D1322" s="10">
        <v>2007</v>
      </c>
    </row>
    <row r="1323" spans="1:4" ht="19.95" customHeight="1" x14ac:dyDescent="0.25">
      <c r="A1323" s="9" t="s">
        <v>13</v>
      </c>
      <c r="B1323" s="10" t="s">
        <v>43</v>
      </c>
      <c r="C1323" s="10">
        <v>3.3414053950262401</v>
      </c>
      <c r="D1323" s="10">
        <v>2007</v>
      </c>
    </row>
    <row r="1324" spans="1:4" ht="19.95" customHeight="1" x14ac:dyDescent="0.25">
      <c r="A1324" s="9" t="s">
        <v>15</v>
      </c>
      <c r="B1324" s="10" t="s">
        <v>43</v>
      </c>
      <c r="C1324" s="10">
        <v>2.3967173655849301</v>
      </c>
      <c r="D1324" s="10">
        <v>2007</v>
      </c>
    </row>
    <row r="1325" spans="1:4" ht="19.95" customHeight="1" x14ac:dyDescent="0.25">
      <c r="A1325" s="9" t="s">
        <v>16</v>
      </c>
      <c r="B1325" s="10" t="s">
        <v>43</v>
      </c>
      <c r="C1325" s="10">
        <v>1.6435245162419501</v>
      </c>
      <c r="D1325" s="10">
        <v>2007</v>
      </c>
    </row>
    <row r="1326" spans="1:4" ht="19.95" customHeight="1" x14ac:dyDescent="0.25">
      <c r="A1326" s="9" t="s">
        <v>1</v>
      </c>
      <c r="B1326" s="10" t="s">
        <v>43</v>
      </c>
      <c r="C1326" s="10">
        <v>2.6898152561200299</v>
      </c>
      <c r="D1326" s="10">
        <v>2007</v>
      </c>
    </row>
    <row r="1327" spans="1:4" ht="19.95" customHeight="1" x14ac:dyDescent="0.25">
      <c r="A1327" s="9" t="s">
        <v>17</v>
      </c>
      <c r="B1327" s="10" t="s">
        <v>43</v>
      </c>
      <c r="C1327" s="10">
        <v>2.1554276194037598</v>
      </c>
      <c r="D1327" s="10">
        <v>2007</v>
      </c>
    </row>
    <row r="1328" spans="1:4" ht="19.95" customHeight="1" x14ac:dyDescent="0.25">
      <c r="A1328" s="9" t="s">
        <v>18</v>
      </c>
      <c r="B1328" s="10" t="s">
        <v>43</v>
      </c>
      <c r="C1328" s="10">
        <v>1.5547008330498799</v>
      </c>
      <c r="D1328" s="10">
        <v>2007</v>
      </c>
    </row>
    <row r="1329" spans="1:4" ht="19.95" customHeight="1" x14ac:dyDescent="0.25">
      <c r="A1329" s="9" t="s">
        <v>19</v>
      </c>
      <c r="B1329" s="10" t="s">
        <v>43</v>
      </c>
      <c r="C1329" s="10">
        <v>2.7520690358667301</v>
      </c>
      <c r="D1329" s="10">
        <v>2007</v>
      </c>
    </row>
    <row r="1330" spans="1:4" ht="19.95" customHeight="1" x14ac:dyDescent="0.25">
      <c r="A1330" s="9" t="s">
        <v>20</v>
      </c>
      <c r="B1330" s="10" t="s">
        <v>43</v>
      </c>
      <c r="C1330" s="10">
        <v>0.80326183292791598</v>
      </c>
      <c r="D1330" s="10">
        <v>2007</v>
      </c>
    </row>
    <row r="1331" spans="1:4" ht="19.95" customHeight="1" x14ac:dyDescent="0.25">
      <c r="A1331" s="9" t="s">
        <v>21</v>
      </c>
      <c r="B1331" s="10" t="s">
        <v>43</v>
      </c>
      <c r="C1331" s="10">
        <v>3.9807426620775002</v>
      </c>
      <c r="D1331" s="10">
        <v>2007</v>
      </c>
    </row>
    <row r="1332" spans="1:4" ht="19.95" customHeight="1" x14ac:dyDescent="0.25">
      <c r="A1332" s="9" t="s">
        <v>22</v>
      </c>
      <c r="B1332" s="10" t="s">
        <v>43</v>
      </c>
      <c r="C1332" s="10">
        <v>2.8882208971626602</v>
      </c>
      <c r="D1332" s="10">
        <v>2007</v>
      </c>
    </row>
    <row r="1333" spans="1:4" ht="19.95" customHeight="1" x14ac:dyDescent="0.25">
      <c r="A1333" s="9" t="s">
        <v>23</v>
      </c>
      <c r="B1333" s="10" t="s">
        <v>43</v>
      </c>
      <c r="C1333" s="10">
        <v>3.0196904765135102</v>
      </c>
      <c r="D1333" s="10">
        <v>2007</v>
      </c>
    </row>
    <row r="1334" spans="1:4" ht="19.95" customHeight="1" x14ac:dyDescent="0.25">
      <c r="A1334" s="9" t="s">
        <v>24</v>
      </c>
      <c r="B1334" s="10" t="s">
        <v>43</v>
      </c>
      <c r="C1334" s="10">
        <v>3.3348628148660699</v>
      </c>
      <c r="D1334" s="10">
        <v>2007</v>
      </c>
    </row>
    <row r="1335" spans="1:4" ht="19.95" customHeight="1" x14ac:dyDescent="0.25">
      <c r="A1335" s="9" t="s">
        <v>25</v>
      </c>
      <c r="B1335" s="10" t="s">
        <v>43</v>
      </c>
      <c r="C1335" s="10">
        <v>-0.23174716070115001</v>
      </c>
      <c r="D1335" s="10">
        <v>2007</v>
      </c>
    </row>
    <row r="1336" spans="1:4" ht="19.95" customHeight="1" x14ac:dyDescent="0.25">
      <c r="A1336" s="9" t="s">
        <v>26</v>
      </c>
      <c r="B1336" s="10" t="s">
        <v>43</v>
      </c>
      <c r="C1336" s="10">
        <v>2.9310960499961398</v>
      </c>
      <c r="D1336" s="10">
        <v>2007</v>
      </c>
    </row>
    <row r="1337" spans="1:4" ht="19.95" customHeight="1" x14ac:dyDescent="0.25">
      <c r="A1337" s="9" t="s">
        <v>28</v>
      </c>
      <c r="B1337" s="10" t="s">
        <v>43</v>
      </c>
      <c r="C1337" s="10">
        <v>0.66337406035776803</v>
      </c>
      <c r="D1337" s="10">
        <v>2007</v>
      </c>
    </row>
    <row r="1338" spans="1:4" ht="19.95" customHeight="1" x14ac:dyDescent="0.25">
      <c r="A1338" s="9" t="s">
        <v>29</v>
      </c>
      <c r="B1338" s="10" t="s">
        <v>43</v>
      </c>
      <c r="C1338" s="10">
        <v>1.0515926840011001</v>
      </c>
      <c r="D1338" s="10">
        <v>2007</v>
      </c>
    </row>
    <row r="1339" spans="1:4" ht="19.95" customHeight="1" x14ac:dyDescent="0.25">
      <c r="A1339" s="9" t="s">
        <v>30</v>
      </c>
      <c r="B1339" s="10" t="s">
        <v>43</v>
      </c>
      <c r="C1339" s="10">
        <v>1.3104985745168101</v>
      </c>
      <c r="D1339" s="10">
        <v>2007</v>
      </c>
    </row>
    <row r="1340" spans="1:4" ht="19.95" customHeight="1" x14ac:dyDescent="0.25">
      <c r="A1340" s="9" t="s">
        <v>31</v>
      </c>
      <c r="B1340" s="10" t="s">
        <v>43</v>
      </c>
      <c r="C1340" s="10">
        <v>3.7245035087510501</v>
      </c>
      <c r="D1340" s="10">
        <v>2007</v>
      </c>
    </row>
    <row r="1341" spans="1:4" ht="19.95" customHeight="1" x14ac:dyDescent="0.25">
      <c r="A1341" s="9" t="s">
        <v>32</v>
      </c>
      <c r="B1341" s="10" t="s">
        <v>43</v>
      </c>
      <c r="C1341" s="10">
        <v>2.58213372728969</v>
      </c>
      <c r="D1341" s="10">
        <v>2007</v>
      </c>
    </row>
    <row r="1342" spans="1:4" ht="19.95" customHeight="1" x14ac:dyDescent="0.25">
      <c r="A1342" s="9" t="s">
        <v>33</v>
      </c>
      <c r="B1342" s="10" t="s">
        <v>43</v>
      </c>
      <c r="C1342" s="10">
        <v>2.3404670356248198</v>
      </c>
      <c r="D1342" s="10">
        <v>2007</v>
      </c>
    </row>
    <row r="1343" spans="1:4" ht="19.95" customHeight="1" x14ac:dyDescent="0.25">
      <c r="A1343" s="9" t="s">
        <v>34</v>
      </c>
      <c r="B1343" s="10" t="s">
        <v>43</v>
      </c>
      <c r="C1343" s="10">
        <v>0.71243792503671</v>
      </c>
      <c r="D1343" s="10">
        <v>2007</v>
      </c>
    </row>
    <row r="1344" spans="1:4" ht="19.95" customHeight="1" x14ac:dyDescent="0.25">
      <c r="A1344" s="9" t="s">
        <v>35</v>
      </c>
      <c r="B1344" s="10" t="s">
        <v>43</v>
      </c>
      <c r="C1344" s="10">
        <v>2.1456150200321802</v>
      </c>
      <c r="D1344" s="10">
        <v>2007</v>
      </c>
    </row>
    <row r="1345" spans="1:4" ht="19.95" customHeight="1" x14ac:dyDescent="0.25">
      <c r="A1345" s="9" t="s">
        <v>36</v>
      </c>
      <c r="B1345" s="10" t="s">
        <v>43</v>
      </c>
      <c r="C1345" s="10">
        <v>3.1223172750019099</v>
      </c>
      <c r="D1345" s="10">
        <v>2007</v>
      </c>
    </row>
    <row r="1346" spans="1:4" ht="19.95" customHeight="1" x14ac:dyDescent="0.25">
      <c r="A1346" s="9" t="s">
        <v>37</v>
      </c>
      <c r="B1346" s="10" t="s">
        <v>43</v>
      </c>
      <c r="C1346" s="10">
        <v>3.4582931963011498</v>
      </c>
      <c r="D1346" s="10">
        <v>2007</v>
      </c>
    </row>
    <row r="1347" spans="1:4" ht="19.95" customHeight="1" x14ac:dyDescent="0.25">
      <c r="A1347" s="9" t="s">
        <v>38</v>
      </c>
      <c r="B1347" s="10" t="s">
        <v>43</v>
      </c>
      <c r="C1347" s="10">
        <v>2.7284521042458301</v>
      </c>
      <c r="D1347" s="10">
        <v>2007</v>
      </c>
    </row>
    <row r="1348" spans="1:4" ht="19.95" customHeight="1" x14ac:dyDescent="0.25">
      <c r="A1348" s="9" t="s">
        <v>39</v>
      </c>
      <c r="B1348" s="10" t="s">
        <v>43</v>
      </c>
      <c r="C1348" s="10">
        <v>1.5547348161535</v>
      </c>
      <c r="D1348" s="10">
        <v>2007</v>
      </c>
    </row>
    <row r="1349" spans="1:4" ht="19.95" customHeight="1" x14ac:dyDescent="0.25">
      <c r="A1349" s="9" t="s">
        <v>9</v>
      </c>
      <c r="B1349" s="10" t="s">
        <v>43</v>
      </c>
      <c r="C1349" s="10">
        <v>3.3769151240528901</v>
      </c>
      <c r="D1349" s="10">
        <v>2008</v>
      </c>
    </row>
    <row r="1350" spans="1:4" ht="19.95" customHeight="1" x14ac:dyDescent="0.25">
      <c r="A1350" s="9" t="s">
        <v>12</v>
      </c>
      <c r="B1350" s="10" t="s">
        <v>43</v>
      </c>
      <c r="C1350" s="10">
        <v>2.7432611605442201</v>
      </c>
      <c r="D1350" s="10">
        <v>2008</v>
      </c>
    </row>
    <row r="1351" spans="1:4" ht="19.95" customHeight="1" x14ac:dyDescent="0.25">
      <c r="A1351" s="9" t="s">
        <v>13</v>
      </c>
      <c r="B1351" s="10" t="s">
        <v>43</v>
      </c>
      <c r="C1351" s="10">
        <v>3.2696663913238</v>
      </c>
      <c r="D1351" s="10">
        <v>2008</v>
      </c>
    </row>
    <row r="1352" spans="1:4" ht="19.95" customHeight="1" x14ac:dyDescent="0.25">
      <c r="A1352" s="9" t="s">
        <v>15</v>
      </c>
      <c r="B1352" s="10" t="s">
        <v>43</v>
      </c>
      <c r="C1352" s="10">
        <v>2.4036283650959298</v>
      </c>
      <c r="D1352" s="10">
        <v>2008</v>
      </c>
    </row>
    <row r="1353" spans="1:4" ht="19.95" customHeight="1" x14ac:dyDescent="0.25">
      <c r="A1353" s="9" t="s">
        <v>16</v>
      </c>
      <c r="B1353" s="10" t="s">
        <v>43</v>
      </c>
      <c r="C1353" s="10">
        <v>1.65802996457734</v>
      </c>
      <c r="D1353" s="10">
        <v>2008</v>
      </c>
    </row>
    <row r="1354" spans="1:4" ht="19.95" customHeight="1" x14ac:dyDescent="0.25">
      <c r="A1354" s="9" t="s">
        <v>1</v>
      </c>
      <c r="B1354" s="10" t="s">
        <v>43</v>
      </c>
      <c r="C1354" s="10">
        <v>2.6611540757463099</v>
      </c>
      <c r="D1354" s="10">
        <v>2008</v>
      </c>
    </row>
    <row r="1355" spans="1:4" ht="19.95" customHeight="1" x14ac:dyDescent="0.25">
      <c r="A1355" s="9" t="s">
        <v>17</v>
      </c>
      <c r="B1355" s="10" t="s">
        <v>43</v>
      </c>
      <c r="C1355" s="10">
        <v>2.2176859157341799</v>
      </c>
      <c r="D1355" s="10">
        <v>2008</v>
      </c>
    </row>
    <row r="1356" spans="1:4" ht="19.95" customHeight="1" x14ac:dyDescent="0.25">
      <c r="A1356" s="9" t="s">
        <v>18</v>
      </c>
      <c r="B1356" s="10" t="s">
        <v>43</v>
      </c>
      <c r="C1356" s="10">
        <v>1.53819490737395</v>
      </c>
      <c r="D1356" s="10">
        <v>2008</v>
      </c>
    </row>
    <row r="1357" spans="1:4" ht="19.95" customHeight="1" x14ac:dyDescent="0.25">
      <c r="A1357" s="9" t="s">
        <v>19</v>
      </c>
      <c r="B1357" s="10" t="s">
        <v>43</v>
      </c>
      <c r="C1357" s="10">
        <v>2.75155906438204</v>
      </c>
      <c r="D1357" s="10">
        <v>2008</v>
      </c>
    </row>
    <row r="1358" spans="1:4" ht="19.95" customHeight="1" x14ac:dyDescent="0.25">
      <c r="A1358" s="9" t="s">
        <v>20</v>
      </c>
      <c r="B1358" s="10" t="s">
        <v>43</v>
      </c>
      <c r="C1358" s="10">
        <v>0.80321347756918904</v>
      </c>
      <c r="D1358" s="10">
        <v>2008</v>
      </c>
    </row>
    <row r="1359" spans="1:4" ht="19.95" customHeight="1" x14ac:dyDescent="0.25">
      <c r="A1359" s="9" t="s">
        <v>21</v>
      </c>
      <c r="B1359" s="10" t="s">
        <v>43</v>
      </c>
      <c r="C1359" s="10">
        <v>4.1829556371799699</v>
      </c>
      <c r="D1359" s="10">
        <v>2008</v>
      </c>
    </row>
    <row r="1360" spans="1:4" ht="19.95" customHeight="1" x14ac:dyDescent="0.25">
      <c r="A1360" s="9" t="s">
        <v>22</v>
      </c>
      <c r="B1360" s="10" t="s">
        <v>43</v>
      </c>
      <c r="C1360" s="10">
        <v>2.8556143463716599</v>
      </c>
      <c r="D1360" s="10">
        <v>2008</v>
      </c>
    </row>
    <row r="1361" spans="1:4" ht="19.95" customHeight="1" x14ac:dyDescent="0.25">
      <c r="A1361" s="9" t="s">
        <v>23</v>
      </c>
      <c r="B1361" s="10" t="s">
        <v>43</v>
      </c>
      <c r="C1361" s="10">
        <v>3.06129406831288</v>
      </c>
      <c r="D1361" s="10">
        <v>2008</v>
      </c>
    </row>
    <row r="1362" spans="1:4" ht="19.95" customHeight="1" x14ac:dyDescent="0.25">
      <c r="A1362" s="9" t="s">
        <v>24</v>
      </c>
      <c r="B1362" s="10" t="s">
        <v>43</v>
      </c>
      <c r="C1362" s="10">
        <v>3.32678238377069</v>
      </c>
      <c r="D1362" s="10">
        <v>2008</v>
      </c>
    </row>
    <row r="1363" spans="1:4" ht="19.95" customHeight="1" x14ac:dyDescent="0.25">
      <c r="A1363" s="9" t="s">
        <v>25</v>
      </c>
      <c r="B1363" s="10" t="s">
        <v>43</v>
      </c>
      <c r="C1363" s="10">
        <v>-0.19034517763099301</v>
      </c>
      <c r="D1363" s="10">
        <v>2008</v>
      </c>
    </row>
    <row r="1364" spans="1:4" ht="19.95" customHeight="1" x14ac:dyDescent="0.25">
      <c r="A1364" s="9" t="s">
        <v>26</v>
      </c>
      <c r="B1364" s="10" t="s">
        <v>43</v>
      </c>
      <c r="C1364" s="10">
        <v>2.9240181534613399</v>
      </c>
      <c r="D1364" s="10">
        <v>2008</v>
      </c>
    </row>
    <row r="1365" spans="1:4" ht="19.95" customHeight="1" x14ac:dyDescent="0.25">
      <c r="A1365" s="9" t="s">
        <v>28</v>
      </c>
      <c r="B1365" s="10" t="s">
        <v>43</v>
      </c>
      <c r="C1365" s="10">
        <v>0.62475990416533</v>
      </c>
      <c r="D1365" s="10">
        <v>2008</v>
      </c>
    </row>
    <row r="1366" spans="1:4" ht="19.95" customHeight="1" x14ac:dyDescent="0.25">
      <c r="A1366" s="9" t="s">
        <v>29</v>
      </c>
      <c r="B1366" s="10" t="s">
        <v>43</v>
      </c>
      <c r="C1366" s="10">
        <v>0.99074070103818501</v>
      </c>
      <c r="D1366" s="10">
        <v>2008</v>
      </c>
    </row>
    <row r="1367" spans="1:4" ht="19.95" customHeight="1" x14ac:dyDescent="0.25">
      <c r="A1367" s="9" t="s">
        <v>30</v>
      </c>
      <c r="B1367" s="10" t="s">
        <v>43</v>
      </c>
      <c r="C1367" s="10">
        <v>1.3025735479743901</v>
      </c>
      <c r="D1367" s="10">
        <v>2008</v>
      </c>
    </row>
    <row r="1368" spans="1:4" ht="19.95" customHeight="1" x14ac:dyDescent="0.25">
      <c r="A1368" s="9" t="s">
        <v>31</v>
      </c>
      <c r="B1368" s="10" t="s">
        <v>43</v>
      </c>
      <c r="C1368" s="10">
        <v>3.7479020588015501</v>
      </c>
      <c r="D1368" s="10">
        <v>2008</v>
      </c>
    </row>
    <row r="1369" spans="1:4" ht="19.95" customHeight="1" x14ac:dyDescent="0.25">
      <c r="A1369" s="9" t="s">
        <v>32</v>
      </c>
      <c r="B1369" s="10" t="s">
        <v>43</v>
      </c>
      <c r="C1369" s="10">
        <v>2.7227912962739098</v>
      </c>
      <c r="D1369" s="10">
        <v>2008</v>
      </c>
    </row>
    <row r="1370" spans="1:4" ht="19.95" customHeight="1" x14ac:dyDescent="0.25">
      <c r="A1370" s="9" t="s">
        <v>33</v>
      </c>
      <c r="B1370" s="10" t="s">
        <v>43</v>
      </c>
      <c r="C1370" s="10">
        <v>2.3103077771092502</v>
      </c>
      <c r="D1370" s="10">
        <v>2008</v>
      </c>
    </row>
    <row r="1371" spans="1:4" ht="19.95" customHeight="1" x14ac:dyDescent="0.25">
      <c r="A1371" s="9" t="s">
        <v>34</v>
      </c>
      <c r="B1371" s="10" t="s">
        <v>43</v>
      </c>
      <c r="C1371" s="10">
        <v>0.67935109159613905</v>
      </c>
      <c r="D1371" s="10">
        <v>2008</v>
      </c>
    </row>
    <row r="1372" spans="1:4" ht="19.95" customHeight="1" x14ac:dyDescent="0.25">
      <c r="A1372" s="9" t="s">
        <v>35</v>
      </c>
      <c r="B1372" s="10" t="s">
        <v>43</v>
      </c>
      <c r="C1372" s="10">
        <v>2.1760196248509902</v>
      </c>
      <c r="D1372" s="10">
        <v>2008</v>
      </c>
    </row>
    <row r="1373" spans="1:4" ht="19.95" customHeight="1" x14ac:dyDescent="0.25">
      <c r="A1373" s="9" t="s">
        <v>36</v>
      </c>
      <c r="B1373" s="10" t="s">
        <v>43</v>
      </c>
      <c r="C1373" s="10">
        <v>3.1611224902724699</v>
      </c>
      <c r="D1373" s="10">
        <v>2008</v>
      </c>
    </row>
    <row r="1374" spans="1:4" ht="19.95" customHeight="1" x14ac:dyDescent="0.25">
      <c r="A1374" s="9" t="s">
        <v>37</v>
      </c>
      <c r="B1374" s="10" t="s">
        <v>43</v>
      </c>
      <c r="C1374" s="10">
        <v>3.4488026096243698</v>
      </c>
      <c r="D1374" s="10">
        <v>2008</v>
      </c>
    </row>
    <row r="1375" spans="1:4" ht="19.95" customHeight="1" x14ac:dyDescent="0.25">
      <c r="A1375" s="9" t="s">
        <v>38</v>
      </c>
      <c r="B1375" s="10" t="s">
        <v>43</v>
      </c>
      <c r="C1375" s="10">
        <v>2.7631656962141902</v>
      </c>
      <c r="D1375" s="10">
        <v>2008</v>
      </c>
    </row>
    <row r="1376" spans="1:4" ht="19.95" customHeight="1" x14ac:dyDescent="0.25">
      <c r="A1376" s="9" t="s">
        <v>39</v>
      </c>
      <c r="B1376" s="10" t="s">
        <v>43</v>
      </c>
      <c r="C1376" s="10">
        <v>1.7001063072573599</v>
      </c>
      <c r="D1376" s="10">
        <v>2008</v>
      </c>
    </row>
    <row r="1377" spans="1:4" ht="19.95" customHeight="1" x14ac:dyDescent="0.25">
      <c r="A1377" s="9" t="s">
        <v>9</v>
      </c>
      <c r="B1377" s="10" t="s">
        <v>43</v>
      </c>
      <c r="C1377" s="10">
        <v>3.3146212817890501</v>
      </c>
      <c r="D1377" s="10">
        <v>2009</v>
      </c>
    </row>
    <row r="1378" spans="1:4" ht="19.95" customHeight="1" x14ac:dyDescent="0.25">
      <c r="A1378" s="9" t="s">
        <v>12</v>
      </c>
      <c r="B1378" s="10" t="s">
        <v>43</v>
      </c>
      <c r="C1378" s="10">
        <v>2.7416384998088699</v>
      </c>
      <c r="D1378" s="10">
        <v>2009</v>
      </c>
    </row>
    <row r="1379" spans="1:4" ht="19.95" customHeight="1" x14ac:dyDescent="0.25">
      <c r="A1379" s="9" t="s">
        <v>13</v>
      </c>
      <c r="B1379" s="10" t="s">
        <v>43</v>
      </c>
      <c r="C1379" s="10">
        <v>3.2598261497335401</v>
      </c>
      <c r="D1379" s="10">
        <v>2009</v>
      </c>
    </row>
    <row r="1380" spans="1:4" ht="19.95" customHeight="1" x14ac:dyDescent="0.25">
      <c r="A1380" s="9" t="s">
        <v>15</v>
      </c>
      <c r="B1380" s="10" t="s">
        <v>43</v>
      </c>
      <c r="C1380" s="10">
        <v>2.4087190564731502</v>
      </c>
      <c r="D1380" s="10">
        <v>2009</v>
      </c>
    </row>
    <row r="1381" spans="1:4" ht="19.95" customHeight="1" x14ac:dyDescent="0.25">
      <c r="A1381" s="9" t="s">
        <v>16</v>
      </c>
      <c r="B1381" s="10" t="s">
        <v>43</v>
      </c>
      <c r="C1381" s="10">
        <v>1.6756890264814099</v>
      </c>
      <c r="D1381" s="10">
        <v>2009</v>
      </c>
    </row>
    <row r="1382" spans="1:4" ht="19.95" customHeight="1" x14ac:dyDescent="0.25">
      <c r="A1382" s="9" t="s">
        <v>1</v>
      </c>
      <c r="B1382" s="10" t="s">
        <v>43</v>
      </c>
      <c r="C1382" s="10">
        <v>2.6470654046082198</v>
      </c>
      <c r="D1382" s="10">
        <v>2009</v>
      </c>
    </row>
    <row r="1383" spans="1:4" ht="19.95" customHeight="1" x14ac:dyDescent="0.25">
      <c r="A1383" s="9" t="s">
        <v>17</v>
      </c>
      <c r="B1383" s="10" t="s">
        <v>43</v>
      </c>
      <c r="C1383" s="10">
        <v>2.2355886344190701</v>
      </c>
      <c r="D1383" s="10">
        <v>2009</v>
      </c>
    </row>
    <row r="1384" spans="1:4" ht="19.95" customHeight="1" x14ac:dyDescent="0.25">
      <c r="A1384" s="9" t="s">
        <v>18</v>
      </c>
      <c r="B1384" s="10" t="s">
        <v>43</v>
      </c>
      <c r="C1384" s="10">
        <v>1.5118578535268601</v>
      </c>
      <c r="D1384" s="10">
        <v>2009</v>
      </c>
    </row>
    <row r="1385" spans="1:4" ht="19.95" customHeight="1" x14ac:dyDescent="0.25">
      <c r="A1385" s="9" t="s">
        <v>19</v>
      </c>
      <c r="B1385" s="10" t="s">
        <v>43</v>
      </c>
      <c r="C1385" s="10">
        <v>2.7432078427850999</v>
      </c>
      <c r="D1385" s="10">
        <v>2009</v>
      </c>
    </row>
    <row r="1386" spans="1:4" ht="19.95" customHeight="1" x14ac:dyDescent="0.25">
      <c r="A1386" s="9" t="s">
        <v>20</v>
      </c>
      <c r="B1386" s="10" t="s">
        <v>43</v>
      </c>
      <c r="C1386" s="10">
        <v>0.80317184479312198</v>
      </c>
      <c r="D1386" s="10">
        <v>2009</v>
      </c>
    </row>
    <row r="1387" spans="1:4" ht="19.95" customHeight="1" x14ac:dyDescent="0.25">
      <c r="A1387" s="9" t="s">
        <v>21</v>
      </c>
      <c r="B1387" s="10" t="s">
        <v>43</v>
      </c>
      <c r="C1387" s="10">
        <v>3.9749585815432198</v>
      </c>
      <c r="D1387" s="10">
        <v>2009</v>
      </c>
    </row>
    <row r="1388" spans="1:4" ht="19.95" customHeight="1" x14ac:dyDescent="0.25">
      <c r="A1388" s="9" t="s">
        <v>22</v>
      </c>
      <c r="B1388" s="10" t="s">
        <v>43</v>
      </c>
      <c r="C1388" s="10">
        <v>2.8235262650441002</v>
      </c>
      <c r="D1388" s="10">
        <v>2009</v>
      </c>
    </row>
    <row r="1389" spans="1:4" ht="19.95" customHeight="1" x14ac:dyDescent="0.25">
      <c r="A1389" s="9" t="s">
        <v>23</v>
      </c>
      <c r="B1389" s="10" t="s">
        <v>43</v>
      </c>
      <c r="C1389" s="10">
        <v>3.0594431216314</v>
      </c>
      <c r="D1389" s="10">
        <v>2009</v>
      </c>
    </row>
    <row r="1390" spans="1:4" ht="19.95" customHeight="1" x14ac:dyDescent="0.25">
      <c r="A1390" s="9" t="s">
        <v>24</v>
      </c>
      <c r="B1390" s="10" t="s">
        <v>43</v>
      </c>
      <c r="C1390" s="10">
        <v>3.25917903698892</v>
      </c>
      <c r="D1390" s="10">
        <v>2009</v>
      </c>
    </row>
    <row r="1391" spans="1:4" ht="19.95" customHeight="1" x14ac:dyDescent="0.25">
      <c r="A1391" s="9" t="s">
        <v>25</v>
      </c>
      <c r="B1391" s="10" t="s">
        <v>43</v>
      </c>
      <c r="C1391" s="10">
        <v>-0.126238295439487</v>
      </c>
      <c r="D1391" s="10">
        <v>2009</v>
      </c>
    </row>
    <row r="1392" spans="1:4" ht="19.95" customHeight="1" x14ac:dyDescent="0.25">
      <c r="A1392" s="9" t="s">
        <v>26</v>
      </c>
      <c r="B1392" s="10" t="s">
        <v>43</v>
      </c>
      <c r="C1392" s="10">
        <v>2.9214629274130801</v>
      </c>
      <c r="D1392" s="10">
        <v>2009</v>
      </c>
    </row>
    <row r="1393" spans="1:4" ht="19.95" customHeight="1" x14ac:dyDescent="0.25">
      <c r="A1393" s="9" t="s">
        <v>28</v>
      </c>
      <c r="B1393" s="10" t="s">
        <v>43</v>
      </c>
      <c r="C1393" s="10">
        <v>0.64653039706936</v>
      </c>
      <c r="D1393" s="10">
        <v>2009</v>
      </c>
    </row>
    <row r="1394" spans="1:4" ht="19.95" customHeight="1" x14ac:dyDescent="0.25">
      <c r="A1394" s="9" t="s">
        <v>29</v>
      </c>
      <c r="B1394" s="10" t="s">
        <v>43</v>
      </c>
      <c r="C1394" s="10">
        <v>0.99684832235353904</v>
      </c>
      <c r="D1394" s="10">
        <v>2009</v>
      </c>
    </row>
    <row r="1395" spans="1:4" ht="19.95" customHeight="1" x14ac:dyDescent="0.25">
      <c r="A1395" s="9" t="s">
        <v>30</v>
      </c>
      <c r="B1395" s="10" t="s">
        <v>43</v>
      </c>
      <c r="C1395" s="10">
        <v>1.28008928798093</v>
      </c>
      <c r="D1395" s="10">
        <v>2009</v>
      </c>
    </row>
    <row r="1396" spans="1:4" ht="19.95" customHeight="1" x14ac:dyDescent="0.25">
      <c r="A1396" s="9" t="s">
        <v>31</v>
      </c>
      <c r="B1396" s="10" t="s">
        <v>43</v>
      </c>
      <c r="C1396" s="10">
        <v>3.7719808287899301</v>
      </c>
      <c r="D1396" s="10">
        <v>2009</v>
      </c>
    </row>
    <row r="1397" spans="1:4" ht="19.95" customHeight="1" x14ac:dyDescent="0.25">
      <c r="A1397" s="9" t="s">
        <v>32</v>
      </c>
      <c r="B1397" s="10" t="s">
        <v>43</v>
      </c>
      <c r="C1397" s="10">
        <v>2.7359449712842401</v>
      </c>
      <c r="D1397" s="10">
        <v>2009</v>
      </c>
    </row>
    <row r="1398" spans="1:4" ht="19.95" customHeight="1" x14ac:dyDescent="0.25">
      <c r="A1398" s="9" t="s">
        <v>33</v>
      </c>
      <c r="B1398" s="10" t="s">
        <v>43</v>
      </c>
      <c r="C1398" s="10">
        <v>2.3096672283132</v>
      </c>
      <c r="D1398" s="10">
        <v>2009</v>
      </c>
    </row>
    <row r="1399" spans="1:4" ht="19.95" customHeight="1" x14ac:dyDescent="0.25">
      <c r="A1399" s="9" t="s">
        <v>34</v>
      </c>
      <c r="B1399" s="10" t="s">
        <v>43</v>
      </c>
      <c r="C1399" s="10">
        <v>0.64593445560892404</v>
      </c>
      <c r="D1399" s="10">
        <v>2009</v>
      </c>
    </row>
    <row r="1400" spans="1:4" ht="19.95" customHeight="1" x14ac:dyDescent="0.25">
      <c r="A1400" s="9" t="s">
        <v>35</v>
      </c>
      <c r="B1400" s="10" t="s">
        <v>43</v>
      </c>
      <c r="C1400" s="10">
        <v>2.2066240360521601</v>
      </c>
      <c r="D1400" s="10">
        <v>2009</v>
      </c>
    </row>
    <row r="1401" spans="1:4" ht="19.95" customHeight="1" x14ac:dyDescent="0.25">
      <c r="A1401" s="9" t="s">
        <v>36</v>
      </c>
      <c r="B1401" s="10" t="s">
        <v>43</v>
      </c>
      <c r="C1401" s="10">
        <v>3.1710097773156498</v>
      </c>
      <c r="D1401" s="10">
        <v>2009</v>
      </c>
    </row>
    <row r="1402" spans="1:4" ht="19.95" customHeight="1" x14ac:dyDescent="0.25">
      <c r="A1402" s="9" t="s">
        <v>37</v>
      </c>
      <c r="B1402" s="10" t="s">
        <v>43</v>
      </c>
      <c r="C1402" s="10">
        <v>3.4394183952138899</v>
      </c>
      <c r="D1402" s="10">
        <v>2009</v>
      </c>
    </row>
    <row r="1403" spans="1:4" ht="19.95" customHeight="1" x14ac:dyDescent="0.25">
      <c r="A1403" s="9" t="s">
        <v>38</v>
      </c>
      <c r="B1403" s="10" t="s">
        <v>43</v>
      </c>
      <c r="C1403" s="10">
        <v>2.8179333934193802</v>
      </c>
      <c r="D1403" s="10">
        <v>2009</v>
      </c>
    </row>
    <row r="1404" spans="1:4" ht="19.95" customHeight="1" x14ac:dyDescent="0.25">
      <c r="A1404" s="9" t="s">
        <v>39</v>
      </c>
      <c r="B1404" s="10" t="s">
        <v>43</v>
      </c>
      <c r="C1404" s="10">
        <v>1.8424970313749101</v>
      </c>
      <c r="D1404" s="10">
        <v>2009</v>
      </c>
    </row>
    <row r="1405" spans="1:4" ht="19.95" customHeight="1" x14ac:dyDescent="0.25">
      <c r="A1405" s="9" t="s">
        <v>9</v>
      </c>
      <c r="B1405" s="10" t="s">
        <v>43</v>
      </c>
      <c r="C1405" s="10">
        <v>3.2211828553465001</v>
      </c>
      <c r="D1405" s="10">
        <v>2010</v>
      </c>
    </row>
    <row r="1406" spans="1:4" ht="19.95" customHeight="1" x14ac:dyDescent="0.25">
      <c r="A1406" s="9" t="s">
        <v>12</v>
      </c>
      <c r="B1406" s="10" t="s">
        <v>43</v>
      </c>
      <c r="C1406" s="10">
        <v>2.7306902313796</v>
      </c>
      <c r="D1406" s="10">
        <v>2010</v>
      </c>
    </row>
    <row r="1407" spans="1:4" ht="19.95" customHeight="1" x14ac:dyDescent="0.25">
      <c r="A1407" s="9" t="s">
        <v>13</v>
      </c>
      <c r="B1407" s="10" t="s">
        <v>43</v>
      </c>
      <c r="C1407" s="10">
        <v>3.2873092309842402</v>
      </c>
      <c r="D1407" s="10">
        <v>2010</v>
      </c>
    </row>
    <row r="1408" spans="1:4" ht="19.95" customHeight="1" x14ac:dyDescent="0.25">
      <c r="A1408" s="9" t="s">
        <v>15</v>
      </c>
      <c r="B1408" s="10" t="s">
        <v>43</v>
      </c>
      <c r="C1408" s="10">
        <v>2.4125418771942599</v>
      </c>
      <c r="D1408" s="10">
        <v>2010</v>
      </c>
    </row>
    <row r="1409" spans="1:4" ht="19.95" customHeight="1" x14ac:dyDescent="0.25">
      <c r="A1409" s="9" t="s">
        <v>16</v>
      </c>
      <c r="B1409" s="10" t="s">
        <v>43</v>
      </c>
      <c r="C1409" s="10">
        <v>1.6950783409915999</v>
      </c>
      <c r="D1409" s="10">
        <v>2010</v>
      </c>
    </row>
    <row r="1410" spans="1:4" ht="19.95" customHeight="1" x14ac:dyDescent="0.25">
      <c r="A1410" s="9" t="s">
        <v>1</v>
      </c>
      <c r="B1410" s="10" t="s">
        <v>43</v>
      </c>
      <c r="C1410" s="10">
        <v>2.6415944766588502</v>
      </c>
      <c r="D1410" s="10">
        <v>2010</v>
      </c>
    </row>
    <row r="1411" spans="1:4" ht="19.95" customHeight="1" x14ac:dyDescent="0.25">
      <c r="A1411" s="9" t="s">
        <v>17</v>
      </c>
      <c r="B1411" s="10" t="s">
        <v>43</v>
      </c>
      <c r="C1411" s="10">
        <v>2.22621161386768</v>
      </c>
      <c r="D1411" s="10">
        <v>2010</v>
      </c>
    </row>
    <row r="1412" spans="1:4" ht="19.95" customHeight="1" x14ac:dyDescent="0.25">
      <c r="A1412" s="9" t="s">
        <v>18</v>
      </c>
      <c r="B1412" s="10" t="s">
        <v>43</v>
      </c>
      <c r="C1412" s="10">
        <v>1.4784008958366299</v>
      </c>
      <c r="D1412" s="10">
        <v>2010</v>
      </c>
    </row>
    <row r="1413" spans="1:4" ht="19.95" customHeight="1" x14ac:dyDescent="0.25">
      <c r="A1413" s="9" t="s">
        <v>19</v>
      </c>
      <c r="B1413" s="10" t="s">
        <v>43</v>
      </c>
      <c r="C1413" s="10">
        <v>2.72840571240366</v>
      </c>
      <c r="D1413" s="10">
        <v>2010</v>
      </c>
    </row>
    <row r="1414" spans="1:4" ht="19.95" customHeight="1" x14ac:dyDescent="0.25">
      <c r="A1414" s="9" t="s">
        <v>20</v>
      </c>
      <c r="B1414" s="10" t="s">
        <v>43</v>
      </c>
      <c r="C1414" s="10">
        <v>0.80324896127775403</v>
      </c>
      <c r="D1414" s="10">
        <v>2010</v>
      </c>
    </row>
    <row r="1415" spans="1:4" ht="19.95" customHeight="1" x14ac:dyDescent="0.25">
      <c r="A1415" s="9" t="s">
        <v>21</v>
      </c>
      <c r="B1415" s="10" t="s">
        <v>43</v>
      </c>
      <c r="C1415" s="10">
        <v>3.52106240624552</v>
      </c>
      <c r="D1415" s="10">
        <v>2010</v>
      </c>
    </row>
    <row r="1416" spans="1:4" ht="19.95" customHeight="1" x14ac:dyDescent="0.25">
      <c r="A1416" s="9" t="s">
        <v>22</v>
      </c>
      <c r="B1416" s="10" t="s">
        <v>43</v>
      </c>
      <c r="C1416" s="10">
        <v>2.79264732396225</v>
      </c>
      <c r="D1416" s="10">
        <v>2010</v>
      </c>
    </row>
    <row r="1417" spans="1:4" ht="19.95" customHeight="1" x14ac:dyDescent="0.25">
      <c r="A1417" s="9" t="s">
        <v>23</v>
      </c>
      <c r="B1417" s="10" t="s">
        <v>43</v>
      </c>
      <c r="C1417" s="10">
        <v>3.0287944559309601</v>
      </c>
      <c r="D1417" s="10">
        <v>2010</v>
      </c>
    </row>
    <row r="1418" spans="1:4" ht="19.95" customHeight="1" x14ac:dyDescent="0.25">
      <c r="A1418" s="9" t="s">
        <v>24</v>
      </c>
      <c r="B1418" s="10" t="s">
        <v>43</v>
      </c>
      <c r="C1418" s="10">
        <v>3.1570105095450098</v>
      </c>
      <c r="D1418" s="10">
        <v>2010</v>
      </c>
    </row>
    <row r="1419" spans="1:4" ht="19.95" customHeight="1" x14ac:dyDescent="0.25">
      <c r="A1419" s="9" t="s">
        <v>25</v>
      </c>
      <c r="B1419" s="10" t="s">
        <v>43</v>
      </c>
      <c r="C1419" s="10">
        <v>-9.9864634068835903E-2</v>
      </c>
      <c r="D1419" s="10">
        <v>2010</v>
      </c>
    </row>
    <row r="1420" spans="1:4" ht="19.95" customHeight="1" x14ac:dyDescent="0.25">
      <c r="A1420" s="9" t="s">
        <v>26</v>
      </c>
      <c r="B1420" s="10" t="s">
        <v>43</v>
      </c>
      <c r="C1420" s="10">
        <v>2.9212891641512302</v>
      </c>
      <c r="D1420" s="10">
        <v>2010</v>
      </c>
    </row>
    <row r="1421" spans="1:4" ht="19.95" customHeight="1" x14ac:dyDescent="0.25">
      <c r="A1421" s="9" t="s">
        <v>28</v>
      </c>
      <c r="B1421" s="10" t="s">
        <v>43</v>
      </c>
      <c r="C1421" s="10">
        <v>0.71072354392485504</v>
      </c>
      <c r="D1421" s="10">
        <v>2010</v>
      </c>
    </row>
    <row r="1422" spans="1:4" ht="19.95" customHeight="1" x14ac:dyDescent="0.25">
      <c r="A1422" s="9" t="s">
        <v>29</v>
      </c>
      <c r="B1422" s="10" t="s">
        <v>43</v>
      </c>
      <c r="C1422" s="10">
        <v>1.04916050907034</v>
      </c>
      <c r="D1422" s="10">
        <v>2010</v>
      </c>
    </row>
    <row r="1423" spans="1:4" ht="19.95" customHeight="1" x14ac:dyDescent="0.25">
      <c r="A1423" s="9" t="s">
        <v>30</v>
      </c>
      <c r="B1423" s="10" t="s">
        <v>43</v>
      </c>
      <c r="C1423" s="10">
        <v>1.2476504106978901</v>
      </c>
      <c r="D1423" s="10">
        <v>2010</v>
      </c>
    </row>
    <row r="1424" spans="1:4" ht="19.95" customHeight="1" x14ac:dyDescent="0.25">
      <c r="A1424" s="9" t="s">
        <v>31</v>
      </c>
      <c r="B1424" s="10" t="s">
        <v>43</v>
      </c>
      <c r="C1424" s="10">
        <v>3.79496318310688</v>
      </c>
      <c r="D1424" s="10">
        <v>2010</v>
      </c>
    </row>
    <row r="1425" spans="1:4" ht="19.95" customHeight="1" x14ac:dyDescent="0.25">
      <c r="A1425" s="9" t="s">
        <v>32</v>
      </c>
      <c r="B1425" s="10" t="s">
        <v>43</v>
      </c>
      <c r="C1425" s="10">
        <v>2.6642414802930299</v>
      </c>
      <c r="D1425" s="10">
        <v>2010</v>
      </c>
    </row>
    <row r="1426" spans="1:4" ht="19.95" customHeight="1" x14ac:dyDescent="0.25">
      <c r="A1426" s="9" t="s">
        <v>33</v>
      </c>
      <c r="B1426" s="10" t="s">
        <v>43</v>
      </c>
      <c r="C1426" s="10">
        <v>2.29357631535468</v>
      </c>
      <c r="D1426" s="10">
        <v>2010</v>
      </c>
    </row>
    <row r="1427" spans="1:4" ht="19.95" customHeight="1" x14ac:dyDescent="0.25">
      <c r="A1427" s="9" t="s">
        <v>34</v>
      </c>
      <c r="B1427" s="10" t="s">
        <v>43</v>
      </c>
      <c r="C1427" s="10">
        <v>0.61215226706709402</v>
      </c>
      <c r="D1427" s="10">
        <v>2010</v>
      </c>
    </row>
    <row r="1428" spans="1:4" ht="19.95" customHeight="1" x14ac:dyDescent="0.25">
      <c r="A1428" s="9" t="s">
        <v>35</v>
      </c>
      <c r="B1428" s="10" t="s">
        <v>43</v>
      </c>
      <c r="C1428" s="10">
        <v>2.23386270801273</v>
      </c>
      <c r="D1428" s="10">
        <v>2010</v>
      </c>
    </row>
    <row r="1429" spans="1:4" ht="19.95" customHeight="1" x14ac:dyDescent="0.25">
      <c r="A1429" s="9" t="s">
        <v>36</v>
      </c>
      <c r="B1429" s="10" t="s">
        <v>43</v>
      </c>
      <c r="C1429" s="10">
        <v>3.1609405598942302</v>
      </c>
      <c r="D1429" s="10">
        <v>2010</v>
      </c>
    </row>
    <row r="1430" spans="1:4" ht="19.95" customHeight="1" x14ac:dyDescent="0.25">
      <c r="A1430" s="9" t="s">
        <v>37</v>
      </c>
      <c r="B1430" s="10" t="s">
        <v>43</v>
      </c>
      <c r="C1430" s="10">
        <v>3.4290027639141001</v>
      </c>
      <c r="D1430" s="10">
        <v>2010</v>
      </c>
    </row>
    <row r="1431" spans="1:4" ht="19.95" customHeight="1" x14ac:dyDescent="0.25">
      <c r="A1431" s="9" t="s">
        <v>38</v>
      </c>
      <c r="B1431" s="10" t="s">
        <v>43</v>
      </c>
      <c r="C1431" s="10">
        <v>2.8831522658589201</v>
      </c>
      <c r="D1431" s="10">
        <v>2010</v>
      </c>
    </row>
    <row r="1432" spans="1:4" ht="19.95" customHeight="1" x14ac:dyDescent="0.25">
      <c r="A1432" s="9" t="s">
        <v>39</v>
      </c>
      <c r="B1432" s="10" t="s">
        <v>43</v>
      </c>
      <c r="C1432" s="10">
        <v>1.97675598375432</v>
      </c>
      <c r="D1432" s="10">
        <v>2010</v>
      </c>
    </row>
    <row r="1433" spans="1:4" ht="19.95" customHeight="1" x14ac:dyDescent="0.25">
      <c r="A1433" s="9" t="s">
        <v>9</v>
      </c>
      <c r="B1433" s="10" t="s">
        <v>43</v>
      </c>
      <c r="C1433" s="10">
        <v>3.1060464141009199</v>
      </c>
      <c r="D1433" s="10">
        <v>2011</v>
      </c>
    </row>
    <row r="1434" spans="1:4" ht="19.95" customHeight="1" x14ac:dyDescent="0.25">
      <c r="A1434" s="9" t="s">
        <v>12</v>
      </c>
      <c r="B1434" s="10" t="s">
        <v>43</v>
      </c>
      <c r="C1434" s="10">
        <v>2.7165869389742099</v>
      </c>
      <c r="D1434" s="10">
        <v>2011</v>
      </c>
    </row>
    <row r="1435" spans="1:4" ht="19.95" customHeight="1" x14ac:dyDescent="0.25">
      <c r="A1435" s="9" t="s">
        <v>13</v>
      </c>
      <c r="B1435" s="10" t="s">
        <v>43</v>
      </c>
      <c r="C1435" s="10">
        <v>3.3213794309443099</v>
      </c>
      <c r="D1435" s="10">
        <v>2011</v>
      </c>
    </row>
    <row r="1436" spans="1:4" ht="19.95" customHeight="1" x14ac:dyDescent="0.25">
      <c r="A1436" s="9" t="s">
        <v>15</v>
      </c>
      <c r="B1436" s="10" t="s">
        <v>43</v>
      </c>
      <c r="C1436" s="10">
        <v>2.4175740775310701</v>
      </c>
      <c r="D1436" s="10">
        <v>2011</v>
      </c>
    </row>
    <row r="1437" spans="1:4" ht="19.95" customHeight="1" x14ac:dyDescent="0.25">
      <c r="A1437" s="9" t="s">
        <v>16</v>
      </c>
      <c r="B1437" s="10" t="s">
        <v>43</v>
      </c>
      <c r="C1437" s="10">
        <v>1.72284809228897</v>
      </c>
      <c r="D1437" s="10">
        <v>2011</v>
      </c>
    </row>
    <row r="1438" spans="1:4" ht="19.95" customHeight="1" x14ac:dyDescent="0.25">
      <c r="A1438" s="9" t="s">
        <v>1</v>
      </c>
      <c r="B1438" s="10" t="s">
        <v>43</v>
      </c>
      <c r="C1438" s="10">
        <v>2.6376702929657401</v>
      </c>
      <c r="D1438" s="10">
        <v>2011</v>
      </c>
    </row>
    <row r="1439" spans="1:4" ht="19.95" customHeight="1" x14ac:dyDescent="0.25">
      <c r="A1439" s="9" t="s">
        <v>17</v>
      </c>
      <c r="B1439" s="10" t="s">
        <v>43</v>
      </c>
      <c r="C1439" s="10">
        <v>2.2081271555014799</v>
      </c>
      <c r="D1439" s="10">
        <v>2011</v>
      </c>
    </row>
    <row r="1440" spans="1:4" ht="19.95" customHeight="1" x14ac:dyDescent="0.25">
      <c r="A1440" s="9" t="s">
        <v>18</v>
      </c>
      <c r="B1440" s="10" t="s">
        <v>43</v>
      </c>
      <c r="C1440" s="10">
        <v>1.4439503822152799</v>
      </c>
      <c r="D1440" s="10">
        <v>2011</v>
      </c>
    </row>
    <row r="1441" spans="1:4" ht="19.95" customHeight="1" x14ac:dyDescent="0.25">
      <c r="A1441" s="9" t="s">
        <v>19</v>
      </c>
      <c r="B1441" s="10" t="s">
        <v>43</v>
      </c>
      <c r="C1441" s="10">
        <v>2.71182599842321</v>
      </c>
      <c r="D1441" s="10">
        <v>2011</v>
      </c>
    </row>
    <row r="1442" spans="1:4" ht="19.95" customHeight="1" x14ac:dyDescent="0.25">
      <c r="A1442" s="9" t="s">
        <v>20</v>
      </c>
      <c r="B1442" s="10" t="s">
        <v>43</v>
      </c>
      <c r="C1442" s="10">
        <v>0.85906749231754498</v>
      </c>
      <c r="D1442" s="10">
        <v>2011</v>
      </c>
    </row>
    <row r="1443" spans="1:4" ht="19.95" customHeight="1" x14ac:dyDescent="0.25">
      <c r="A1443" s="9" t="s">
        <v>21</v>
      </c>
      <c r="B1443" s="10" t="s">
        <v>43</v>
      </c>
      <c r="C1443" s="10">
        <v>3.0443247882920601</v>
      </c>
      <c r="D1443" s="10">
        <v>2011</v>
      </c>
    </row>
    <row r="1444" spans="1:4" ht="19.95" customHeight="1" x14ac:dyDescent="0.25">
      <c r="A1444" s="9" t="s">
        <v>22</v>
      </c>
      <c r="B1444" s="10" t="s">
        <v>43</v>
      </c>
      <c r="C1444" s="10">
        <v>2.7618068074155002</v>
      </c>
      <c r="D1444" s="10">
        <v>2011</v>
      </c>
    </row>
    <row r="1445" spans="1:4" ht="19.95" customHeight="1" x14ac:dyDescent="0.25">
      <c r="A1445" s="9" t="s">
        <v>23</v>
      </c>
      <c r="B1445" s="10" t="s">
        <v>43</v>
      </c>
      <c r="C1445" s="10">
        <v>2.9911454938950701</v>
      </c>
      <c r="D1445" s="10">
        <v>2011</v>
      </c>
    </row>
    <row r="1446" spans="1:4" ht="19.95" customHeight="1" x14ac:dyDescent="0.25">
      <c r="A1446" s="9" t="s">
        <v>24</v>
      </c>
      <c r="B1446" s="10" t="s">
        <v>43</v>
      </c>
      <c r="C1446" s="10">
        <v>3.0437604056415499</v>
      </c>
      <c r="D1446" s="10">
        <v>2011</v>
      </c>
    </row>
    <row r="1447" spans="1:4" ht="19.95" customHeight="1" x14ac:dyDescent="0.25">
      <c r="A1447" s="9" t="s">
        <v>25</v>
      </c>
      <c r="B1447" s="10" t="s">
        <v>43</v>
      </c>
      <c r="C1447" s="10">
        <v>-5.7820586778247703E-2</v>
      </c>
      <c r="D1447" s="10">
        <v>2011</v>
      </c>
    </row>
    <row r="1448" spans="1:4" ht="19.95" customHeight="1" x14ac:dyDescent="0.25">
      <c r="A1448" s="9" t="s">
        <v>26</v>
      </c>
      <c r="B1448" s="10" t="s">
        <v>43</v>
      </c>
      <c r="C1448" s="10">
        <v>2.9196297354631802</v>
      </c>
      <c r="D1448" s="10">
        <v>2011</v>
      </c>
    </row>
    <row r="1449" spans="1:4" ht="19.95" customHeight="1" x14ac:dyDescent="0.25">
      <c r="A1449" s="9" t="s">
        <v>28</v>
      </c>
      <c r="B1449" s="10" t="s">
        <v>43</v>
      </c>
      <c r="C1449" s="10">
        <v>0.78868293085810404</v>
      </c>
      <c r="D1449" s="10">
        <v>2011</v>
      </c>
    </row>
    <row r="1450" spans="1:4" ht="19.95" customHeight="1" x14ac:dyDescent="0.25">
      <c r="A1450" s="9" t="s">
        <v>29</v>
      </c>
      <c r="B1450" s="10" t="s">
        <v>43</v>
      </c>
      <c r="C1450" s="10">
        <v>1.11871787326644</v>
      </c>
      <c r="D1450" s="10">
        <v>2011</v>
      </c>
    </row>
    <row r="1451" spans="1:4" ht="19.95" customHeight="1" x14ac:dyDescent="0.25">
      <c r="A1451" s="9" t="s">
        <v>30</v>
      </c>
      <c r="B1451" s="10" t="s">
        <v>43</v>
      </c>
      <c r="C1451" s="10">
        <v>1.2142843572950199</v>
      </c>
      <c r="D1451" s="10">
        <v>2011</v>
      </c>
    </row>
    <row r="1452" spans="1:4" ht="19.95" customHeight="1" x14ac:dyDescent="0.25">
      <c r="A1452" s="9" t="s">
        <v>31</v>
      </c>
      <c r="B1452" s="10" t="s">
        <v>43</v>
      </c>
      <c r="C1452" s="10">
        <v>3.8168497912886399</v>
      </c>
      <c r="D1452" s="10">
        <v>2011</v>
      </c>
    </row>
    <row r="1453" spans="1:4" ht="19.95" customHeight="1" x14ac:dyDescent="0.25">
      <c r="A1453" s="9" t="s">
        <v>32</v>
      </c>
      <c r="B1453" s="10" t="s">
        <v>43</v>
      </c>
      <c r="C1453" s="10">
        <v>2.5935097909789899</v>
      </c>
      <c r="D1453" s="10">
        <v>2011</v>
      </c>
    </row>
    <row r="1454" spans="1:4" ht="19.95" customHeight="1" x14ac:dyDescent="0.25">
      <c r="A1454" s="9" t="s">
        <v>33</v>
      </c>
      <c r="B1454" s="10" t="s">
        <v>43</v>
      </c>
      <c r="C1454" s="10">
        <v>2.27627087156222</v>
      </c>
      <c r="D1454" s="10">
        <v>2011</v>
      </c>
    </row>
    <row r="1455" spans="1:4" ht="19.95" customHeight="1" x14ac:dyDescent="0.25">
      <c r="A1455" s="9" t="s">
        <v>34</v>
      </c>
      <c r="B1455" s="10" t="s">
        <v>43</v>
      </c>
      <c r="C1455" s="10">
        <v>0.57592998298605202</v>
      </c>
      <c r="D1455" s="10">
        <v>2011</v>
      </c>
    </row>
    <row r="1456" spans="1:4" ht="19.95" customHeight="1" x14ac:dyDescent="0.25">
      <c r="A1456" s="9" t="s">
        <v>35</v>
      </c>
      <c r="B1456" s="10" t="s">
        <v>43</v>
      </c>
      <c r="C1456" s="10">
        <v>2.2555458434700402</v>
      </c>
      <c r="D1456" s="10">
        <v>2011</v>
      </c>
    </row>
    <row r="1457" spans="1:4" ht="19.95" customHeight="1" x14ac:dyDescent="0.25">
      <c r="A1457" s="9" t="s">
        <v>36</v>
      </c>
      <c r="B1457" s="10" t="s">
        <v>43</v>
      </c>
      <c r="C1457" s="10">
        <v>3.1438886250607498</v>
      </c>
      <c r="D1457" s="10">
        <v>2011</v>
      </c>
    </row>
    <row r="1458" spans="1:4" ht="19.95" customHeight="1" x14ac:dyDescent="0.25">
      <c r="A1458" s="9" t="s">
        <v>37</v>
      </c>
      <c r="B1458" s="10" t="s">
        <v>43</v>
      </c>
      <c r="C1458" s="10">
        <v>3.4158829475066499</v>
      </c>
      <c r="D1458" s="10">
        <v>2011</v>
      </c>
    </row>
    <row r="1459" spans="1:4" ht="19.95" customHeight="1" x14ac:dyDescent="0.25">
      <c r="A1459" s="9" t="s">
        <v>38</v>
      </c>
      <c r="B1459" s="10" t="s">
        <v>43</v>
      </c>
      <c r="C1459" s="10">
        <v>2.9504264415222599</v>
      </c>
      <c r="D1459" s="10">
        <v>2011</v>
      </c>
    </row>
    <row r="1460" spans="1:4" ht="19.95" customHeight="1" x14ac:dyDescent="0.25">
      <c r="A1460" s="9" t="s">
        <v>39</v>
      </c>
      <c r="B1460" s="10" t="s">
        <v>43</v>
      </c>
      <c r="C1460" s="10">
        <v>2.10967230476873</v>
      </c>
      <c r="D1460" s="10">
        <v>2011</v>
      </c>
    </row>
    <row r="1461" spans="1:4" ht="19.95" customHeight="1" x14ac:dyDescent="0.25">
      <c r="A1461" s="9" t="s">
        <v>9</v>
      </c>
      <c r="B1461" s="10" t="s">
        <v>43</v>
      </c>
      <c r="C1461" s="10">
        <v>3.00843601052626</v>
      </c>
      <c r="D1461" s="10">
        <v>2012</v>
      </c>
    </row>
    <row r="1462" spans="1:4" ht="19.95" customHeight="1" x14ac:dyDescent="0.25">
      <c r="A1462" s="9" t="s">
        <v>12</v>
      </c>
      <c r="B1462" s="10" t="s">
        <v>43</v>
      </c>
      <c r="C1462" s="10">
        <v>2.7015959133753</v>
      </c>
      <c r="D1462" s="10">
        <v>2012</v>
      </c>
    </row>
    <row r="1463" spans="1:4" ht="19.95" customHeight="1" x14ac:dyDescent="0.25">
      <c r="A1463" s="9" t="s">
        <v>13</v>
      </c>
      <c r="B1463" s="10" t="s">
        <v>43</v>
      </c>
      <c r="C1463" s="10">
        <v>3.33300889359437</v>
      </c>
      <c r="D1463" s="10">
        <v>2012</v>
      </c>
    </row>
    <row r="1464" spans="1:4" ht="19.95" customHeight="1" x14ac:dyDescent="0.25">
      <c r="A1464" s="9" t="s">
        <v>15</v>
      </c>
      <c r="B1464" s="10" t="s">
        <v>43</v>
      </c>
      <c r="C1464" s="10">
        <v>2.4188193422099702</v>
      </c>
      <c r="D1464" s="10">
        <v>2012</v>
      </c>
    </row>
    <row r="1465" spans="1:4" ht="19.95" customHeight="1" x14ac:dyDescent="0.25">
      <c r="A1465" s="9" t="s">
        <v>16</v>
      </c>
      <c r="B1465" s="10" t="s">
        <v>43</v>
      </c>
      <c r="C1465" s="10">
        <v>1.7455434892658199</v>
      </c>
      <c r="D1465" s="10">
        <v>2012</v>
      </c>
    </row>
    <row r="1466" spans="1:4" ht="19.95" customHeight="1" x14ac:dyDescent="0.25">
      <c r="A1466" s="9" t="s">
        <v>1</v>
      </c>
      <c r="B1466" s="10" t="s">
        <v>43</v>
      </c>
      <c r="C1466" s="10">
        <v>2.6275988813792002</v>
      </c>
      <c r="D1466" s="10">
        <v>2012</v>
      </c>
    </row>
    <row r="1467" spans="1:4" ht="19.95" customHeight="1" x14ac:dyDescent="0.25">
      <c r="A1467" s="9" t="s">
        <v>17</v>
      </c>
      <c r="B1467" s="10" t="s">
        <v>43</v>
      </c>
      <c r="C1467" s="10">
        <v>2.2074022969209999</v>
      </c>
      <c r="D1467" s="10">
        <v>2012</v>
      </c>
    </row>
    <row r="1468" spans="1:4" ht="19.95" customHeight="1" x14ac:dyDescent="0.25">
      <c r="A1468" s="9" t="s">
        <v>18</v>
      </c>
      <c r="B1468" s="10" t="s">
        <v>43</v>
      </c>
      <c r="C1468" s="10">
        <v>1.41094772494131</v>
      </c>
      <c r="D1468" s="10">
        <v>2012</v>
      </c>
    </row>
    <row r="1469" spans="1:4" ht="19.95" customHeight="1" x14ac:dyDescent="0.25">
      <c r="A1469" s="9" t="s">
        <v>19</v>
      </c>
      <c r="B1469" s="10" t="s">
        <v>43</v>
      </c>
      <c r="C1469" s="10">
        <v>2.69316939694823</v>
      </c>
      <c r="D1469" s="10">
        <v>2012</v>
      </c>
    </row>
    <row r="1470" spans="1:4" ht="19.95" customHeight="1" x14ac:dyDescent="0.25">
      <c r="A1470" s="9" t="s">
        <v>20</v>
      </c>
      <c r="B1470" s="10" t="s">
        <v>43</v>
      </c>
      <c r="C1470" s="10">
        <v>0.78972658921343297</v>
      </c>
      <c r="D1470" s="10">
        <v>2012</v>
      </c>
    </row>
    <row r="1471" spans="1:4" ht="19.95" customHeight="1" x14ac:dyDescent="0.25">
      <c r="A1471" s="9" t="s">
        <v>21</v>
      </c>
      <c r="B1471" s="10" t="s">
        <v>43</v>
      </c>
      <c r="C1471" s="10">
        <v>2.7001069535943398</v>
      </c>
      <c r="D1471" s="10">
        <v>2012</v>
      </c>
    </row>
    <row r="1472" spans="1:4" ht="19.95" customHeight="1" x14ac:dyDescent="0.25">
      <c r="A1472" s="9" t="s">
        <v>22</v>
      </c>
      <c r="B1472" s="10" t="s">
        <v>43</v>
      </c>
      <c r="C1472" s="10">
        <v>2.7337464038063599</v>
      </c>
      <c r="D1472" s="10">
        <v>2012</v>
      </c>
    </row>
    <row r="1473" spans="1:4" ht="19.95" customHeight="1" x14ac:dyDescent="0.25">
      <c r="A1473" s="9" t="s">
        <v>23</v>
      </c>
      <c r="B1473" s="10" t="s">
        <v>43</v>
      </c>
      <c r="C1473" s="10">
        <v>2.9612133087384902</v>
      </c>
      <c r="D1473" s="10">
        <v>2012</v>
      </c>
    </row>
    <row r="1474" spans="1:4" ht="19.95" customHeight="1" x14ac:dyDescent="0.25">
      <c r="A1474" s="9" t="s">
        <v>24</v>
      </c>
      <c r="B1474" s="10" t="s">
        <v>43</v>
      </c>
      <c r="C1474" s="10">
        <v>2.9524525243475899</v>
      </c>
      <c r="D1474" s="10">
        <v>2012</v>
      </c>
    </row>
    <row r="1475" spans="1:4" ht="19.95" customHeight="1" x14ac:dyDescent="0.25">
      <c r="A1475" s="9" t="s">
        <v>25</v>
      </c>
      <c r="B1475" s="10" t="s">
        <v>43</v>
      </c>
      <c r="C1475" s="10">
        <v>-1.31188896045369E-2</v>
      </c>
      <c r="D1475" s="10">
        <v>2012</v>
      </c>
    </row>
    <row r="1476" spans="1:4" ht="19.95" customHeight="1" x14ac:dyDescent="0.25">
      <c r="A1476" s="9" t="s">
        <v>26</v>
      </c>
      <c r="B1476" s="10" t="s">
        <v>43</v>
      </c>
      <c r="C1476" s="10">
        <v>2.9147261271914302</v>
      </c>
      <c r="D1476" s="10">
        <v>2012</v>
      </c>
    </row>
    <row r="1477" spans="1:4" ht="19.95" customHeight="1" x14ac:dyDescent="0.25">
      <c r="A1477" s="9" t="s">
        <v>28</v>
      </c>
      <c r="B1477" s="10" t="s">
        <v>43</v>
      </c>
      <c r="C1477" s="10">
        <v>0.85382622794986496</v>
      </c>
      <c r="D1477" s="10">
        <v>2012</v>
      </c>
    </row>
    <row r="1478" spans="1:4" ht="19.95" customHeight="1" x14ac:dyDescent="0.25">
      <c r="A1478" s="9" t="s">
        <v>29</v>
      </c>
      <c r="B1478" s="10" t="s">
        <v>43</v>
      </c>
      <c r="C1478" s="10">
        <v>1.1742411775752399</v>
      </c>
      <c r="D1478" s="10">
        <v>2012</v>
      </c>
    </row>
    <row r="1479" spans="1:4" ht="19.95" customHeight="1" x14ac:dyDescent="0.25">
      <c r="A1479" s="9" t="s">
        <v>30</v>
      </c>
      <c r="B1479" s="10" t="s">
        <v>43</v>
      </c>
      <c r="C1479" s="10">
        <v>1.18595188777772</v>
      </c>
      <c r="D1479" s="10">
        <v>2012</v>
      </c>
    </row>
    <row r="1480" spans="1:4" ht="19.95" customHeight="1" x14ac:dyDescent="0.25">
      <c r="A1480" s="9" t="s">
        <v>31</v>
      </c>
      <c r="B1480" s="10" t="s">
        <v>43</v>
      </c>
      <c r="C1480" s="10">
        <v>3.8342024096962999</v>
      </c>
      <c r="D1480" s="10">
        <v>2012</v>
      </c>
    </row>
    <row r="1481" spans="1:4" ht="19.95" customHeight="1" x14ac:dyDescent="0.25">
      <c r="A1481" s="9" t="s">
        <v>32</v>
      </c>
      <c r="B1481" s="10" t="s">
        <v>43</v>
      </c>
      <c r="C1481" s="10">
        <v>2.5608813026541002</v>
      </c>
      <c r="D1481" s="10">
        <v>2012</v>
      </c>
    </row>
    <row r="1482" spans="1:4" ht="19.95" customHeight="1" x14ac:dyDescent="0.25">
      <c r="A1482" s="9" t="s">
        <v>33</v>
      </c>
      <c r="B1482" s="10" t="s">
        <v>43</v>
      </c>
      <c r="C1482" s="10">
        <v>2.2611548694611701</v>
      </c>
      <c r="D1482" s="10">
        <v>2012</v>
      </c>
    </row>
    <row r="1483" spans="1:4" ht="19.95" customHeight="1" x14ac:dyDescent="0.25">
      <c r="A1483" s="9" t="s">
        <v>34</v>
      </c>
      <c r="B1483" s="10" t="s">
        <v>43</v>
      </c>
      <c r="C1483" s="10">
        <v>0.53992744866429598</v>
      </c>
      <c r="D1483" s="10">
        <v>2012</v>
      </c>
    </row>
    <row r="1484" spans="1:4" ht="19.95" customHeight="1" x14ac:dyDescent="0.25">
      <c r="A1484" s="9" t="s">
        <v>35</v>
      </c>
      <c r="B1484" s="10" t="s">
        <v>43</v>
      </c>
      <c r="C1484" s="10">
        <v>2.26577114602006</v>
      </c>
      <c r="D1484" s="10">
        <v>2012</v>
      </c>
    </row>
    <row r="1485" spans="1:4" ht="19.95" customHeight="1" x14ac:dyDescent="0.25">
      <c r="A1485" s="9" t="s">
        <v>36</v>
      </c>
      <c r="B1485" s="10" t="s">
        <v>43</v>
      </c>
      <c r="C1485" s="10">
        <v>3.1291409753289998</v>
      </c>
      <c r="D1485" s="10">
        <v>2012</v>
      </c>
    </row>
    <row r="1486" spans="1:4" ht="19.95" customHeight="1" x14ac:dyDescent="0.25">
      <c r="A1486" s="9" t="s">
        <v>37</v>
      </c>
      <c r="B1486" s="10" t="s">
        <v>43</v>
      </c>
      <c r="C1486" s="10">
        <v>3.3984795944577999</v>
      </c>
      <c r="D1486" s="10">
        <v>2012</v>
      </c>
    </row>
    <row r="1487" spans="1:4" ht="19.95" customHeight="1" x14ac:dyDescent="0.25">
      <c r="A1487" s="9" t="s">
        <v>38</v>
      </c>
      <c r="B1487" s="10" t="s">
        <v>43</v>
      </c>
      <c r="C1487" s="10">
        <v>3.00513283440094</v>
      </c>
      <c r="D1487" s="10">
        <v>2012</v>
      </c>
    </row>
    <row r="1488" spans="1:4" ht="19.95" customHeight="1" x14ac:dyDescent="0.25">
      <c r="A1488" s="9" t="s">
        <v>39</v>
      </c>
      <c r="B1488" s="10" t="s">
        <v>43</v>
      </c>
      <c r="C1488" s="10">
        <v>2.2283061582036701</v>
      </c>
      <c r="D1488" s="10">
        <v>2012</v>
      </c>
    </row>
    <row r="1489" spans="1:4" ht="19.95" customHeight="1" x14ac:dyDescent="0.25">
      <c r="A1489" s="9" t="s">
        <v>9</v>
      </c>
      <c r="B1489" s="10" t="s">
        <v>43</v>
      </c>
      <c r="C1489" s="10">
        <v>2.9650960952535201</v>
      </c>
      <c r="D1489" s="10">
        <v>2013</v>
      </c>
    </row>
    <row r="1490" spans="1:4" ht="19.95" customHeight="1" x14ac:dyDescent="0.25">
      <c r="A1490" s="9" t="s">
        <v>12</v>
      </c>
      <c r="B1490" s="10" t="s">
        <v>43</v>
      </c>
      <c r="C1490" s="10">
        <v>2.68316290755262</v>
      </c>
      <c r="D1490" s="10">
        <v>2013</v>
      </c>
    </row>
    <row r="1491" spans="1:4" ht="19.95" customHeight="1" x14ac:dyDescent="0.25">
      <c r="A1491" s="9" t="s">
        <v>13</v>
      </c>
      <c r="B1491" s="10" t="s">
        <v>43</v>
      </c>
      <c r="C1491" s="10">
        <v>3.31667519978018</v>
      </c>
      <c r="D1491" s="10">
        <v>2013</v>
      </c>
    </row>
    <row r="1492" spans="1:4" ht="19.95" customHeight="1" x14ac:dyDescent="0.25">
      <c r="A1492" s="9" t="s">
        <v>15</v>
      </c>
      <c r="B1492" s="10" t="s">
        <v>43</v>
      </c>
      <c r="C1492" s="10">
        <v>2.40661062566515</v>
      </c>
      <c r="D1492" s="10">
        <v>2013</v>
      </c>
    </row>
    <row r="1493" spans="1:4" ht="19.95" customHeight="1" x14ac:dyDescent="0.25">
      <c r="A1493" s="9" t="s">
        <v>16</v>
      </c>
      <c r="B1493" s="10" t="s">
        <v>43</v>
      </c>
      <c r="C1493" s="10">
        <v>1.7440382925404301</v>
      </c>
      <c r="D1493" s="10">
        <v>2013</v>
      </c>
    </row>
    <row r="1494" spans="1:4" ht="19.95" customHeight="1" x14ac:dyDescent="0.25">
      <c r="A1494" s="9" t="s">
        <v>1</v>
      </c>
      <c r="B1494" s="10" t="s">
        <v>43</v>
      </c>
      <c r="C1494" s="10">
        <v>2.6089304674401199</v>
      </c>
      <c r="D1494" s="10">
        <v>2013</v>
      </c>
    </row>
    <row r="1495" spans="1:4" ht="19.95" customHeight="1" x14ac:dyDescent="0.25">
      <c r="A1495" s="9" t="s">
        <v>17</v>
      </c>
      <c r="B1495" s="10" t="s">
        <v>43</v>
      </c>
      <c r="C1495" s="10">
        <v>2.2364422407573699</v>
      </c>
      <c r="D1495" s="10">
        <v>2013</v>
      </c>
    </row>
    <row r="1496" spans="1:4" ht="19.95" customHeight="1" x14ac:dyDescent="0.25">
      <c r="A1496" s="9" t="s">
        <v>18</v>
      </c>
      <c r="B1496" s="10" t="s">
        <v>43</v>
      </c>
      <c r="C1496" s="10">
        <v>1.37607592289763</v>
      </c>
      <c r="D1496" s="10">
        <v>2013</v>
      </c>
    </row>
    <row r="1497" spans="1:4" ht="19.95" customHeight="1" x14ac:dyDescent="0.25">
      <c r="A1497" s="9" t="s">
        <v>19</v>
      </c>
      <c r="B1497" s="10" t="s">
        <v>43</v>
      </c>
      <c r="C1497" s="10">
        <v>2.66812165895313</v>
      </c>
      <c r="D1497" s="10">
        <v>2013</v>
      </c>
    </row>
    <row r="1498" spans="1:4" ht="19.95" customHeight="1" x14ac:dyDescent="0.25">
      <c r="A1498" s="9" t="s">
        <v>20</v>
      </c>
      <c r="B1498" s="10" t="s">
        <v>43</v>
      </c>
      <c r="C1498" s="10">
        <v>1.0415325740022701</v>
      </c>
      <c r="D1498" s="10">
        <v>2013</v>
      </c>
    </row>
    <row r="1499" spans="1:4" ht="19.95" customHeight="1" x14ac:dyDescent="0.25">
      <c r="A1499" s="9" t="s">
        <v>21</v>
      </c>
      <c r="B1499" s="10" t="s">
        <v>43</v>
      </c>
      <c r="C1499" s="10">
        <v>2.4736690130535202</v>
      </c>
      <c r="D1499" s="10">
        <v>2013</v>
      </c>
    </row>
    <row r="1500" spans="1:4" ht="19.95" customHeight="1" x14ac:dyDescent="0.25">
      <c r="A1500" s="9" t="s">
        <v>22</v>
      </c>
      <c r="B1500" s="10" t="s">
        <v>43</v>
      </c>
      <c r="C1500" s="10">
        <v>2.7130507128257699</v>
      </c>
      <c r="D1500" s="10">
        <v>2013</v>
      </c>
    </row>
    <row r="1501" spans="1:4" ht="19.95" customHeight="1" x14ac:dyDescent="0.25">
      <c r="A1501" s="9" t="s">
        <v>23</v>
      </c>
      <c r="B1501" s="10" t="s">
        <v>43</v>
      </c>
      <c r="C1501" s="10">
        <v>2.93731934371</v>
      </c>
      <c r="D1501" s="10">
        <v>2013</v>
      </c>
    </row>
    <row r="1502" spans="1:4" ht="19.95" customHeight="1" x14ac:dyDescent="0.25">
      <c r="A1502" s="9" t="s">
        <v>24</v>
      </c>
      <c r="B1502" s="10" t="s">
        <v>43</v>
      </c>
      <c r="C1502" s="10">
        <v>2.9009602431125199</v>
      </c>
      <c r="D1502" s="10">
        <v>2013</v>
      </c>
    </row>
    <row r="1503" spans="1:4" ht="19.95" customHeight="1" x14ac:dyDescent="0.25">
      <c r="A1503" s="9" t="s">
        <v>25</v>
      </c>
      <c r="B1503" s="10" t="s">
        <v>43</v>
      </c>
      <c r="C1503" s="10">
        <v>-2.67768650049581E-2</v>
      </c>
      <c r="D1503" s="10">
        <v>2013</v>
      </c>
    </row>
    <row r="1504" spans="1:4" ht="19.95" customHeight="1" x14ac:dyDescent="0.25">
      <c r="A1504" s="9" t="s">
        <v>26</v>
      </c>
      <c r="B1504" s="10" t="s">
        <v>43</v>
      </c>
      <c r="C1504" s="10">
        <v>2.9084828043495299</v>
      </c>
      <c r="D1504" s="10">
        <v>2013</v>
      </c>
    </row>
    <row r="1505" spans="1:4" ht="19.95" customHeight="1" x14ac:dyDescent="0.25">
      <c r="A1505" s="9" t="s">
        <v>28</v>
      </c>
      <c r="B1505" s="10" t="s">
        <v>43</v>
      </c>
      <c r="C1505" s="10">
        <v>0.90142321135702397</v>
      </c>
      <c r="D1505" s="10">
        <v>2013</v>
      </c>
    </row>
    <row r="1506" spans="1:4" ht="19.95" customHeight="1" x14ac:dyDescent="0.25">
      <c r="A1506" s="9" t="s">
        <v>29</v>
      </c>
      <c r="B1506" s="10" t="s">
        <v>43</v>
      </c>
      <c r="C1506" s="10">
        <v>1.2056714157573201</v>
      </c>
      <c r="D1506" s="10">
        <v>2013</v>
      </c>
    </row>
    <row r="1507" spans="1:4" ht="19.95" customHeight="1" x14ac:dyDescent="0.25">
      <c r="A1507" s="9" t="s">
        <v>30</v>
      </c>
      <c r="B1507" s="10" t="s">
        <v>43</v>
      </c>
      <c r="C1507" s="10">
        <v>1.1611369872978801</v>
      </c>
      <c r="D1507" s="10">
        <v>2013</v>
      </c>
    </row>
    <row r="1508" spans="1:4" ht="19.95" customHeight="1" x14ac:dyDescent="0.25">
      <c r="A1508" s="9" t="s">
        <v>31</v>
      </c>
      <c r="B1508" s="10" t="s">
        <v>43</v>
      </c>
      <c r="C1508" s="10">
        <v>3.8432623326397199</v>
      </c>
      <c r="D1508" s="10">
        <v>2013</v>
      </c>
    </row>
    <row r="1509" spans="1:4" ht="19.95" customHeight="1" x14ac:dyDescent="0.25">
      <c r="A1509" s="9" t="s">
        <v>32</v>
      </c>
      <c r="B1509" s="10" t="s">
        <v>43</v>
      </c>
      <c r="C1509" s="10">
        <v>2.52871485554597</v>
      </c>
      <c r="D1509" s="10">
        <v>2013</v>
      </c>
    </row>
    <row r="1510" spans="1:4" ht="19.95" customHeight="1" x14ac:dyDescent="0.25">
      <c r="A1510" s="9" t="s">
        <v>33</v>
      </c>
      <c r="B1510" s="10" t="s">
        <v>43</v>
      </c>
      <c r="C1510" s="10">
        <v>2.2469818182218799</v>
      </c>
      <c r="D1510" s="10">
        <v>2013</v>
      </c>
    </row>
    <row r="1511" spans="1:4" ht="19.95" customHeight="1" x14ac:dyDescent="0.25">
      <c r="A1511" s="9" t="s">
        <v>34</v>
      </c>
      <c r="B1511" s="10" t="s">
        <v>43</v>
      </c>
      <c r="C1511" s="10">
        <v>0.78030144758014197</v>
      </c>
      <c r="D1511" s="10">
        <v>2013</v>
      </c>
    </row>
    <row r="1512" spans="1:4" ht="19.95" customHeight="1" x14ac:dyDescent="0.25">
      <c r="A1512" s="9" t="s">
        <v>35</v>
      </c>
      <c r="B1512" s="10" t="s">
        <v>43</v>
      </c>
      <c r="C1512" s="10">
        <v>2.2600165223477302</v>
      </c>
      <c r="D1512" s="10">
        <v>2013</v>
      </c>
    </row>
    <row r="1513" spans="1:4" ht="19.95" customHeight="1" x14ac:dyDescent="0.25">
      <c r="A1513" s="9" t="s">
        <v>36</v>
      </c>
      <c r="B1513" s="10" t="s">
        <v>43</v>
      </c>
      <c r="C1513" s="10">
        <v>3.1161854690673301</v>
      </c>
      <c r="D1513" s="10">
        <v>2013</v>
      </c>
    </row>
    <row r="1514" spans="1:4" ht="19.95" customHeight="1" x14ac:dyDescent="0.25">
      <c r="A1514" s="9" t="s">
        <v>37</v>
      </c>
      <c r="B1514" s="10" t="s">
        <v>43</v>
      </c>
      <c r="C1514" s="10">
        <v>3.3767659605180902</v>
      </c>
      <c r="D1514" s="10">
        <v>2013</v>
      </c>
    </row>
    <row r="1515" spans="1:4" ht="19.95" customHeight="1" x14ac:dyDescent="0.25">
      <c r="A1515" s="9" t="s">
        <v>38</v>
      </c>
      <c r="B1515" s="10" t="s">
        <v>43</v>
      </c>
      <c r="C1515" s="10">
        <v>3.0369182638627099</v>
      </c>
      <c r="D1515" s="10">
        <v>2013</v>
      </c>
    </row>
    <row r="1516" spans="1:4" ht="19.95" customHeight="1" x14ac:dyDescent="0.25">
      <c r="A1516" s="9" t="s">
        <v>39</v>
      </c>
      <c r="B1516" s="10" t="s">
        <v>43</v>
      </c>
      <c r="C1516" s="10">
        <v>2.3093663062179401</v>
      </c>
      <c r="D1516" s="10">
        <v>2013</v>
      </c>
    </row>
    <row r="1517" spans="1:4" ht="19.95" customHeight="1" x14ac:dyDescent="0.25">
      <c r="A1517" s="9" t="s">
        <v>9</v>
      </c>
      <c r="B1517" s="10" t="s">
        <v>43</v>
      </c>
      <c r="C1517" s="10">
        <v>2.9922646871545102</v>
      </c>
      <c r="D1517" s="10">
        <v>2014</v>
      </c>
    </row>
    <row r="1518" spans="1:4" ht="19.95" customHeight="1" x14ac:dyDescent="0.25">
      <c r="A1518" s="9" t="s">
        <v>12</v>
      </c>
      <c r="B1518" s="10" t="s">
        <v>43</v>
      </c>
      <c r="C1518" s="10">
        <v>2.66187609259836</v>
      </c>
      <c r="D1518" s="10">
        <v>2014</v>
      </c>
    </row>
    <row r="1519" spans="1:4" ht="19.95" customHeight="1" x14ac:dyDescent="0.25">
      <c r="A1519" s="9" t="s">
        <v>13</v>
      </c>
      <c r="B1519" s="10" t="s">
        <v>43</v>
      </c>
      <c r="C1519" s="10">
        <v>3.2647063652005399</v>
      </c>
      <c r="D1519" s="10">
        <v>2014</v>
      </c>
    </row>
    <row r="1520" spans="1:4" ht="19.95" customHeight="1" x14ac:dyDescent="0.25">
      <c r="A1520" s="9" t="s">
        <v>15</v>
      </c>
      <c r="B1520" s="10" t="s">
        <v>43</v>
      </c>
      <c r="C1520" s="10">
        <v>2.3833733588499499</v>
      </c>
      <c r="D1520" s="10">
        <v>2014</v>
      </c>
    </row>
    <row r="1521" spans="1:4" ht="19.95" customHeight="1" x14ac:dyDescent="0.25">
      <c r="A1521" s="9" t="s">
        <v>16</v>
      </c>
      <c r="B1521" s="10" t="s">
        <v>43</v>
      </c>
      <c r="C1521" s="10">
        <v>1.7111823002921001</v>
      </c>
      <c r="D1521" s="10">
        <v>2014</v>
      </c>
    </row>
    <row r="1522" spans="1:4" ht="19.95" customHeight="1" x14ac:dyDescent="0.25">
      <c r="A1522" s="9" t="s">
        <v>1</v>
      </c>
      <c r="B1522" s="10" t="s">
        <v>43</v>
      </c>
      <c r="C1522" s="10">
        <v>2.5790683056791499</v>
      </c>
      <c r="D1522" s="10">
        <v>2014</v>
      </c>
    </row>
    <row r="1523" spans="1:4" ht="19.95" customHeight="1" x14ac:dyDescent="0.25">
      <c r="A1523" s="9" t="s">
        <v>17</v>
      </c>
      <c r="B1523" s="10" t="s">
        <v>43</v>
      </c>
      <c r="C1523" s="10">
        <v>2.3040396436433999</v>
      </c>
      <c r="D1523" s="10">
        <v>2014</v>
      </c>
    </row>
    <row r="1524" spans="1:4" ht="19.95" customHeight="1" x14ac:dyDescent="0.25">
      <c r="A1524" s="9" t="s">
        <v>18</v>
      </c>
      <c r="B1524" s="10" t="s">
        <v>43</v>
      </c>
      <c r="C1524" s="10">
        <v>1.3396541907930299</v>
      </c>
      <c r="D1524" s="10">
        <v>2014</v>
      </c>
    </row>
    <row r="1525" spans="1:4" ht="19.95" customHeight="1" x14ac:dyDescent="0.25">
      <c r="A1525" s="9" t="s">
        <v>19</v>
      </c>
      <c r="B1525" s="10" t="s">
        <v>43</v>
      </c>
      <c r="C1525" s="10">
        <v>2.6361163551476001</v>
      </c>
      <c r="D1525" s="10">
        <v>2014</v>
      </c>
    </row>
    <row r="1526" spans="1:4" ht="19.95" customHeight="1" x14ac:dyDescent="0.25">
      <c r="A1526" s="9" t="s">
        <v>20</v>
      </c>
      <c r="B1526" s="10" t="s">
        <v>43</v>
      </c>
      <c r="C1526" s="10">
        <v>-0.12616913821593301</v>
      </c>
      <c r="D1526" s="10">
        <v>2014</v>
      </c>
    </row>
    <row r="1527" spans="1:4" ht="19.95" customHeight="1" x14ac:dyDescent="0.25">
      <c r="A1527" s="9" t="s">
        <v>21</v>
      </c>
      <c r="B1527" s="10" t="s">
        <v>43</v>
      </c>
      <c r="C1527" s="10">
        <v>2.4075304325297702</v>
      </c>
      <c r="D1527" s="10">
        <v>2014</v>
      </c>
    </row>
    <row r="1528" spans="1:4" ht="19.95" customHeight="1" x14ac:dyDescent="0.25">
      <c r="A1528" s="9" t="s">
        <v>22</v>
      </c>
      <c r="B1528" s="10" t="s">
        <v>43</v>
      </c>
      <c r="C1528" s="10">
        <v>2.7010974508385499</v>
      </c>
      <c r="D1528" s="10">
        <v>2014</v>
      </c>
    </row>
    <row r="1529" spans="1:4" ht="19.95" customHeight="1" x14ac:dyDescent="0.25">
      <c r="A1529" s="9" t="s">
        <v>23</v>
      </c>
      <c r="B1529" s="10" t="s">
        <v>43</v>
      </c>
      <c r="C1529" s="10">
        <v>2.92294017355582</v>
      </c>
      <c r="D1529" s="10">
        <v>2014</v>
      </c>
    </row>
    <row r="1530" spans="1:4" ht="19.95" customHeight="1" x14ac:dyDescent="0.25">
      <c r="A1530" s="9" t="s">
        <v>24</v>
      </c>
      <c r="B1530" s="10" t="s">
        <v>43</v>
      </c>
      <c r="C1530" s="10">
        <v>2.9010310086912501</v>
      </c>
      <c r="D1530" s="10">
        <v>2014</v>
      </c>
    </row>
    <row r="1531" spans="1:4" ht="19.95" customHeight="1" x14ac:dyDescent="0.25">
      <c r="A1531" s="9" t="s">
        <v>25</v>
      </c>
      <c r="B1531" s="10" t="s">
        <v>43</v>
      </c>
      <c r="C1531" s="10">
        <v>-6.09701011007674E-2</v>
      </c>
      <c r="D1531" s="10">
        <v>2014</v>
      </c>
    </row>
    <row r="1532" spans="1:4" ht="19.95" customHeight="1" x14ac:dyDescent="0.25">
      <c r="A1532" s="9" t="s">
        <v>26</v>
      </c>
      <c r="B1532" s="10" t="s">
        <v>43</v>
      </c>
      <c r="C1532" s="10">
        <v>2.90069572870848</v>
      </c>
      <c r="D1532" s="10">
        <v>2014</v>
      </c>
    </row>
    <row r="1533" spans="1:4" ht="19.95" customHeight="1" x14ac:dyDescent="0.25">
      <c r="A1533" s="9" t="s">
        <v>28</v>
      </c>
      <c r="B1533" s="10" t="s">
        <v>43</v>
      </c>
      <c r="C1533" s="10">
        <v>0.92092176502699996</v>
      </c>
      <c r="D1533" s="10">
        <v>2014</v>
      </c>
    </row>
    <row r="1534" spans="1:4" ht="19.95" customHeight="1" x14ac:dyDescent="0.25">
      <c r="A1534" s="9" t="s">
        <v>29</v>
      </c>
      <c r="B1534" s="10" t="s">
        <v>43</v>
      </c>
      <c r="C1534" s="10">
        <v>1.2002974723075801</v>
      </c>
      <c r="D1534" s="10">
        <v>2014</v>
      </c>
    </row>
    <row r="1535" spans="1:4" ht="19.95" customHeight="1" x14ac:dyDescent="0.25">
      <c r="A1535" s="9" t="s">
        <v>30</v>
      </c>
      <c r="B1535" s="10" t="s">
        <v>43</v>
      </c>
      <c r="C1535" s="10">
        <v>1.1413411672703599</v>
      </c>
      <c r="D1535" s="10">
        <v>2014</v>
      </c>
    </row>
    <row r="1536" spans="1:4" ht="19.95" customHeight="1" x14ac:dyDescent="0.25">
      <c r="A1536" s="9" t="s">
        <v>31</v>
      </c>
      <c r="B1536" s="10" t="s">
        <v>43</v>
      </c>
      <c r="C1536" s="10">
        <v>3.8426809344167698</v>
      </c>
      <c r="D1536" s="10">
        <v>2014</v>
      </c>
    </row>
    <row r="1537" spans="1:4" ht="19.95" customHeight="1" x14ac:dyDescent="0.25">
      <c r="A1537" s="9" t="s">
        <v>32</v>
      </c>
      <c r="B1537" s="10" t="s">
        <v>43</v>
      </c>
      <c r="C1537" s="10">
        <v>2.5007965300157999</v>
      </c>
      <c r="D1537" s="10">
        <v>2014</v>
      </c>
    </row>
    <row r="1538" spans="1:4" ht="19.95" customHeight="1" x14ac:dyDescent="0.25">
      <c r="A1538" s="9" t="s">
        <v>33</v>
      </c>
      <c r="B1538" s="10" t="s">
        <v>43</v>
      </c>
      <c r="C1538" s="10">
        <v>2.2315899721806298</v>
      </c>
      <c r="D1538" s="10">
        <v>2014</v>
      </c>
    </row>
    <row r="1539" spans="1:4" ht="19.95" customHeight="1" x14ac:dyDescent="0.25">
      <c r="A1539" s="9" t="s">
        <v>34</v>
      </c>
      <c r="B1539" s="10" t="s">
        <v>43</v>
      </c>
      <c r="C1539" s="10">
        <v>0.89951278721032601</v>
      </c>
      <c r="D1539" s="10">
        <v>2014</v>
      </c>
    </row>
    <row r="1540" spans="1:4" ht="19.95" customHeight="1" x14ac:dyDescent="0.25">
      <c r="A1540" s="9" t="s">
        <v>35</v>
      </c>
      <c r="B1540" s="10" t="s">
        <v>43</v>
      </c>
      <c r="C1540" s="10">
        <v>2.2362456157973098</v>
      </c>
      <c r="D1540" s="10">
        <v>2014</v>
      </c>
    </row>
    <row r="1541" spans="1:4" ht="19.95" customHeight="1" x14ac:dyDescent="0.25">
      <c r="A1541" s="9" t="s">
        <v>36</v>
      </c>
      <c r="B1541" s="10" t="s">
        <v>43</v>
      </c>
      <c r="C1541" s="10">
        <v>3.1075724150560302</v>
      </c>
      <c r="D1541" s="10">
        <v>2014</v>
      </c>
    </row>
    <row r="1542" spans="1:4" ht="19.95" customHeight="1" x14ac:dyDescent="0.25">
      <c r="A1542" s="9" t="s">
        <v>37</v>
      </c>
      <c r="B1542" s="10" t="s">
        <v>43</v>
      </c>
      <c r="C1542" s="10">
        <v>3.3506503525505802</v>
      </c>
      <c r="D1542" s="10">
        <v>2014</v>
      </c>
    </row>
    <row r="1543" spans="1:4" ht="19.95" customHeight="1" x14ac:dyDescent="0.25">
      <c r="A1543" s="9" t="s">
        <v>38</v>
      </c>
      <c r="B1543" s="10" t="s">
        <v>43</v>
      </c>
      <c r="C1543" s="10">
        <v>3.0402107721545302</v>
      </c>
      <c r="D1543" s="10">
        <v>2014</v>
      </c>
    </row>
    <row r="1544" spans="1:4" ht="19.95" customHeight="1" x14ac:dyDescent="0.25">
      <c r="A1544" s="9" t="s">
        <v>39</v>
      </c>
      <c r="B1544" s="10" t="s">
        <v>43</v>
      </c>
      <c r="C1544" s="10">
        <v>2.3447990700846102</v>
      </c>
      <c r="D1544" s="10">
        <v>2014</v>
      </c>
    </row>
    <row r="1545" spans="1:4" ht="19.95" customHeight="1" x14ac:dyDescent="0.25">
      <c r="A1545" s="9" t="s">
        <v>9</v>
      </c>
      <c r="B1545" s="10" t="s">
        <v>43</v>
      </c>
      <c r="C1545" s="10">
        <v>3.06110289439754</v>
      </c>
      <c r="D1545" s="10">
        <v>2015</v>
      </c>
    </row>
    <row r="1546" spans="1:4" ht="19.95" customHeight="1" x14ac:dyDescent="0.25">
      <c r="A1546" s="9" t="s">
        <v>12</v>
      </c>
      <c r="B1546" s="10" t="s">
        <v>43</v>
      </c>
      <c r="C1546" s="10">
        <v>2.63853608129366</v>
      </c>
      <c r="D1546" s="10">
        <v>2015</v>
      </c>
    </row>
    <row r="1547" spans="1:4" ht="19.95" customHeight="1" x14ac:dyDescent="0.25">
      <c r="A1547" s="9" t="s">
        <v>13</v>
      </c>
      <c r="B1547" s="10" t="s">
        <v>43</v>
      </c>
      <c r="C1547" s="10">
        <v>3.1909402723936902</v>
      </c>
      <c r="D1547" s="10">
        <v>2015</v>
      </c>
    </row>
    <row r="1548" spans="1:4" ht="19.95" customHeight="1" x14ac:dyDescent="0.25">
      <c r="A1548" s="9" t="s">
        <v>15</v>
      </c>
      <c r="B1548" s="10" t="s">
        <v>43</v>
      </c>
      <c r="C1548" s="10">
        <v>2.34769949129974</v>
      </c>
      <c r="D1548" s="10">
        <v>2015</v>
      </c>
    </row>
    <row r="1549" spans="1:4" ht="19.95" customHeight="1" x14ac:dyDescent="0.25">
      <c r="A1549" s="9" t="s">
        <v>16</v>
      </c>
      <c r="B1549" s="10" t="s">
        <v>43</v>
      </c>
      <c r="C1549" s="10">
        <v>1.6580269341401099</v>
      </c>
      <c r="D1549" s="10">
        <v>2015</v>
      </c>
    </row>
    <row r="1550" spans="1:4" ht="19.95" customHeight="1" x14ac:dyDescent="0.25">
      <c r="A1550" s="9" t="s">
        <v>1</v>
      </c>
      <c r="B1550" s="10" t="s">
        <v>43</v>
      </c>
      <c r="C1550" s="10">
        <v>2.5414686187041502</v>
      </c>
      <c r="D1550" s="10">
        <v>2015</v>
      </c>
    </row>
    <row r="1551" spans="1:4" ht="19.95" customHeight="1" x14ac:dyDescent="0.25">
      <c r="A1551" s="9" t="s">
        <v>17</v>
      </c>
      <c r="B1551" s="10" t="s">
        <v>43</v>
      </c>
      <c r="C1551" s="10">
        <v>2.3939168664711401</v>
      </c>
      <c r="D1551" s="10">
        <v>2015</v>
      </c>
    </row>
    <row r="1552" spans="1:4" ht="19.95" customHeight="1" x14ac:dyDescent="0.25">
      <c r="A1552" s="9" t="s">
        <v>18</v>
      </c>
      <c r="B1552" s="10" t="s">
        <v>43</v>
      </c>
      <c r="C1552" s="10">
        <v>1.3023871377045999</v>
      </c>
      <c r="D1552" s="10">
        <v>2015</v>
      </c>
    </row>
    <row r="1553" spans="1:4" ht="19.95" customHeight="1" x14ac:dyDescent="0.25">
      <c r="A1553" s="9" t="s">
        <v>19</v>
      </c>
      <c r="B1553" s="10" t="s">
        <v>43</v>
      </c>
      <c r="C1553" s="10">
        <v>2.5993365335320702</v>
      </c>
      <c r="D1553" s="10">
        <v>2015</v>
      </c>
    </row>
    <row r="1554" spans="1:4" ht="19.95" customHeight="1" x14ac:dyDescent="0.25">
      <c r="A1554" s="9" t="s">
        <v>20</v>
      </c>
      <c r="B1554" s="10" t="s">
        <v>43</v>
      </c>
      <c r="C1554" s="10">
        <v>-1.1038858093369801</v>
      </c>
      <c r="D1554" s="10">
        <v>2015</v>
      </c>
    </row>
    <row r="1555" spans="1:4" ht="19.95" customHeight="1" x14ac:dyDescent="0.25">
      <c r="A1555" s="9" t="s">
        <v>21</v>
      </c>
      <c r="B1555" s="10" t="s">
        <v>43</v>
      </c>
      <c r="C1555" s="10">
        <v>2.4496076461636598</v>
      </c>
      <c r="D1555" s="10">
        <v>2015</v>
      </c>
    </row>
    <row r="1556" spans="1:4" ht="19.95" customHeight="1" x14ac:dyDescent="0.25">
      <c r="A1556" s="9" t="s">
        <v>22</v>
      </c>
      <c r="B1556" s="10" t="s">
        <v>43</v>
      </c>
      <c r="C1556" s="10">
        <v>2.6945779458470902</v>
      </c>
      <c r="D1556" s="10">
        <v>2015</v>
      </c>
    </row>
    <row r="1557" spans="1:4" ht="19.95" customHeight="1" x14ac:dyDescent="0.25">
      <c r="A1557" s="9" t="s">
        <v>23</v>
      </c>
      <c r="B1557" s="10" t="s">
        <v>43</v>
      </c>
      <c r="C1557" s="10">
        <v>2.9143712395279802</v>
      </c>
      <c r="D1557" s="10">
        <v>2015</v>
      </c>
    </row>
    <row r="1558" spans="1:4" ht="19.95" customHeight="1" x14ac:dyDescent="0.25">
      <c r="A1558" s="9" t="s">
        <v>24</v>
      </c>
      <c r="B1558" s="10" t="s">
        <v>43</v>
      </c>
      <c r="C1558" s="10">
        <v>2.93397742028047</v>
      </c>
      <c r="D1558" s="10">
        <v>2015</v>
      </c>
    </row>
    <row r="1559" spans="1:4" ht="19.95" customHeight="1" x14ac:dyDescent="0.25">
      <c r="A1559" s="9" t="s">
        <v>25</v>
      </c>
      <c r="B1559" s="10" t="s">
        <v>43</v>
      </c>
      <c r="C1559" s="10">
        <v>-6.4383614921027704E-2</v>
      </c>
      <c r="D1559" s="10">
        <v>2015</v>
      </c>
    </row>
    <row r="1560" spans="1:4" ht="19.95" customHeight="1" x14ac:dyDescent="0.25">
      <c r="A1560" s="9" t="s">
        <v>26</v>
      </c>
      <c r="B1560" s="10" t="s">
        <v>43</v>
      </c>
      <c r="C1560" s="10">
        <v>2.8914168419794501</v>
      </c>
      <c r="D1560" s="10">
        <v>2015</v>
      </c>
    </row>
    <row r="1561" spans="1:4" ht="19.95" customHeight="1" x14ac:dyDescent="0.25">
      <c r="A1561" s="9" t="s">
        <v>28</v>
      </c>
      <c r="B1561" s="10" t="s">
        <v>43</v>
      </c>
      <c r="C1561" s="10">
        <v>0.91919918122672595</v>
      </c>
      <c r="D1561" s="10">
        <v>2015</v>
      </c>
    </row>
    <row r="1562" spans="1:4" ht="19.95" customHeight="1" x14ac:dyDescent="0.25">
      <c r="A1562" s="9" t="s">
        <v>29</v>
      </c>
      <c r="B1562" s="10" t="s">
        <v>43</v>
      </c>
      <c r="C1562" s="10">
        <v>1.16899817730387</v>
      </c>
      <c r="D1562" s="10">
        <v>2015</v>
      </c>
    </row>
    <row r="1563" spans="1:4" ht="19.95" customHeight="1" x14ac:dyDescent="0.25">
      <c r="A1563" s="9" t="s">
        <v>30</v>
      </c>
      <c r="B1563" s="10" t="s">
        <v>43</v>
      </c>
      <c r="C1563" s="10">
        <v>1.12497581944097</v>
      </c>
      <c r="D1563" s="10">
        <v>2015</v>
      </c>
    </row>
    <row r="1564" spans="1:4" ht="19.95" customHeight="1" x14ac:dyDescent="0.25">
      <c r="A1564" s="9" t="s">
        <v>31</v>
      </c>
      <c r="B1564" s="10" t="s">
        <v>43</v>
      </c>
      <c r="C1564" s="10">
        <v>3.8357498845731199</v>
      </c>
      <c r="D1564" s="10">
        <v>2015</v>
      </c>
    </row>
    <row r="1565" spans="1:4" ht="19.95" customHeight="1" x14ac:dyDescent="0.25">
      <c r="A1565" s="9" t="s">
        <v>32</v>
      </c>
      <c r="B1565" s="10" t="s">
        <v>43</v>
      </c>
      <c r="C1565" s="10">
        <v>2.4740945366655498</v>
      </c>
      <c r="D1565" s="10">
        <v>2015</v>
      </c>
    </row>
    <row r="1566" spans="1:4" ht="19.95" customHeight="1" x14ac:dyDescent="0.25">
      <c r="A1566" s="9" t="s">
        <v>33</v>
      </c>
      <c r="B1566" s="10" t="s">
        <v>43</v>
      </c>
      <c r="C1566" s="10">
        <v>2.2166313090719898</v>
      </c>
      <c r="D1566" s="10">
        <v>2015</v>
      </c>
    </row>
    <row r="1567" spans="1:4" ht="19.95" customHeight="1" x14ac:dyDescent="0.25">
      <c r="A1567" s="9" t="s">
        <v>34</v>
      </c>
      <c r="B1567" s="10" t="s">
        <v>43</v>
      </c>
      <c r="C1567" s="10">
        <v>0.93442949364096495</v>
      </c>
      <c r="D1567" s="10">
        <v>2015</v>
      </c>
    </row>
    <row r="1568" spans="1:4" ht="19.95" customHeight="1" x14ac:dyDescent="0.25">
      <c r="A1568" s="9" t="s">
        <v>35</v>
      </c>
      <c r="B1568" s="10" t="s">
        <v>43</v>
      </c>
      <c r="C1568" s="10">
        <v>2.1986770238589499</v>
      </c>
      <c r="D1568" s="10">
        <v>2015</v>
      </c>
    </row>
    <row r="1569" spans="1:4" ht="19.95" customHeight="1" x14ac:dyDescent="0.25">
      <c r="A1569" s="9" t="s">
        <v>36</v>
      </c>
      <c r="B1569" s="10" t="s">
        <v>43</v>
      </c>
      <c r="C1569" s="10">
        <v>3.1008293082737501</v>
      </c>
      <c r="D1569" s="10">
        <v>2015</v>
      </c>
    </row>
    <row r="1570" spans="1:4" ht="19.95" customHeight="1" x14ac:dyDescent="0.25">
      <c r="A1570" s="9" t="s">
        <v>37</v>
      </c>
      <c r="B1570" s="10" t="s">
        <v>43</v>
      </c>
      <c r="C1570" s="10">
        <v>3.3215556860789301</v>
      </c>
      <c r="D1570" s="10">
        <v>2015</v>
      </c>
    </row>
    <row r="1571" spans="1:4" ht="19.95" customHeight="1" x14ac:dyDescent="0.25">
      <c r="A1571" s="9" t="s">
        <v>38</v>
      </c>
      <c r="B1571" s="10" t="s">
        <v>43</v>
      </c>
      <c r="C1571" s="10">
        <v>3.0241232531716902</v>
      </c>
      <c r="D1571" s="10">
        <v>2015</v>
      </c>
    </row>
    <row r="1572" spans="1:4" ht="19.95" customHeight="1" x14ac:dyDescent="0.25">
      <c r="A1572" s="9" t="s">
        <v>39</v>
      </c>
      <c r="B1572" s="10" t="s">
        <v>43</v>
      </c>
      <c r="C1572" s="10">
        <v>2.3456429705700499</v>
      </c>
      <c r="D1572" s="10">
        <v>2015</v>
      </c>
    </row>
    <row r="1573" spans="1:4" ht="19.95" customHeight="1" x14ac:dyDescent="0.25">
      <c r="A1573" s="9" t="s">
        <v>9</v>
      </c>
      <c r="B1573" s="10" t="s">
        <v>43</v>
      </c>
      <c r="C1573" s="10">
        <v>3.1353331460468001</v>
      </c>
      <c r="D1573" s="10">
        <v>2016</v>
      </c>
    </row>
    <row r="1574" spans="1:4" ht="19.95" customHeight="1" x14ac:dyDescent="0.25">
      <c r="A1574" s="9" t="s">
        <v>12</v>
      </c>
      <c r="B1574" s="10" t="s">
        <v>43</v>
      </c>
      <c r="C1574" s="10">
        <v>2.61358514949048</v>
      </c>
      <c r="D1574" s="10">
        <v>2016</v>
      </c>
    </row>
    <row r="1575" spans="1:4" ht="19.95" customHeight="1" x14ac:dyDescent="0.25">
      <c r="A1575" s="9" t="s">
        <v>13</v>
      </c>
      <c r="B1575" s="10" t="s">
        <v>43</v>
      </c>
      <c r="C1575" s="10">
        <v>3.11409244065461</v>
      </c>
      <c r="D1575" s="10">
        <v>2016</v>
      </c>
    </row>
    <row r="1576" spans="1:4" ht="19.95" customHeight="1" x14ac:dyDescent="0.25">
      <c r="A1576" s="9" t="s">
        <v>15</v>
      </c>
      <c r="B1576" s="10" t="s">
        <v>43</v>
      </c>
      <c r="C1576" s="10">
        <v>2.3111913812565201</v>
      </c>
      <c r="D1576" s="10">
        <v>2016</v>
      </c>
    </row>
    <row r="1577" spans="1:4" ht="19.95" customHeight="1" x14ac:dyDescent="0.25">
      <c r="A1577" s="9" t="s">
        <v>16</v>
      </c>
      <c r="B1577" s="10" t="s">
        <v>43</v>
      </c>
      <c r="C1577" s="10">
        <v>1.5958647482909101</v>
      </c>
      <c r="D1577" s="10">
        <v>2016</v>
      </c>
    </row>
    <row r="1578" spans="1:4" ht="19.95" customHeight="1" x14ac:dyDescent="0.25">
      <c r="A1578" s="9" t="s">
        <v>1</v>
      </c>
      <c r="B1578" s="10" t="s">
        <v>43</v>
      </c>
      <c r="C1578" s="10">
        <v>2.50182137816318</v>
      </c>
      <c r="D1578" s="10">
        <v>2016</v>
      </c>
    </row>
    <row r="1579" spans="1:4" ht="19.95" customHeight="1" x14ac:dyDescent="0.25">
      <c r="A1579" s="9" t="s">
        <v>17</v>
      </c>
      <c r="B1579" s="10" t="s">
        <v>43</v>
      </c>
      <c r="C1579" s="10">
        <v>2.4862253300873101</v>
      </c>
      <c r="D1579" s="10">
        <v>2016</v>
      </c>
    </row>
    <row r="1580" spans="1:4" ht="19.95" customHeight="1" x14ac:dyDescent="0.25">
      <c r="A1580" s="9" t="s">
        <v>18</v>
      </c>
      <c r="B1580" s="10" t="s">
        <v>43</v>
      </c>
      <c r="C1580" s="10">
        <v>1.2642389661953</v>
      </c>
      <c r="D1580" s="10">
        <v>2016</v>
      </c>
    </row>
    <row r="1581" spans="1:4" ht="19.95" customHeight="1" x14ac:dyDescent="0.25">
      <c r="A1581" s="9" t="s">
        <v>19</v>
      </c>
      <c r="B1581" s="10" t="s">
        <v>43</v>
      </c>
      <c r="C1581" s="10">
        <v>2.5609253982648701</v>
      </c>
      <c r="D1581" s="10">
        <v>2016</v>
      </c>
    </row>
    <row r="1582" spans="1:4" ht="19.95" customHeight="1" x14ac:dyDescent="0.25">
      <c r="A1582" s="9" t="s">
        <v>20</v>
      </c>
      <c r="B1582" s="10" t="s">
        <v>43</v>
      </c>
      <c r="C1582" s="10">
        <v>0.79602410383883204</v>
      </c>
      <c r="D1582" s="10">
        <v>2016</v>
      </c>
    </row>
    <row r="1583" spans="1:4" ht="19.95" customHeight="1" x14ac:dyDescent="0.25">
      <c r="A1583" s="9" t="s">
        <v>21</v>
      </c>
      <c r="B1583" s="10" t="s">
        <v>43</v>
      </c>
      <c r="C1583" s="10">
        <v>2.5063626500126501</v>
      </c>
      <c r="D1583" s="10">
        <v>2016</v>
      </c>
    </row>
    <row r="1584" spans="1:4" ht="19.95" customHeight="1" x14ac:dyDescent="0.25">
      <c r="A1584" s="9" t="s">
        <v>22</v>
      </c>
      <c r="B1584" s="10" t="s">
        <v>43</v>
      </c>
      <c r="C1584" s="10">
        <v>2.6888707116748001</v>
      </c>
      <c r="D1584" s="10">
        <v>2016</v>
      </c>
    </row>
    <row r="1585" spans="1:4" ht="19.95" customHeight="1" x14ac:dyDescent="0.25">
      <c r="A1585" s="9" t="s">
        <v>23</v>
      </c>
      <c r="B1585" s="10" t="s">
        <v>43</v>
      </c>
      <c r="C1585" s="10">
        <v>2.90481860513923</v>
      </c>
      <c r="D1585" s="10">
        <v>2016</v>
      </c>
    </row>
    <row r="1586" spans="1:4" ht="19.95" customHeight="1" x14ac:dyDescent="0.25">
      <c r="A1586" s="9" t="s">
        <v>24</v>
      </c>
      <c r="B1586" s="10" t="s">
        <v>43</v>
      </c>
      <c r="C1586" s="10">
        <v>2.9719686325900998</v>
      </c>
      <c r="D1586" s="10">
        <v>2016</v>
      </c>
    </row>
    <row r="1587" spans="1:4" ht="19.95" customHeight="1" x14ac:dyDescent="0.25">
      <c r="A1587" s="9" t="s">
        <v>25</v>
      </c>
      <c r="B1587" s="10" t="s">
        <v>43</v>
      </c>
      <c r="C1587" s="10">
        <v>-6.0624297000835298E-2</v>
      </c>
      <c r="D1587" s="10">
        <v>2016</v>
      </c>
    </row>
    <row r="1588" spans="1:4" ht="19.95" customHeight="1" x14ac:dyDescent="0.25">
      <c r="A1588" s="9" t="s">
        <v>26</v>
      </c>
      <c r="B1588" s="10" t="s">
        <v>43</v>
      </c>
      <c r="C1588" s="10">
        <v>2.8812077244991001</v>
      </c>
      <c r="D1588" s="10">
        <v>2016</v>
      </c>
    </row>
    <row r="1589" spans="1:4" ht="19.95" customHeight="1" x14ac:dyDescent="0.25">
      <c r="A1589" s="9" t="s">
        <v>28</v>
      </c>
      <c r="B1589" s="10" t="s">
        <v>43</v>
      </c>
      <c r="C1589" s="10">
        <v>0.91473535079874702</v>
      </c>
      <c r="D1589" s="10">
        <v>2016</v>
      </c>
    </row>
    <row r="1590" spans="1:4" ht="19.95" customHeight="1" x14ac:dyDescent="0.25">
      <c r="A1590" s="9" t="s">
        <v>29</v>
      </c>
      <c r="B1590" s="10" t="s">
        <v>43</v>
      </c>
      <c r="C1590" s="10">
        <v>1.1328863847858599</v>
      </c>
      <c r="D1590" s="10">
        <v>2016</v>
      </c>
    </row>
    <row r="1591" spans="1:4" ht="19.95" customHeight="1" x14ac:dyDescent="0.25">
      <c r="A1591" s="9" t="s">
        <v>30</v>
      </c>
      <c r="B1591" s="10" t="s">
        <v>43</v>
      </c>
      <c r="C1591" s="10">
        <v>1.1101030508248899</v>
      </c>
      <c r="D1591" s="10">
        <v>2016</v>
      </c>
    </row>
    <row r="1592" spans="1:4" ht="19.95" customHeight="1" x14ac:dyDescent="0.25">
      <c r="A1592" s="9" t="s">
        <v>31</v>
      </c>
      <c r="B1592" s="10" t="s">
        <v>43</v>
      </c>
      <c r="C1592" s="10">
        <v>3.82606646670245</v>
      </c>
      <c r="D1592" s="10">
        <v>2016</v>
      </c>
    </row>
    <row r="1593" spans="1:4" ht="19.95" customHeight="1" x14ac:dyDescent="0.25">
      <c r="A1593" s="9" t="s">
        <v>32</v>
      </c>
      <c r="B1593" s="10" t="s">
        <v>43</v>
      </c>
      <c r="C1593" s="10">
        <v>2.4459048668105701</v>
      </c>
      <c r="D1593" s="10">
        <v>2016</v>
      </c>
    </row>
    <row r="1594" spans="1:4" ht="19.95" customHeight="1" x14ac:dyDescent="0.25">
      <c r="A1594" s="9" t="s">
        <v>33</v>
      </c>
      <c r="B1594" s="10" t="s">
        <v>43</v>
      </c>
      <c r="C1594" s="10">
        <v>2.2035822838881001</v>
      </c>
      <c r="D1594" s="10">
        <v>2016</v>
      </c>
    </row>
    <row r="1595" spans="1:4" ht="19.95" customHeight="1" x14ac:dyDescent="0.25">
      <c r="A1595" s="9" t="s">
        <v>34</v>
      </c>
      <c r="B1595" s="10" t="s">
        <v>43</v>
      </c>
      <c r="C1595" s="10">
        <v>1.12406030700326</v>
      </c>
      <c r="D1595" s="10">
        <v>2016</v>
      </c>
    </row>
    <row r="1596" spans="1:4" ht="19.95" customHeight="1" x14ac:dyDescent="0.25">
      <c r="A1596" s="9" t="s">
        <v>35</v>
      </c>
      <c r="B1596" s="10" t="s">
        <v>43</v>
      </c>
      <c r="C1596" s="10">
        <v>2.1558841231132502</v>
      </c>
      <c r="D1596" s="10">
        <v>2016</v>
      </c>
    </row>
    <row r="1597" spans="1:4" ht="19.95" customHeight="1" x14ac:dyDescent="0.25">
      <c r="A1597" s="9" t="s">
        <v>36</v>
      </c>
      <c r="B1597" s="10" t="s">
        <v>43</v>
      </c>
      <c r="C1597" s="10">
        <v>3.0924540737403001</v>
      </c>
      <c r="D1597" s="10">
        <v>2016</v>
      </c>
    </row>
    <row r="1598" spans="1:4" ht="19.95" customHeight="1" x14ac:dyDescent="0.25">
      <c r="A1598" s="9" t="s">
        <v>37</v>
      </c>
      <c r="B1598" s="10" t="s">
        <v>43</v>
      </c>
      <c r="C1598" s="10">
        <v>3.29087238084198</v>
      </c>
      <c r="D1598" s="10">
        <v>2016</v>
      </c>
    </row>
    <row r="1599" spans="1:4" ht="19.95" customHeight="1" x14ac:dyDescent="0.25">
      <c r="A1599" s="9" t="s">
        <v>38</v>
      </c>
      <c r="B1599" s="10" t="s">
        <v>43</v>
      </c>
      <c r="C1599" s="10">
        <v>3.0028155152340399</v>
      </c>
      <c r="D1599" s="10">
        <v>2016</v>
      </c>
    </row>
    <row r="1600" spans="1:4" ht="19.95" customHeight="1" x14ac:dyDescent="0.25">
      <c r="A1600" s="9" t="s">
        <v>39</v>
      </c>
      <c r="B1600" s="10" t="s">
        <v>43</v>
      </c>
      <c r="C1600" s="10">
        <v>2.3360695495182999</v>
      </c>
      <c r="D1600" s="10">
        <v>2016</v>
      </c>
    </row>
    <row r="1601" spans="1:4" ht="19.95" customHeight="1" x14ac:dyDescent="0.25">
      <c r="A1601" s="9" t="s">
        <v>9</v>
      </c>
      <c r="B1601" s="10" t="s">
        <v>43</v>
      </c>
      <c r="C1601" s="10">
        <v>3.1807641546363898</v>
      </c>
      <c r="D1601" s="10">
        <v>2017</v>
      </c>
    </row>
    <row r="1602" spans="1:4" ht="19.95" customHeight="1" x14ac:dyDescent="0.25">
      <c r="A1602" s="9" t="s">
        <v>12</v>
      </c>
      <c r="B1602" s="10" t="s">
        <v>43</v>
      </c>
      <c r="C1602" s="10">
        <v>2.58805882261683</v>
      </c>
      <c r="D1602" s="10">
        <v>2017</v>
      </c>
    </row>
    <row r="1603" spans="1:4" ht="19.95" customHeight="1" x14ac:dyDescent="0.25">
      <c r="A1603" s="9" t="s">
        <v>13</v>
      </c>
      <c r="B1603" s="10" t="s">
        <v>43</v>
      </c>
      <c r="C1603" s="10">
        <v>3.0490425032905502</v>
      </c>
      <c r="D1603" s="10">
        <v>2017</v>
      </c>
    </row>
    <row r="1604" spans="1:4" ht="19.95" customHeight="1" x14ac:dyDescent="0.25">
      <c r="A1604" s="9" t="s">
        <v>15</v>
      </c>
      <c r="B1604" s="10" t="s">
        <v>43</v>
      </c>
      <c r="C1604" s="10">
        <v>2.2754448158280698</v>
      </c>
      <c r="D1604" s="10">
        <v>2017</v>
      </c>
    </row>
    <row r="1605" spans="1:4" ht="19.95" customHeight="1" x14ac:dyDescent="0.25">
      <c r="A1605" s="9" t="s">
        <v>16</v>
      </c>
      <c r="B1605" s="10" t="s">
        <v>43</v>
      </c>
      <c r="C1605" s="10">
        <v>1.54290020553782</v>
      </c>
      <c r="D1605" s="10">
        <v>2017</v>
      </c>
    </row>
    <row r="1606" spans="1:4" ht="19.95" customHeight="1" x14ac:dyDescent="0.25">
      <c r="A1606" s="9" t="s">
        <v>1</v>
      </c>
      <c r="B1606" s="10" t="s">
        <v>43</v>
      </c>
      <c r="C1606" s="10">
        <v>2.4636992543230498</v>
      </c>
      <c r="D1606" s="10">
        <v>2017</v>
      </c>
    </row>
    <row r="1607" spans="1:4" ht="19.95" customHeight="1" x14ac:dyDescent="0.25">
      <c r="A1607" s="9" t="s">
        <v>17</v>
      </c>
      <c r="B1607" s="10" t="s">
        <v>43</v>
      </c>
      <c r="C1607" s="10">
        <v>2.5585811788215</v>
      </c>
      <c r="D1607" s="10">
        <v>2017</v>
      </c>
    </row>
    <row r="1608" spans="1:4" ht="19.95" customHeight="1" x14ac:dyDescent="0.25">
      <c r="A1608" s="9" t="s">
        <v>18</v>
      </c>
      <c r="B1608" s="10" t="s">
        <v>43</v>
      </c>
      <c r="C1608" s="10">
        <v>1.22680250927908</v>
      </c>
      <c r="D1608" s="10">
        <v>2017</v>
      </c>
    </row>
    <row r="1609" spans="1:4" ht="19.95" customHeight="1" x14ac:dyDescent="0.25">
      <c r="A1609" s="9" t="s">
        <v>19</v>
      </c>
      <c r="B1609" s="10" t="s">
        <v>43</v>
      </c>
      <c r="C1609" s="10">
        <v>2.5231105626011199</v>
      </c>
      <c r="D1609" s="10">
        <v>2017</v>
      </c>
    </row>
    <row r="1610" spans="1:4" ht="19.95" customHeight="1" x14ac:dyDescent="0.25">
      <c r="A1610" s="9" t="s">
        <v>20</v>
      </c>
      <c r="B1610" s="10" t="s">
        <v>43</v>
      </c>
      <c r="C1610" s="10">
        <v>0.79520011012409497</v>
      </c>
      <c r="D1610" s="10">
        <v>2017</v>
      </c>
    </row>
    <row r="1611" spans="1:4" ht="19.95" customHeight="1" x14ac:dyDescent="0.25">
      <c r="A1611" s="9" t="s">
        <v>21</v>
      </c>
      <c r="B1611" s="10" t="s">
        <v>43</v>
      </c>
      <c r="C1611" s="10">
        <v>2.5271283660911599</v>
      </c>
      <c r="D1611" s="10">
        <v>2017</v>
      </c>
    </row>
    <row r="1612" spans="1:4" ht="19.95" customHeight="1" x14ac:dyDescent="0.25">
      <c r="A1612" s="9" t="s">
        <v>22</v>
      </c>
      <c r="B1612" s="10" t="s">
        <v>43</v>
      </c>
      <c r="C1612" s="10">
        <v>2.6805846464608201</v>
      </c>
      <c r="D1612" s="10">
        <v>2017</v>
      </c>
    </row>
    <row r="1613" spans="1:4" ht="19.95" customHeight="1" x14ac:dyDescent="0.25">
      <c r="A1613" s="9" t="s">
        <v>23</v>
      </c>
      <c r="B1613" s="10" t="s">
        <v>43</v>
      </c>
      <c r="C1613" s="10">
        <v>2.89029019490127</v>
      </c>
      <c r="D1613" s="10">
        <v>2017</v>
      </c>
    </row>
    <row r="1614" spans="1:4" ht="19.95" customHeight="1" x14ac:dyDescent="0.25">
      <c r="A1614" s="9" t="s">
        <v>24</v>
      </c>
      <c r="B1614" s="10" t="s">
        <v>43</v>
      </c>
      <c r="C1614" s="10">
        <v>2.9952467133631799</v>
      </c>
      <c r="D1614" s="10">
        <v>2017</v>
      </c>
    </row>
    <row r="1615" spans="1:4" ht="19.95" customHeight="1" x14ac:dyDescent="0.25">
      <c r="A1615" s="9" t="s">
        <v>25</v>
      </c>
      <c r="B1615" s="10" t="s">
        <v>43</v>
      </c>
      <c r="C1615" s="10">
        <v>-6.2069612328547102E-2</v>
      </c>
      <c r="D1615" s="10">
        <v>2017</v>
      </c>
    </row>
    <row r="1616" spans="1:4" ht="19.95" customHeight="1" x14ac:dyDescent="0.25">
      <c r="A1616" s="9" t="s">
        <v>26</v>
      </c>
      <c r="B1616" s="10" t="s">
        <v>43</v>
      </c>
      <c r="C1616" s="10">
        <v>2.86987986018184</v>
      </c>
      <c r="D1616" s="10">
        <v>2017</v>
      </c>
    </row>
    <row r="1617" spans="1:4" ht="19.95" customHeight="1" x14ac:dyDescent="0.25">
      <c r="A1617" s="9" t="s">
        <v>28</v>
      </c>
      <c r="B1617" s="10" t="s">
        <v>43</v>
      </c>
      <c r="C1617" s="10">
        <v>0.91362397180206001</v>
      </c>
      <c r="D1617" s="10">
        <v>2017</v>
      </c>
    </row>
    <row r="1618" spans="1:4" ht="19.95" customHeight="1" x14ac:dyDescent="0.25">
      <c r="A1618" s="9" t="s">
        <v>29</v>
      </c>
      <c r="B1618" s="10" t="s">
        <v>43</v>
      </c>
      <c r="C1618" s="10">
        <v>1.1056531691835501</v>
      </c>
      <c r="D1618" s="10">
        <v>2017</v>
      </c>
    </row>
    <row r="1619" spans="1:4" ht="19.95" customHeight="1" x14ac:dyDescent="0.25">
      <c r="A1619" s="9" t="s">
        <v>30</v>
      </c>
      <c r="B1619" s="10" t="s">
        <v>43</v>
      </c>
      <c r="C1619" s="10">
        <v>1.0940549922010301</v>
      </c>
      <c r="D1619" s="10">
        <v>2017</v>
      </c>
    </row>
    <row r="1620" spans="1:4" ht="19.95" customHeight="1" x14ac:dyDescent="0.25">
      <c r="A1620" s="9" t="s">
        <v>31</v>
      </c>
      <c r="B1620" s="10" t="s">
        <v>43</v>
      </c>
      <c r="C1620" s="10">
        <v>3.8170926127810998</v>
      </c>
      <c r="D1620" s="10">
        <v>2017</v>
      </c>
    </row>
    <row r="1621" spans="1:4" ht="19.95" customHeight="1" x14ac:dyDescent="0.25">
      <c r="A1621" s="9" t="s">
        <v>32</v>
      </c>
      <c r="B1621" s="10" t="s">
        <v>43</v>
      </c>
      <c r="C1621" s="10">
        <v>2.4116233402262202</v>
      </c>
      <c r="D1621" s="10">
        <v>2017</v>
      </c>
    </row>
    <row r="1622" spans="1:4" ht="19.95" customHeight="1" x14ac:dyDescent="0.25">
      <c r="A1622" s="9" t="s">
        <v>33</v>
      </c>
      <c r="B1622" s="10" t="s">
        <v>43</v>
      </c>
      <c r="C1622" s="10">
        <v>2.1854386414056099</v>
      </c>
      <c r="D1622" s="10">
        <v>2017</v>
      </c>
    </row>
    <row r="1623" spans="1:4" ht="19.95" customHeight="1" x14ac:dyDescent="0.25">
      <c r="A1623" s="9" t="s">
        <v>34</v>
      </c>
      <c r="B1623" s="10" t="s">
        <v>43</v>
      </c>
      <c r="C1623" s="10">
        <v>1.1302204864877701</v>
      </c>
      <c r="D1623" s="10">
        <v>2017</v>
      </c>
    </row>
    <row r="1624" spans="1:4" ht="19.95" customHeight="1" x14ac:dyDescent="0.25">
      <c r="A1624" s="9" t="s">
        <v>35</v>
      </c>
      <c r="B1624" s="10" t="s">
        <v>43</v>
      </c>
      <c r="C1624" s="10">
        <v>2.1114161843133901</v>
      </c>
      <c r="D1624" s="10">
        <v>2017</v>
      </c>
    </row>
    <row r="1625" spans="1:4" ht="19.95" customHeight="1" x14ac:dyDescent="0.25">
      <c r="A1625" s="9" t="s">
        <v>36</v>
      </c>
      <c r="B1625" s="10" t="s">
        <v>43</v>
      </c>
      <c r="C1625" s="10">
        <v>3.0792365884401902</v>
      </c>
      <c r="D1625" s="10">
        <v>2017</v>
      </c>
    </row>
    <row r="1626" spans="1:4" ht="19.95" customHeight="1" x14ac:dyDescent="0.25">
      <c r="A1626" s="9" t="s">
        <v>37</v>
      </c>
      <c r="B1626" s="10" t="s">
        <v>43</v>
      </c>
      <c r="C1626" s="10">
        <v>3.26046178844302</v>
      </c>
      <c r="D1626" s="10">
        <v>2017</v>
      </c>
    </row>
    <row r="1627" spans="1:4" ht="19.95" customHeight="1" x14ac:dyDescent="0.25">
      <c r="A1627" s="9" t="s">
        <v>38</v>
      </c>
      <c r="B1627" s="10" t="s">
        <v>43</v>
      </c>
      <c r="C1627" s="10">
        <v>2.9851243617062599</v>
      </c>
      <c r="D1627" s="10">
        <v>2017</v>
      </c>
    </row>
    <row r="1628" spans="1:4" ht="19.95" customHeight="1" x14ac:dyDescent="0.25">
      <c r="A1628" s="9" t="s">
        <v>39</v>
      </c>
      <c r="B1628" s="10" t="s">
        <v>43</v>
      </c>
      <c r="C1628" s="10">
        <v>2.3228639915426501</v>
      </c>
      <c r="D1628" s="10">
        <v>2017</v>
      </c>
    </row>
  </sheetData>
  <mergeCells count="2">
    <mergeCell ref="G2:K2"/>
    <mergeCell ref="J4:K4"/>
  </mergeCells>
  <phoneticPr fontId="12" type="noConversion"/>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enlever">
                <anchor moveWithCells="1" sizeWithCells="1">
                  <from>
                    <xdr:col>5</xdr:col>
                    <xdr:colOff>0</xdr:colOff>
                    <xdr:row>6</xdr:row>
                    <xdr:rowOff>68580</xdr:rowOff>
                  </from>
                  <to>
                    <xdr:col>5</xdr:col>
                    <xdr:colOff>1013460</xdr:colOff>
                    <xdr:row>7</xdr:row>
                    <xdr:rowOff>175260</xdr:rowOff>
                  </to>
                </anchor>
              </controlPr>
            </control>
          </mc:Choice>
        </mc:AlternateContent>
        <mc:AlternateContent xmlns:mc="http://schemas.openxmlformats.org/markup-compatibility/2006">
          <mc:Choice Requires="x14">
            <control shapeId="4098" r:id="rId5" name="Button 2">
              <controlPr defaultSize="0" print="0" autoFill="0" autoPict="0" macro="[0]!afficher">
                <anchor moveWithCells="1" sizeWithCells="1">
                  <from>
                    <xdr:col>5</xdr:col>
                    <xdr:colOff>7620</xdr:colOff>
                    <xdr:row>4</xdr:row>
                    <xdr:rowOff>7620</xdr:rowOff>
                  </from>
                  <to>
                    <xdr:col>5</xdr:col>
                    <xdr:colOff>1013460</xdr:colOff>
                    <xdr:row>5</xdr:row>
                    <xdr:rowOff>175260</xdr:rowOff>
                  </to>
                </anchor>
              </controlPr>
            </control>
          </mc:Choice>
        </mc:AlternateContent>
        <mc:AlternateContent xmlns:mc="http://schemas.openxmlformats.org/markup-compatibility/2006">
          <mc:Choice Requires="x14">
            <control shapeId="4100" r:id="rId6" name="comite 2">
              <controlPr defaultSize="0" print="0" autoFill="0" autoPict="0" macro="[0]!SelectSheet">
                <anchor moveWithCells="1" sizeWithCells="1">
                  <from>
                    <xdr:col>4</xdr:col>
                    <xdr:colOff>800100</xdr:colOff>
                    <xdr:row>8</xdr:row>
                    <xdr:rowOff>60960</xdr:rowOff>
                  </from>
                  <to>
                    <xdr:col>5</xdr:col>
                    <xdr:colOff>990600</xdr:colOff>
                    <xdr:row>9</xdr:row>
                    <xdr:rowOff>160020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dimension ref="A1:BF102"/>
  <sheetViews>
    <sheetView topLeftCell="A89" workbookViewId="0">
      <selection activeCell="D91" sqref="D91"/>
    </sheetView>
  </sheetViews>
  <sheetFormatPr defaultColWidth="8" defaultRowHeight="13.8" x14ac:dyDescent="0.25"/>
  <cols>
    <col min="1" max="16384" width="8" style="1"/>
  </cols>
  <sheetData>
    <row r="1" spans="1:58" x14ac:dyDescent="0.25">
      <c r="A1" s="16" t="s">
        <v>6</v>
      </c>
      <c r="B1" s="17">
        <v>1960</v>
      </c>
      <c r="C1" s="17">
        <v>1961</v>
      </c>
      <c r="D1" s="17">
        <v>1962</v>
      </c>
      <c r="E1" s="17">
        <v>1963</v>
      </c>
      <c r="F1" s="17">
        <v>1964</v>
      </c>
      <c r="G1" s="17">
        <v>1965</v>
      </c>
      <c r="H1" s="17">
        <v>1966</v>
      </c>
      <c r="I1" s="17">
        <v>1967</v>
      </c>
      <c r="J1" s="17">
        <v>1968</v>
      </c>
      <c r="K1" s="17">
        <v>1969</v>
      </c>
      <c r="L1" s="17">
        <v>1970</v>
      </c>
      <c r="M1" s="17">
        <v>1971</v>
      </c>
      <c r="N1" s="17">
        <v>1972</v>
      </c>
      <c r="O1" s="17">
        <v>1973</v>
      </c>
      <c r="P1" s="17">
        <v>1974</v>
      </c>
      <c r="Q1" s="17">
        <v>1975</v>
      </c>
      <c r="R1" s="17">
        <v>1976</v>
      </c>
      <c r="S1" s="17">
        <v>1977</v>
      </c>
      <c r="T1" s="17">
        <v>1978</v>
      </c>
      <c r="U1" s="17">
        <v>1979</v>
      </c>
      <c r="V1" s="17">
        <v>1980</v>
      </c>
      <c r="W1" s="17">
        <v>1981</v>
      </c>
      <c r="X1" s="17">
        <v>1982</v>
      </c>
      <c r="Y1" s="17">
        <v>1983</v>
      </c>
      <c r="Z1" s="17">
        <v>1984</v>
      </c>
      <c r="AA1" s="17">
        <v>1985</v>
      </c>
      <c r="AB1" s="17">
        <v>1986</v>
      </c>
      <c r="AC1" s="17">
        <v>1987</v>
      </c>
      <c r="AD1" s="17">
        <v>1988</v>
      </c>
      <c r="AE1" s="17">
        <v>1989</v>
      </c>
      <c r="AF1" s="17">
        <v>1990</v>
      </c>
      <c r="AG1" s="17">
        <v>1991</v>
      </c>
      <c r="AH1" s="17">
        <v>1992</v>
      </c>
      <c r="AI1" s="17">
        <v>1993</v>
      </c>
      <c r="AJ1" s="17">
        <v>1994</v>
      </c>
      <c r="AK1" s="17">
        <v>1995</v>
      </c>
      <c r="AL1" s="17">
        <v>1996</v>
      </c>
      <c r="AM1" s="17">
        <v>1997</v>
      </c>
      <c r="AN1" s="17">
        <v>1998</v>
      </c>
      <c r="AO1" s="17">
        <v>1999</v>
      </c>
      <c r="AP1" s="17">
        <v>2000</v>
      </c>
      <c r="AQ1" s="17">
        <v>2001</v>
      </c>
      <c r="AR1" s="17">
        <v>2002</v>
      </c>
      <c r="AS1" s="17">
        <v>2003</v>
      </c>
      <c r="AT1" s="17">
        <v>2004</v>
      </c>
      <c r="AU1" s="17">
        <v>2005</v>
      </c>
      <c r="AV1" s="17">
        <v>2006</v>
      </c>
      <c r="AW1" s="17">
        <v>2007</v>
      </c>
      <c r="AX1" s="17">
        <v>2008</v>
      </c>
      <c r="AY1" s="17">
        <v>2009</v>
      </c>
      <c r="AZ1" s="17">
        <v>2010</v>
      </c>
      <c r="BA1" s="17">
        <v>2011</v>
      </c>
      <c r="BB1" s="17">
        <v>2012</v>
      </c>
      <c r="BC1" s="17">
        <v>2013</v>
      </c>
      <c r="BD1" s="17">
        <v>2014</v>
      </c>
      <c r="BE1" s="17">
        <v>2015</v>
      </c>
      <c r="BF1" s="17">
        <v>2016</v>
      </c>
    </row>
    <row r="2" spans="1:58" x14ac:dyDescent="0.25">
      <c r="A2" s="18" t="s">
        <v>9</v>
      </c>
      <c r="B2" s="1">
        <v>41.280999999999999</v>
      </c>
      <c r="C2" s="1">
        <v>41.591999999999999</v>
      </c>
      <c r="D2" s="1">
        <v>41.906999999999996</v>
      </c>
      <c r="E2" s="1">
        <v>42.225000000000001</v>
      </c>
      <c r="F2" s="1">
        <v>42.54</v>
      </c>
      <c r="G2" s="1">
        <v>42.838000000000001</v>
      </c>
      <c r="H2" s="1">
        <v>43.103000000000002</v>
      </c>
      <c r="I2" s="1">
        <v>43.328000000000003</v>
      </c>
      <c r="J2" s="1">
        <v>43.515000000000001</v>
      </c>
      <c r="K2" s="1">
        <v>43.674999999999997</v>
      </c>
      <c r="L2" s="1">
        <v>43.829000000000001</v>
      </c>
      <c r="M2" s="1">
        <v>44.006</v>
      </c>
      <c r="N2" s="1">
        <v>44.231999999999999</v>
      </c>
      <c r="O2" s="1">
        <v>44.517000000000003</v>
      </c>
      <c r="P2" s="1">
        <v>44.865000000000002</v>
      </c>
      <c r="Q2" s="1">
        <v>45.265999999999998</v>
      </c>
      <c r="R2" s="1">
        <v>45.701000000000001</v>
      </c>
      <c r="S2" s="1">
        <v>46.140999999999998</v>
      </c>
      <c r="T2" s="1">
        <v>46.561999999999998</v>
      </c>
      <c r="U2" s="1">
        <v>46.953000000000003</v>
      </c>
      <c r="V2" s="1">
        <v>47.314</v>
      </c>
      <c r="W2" s="1">
        <v>47.656999999999996</v>
      </c>
      <c r="X2" s="1">
        <v>47.991999999999997</v>
      </c>
      <c r="Y2" s="1">
        <v>48.317</v>
      </c>
      <c r="Z2" s="1">
        <v>48.618000000000002</v>
      </c>
      <c r="AA2" s="1">
        <v>48.844999999999999</v>
      </c>
      <c r="AB2" s="1">
        <v>48.941000000000003</v>
      </c>
      <c r="AC2" s="1">
        <v>48.884</v>
      </c>
      <c r="AD2" s="1">
        <v>48.683999999999997</v>
      </c>
      <c r="AE2" s="1">
        <v>48.378999999999998</v>
      </c>
      <c r="AF2" s="1">
        <v>48.052999999999997</v>
      </c>
      <c r="AG2" s="1">
        <v>47.816000000000003</v>
      </c>
      <c r="AH2" s="1">
        <v>47.752000000000002</v>
      </c>
      <c r="AI2" s="1">
        <v>47.911000000000001</v>
      </c>
      <c r="AJ2" s="1">
        <v>48.295000000000002</v>
      </c>
      <c r="AK2" s="1">
        <v>48.86</v>
      </c>
      <c r="AL2" s="1">
        <v>49.526000000000003</v>
      </c>
      <c r="AM2" s="1">
        <v>50.186</v>
      </c>
      <c r="AN2" s="1">
        <v>50.758000000000003</v>
      </c>
      <c r="AO2" s="1">
        <v>51.213000000000001</v>
      </c>
      <c r="AP2" s="1">
        <v>51.545000000000002</v>
      </c>
      <c r="AQ2" s="1">
        <v>51.779000000000003</v>
      </c>
      <c r="AR2" s="1">
        <v>51.976999999999997</v>
      </c>
      <c r="AS2" s="1">
        <v>52.19</v>
      </c>
      <c r="AT2" s="1">
        <v>52.436999999999998</v>
      </c>
      <c r="AU2" s="1">
        <v>52.734999999999999</v>
      </c>
      <c r="AV2" s="1">
        <v>53.09</v>
      </c>
      <c r="AW2" s="1">
        <v>53.491999999999997</v>
      </c>
      <c r="AX2" s="1">
        <v>53.926000000000002</v>
      </c>
      <c r="AY2" s="1">
        <v>54.386000000000003</v>
      </c>
      <c r="AZ2" s="1">
        <v>54.860999999999997</v>
      </c>
      <c r="BA2" s="1">
        <v>55.338000000000001</v>
      </c>
      <c r="BB2" s="1">
        <v>55.807000000000002</v>
      </c>
      <c r="BC2" s="1">
        <v>56.259</v>
      </c>
      <c r="BD2" s="1">
        <v>56.688000000000002</v>
      </c>
      <c r="BE2" s="1">
        <v>57.094000000000001</v>
      </c>
      <c r="BF2" s="1">
        <v>57.481000000000002</v>
      </c>
    </row>
    <row r="3" spans="1:58" x14ac:dyDescent="0.25">
      <c r="A3" s="18" t="s">
        <v>12</v>
      </c>
      <c r="B3" s="1">
        <v>41.545999999999999</v>
      </c>
      <c r="C3" s="1">
        <v>41.988</v>
      </c>
      <c r="D3" s="1">
        <v>42.429000000000002</v>
      </c>
      <c r="E3" s="1">
        <v>42.868000000000002</v>
      </c>
      <c r="F3" s="1">
        <v>43.304000000000002</v>
      </c>
      <c r="G3" s="1">
        <v>43.741</v>
      </c>
      <c r="H3" s="1">
        <v>44.183999999999997</v>
      </c>
      <c r="I3" s="1">
        <v>44.64</v>
      </c>
      <c r="J3" s="1">
        <v>45.110999999999997</v>
      </c>
      <c r="K3" s="1">
        <v>45.597999999999999</v>
      </c>
      <c r="L3" s="1">
        <v>46.103999999999999</v>
      </c>
      <c r="M3" s="1">
        <v>46.627000000000002</v>
      </c>
      <c r="N3" s="1">
        <v>47.162999999999997</v>
      </c>
      <c r="O3" s="1">
        <v>47.704999999999998</v>
      </c>
      <c r="P3" s="1">
        <v>48.247</v>
      </c>
      <c r="Q3" s="1">
        <v>48.783999999999999</v>
      </c>
      <c r="R3" s="1">
        <v>49.311</v>
      </c>
      <c r="S3" s="1">
        <v>49.825000000000003</v>
      </c>
      <c r="T3" s="1">
        <v>50.317999999999998</v>
      </c>
      <c r="U3" s="1">
        <v>50.780999999999999</v>
      </c>
      <c r="V3" s="1">
        <v>51.210999999999999</v>
      </c>
      <c r="W3" s="1">
        <v>51.603999999999999</v>
      </c>
      <c r="X3" s="1">
        <v>51.957999999999998</v>
      </c>
      <c r="Y3" s="1">
        <v>52.265999999999998</v>
      </c>
      <c r="Z3" s="1">
        <v>52.518000000000001</v>
      </c>
      <c r="AA3" s="1">
        <v>52.698</v>
      </c>
      <c r="AB3" s="1">
        <v>52.786999999999999</v>
      </c>
      <c r="AC3" s="1">
        <v>52.780999999999999</v>
      </c>
      <c r="AD3" s="1">
        <v>52.68</v>
      </c>
      <c r="AE3" s="1">
        <v>52.49</v>
      </c>
      <c r="AF3" s="1">
        <v>52.209000000000003</v>
      </c>
      <c r="AG3" s="1">
        <v>51.835000000000001</v>
      </c>
      <c r="AH3" s="1">
        <v>51.39</v>
      </c>
      <c r="AI3" s="1">
        <v>50.91</v>
      </c>
      <c r="AJ3" s="1">
        <v>50.433</v>
      </c>
      <c r="AK3" s="1">
        <v>50.015000000000001</v>
      </c>
      <c r="AL3" s="1">
        <v>49.707999999999998</v>
      </c>
      <c r="AM3" s="1">
        <v>49.542999999999999</v>
      </c>
      <c r="AN3" s="1">
        <v>49.537999999999997</v>
      </c>
      <c r="AO3" s="1">
        <v>49.7</v>
      </c>
      <c r="AP3" s="1">
        <v>50.026000000000003</v>
      </c>
      <c r="AQ3" s="1">
        <v>50.494999999999997</v>
      </c>
      <c r="AR3" s="1">
        <v>51.058999999999997</v>
      </c>
      <c r="AS3" s="1">
        <v>51.670999999999999</v>
      </c>
      <c r="AT3" s="1">
        <v>52.301000000000002</v>
      </c>
      <c r="AU3" s="1">
        <v>52.915999999999997</v>
      </c>
      <c r="AV3" s="1">
        <v>53.494</v>
      </c>
      <c r="AW3" s="1">
        <v>54.033000000000001</v>
      </c>
      <c r="AX3" s="1">
        <v>54.534999999999997</v>
      </c>
      <c r="AY3" s="1">
        <v>54.996000000000002</v>
      </c>
      <c r="AZ3" s="1">
        <v>55.423999999999999</v>
      </c>
      <c r="BA3" s="1">
        <v>55.832000000000001</v>
      </c>
      <c r="BB3" s="1">
        <v>56.241</v>
      </c>
      <c r="BC3" s="1">
        <v>56.664999999999999</v>
      </c>
      <c r="BD3" s="1">
        <v>57.110999999999997</v>
      </c>
      <c r="BE3" s="1">
        <v>57.582000000000001</v>
      </c>
      <c r="BF3" s="1">
        <v>58.073</v>
      </c>
    </row>
    <row r="4" spans="1:58" x14ac:dyDescent="0.25">
      <c r="A4" s="18" t="s">
        <v>13</v>
      </c>
      <c r="B4" s="1">
        <v>38.018999999999998</v>
      </c>
      <c r="C4" s="1">
        <v>38.279000000000003</v>
      </c>
      <c r="D4" s="1">
        <v>38.536000000000001</v>
      </c>
      <c r="E4" s="1">
        <v>38.795000000000002</v>
      </c>
      <c r="F4" s="1">
        <v>39.061</v>
      </c>
      <c r="G4" s="1">
        <v>39.345999999999997</v>
      </c>
      <c r="H4" s="1">
        <v>39.665999999999997</v>
      </c>
      <c r="I4" s="1">
        <v>40.027999999999999</v>
      </c>
      <c r="J4" s="1">
        <v>40.432000000000002</v>
      </c>
      <c r="K4" s="1">
        <v>40.872</v>
      </c>
      <c r="L4" s="1">
        <v>41.332000000000001</v>
      </c>
      <c r="M4" s="1">
        <v>41.792000000000002</v>
      </c>
      <c r="N4" s="1">
        <v>42.232999999999997</v>
      </c>
      <c r="O4" s="1">
        <v>42.637999999999998</v>
      </c>
      <c r="P4" s="1">
        <v>43.003</v>
      </c>
      <c r="Q4" s="1">
        <v>43.326999999999998</v>
      </c>
      <c r="R4" s="1">
        <v>43.619</v>
      </c>
      <c r="S4" s="1">
        <v>43.892000000000003</v>
      </c>
      <c r="T4" s="1">
        <v>44.161000000000001</v>
      </c>
      <c r="U4" s="1">
        <v>44.43</v>
      </c>
      <c r="V4" s="1">
        <v>44.704000000000001</v>
      </c>
      <c r="W4" s="1">
        <v>44.985999999999997</v>
      </c>
      <c r="X4" s="1">
        <v>45.268999999999998</v>
      </c>
      <c r="Y4" s="1">
        <v>45.55</v>
      </c>
      <c r="Z4" s="1">
        <v>45.823999999999998</v>
      </c>
      <c r="AA4" s="1">
        <v>46.082000000000001</v>
      </c>
      <c r="AB4" s="1">
        <v>46.314999999999998</v>
      </c>
      <c r="AC4" s="1">
        <v>46.52</v>
      </c>
      <c r="AD4" s="1">
        <v>46.692</v>
      </c>
      <c r="AE4" s="1">
        <v>46.835000000000001</v>
      </c>
      <c r="AF4" s="1">
        <v>46.951999999999998</v>
      </c>
      <c r="AG4" s="1">
        <v>47.052999999999997</v>
      </c>
      <c r="AH4" s="1">
        <v>47.148000000000003</v>
      </c>
      <c r="AI4" s="1">
        <v>47.243000000000002</v>
      </c>
      <c r="AJ4" s="1">
        <v>47.338999999999999</v>
      </c>
      <c r="AK4" s="1">
        <v>47.430999999999997</v>
      </c>
      <c r="AL4" s="1">
        <v>47.505000000000003</v>
      </c>
      <c r="AM4" s="1">
        <v>47.555999999999997</v>
      </c>
      <c r="AN4" s="1">
        <v>47.582000000000001</v>
      </c>
      <c r="AO4" s="1">
        <v>47.59</v>
      </c>
      <c r="AP4" s="1">
        <v>47.593000000000004</v>
      </c>
      <c r="AQ4" s="1">
        <v>47.603000000000002</v>
      </c>
      <c r="AR4" s="1">
        <v>47.637999999999998</v>
      </c>
      <c r="AS4" s="1">
        <v>47.716000000000001</v>
      </c>
      <c r="AT4" s="1">
        <v>47.847999999999999</v>
      </c>
      <c r="AU4" s="1">
        <v>48.054000000000002</v>
      </c>
      <c r="AV4" s="1">
        <v>48.348999999999997</v>
      </c>
      <c r="AW4" s="1">
        <v>48.728999999999999</v>
      </c>
      <c r="AX4" s="1">
        <v>49.182000000000002</v>
      </c>
      <c r="AY4" s="1">
        <v>49.691000000000003</v>
      </c>
      <c r="AZ4" s="1">
        <v>50.232999999999997</v>
      </c>
      <c r="BA4" s="1">
        <v>50.777999999999999</v>
      </c>
      <c r="BB4" s="1">
        <v>51.3</v>
      </c>
      <c r="BC4" s="1">
        <v>51.777999999999999</v>
      </c>
      <c r="BD4" s="1">
        <v>52.204000000000001</v>
      </c>
      <c r="BE4" s="1">
        <v>52.575000000000003</v>
      </c>
      <c r="BF4" s="1">
        <v>52.902999999999999</v>
      </c>
    </row>
    <row r="5" spans="1:58" x14ac:dyDescent="0.25">
      <c r="A5" s="18" t="s">
        <v>15</v>
      </c>
      <c r="B5" s="1">
        <v>41.447000000000003</v>
      </c>
      <c r="C5" s="1">
        <v>41.845999999999997</v>
      </c>
      <c r="D5" s="1">
        <v>42.244999999999997</v>
      </c>
      <c r="E5" s="1">
        <v>42.643999999999998</v>
      </c>
      <c r="F5" s="1">
        <v>43.042999999999999</v>
      </c>
      <c r="G5" s="1">
        <v>43.445999999999998</v>
      </c>
      <c r="H5" s="1">
        <v>43.857999999999997</v>
      </c>
      <c r="I5" s="1">
        <v>44.283000000000001</v>
      </c>
      <c r="J5" s="1">
        <v>44.723999999999997</v>
      </c>
      <c r="K5" s="1">
        <v>45.179000000000002</v>
      </c>
      <c r="L5" s="1">
        <v>45.642000000000003</v>
      </c>
      <c r="M5" s="1">
        <v>46.103000000000002</v>
      </c>
      <c r="N5" s="1">
        <v>46.557000000000002</v>
      </c>
      <c r="O5" s="1">
        <v>47.000999999999998</v>
      </c>
      <c r="P5" s="1">
        <v>47.441000000000003</v>
      </c>
      <c r="Q5" s="1">
        <v>47.887</v>
      </c>
      <c r="R5" s="1">
        <v>48.356000000000002</v>
      </c>
      <c r="S5" s="1">
        <v>48.86</v>
      </c>
      <c r="T5" s="1">
        <v>49.405999999999999</v>
      </c>
      <c r="U5" s="1">
        <v>49.991999999999997</v>
      </c>
      <c r="V5" s="1">
        <v>50.615000000000002</v>
      </c>
      <c r="W5" s="1">
        <v>51.265000000000001</v>
      </c>
      <c r="X5" s="1">
        <v>51.924999999999997</v>
      </c>
      <c r="Y5" s="1">
        <v>52.58</v>
      </c>
      <c r="Z5" s="1">
        <v>53.220999999999997</v>
      </c>
      <c r="AA5" s="1">
        <v>53.843000000000004</v>
      </c>
      <c r="AB5" s="1">
        <v>54.445999999999998</v>
      </c>
      <c r="AC5" s="1">
        <v>55.033000000000001</v>
      </c>
      <c r="AD5" s="1">
        <v>55.604999999999997</v>
      </c>
      <c r="AE5" s="1">
        <v>56.154000000000003</v>
      </c>
      <c r="AF5" s="1">
        <v>56.677</v>
      </c>
      <c r="AG5" s="1">
        <v>57.167999999999999</v>
      </c>
      <c r="AH5" s="1">
        <v>57.622999999999998</v>
      </c>
      <c r="AI5" s="1">
        <v>58.037999999999997</v>
      </c>
      <c r="AJ5" s="1">
        <v>58.406999999999996</v>
      </c>
      <c r="AK5" s="1">
        <v>58.722000000000001</v>
      </c>
      <c r="AL5" s="1">
        <v>58.972000000000001</v>
      </c>
      <c r="AM5" s="1">
        <v>59.16</v>
      </c>
      <c r="AN5" s="1">
        <v>59.293999999999997</v>
      </c>
      <c r="AO5" s="1">
        <v>59.387999999999998</v>
      </c>
      <c r="AP5" s="1">
        <v>59.46</v>
      </c>
      <c r="AQ5" s="1">
        <v>59.529000000000003</v>
      </c>
      <c r="AR5" s="1">
        <v>59.616999999999997</v>
      </c>
      <c r="AS5" s="1">
        <v>59.738</v>
      </c>
      <c r="AT5" s="1">
        <v>59.904000000000003</v>
      </c>
      <c r="AU5" s="1">
        <v>60.125999999999998</v>
      </c>
      <c r="AV5" s="1">
        <v>60.406999999999996</v>
      </c>
      <c r="AW5" s="1">
        <v>60.734000000000002</v>
      </c>
      <c r="AX5" s="1">
        <v>61.094000000000001</v>
      </c>
      <c r="AY5" s="1">
        <v>61.475000000000001</v>
      </c>
      <c r="AZ5" s="1">
        <v>61.862000000000002</v>
      </c>
      <c r="BA5" s="1">
        <v>62.24</v>
      </c>
      <c r="BB5" s="1">
        <v>62.595999999999997</v>
      </c>
      <c r="BC5" s="1">
        <v>62.923000000000002</v>
      </c>
      <c r="BD5" s="1">
        <v>63.216000000000001</v>
      </c>
      <c r="BE5" s="1">
        <v>63.472999999999999</v>
      </c>
      <c r="BF5" s="1">
        <v>63.701000000000001</v>
      </c>
    </row>
    <row r="6" spans="1:58" x14ac:dyDescent="0.25">
      <c r="A6" s="18" t="s">
        <v>16</v>
      </c>
      <c r="B6" s="1">
        <v>44.037999999999997</v>
      </c>
      <c r="C6" s="1">
        <v>44.469000000000001</v>
      </c>
      <c r="D6" s="1">
        <v>44.892000000000003</v>
      </c>
      <c r="E6" s="1">
        <v>45.308999999999997</v>
      </c>
      <c r="F6" s="1">
        <v>45.726999999999997</v>
      </c>
      <c r="G6" s="1">
        <v>46.165999999999997</v>
      </c>
      <c r="H6" s="1">
        <v>46.654000000000003</v>
      </c>
      <c r="I6" s="1">
        <v>47.203000000000003</v>
      </c>
      <c r="J6" s="1">
        <v>47.814</v>
      </c>
      <c r="K6" s="1">
        <v>48.475999999999999</v>
      </c>
      <c r="L6" s="1">
        <v>49.16</v>
      </c>
      <c r="M6" s="1">
        <v>49.826999999999998</v>
      </c>
      <c r="N6" s="1">
        <v>50.442</v>
      </c>
      <c r="O6" s="1">
        <v>50.981999999999999</v>
      </c>
      <c r="P6" s="1">
        <v>51.442</v>
      </c>
      <c r="Q6" s="1">
        <v>51.832000000000001</v>
      </c>
      <c r="R6" s="1">
        <v>52.177</v>
      </c>
      <c r="S6" s="1">
        <v>52.512999999999998</v>
      </c>
      <c r="T6" s="1">
        <v>52.865000000000002</v>
      </c>
      <c r="U6" s="1">
        <v>53.241</v>
      </c>
      <c r="V6" s="1">
        <v>53.639000000000003</v>
      </c>
      <c r="W6" s="1">
        <v>54.048999999999999</v>
      </c>
      <c r="X6" s="1">
        <v>54.451000000000001</v>
      </c>
      <c r="Y6" s="1">
        <v>54.828000000000003</v>
      </c>
      <c r="Z6" s="1">
        <v>55.173999999999999</v>
      </c>
      <c r="AA6" s="1">
        <v>55.488</v>
      </c>
      <c r="AB6" s="1">
        <v>55.771999999999998</v>
      </c>
      <c r="AC6" s="1">
        <v>56.031999999999996</v>
      </c>
      <c r="AD6" s="1">
        <v>56.271000000000001</v>
      </c>
      <c r="AE6" s="1">
        <v>56.488</v>
      </c>
      <c r="AF6" s="1">
        <v>56.677999999999997</v>
      </c>
      <c r="AG6" s="1">
        <v>56.831000000000003</v>
      </c>
      <c r="AH6" s="1">
        <v>56.942999999999998</v>
      </c>
      <c r="AI6" s="1">
        <v>57.017000000000003</v>
      </c>
      <c r="AJ6" s="1">
        <v>57.055999999999997</v>
      </c>
      <c r="AK6" s="1">
        <v>57.064999999999998</v>
      </c>
      <c r="AL6" s="1">
        <v>57.05</v>
      </c>
      <c r="AM6" s="1">
        <v>57.021999999999998</v>
      </c>
      <c r="AN6" s="1">
        <v>56.997999999999998</v>
      </c>
      <c r="AO6" s="1">
        <v>56.991999999999997</v>
      </c>
      <c r="AP6" s="1">
        <v>57.021000000000001</v>
      </c>
      <c r="AQ6" s="1">
        <v>57.1</v>
      </c>
      <c r="AR6" s="1">
        <v>57.232999999999997</v>
      </c>
      <c r="AS6" s="1">
        <v>57.423999999999999</v>
      </c>
      <c r="AT6" s="1">
        <v>57.677</v>
      </c>
      <c r="AU6" s="1">
        <v>57.999000000000002</v>
      </c>
      <c r="AV6" s="1">
        <v>58.393000000000001</v>
      </c>
      <c r="AW6" s="1">
        <v>58.847999999999999</v>
      </c>
      <c r="AX6" s="1">
        <v>59.344999999999999</v>
      </c>
      <c r="AY6" s="1">
        <v>59.865000000000002</v>
      </c>
      <c r="AZ6" s="1">
        <v>60.383000000000003</v>
      </c>
      <c r="BA6" s="1">
        <v>60.87</v>
      </c>
      <c r="BB6" s="1">
        <v>61.31</v>
      </c>
      <c r="BC6" s="1">
        <v>61.691000000000003</v>
      </c>
      <c r="BD6" s="1">
        <v>62.006</v>
      </c>
      <c r="BE6" s="1">
        <v>62.26</v>
      </c>
      <c r="BF6" s="1">
        <v>62.465000000000003</v>
      </c>
    </row>
    <row r="7" spans="1:58" x14ac:dyDescent="0.25">
      <c r="A7" s="18" t="s">
        <v>1</v>
      </c>
      <c r="B7" s="1">
        <v>38.418999999999997</v>
      </c>
      <c r="C7" s="1">
        <v>39.082000000000001</v>
      </c>
      <c r="D7" s="1">
        <v>39.710999999999999</v>
      </c>
      <c r="E7" s="1">
        <v>40.29</v>
      </c>
      <c r="F7" s="1">
        <v>40.81</v>
      </c>
      <c r="G7" s="1">
        <v>41.267000000000003</v>
      </c>
      <c r="H7" s="1">
        <v>41.667999999999999</v>
      </c>
      <c r="I7" s="1">
        <v>42.026000000000003</v>
      </c>
      <c r="J7" s="1">
        <v>42.354999999999997</v>
      </c>
      <c r="K7" s="1">
        <v>42.658999999999999</v>
      </c>
      <c r="L7" s="1">
        <v>42.944000000000003</v>
      </c>
      <c r="M7" s="1">
        <v>43.213000000000001</v>
      </c>
      <c r="N7" s="1">
        <v>43.465000000000003</v>
      </c>
      <c r="O7" s="1">
        <v>43.692999999999998</v>
      </c>
      <c r="P7" s="1">
        <v>43.893999999999998</v>
      </c>
      <c r="Q7" s="1">
        <v>44.045000000000002</v>
      </c>
      <c r="R7" s="1">
        <v>44.116</v>
      </c>
      <c r="S7" s="1">
        <v>44.103000000000002</v>
      </c>
      <c r="T7" s="1">
        <v>44.015999999999998</v>
      </c>
      <c r="U7" s="1">
        <v>43.88</v>
      </c>
      <c r="V7" s="1">
        <v>43.746000000000002</v>
      </c>
      <c r="W7" s="1">
        <v>43.673999999999999</v>
      </c>
      <c r="X7" s="1">
        <v>43.710999999999999</v>
      </c>
      <c r="Y7" s="1">
        <v>43.884</v>
      </c>
      <c r="Z7" s="1">
        <v>44.198</v>
      </c>
      <c r="AA7" s="1">
        <v>44.633000000000003</v>
      </c>
      <c r="AB7" s="1">
        <v>45.146000000000001</v>
      </c>
      <c r="AC7" s="1">
        <v>45.682000000000002</v>
      </c>
      <c r="AD7" s="1">
        <v>46.194000000000003</v>
      </c>
      <c r="AE7" s="1">
        <v>46.667999999999999</v>
      </c>
      <c r="AF7" s="1">
        <v>47.1</v>
      </c>
      <c r="AG7" s="1">
        <v>47.505000000000003</v>
      </c>
      <c r="AH7" s="1">
        <v>47.911999999999999</v>
      </c>
      <c r="AI7" s="1">
        <v>48.345999999999997</v>
      </c>
      <c r="AJ7" s="1">
        <v>48.811999999999998</v>
      </c>
      <c r="AK7" s="1">
        <v>49.305</v>
      </c>
      <c r="AL7" s="1">
        <v>49.811</v>
      </c>
      <c r="AM7" s="1">
        <v>50.322000000000003</v>
      </c>
      <c r="AN7" s="1">
        <v>50.835999999999999</v>
      </c>
      <c r="AO7" s="1">
        <v>51.366</v>
      </c>
      <c r="AP7" s="1">
        <v>51.94</v>
      </c>
      <c r="AQ7" s="1">
        <v>52.593000000000004</v>
      </c>
      <c r="AR7" s="1">
        <v>53.347000000000001</v>
      </c>
      <c r="AS7" s="1">
        <v>54.209000000000003</v>
      </c>
      <c r="AT7" s="1">
        <v>55.171999999999997</v>
      </c>
      <c r="AU7" s="1">
        <v>56.220999999999997</v>
      </c>
      <c r="AV7" s="1">
        <v>57.332999999999998</v>
      </c>
      <c r="AW7" s="1">
        <v>58.466000000000001</v>
      </c>
      <c r="AX7" s="1">
        <v>59.58</v>
      </c>
      <c r="AY7" s="1">
        <v>60.643000000000001</v>
      </c>
      <c r="AZ7" s="1">
        <v>61.625</v>
      </c>
      <c r="BA7" s="1">
        <v>62.500999999999998</v>
      </c>
      <c r="BB7" s="1">
        <v>63.274999999999999</v>
      </c>
      <c r="BC7" s="1">
        <v>63.951999999999998</v>
      </c>
      <c r="BD7" s="1">
        <v>64.534999999999997</v>
      </c>
      <c r="BE7" s="1">
        <v>65.037000000000006</v>
      </c>
      <c r="BF7" s="1">
        <v>65.474999999999994</v>
      </c>
    </row>
    <row r="8" spans="1:58" x14ac:dyDescent="0.25">
      <c r="A8" s="18" t="s">
        <v>17</v>
      </c>
      <c r="B8" s="1">
        <v>34.89</v>
      </c>
      <c r="C8" s="1">
        <v>35.085999999999999</v>
      </c>
      <c r="D8" s="1">
        <v>35.265999999999998</v>
      </c>
      <c r="E8" s="1">
        <v>35.432000000000002</v>
      </c>
      <c r="F8" s="1">
        <v>35.588000000000001</v>
      </c>
      <c r="G8" s="1">
        <v>35.74</v>
      </c>
      <c r="H8" s="1">
        <v>35.890999999999998</v>
      </c>
      <c r="I8" s="1">
        <v>36.048000000000002</v>
      </c>
      <c r="J8" s="1">
        <v>36.222000000000001</v>
      </c>
      <c r="K8" s="1">
        <v>36.420999999999999</v>
      </c>
      <c r="L8" s="1">
        <v>36.655999999999999</v>
      </c>
      <c r="M8" s="1">
        <v>36.933</v>
      </c>
      <c r="N8" s="1">
        <v>37.255000000000003</v>
      </c>
      <c r="O8" s="1">
        <v>37.622999999999998</v>
      </c>
      <c r="P8" s="1">
        <v>38.039000000000001</v>
      </c>
      <c r="Q8" s="1">
        <v>38.497999999999998</v>
      </c>
      <c r="R8" s="1">
        <v>38.993000000000002</v>
      </c>
      <c r="S8" s="1">
        <v>39.517000000000003</v>
      </c>
      <c r="T8" s="1">
        <v>40.067999999999998</v>
      </c>
      <c r="U8" s="1">
        <v>40.65</v>
      </c>
      <c r="V8" s="1">
        <v>41.279000000000003</v>
      </c>
      <c r="W8" s="1">
        <v>41.976999999999997</v>
      </c>
      <c r="X8" s="1">
        <v>42.753</v>
      </c>
      <c r="Y8" s="1">
        <v>43.606999999999999</v>
      </c>
      <c r="Z8" s="1">
        <v>44.521999999999998</v>
      </c>
      <c r="AA8" s="1">
        <v>45.481999999999999</v>
      </c>
      <c r="AB8" s="1">
        <v>46.463000000000001</v>
      </c>
      <c r="AC8" s="1">
        <v>47.433999999999997</v>
      </c>
      <c r="AD8" s="1">
        <v>48.359000000000002</v>
      </c>
      <c r="AE8" s="1">
        <v>49.207999999999998</v>
      </c>
      <c r="AF8" s="1">
        <v>49.948999999999998</v>
      </c>
      <c r="AG8" s="1">
        <v>50.557000000000002</v>
      </c>
      <c r="AH8" s="1">
        <v>51.031999999999996</v>
      </c>
      <c r="AI8" s="1">
        <v>51.381</v>
      </c>
      <c r="AJ8" s="1">
        <v>51.61</v>
      </c>
      <c r="AK8" s="1">
        <v>51.716999999999999</v>
      </c>
      <c r="AL8" s="1">
        <v>51.701000000000001</v>
      </c>
      <c r="AM8" s="1">
        <v>51.591999999999999</v>
      </c>
      <c r="AN8" s="1">
        <v>51.433999999999997</v>
      </c>
      <c r="AO8" s="1">
        <v>51.273000000000003</v>
      </c>
      <c r="AP8" s="1">
        <v>51.180999999999997</v>
      </c>
      <c r="AQ8" s="1">
        <v>51.228999999999999</v>
      </c>
      <c r="AR8" s="1">
        <v>51.451000000000001</v>
      </c>
      <c r="AS8" s="1">
        <v>51.859000000000002</v>
      </c>
      <c r="AT8" s="1">
        <v>52.444000000000003</v>
      </c>
      <c r="AU8" s="1">
        <v>53.17</v>
      </c>
      <c r="AV8" s="1">
        <v>53.972000000000001</v>
      </c>
      <c r="AW8" s="1">
        <v>54.774999999999999</v>
      </c>
      <c r="AX8" s="1">
        <v>55.521000000000001</v>
      </c>
      <c r="AY8" s="1">
        <v>56.185000000000002</v>
      </c>
      <c r="AZ8" s="1">
        <v>56.765000000000001</v>
      </c>
      <c r="BA8" s="1">
        <v>57.281999999999996</v>
      </c>
      <c r="BB8" s="1">
        <v>57.781999999999996</v>
      </c>
      <c r="BC8" s="1">
        <v>58.301000000000002</v>
      </c>
      <c r="BD8" s="1">
        <v>58.845999999999997</v>
      </c>
      <c r="BE8" s="1">
        <v>59.418999999999997</v>
      </c>
      <c r="BF8" s="1">
        <v>60.015000000000001</v>
      </c>
    </row>
    <row r="9" spans="1:58" x14ac:dyDescent="0.25">
      <c r="A9" s="18" t="s">
        <v>18</v>
      </c>
      <c r="B9" s="1">
        <v>42.113</v>
      </c>
      <c r="C9" s="1">
        <v>42.697000000000003</v>
      </c>
      <c r="D9" s="1">
        <v>43.277000000000001</v>
      </c>
      <c r="E9" s="1">
        <v>43.848999999999997</v>
      </c>
      <c r="F9" s="1">
        <v>44.411999999999999</v>
      </c>
      <c r="G9" s="1">
        <v>44.954999999999998</v>
      </c>
      <c r="H9" s="1">
        <v>45.472000000000001</v>
      </c>
      <c r="I9" s="1">
        <v>45.954999999999998</v>
      </c>
      <c r="J9" s="1">
        <v>46.405000000000001</v>
      </c>
      <c r="K9" s="1">
        <v>46.823</v>
      </c>
      <c r="L9" s="1">
        <v>47.215000000000003</v>
      </c>
      <c r="M9" s="1">
        <v>47.591999999999999</v>
      </c>
      <c r="N9" s="1">
        <v>47.965000000000003</v>
      </c>
      <c r="O9" s="1">
        <v>48.341000000000001</v>
      </c>
      <c r="P9" s="1">
        <v>48.722999999999999</v>
      </c>
      <c r="Q9" s="1">
        <v>49.106999999999999</v>
      </c>
      <c r="R9" s="1">
        <v>49.484999999999999</v>
      </c>
      <c r="S9" s="1">
        <v>49.848999999999997</v>
      </c>
      <c r="T9" s="1">
        <v>50.195999999999998</v>
      </c>
      <c r="U9" s="1">
        <v>50.527000000000001</v>
      </c>
      <c r="V9" s="1">
        <v>50.851999999999997</v>
      </c>
      <c r="W9" s="1">
        <v>51.182000000000002</v>
      </c>
      <c r="X9" s="1">
        <v>51.527000000000001</v>
      </c>
      <c r="Y9" s="1">
        <v>51.892000000000003</v>
      </c>
      <c r="Z9" s="1">
        <v>52.279000000000003</v>
      </c>
      <c r="AA9" s="1">
        <v>52.68</v>
      </c>
      <c r="AB9" s="1">
        <v>53.088000000000001</v>
      </c>
      <c r="AC9" s="1">
        <v>53.491999999999997</v>
      </c>
      <c r="AD9" s="1">
        <v>53.881</v>
      </c>
      <c r="AE9" s="1">
        <v>54.253</v>
      </c>
      <c r="AF9" s="1">
        <v>54.609000000000002</v>
      </c>
      <c r="AG9" s="1">
        <v>54.954000000000001</v>
      </c>
      <c r="AH9" s="1">
        <v>55.295999999999999</v>
      </c>
      <c r="AI9" s="1">
        <v>55.639000000000003</v>
      </c>
      <c r="AJ9" s="1">
        <v>55.981000000000002</v>
      </c>
      <c r="AK9" s="1">
        <v>56.316000000000003</v>
      </c>
      <c r="AL9" s="1">
        <v>56.634999999999998</v>
      </c>
      <c r="AM9" s="1">
        <v>56.933</v>
      </c>
      <c r="AN9" s="1">
        <v>57.209000000000003</v>
      </c>
      <c r="AO9" s="1">
        <v>57.466999999999999</v>
      </c>
      <c r="AP9" s="1">
        <v>57.716000000000001</v>
      </c>
      <c r="AQ9" s="1">
        <v>57.969000000000001</v>
      </c>
      <c r="AR9" s="1">
        <v>58.238999999999997</v>
      </c>
      <c r="AS9" s="1">
        <v>58.534999999999997</v>
      </c>
      <c r="AT9" s="1">
        <v>58.86</v>
      </c>
      <c r="AU9" s="1">
        <v>59.219000000000001</v>
      </c>
      <c r="AV9" s="1">
        <v>59.61</v>
      </c>
      <c r="AW9" s="1">
        <v>60.023000000000003</v>
      </c>
      <c r="AX9" s="1">
        <v>60.448</v>
      </c>
      <c r="AY9" s="1">
        <v>60.875999999999998</v>
      </c>
      <c r="AZ9" s="1">
        <v>61.295999999999999</v>
      </c>
      <c r="BA9" s="1">
        <v>61.698999999999998</v>
      </c>
      <c r="BB9" s="1">
        <v>62.078000000000003</v>
      </c>
      <c r="BC9" s="1">
        <v>62.432000000000002</v>
      </c>
      <c r="BD9" s="1">
        <v>62.756999999999998</v>
      </c>
      <c r="BE9" s="1">
        <v>63.055</v>
      </c>
      <c r="BF9" s="1">
        <v>63.33</v>
      </c>
    </row>
    <row r="10" spans="1:58" x14ac:dyDescent="0.25">
      <c r="A10" s="18" t="s">
        <v>19</v>
      </c>
      <c r="B10" s="1">
        <v>46.347999999999999</v>
      </c>
      <c r="C10" s="1">
        <v>46.997</v>
      </c>
      <c r="D10" s="1">
        <v>47.634999999999998</v>
      </c>
      <c r="E10" s="1">
        <v>48.250999999999998</v>
      </c>
      <c r="F10" s="1">
        <v>48.841000000000001</v>
      </c>
      <c r="G10" s="1">
        <v>49.408999999999999</v>
      </c>
      <c r="H10" s="1">
        <v>49.962000000000003</v>
      </c>
      <c r="I10" s="1">
        <v>50.514000000000003</v>
      </c>
      <c r="J10" s="1">
        <v>51.073999999999998</v>
      </c>
      <c r="K10" s="1">
        <v>51.643999999999998</v>
      </c>
      <c r="L10" s="1">
        <v>52.222000000000001</v>
      </c>
      <c r="M10" s="1">
        <v>52.802999999999997</v>
      </c>
      <c r="N10" s="1">
        <v>53.378999999999998</v>
      </c>
      <c r="O10" s="1">
        <v>53.945</v>
      </c>
      <c r="P10" s="1">
        <v>54.497</v>
      </c>
      <c r="Q10" s="1">
        <v>55.042000000000002</v>
      </c>
      <c r="R10" s="1">
        <v>55.591999999999999</v>
      </c>
      <c r="S10" s="1">
        <v>56.148000000000003</v>
      </c>
      <c r="T10" s="1">
        <v>56.704999999999998</v>
      </c>
      <c r="U10" s="1">
        <v>57.247</v>
      </c>
      <c r="V10" s="1">
        <v>57.756999999999998</v>
      </c>
      <c r="W10" s="1">
        <v>58.210999999999999</v>
      </c>
      <c r="X10" s="1">
        <v>58.588000000000001</v>
      </c>
      <c r="Y10" s="1">
        <v>58.869</v>
      </c>
      <c r="Z10" s="1">
        <v>59.039000000000001</v>
      </c>
      <c r="AA10" s="1">
        <v>59.082000000000001</v>
      </c>
      <c r="AB10" s="1">
        <v>58.994</v>
      </c>
      <c r="AC10" s="1">
        <v>58.783000000000001</v>
      </c>
      <c r="AD10" s="1">
        <v>58.465000000000003</v>
      </c>
      <c r="AE10" s="1">
        <v>58.05</v>
      </c>
      <c r="AF10" s="1">
        <v>57.536000000000001</v>
      </c>
      <c r="AG10" s="1">
        <v>56.917999999999999</v>
      </c>
      <c r="AH10" s="1">
        <v>56.212000000000003</v>
      </c>
      <c r="AI10" s="1">
        <v>55.448999999999998</v>
      </c>
      <c r="AJ10" s="1">
        <v>54.668999999999997</v>
      </c>
      <c r="AK10" s="1">
        <v>53.911000000000001</v>
      </c>
      <c r="AL10" s="1">
        <v>53.204999999999998</v>
      </c>
      <c r="AM10" s="1">
        <v>52.588999999999999</v>
      </c>
      <c r="AN10" s="1">
        <v>52.106000000000002</v>
      </c>
      <c r="AO10" s="1">
        <v>51.805</v>
      </c>
      <c r="AP10" s="1">
        <v>51.750999999999998</v>
      </c>
      <c r="AQ10" s="1">
        <v>52.003999999999998</v>
      </c>
      <c r="AR10" s="1">
        <v>52.564999999999998</v>
      </c>
      <c r="AS10" s="1">
        <v>53.412999999999997</v>
      </c>
      <c r="AT10" s="1">
        <v>54.512999999999998</v>
      </c>
      <c r="AU10" s="1">
        <v>55.819000000000003</v>
      </c>
      <c r="AV10" s="1">
        <v>57.271000000000001</v>
      </c>
      <c r="AW10" s="1">
        <v>58.783999999999999</v>
      </c>
      <c r="AX10" s="1">
        <v>60.274999999999999</v>
      </c>
      <c r="AY10" s="1">
        <v>61.68</v>
      </c>
      <c r="AZ10" s="1">
        <v>62.936</v>
      </c>
      <c r="BA10" s="1">
        <v>64.007999999999996</v>
      </c>
      <c r="BB10" s="1">
        <v>64.906999999999996</v>
      </c>
      <c r="BC10" s="1">
        <v>65.650999999999996</v>
      </c>
      <c r="BD10" s="1">
        <v>66.242000000000004</v>
      </c>
      <c r="BE10" s="1">
        <v>66.694999999999993</v>
      </c>
      <c r="BF10" s="1">
        <v>67.031999999999996</v>
      </c>
    </row>
    <row r="11" spans="1:58" x14ac:dyDescent="0.25">
      <c r="A11" s="18" t="s">
        <v>20</v>
      </c>
      <c r="W11" s="1">
        <v>65.897560975609807</v>
      </c>
      <c r="X11" s="1">
        <v>66.197560975609804</v>
      </c>
      <c r="Y11" s="1">
        <v>66.397560975609807</v>
      </c>
      <c r="Z11" s="1">
        <v>66.597560975609795</v>
      </c>
      <c r="AA11" s="1">
        <v>66.797560975609798</v>
      </c>
      <c r="AB11" s="1">
        <v>66.997560975609801</v>
      </c>
      <c r="AC11" s="1">
        <v>67.197560975609804</v>
      </c>
      <c r="AD11" s="1">
        <v>67.397560975609807</v>
      </c>
      <c r="AE11" s="1">
        <v>67.548780487804905</v>
      </c>
      <c r="AF11" s="1">
        <v>67.748780487804893</v>
      </c>
      <c r="AG11" s="1">
        <v>67.948780487804896</v>
      </c>
      <c r="AH11" s="1">
        <v>68.099999999999994</v>
      </c>
      <c r="AI11" s="1">
        <v>68.248780487804893</v>
      </c>
      <c r="AJ11" s="1">
        <v>68.400000000000006</v>
      </c>
      <c r="AK11" s="1">
        <v>68.551219512195104</v>
      </c>
      <c r="AL11" s="1">
        <v>68.7</v>
      </c>
      <c r="AM11" s="1">
        <v>68.851219512195101</v>
      </c>
      <c r="AN11" s="1">
        <v>68.951219512195095</v>
      </c>
      <c r="AO11" s="1">
        <v>66.951219512195095</v>
      </c>
      <c r="AP11" s="1">
        <v>67.951219512195095</v>
      </c>
      <c r="AQ11" s="1">
        <v>67.997560975609801</v>
      </c>
      <c r="AR11" s="1">
        <v>67.943902439024399</v>
      </c>
      <c r="AS11" s="1">
        <v>68.195121951219505</v>
      </c>
      <c r="AT11" s="1">
        <v>68.446341463414598</v>
      </c>
      <c r="AU11" s="1">
        <v>68.695121951219505</v>
      </c>
      <c r="AV11" s="1">
        <v>68.946341463414598</v>
      </c>
      <c r="AW11" s="1">
        <v>69.197560975609804</v>
      </c>
      <c r="AX11" s="1">
        <v>69.397560975609807</v>
      </c>
      <c r="AY11" s="1">
        <v>69.648780487804899</v>
      </c>
      <c r="AZ11" s="1">
        <v>69.900000000000006</v>
      </c>
      <c r="BA11" s="1">
        <v>70.148780487804899</v>
      </c>
      <c r="BB11" s="1">
        <v>70.497560975609801</v>
      </c>
      <c r="BC11" s="1">
        <v>70.797560975609798</v>
      </c>
      <c r="BD11" s="1">
        <v>71.097560975609795</v>
      </c>
      <c r="BE11" s="1">
        <v>71.346341463414603</v>
      </c>
      <c r="BF11" s="1">
        <v>71.646341463414601</v>
      </c>
    </row>
    <row r="12" spans="1:58" x14ac:dyDescent="0.25">
      <c r="A12" s="18" t="s">
        <v>21</v>
      </c>
      <c r="B12" s="1">
        <v>34.670999999999999</v>
      </c>
      <c r="C12" s="1">
        <v>34.941000000000003</v>
      </c>
      <c r="D12" s="1">
        <v>35.256999999999998</v>
      </c>
      <c r="E12" s="1">
        <v>35.625999999999998</v>
      </c>
      <c r="F12" s="1">
        <v>36.048999999999999</v>
      </c>
      <c r="G12" s="1">
        <v>36.520000000000003</v>
      </c>
      <c r="H12" s="1">
        <v>37.03</v>
      </c>
      <c r="I12" s="1">
        <v>37.564</v>
      </c>
      <c r="J12" s="1">
        <v>38.113</v>
      </c>
      <c r="K12" s="1">
        <v>38.673999999999999</v>
      </c>
      <c r="L12" s="1">
        <v>39.253999999999998</v>
      </c>
      <c r="M12" s="1">
        <v>39.866999999999997</v>
      </c>
      <c r="N12" s="1">
        <v>40.521999999999998</v>
      </c>
      <c r="O12" s="1">
        <v>41.216999999999999</v>
      </c>
      <c r="P12" s="1">
        <v>41.942999999999998</v>
      </c>
      <c r="Q12" s="1">
        <v>42.686</v>
      </c>
      <c r="R12" s="1">
        <v>43.430999999999997</v>
      </c>
      <c r="S12" s="1">
        <v>44.155999999999999</v>
      </c>
      <c r="T12" s="1">
        <v>44.838000000000001</v>
      </c>
      <c r="U12" s="1">
        <v>45.457999999999998</v>
      </c>
      <c r="V12" s="1">
        <v>45.996000000000002</v>
      </c>
      <c r="W12" s="1">
        <v>46.435000000000002</v>
      </c>
      <c r="X12" s="1">
        <v>46.777999999999999</v>
      </c>
      <c r="Y12" s="1">
        <v>47.031999999999996</v>
      </c>
      <c r="Z12" s="1">
        <v>47.206000000000003</v>
      </c>
      <c r="AA12" s="1">
        <v>47.298000000000002</v>
      </c>
      <c r="AB12" s="1">
        <v>47.308999999999997</v>
      </c>
      <c r="AC12" s="1">
        <v>47.26</v>
      </c>
      <c r="AD12" s="1">
        <v>47.189</v>
      </c>
      <c r="AE12" s="1">
        <v>47.137999999999998</v>
      </c>
      <c r="AF12" s="1">
        <v>47.183</v>
      </c>
      <c r="AG12" s="1">
        <v>47.405999999999999</v>
      </c>
      <c r="AH12" s="1">
        <v>47.838999999999999</v>
      </c>
      <c r="AI12" s="1">
        <v>48.475000000000001</v>
      </c>
      <c r="AJ12" s="1">
        <v>49.283000000000001</v>
      </c>
      <c r="AK12" s="1">
        <v>50.162999999999997</v>
      </c>
      <c r="AL12" s="1">
        <v>50.984000000000002</v>
      </c>
      <c r="AM12" s="1">
        <v>51.640999999999998</v>
      </c>
      <c r="AN12" s="1">
        <v>52.082000000000001</v>
      </c>
      <c r="AO12" s="1">
        <v>52.314</v>
      </c>
      <c r="AP12" s="1">
        <v>52.423000000000002</v>
      </c>
      <c r="AQ12" s="1">
        <v>52.542999999999999</v>
      </c>
      <c r="AR12" s="1">
        <v>52.814</v>
      </c>
      <c r="AS12" s="1">
        <v>53.323</v>
      </c>
      <c r="AT12" s="1">
        <v>54.084000000000003</v>
      </c>
      <c r="AU12" s="1">
        <v>55.052</v>
      </c>
      <c r="AV12" s="1">
        <v>56.136000000000003</v>
      </c>
      <c r="AW12" s="1">
        <v>57.207000000000001</v>
      </c>
      <c r="AX12" s="1">
        <v>58.167000000000002</v>
      </c>
      <c r="AY12" s="1">
        <v>58.976999999999997</v>
      </c>
      <c r="AZ12" s="1">
        <v>59.631</v>
      </c>
      <c r="BA12" s="1">
        <v>60.155000000000001</v>
      </c>
      <c r="BB12" s="1">
        <v>60.615000000000002</v>
      </c>
      <c r="BC12" s="1">
        <v>61.066000000000003</v>
      </c>
      <c r="BD12" s="1">
        <v>61.527000000000001</v>
      </c>
      <c r="BE12" s="1">
        <v>62.006999999999998</v>
      </c>
      <c r="BF12" s="1">
        <v>62.505000000000003</v>
      </c>
    </row>
    <row r="13" spans="1:58" x14ac:dyDescent="0.25">
      <c r="A13" s="18" t="s">
        <v>22</v>
      </c>
      <c r="B13" s="1">
        <v>39.962000000000003</v>
      </c>
      <c r="C13" s="1">
        <v>40.444000000000003</v>
      </c>
      <c r="D13" s="1">
        <v>40.923999999999999</v>
      </c>
      <c r="E13" s="1">
        <v>41.401000000000003</v>
      </c>
      <c r="F13" s="1">
        <v>41.875999999999998</v>
      </c>
      <c r="G13" s="1">
        <v>42.350999999999999</v>
      </c>
      <c r="H13" s="1">
        <v>42.828000000000003</v>
      </c>
      <c r="I13" s="1">
        <v>43.31</v>
      </c>
      <c r="J13" s="1">
        <v>43.795999999999999</v>
      </c>
      <c r="K13" s="1">
        <v>44.283000000000001</v>
      </c>
      <c r="L13" s="1">
        <v>44.771000000000001</v>
      </c>
      <c r="M13" s="1">
        <v>45.256999999999998</v>
      </c>
      <c r="N13" s="1">
        <v>45.734999999999999</v>
      </c>
      <c r="O13" s="1">
        <v>46.203000000000003</v>
      </c>
      <c r="P13" s="1">
        <v>46.655999999999999</v>
      </c>
      <c r="Q13" s="1">
        <v>47.094000000000001</v>
      </c>
      <c r="R13" s="1">
        <v>47.517000000000003</v>
      </c>
      <c r="S13" s="1">
        <v>47.926000000000002</v>
      </c>
      <c r="T13" s="1">
        <v>48.317</v>
      </c>
      <c r="U13" s="1">
        <v>48.683</v>
      </c>
      <c r="V13" s="1">
        <v>49.005000000000003</v>
      </c>
      <c r="W13" s="1">
        <v>49.26</v>
      </c>
      <c r="X13" s="1">
        <v>49.442</v>
      </c>
      <c r="Y13" s="1">
        <v>49.56</v>
      </c>
      <c r="Z13" s="1">
        <v>49.634</v>
      </c>
      <c r="AA13" s="1">
        <v>49.694000000000003</v>
      </c>
      <c r="AB13" s="1">
        <v>49.780999999999999</v>
      </c>
      <c r="AC13" s="1">
        <v>49.932000000000002</v>
      </c>
      <c r="AD13" s="1">
        <v>50.176000000000002</v>
      </c>
      <c r="AE13" s="1">
        <v>50.53</v>
      </c>
      <c r="AF13" s="1">
        <v>51.003</v>
      </c>
      <c r="AG13" s="1">
        <v>51.594999999999999</v>
      </c>
      <c r="AH13" s="1">
        <v>52.277999999999999</v>
      </c>
      <c r="AI13" s="1">
        <v>53.021999999999998</v>
      </c>
      <c r="AJ13" s="1">
        <v>53.808</v>
      </c>
      <c r="AK13" s="1">
        <v>54.616</v>
      </c>
      <c r="AL13" s="1">
        <v>55.43</v>
      </c>
      <c r="AM13" s="1">
        <v>56.238999999999997</v>
      </c>
      <c r="AN13" s="1">
        <v>57.027999999999999</v>
      </c>
      <c r="AO13" s="1">
        <v>57.781999999999996</v>
      </c>
      <c r="AP13" s="1">
        <v>58.484999999999999</v>
      </c>
      <c r="AQ13" s="1">
        <v>59.128999999999998</v>
      </c>
      <c r="AR13" s="1">
        <v>59.716999999999999</v>
      </c>
      <c r="AS13" s="1">
        <v>60.256</v>
      </c>
      <c r="AT13" s="1">
        <v>60.752000000000002</v>
      </c>
      <c r="AU13" s="1">
        <v>61.212000000000003</v>
      </c>
      <c r="AV13" s="1">
        <v>61.65</v>
      </c>
      <c r="AW13" s="1">
        <v>62.079000000000001</v>
      </c>
      <c r="AX13" s="1">
        <v>62.509</v>
      </c>
      <c r="AY13" s="1">
        <v>62.944000000000003</v>
      </c>
      <c r="AZ13" s="1">
        <v>63.387999999999998</v>
      </c>
      <c r="BA13" s="1">
        <v>63.835999999999999</v>
      </c>
      <c r="BB13" s="1">
        <v>64.28</v>
      </c>
      <c r="BC13" s="1">
        <v>64.712999999999994</v>
      </c>
      <c r="BD13" s="1">
        <v>65.132999999999996</v>
      </c>
      <c r="BE13" s="1">
        <v>65.539000000000001</v>
      </c>
      <c r="BF13" s="1">
        <v>65.932000000000002</v>
      </c>
    </row>
    <row r="14" spans="1:58" x14ac:dyDescent="0.25">
      <c r="A14" s="18" t="s">
        <v>23</v>
      </c>
      <c r="B14" s="1">
        <v>37.805</v>
      </c>
      <c r="C14" s="1">
        <v>38.030999999999999</v>
      </c>
      <c r="D14" s="1">
        <v>38.249000000000002</v>
      </c>
      <c r="E14" s="1">
        <v>38.457999999999998</v>
      </c>
      <c r="F14" s="1">
        <v>38.664000000000001</v>
      </c>
      <c r="G14" s="1">
        <v>38.881</v>
      </c>
      <c r="H14" s="1">
        <v>39.127000000000002</v>
      </c>
      <c r="I14" s="1">
        <v>39.414999999999999</v>
      </c>
      <c r="J14" s="1">
        <v>39.75</v>
      </c>
      <c r="K14" s="1">
        <v>40.134</v>
      </c>
      <c r="L14" s="1">
        <v>40.558</v>
      </c>
      <c r="M14" s="1">
        <v>41.011000000000003</v>
      </c>
      <c r="N14" s="1">
        <v>41.475000000000001</v>
      </c>
      <c r="O14" s="1">
        <v>41.932000000000002</v>
      </c>
      <c r="P14" s="1">
        <v>42.375999999999998</v>
      </c>
      <c r="Q14" s="1">
        <v>42.802</v>
      </c>
      <c r="R14" s="1">
        <v>43.215000000000003</v>
      </c>
      <c r="S14" s="1">
        <v>43.621000000000002</v>
      </c>
      <c r="T14" s="1">
        <v>44.02</v>
      </c>
      <c r="U14" s="1">
        <v>44.408000000000001</v>
      </c>
      <c r="V14" s="1">
        <v>44.776000000000003</v>
      </c>
      <c r="W14" s="1">
        <v>45.112000000000002</v>
      </c>
      <c r="X14" s="1">
        <v>45.411000000000001</v>
      </c>
      <c r="Y14" s="1">
        <v>45.667999999999999</v>
      </c>
      <c r="Z14" s="1">
        <v>45.881999999999998</v>
      </c>
      <c r="AA14" s="1">
        <v>46.055</v>
      </c>
      <c r="AB14" s="1">
        <v>46.195999999999998</v>
      </c>
      <c r="AC14" s="1">
        <v>46.313000000000002</v>
      </c>
      <c r="AD14" s="1">
        <v>46.414000000000001</v>
      </c>
      <c r="AE14" s="1">
        <v>46.503</v>
      </c>
      <c r="AF14" s="1">
        <v>46.576000000000001</v>
      </c>
      <c r="AG14" s="1">
        <v>46.627000000000002</v>
      </c>
      <c r="AH14" s="1">
        <v>46.65</v>
      </c>
      <c r="AI14" s="1">
        <v>46.646999999999998</v>
      </c>
      <c r="AJ14" s="1">
        <v>46.627000000000002</v>
      </c>
      <c r="AK14" s="1">
        <v>46.585000000000001</v>
      </c>
      <c r="AL14" s="1">
        <v>46.515999999999998</v>
      </c>
      <c r="AM14" s="1">
        <v>46.433999999999997</v>
      </c>
      <c r="AN14" s="1">
        <v>46.369</v>
      </c>
      <c r="AO14" s="1">
        <v>46.354999999999997</v>
      </c>
      <c r="AP14" s="1">
        <v>46.45</v>
      </c>
      <c r="AQ14" s="1">
        <v>46.71</v>
      </c>
      <c r="AR14" s="1">
        <v>47.168999999999997</v>
      </c>
      <c r="AS14" s="1">
        <v>47.843000000000004</v>
      </c>
      <c r="AT14" s="1">
        <v>48.734999999999999</v>
      </c>
      <c r="AU14" s="1">
        <v>49.845999999999997</v>
      </c>
      <c r="AV14" s="1">
        <v>51.162999999999997</v>
      </c>
      <c r="AW14" s="1">
        <v>52.63</v>
      </c>
      <c r="AX14" s="1">
        <v>54.177</v>
      </c>
      <c r="AY14" s="1">
        <v>55.744999999999997</v>
      </c>
      <c r="AZ14" s="1">
        <v>57.262999999999998</v>
      </c>
      <c r="BA14" s="1">
        <v>58.667000000000002</v>
      </c>
      <c r="BB14" s="1">
        <v>59.927</v>
      </c>
      <c r="BC14" s="1">
        <v>61.02</v>
      </c>
      <c r="BD14" s="1">
        <v>61.932000000000002</v>
      </c>
      <c r="BE14" s="1">
        <v>62.661000000000001</v>
      </c>
      <c r="BF14" s="1">
        <v>63.222999999999999</v>
      </c>
    </row>
    <row r="15" spans="1:58" x14ac:dyDescent="0.25">
      <c r="A15" s="18" t="s">
        <v>24</v>
      </c>
      <c r="B15" s="1">
        <v>28.199000000000002</v>
      </c>
      <c r="C15" s="1">
        <v>28.344999999999999</v>
      </c>
      <c r="D15" s="1">
        <v>28.535</v>
      </c>
      <c r="E15" s="1">
        <v>28.782</v>
      </c>
      <c r="F15" s="1">
        <v>29.097000000000001</v>
      </c>
      <c r="G15" s="1">
        <v>29.489000000000001</v>
      </c>
      <c r="H15" s="1">
        <v>29.959</v>
      </c>
      <c r="I15" s="1">
        <v>30.495999999999999</v>
      </c>
      <c r="J15" s="1">
        <v>31.085999999999999</v>
      </c>
      <c r="K15" s="1">
        <v>31.72</v>
      </c>
      <c r="L15" s="1">
        <v>32.387999999999998</v>
      </c>
      <c r="M15" s="1">
        <v>33.078000000000003</v>
      </c>
      <c r="N15" s="1">
        <v>33.781999999999996</v>
      </c>
      <c r="O15" s="1">
        <v>34.493000000000002</v>
      </c>
      <c r="P15" s="1">
        <v>35.204999999999998</v>
      </c>
      <c r="Q15" s="1">
        <v>35.920999999999999</v>
      </c>
      <c r="R15" s="1">
        <v>36.645000000000003</v>
      </c>
      <c r="S15" s="1">
        <v>37.384999999999998</v>
      </c>
      <c r="T15" s="1">
        <v>38.142000000000003</v>
      </c>
      <c r="U15" s="1">
        <v>38.908999999999999</v>
      </c>
      <c r="V15" s="1">
        <v>39.677</v>
      </c>
      <c r="W15" s="1">
        <v>40.435000000000002</v>
      </c>
      <c r="X15" s="1">
        <v>41.173000000000002</v>
      </c>
      <c r="Y15" s="1">
        <v>41.878999999999998</v>
      </c>
      <c r="Z15" s="1">
        <v>42.545000000000002</v>
      </c>
      <c r="AA15" s="1">
        <v>43.17</v>
      </c>
      <c r="AB15" s="1">
        <v>43.759</v>
      </c>
      <c r="AC15" s="1">
        <v>44.314999999999998</v>
      </c>
      <c r="AD15" s="1">
        <v>44.838000000000001</v>
      </c>
      <c r="AE15" s="1">
        <v>45.323</v>
      </c>
      <c r="AF15" s="1">
        <v>45.746000000000002</v>
      </c>
      <c r="AG15" s="1">
        <v>46.076000000000001</v>
      </c>
      <c r="AH15" s="1">
        <v>46.305</v>
      </c>
      <c r="AI15" s="1">
        <v>46.445</v>
      </c>
      <c r="AJ15" s="1">
        <v>46.52</v>
      </c>
      <c r="AK15" s="1">
        <v>46.573</v>
      </c>
      <c r="AL15" s="1">
        <v>46.658000000000001</v>
      </c>
      <c r="AM15" s="1">
        <v>46.823</v>
      </c>
      <c r="AN15" s="1">
        <v>47.103000000000002</v>
      </c>
      <c r="AO15" s="1">
        <v>47.515000000000001</v>
      </c>
      <c r="AP15" s="1">
        <v>48.069000000000003</v>
      </c>
      <c r="AQ15" s="1">
        <v>48.758000000000003</v>
      </c>
      <c r="AR15" s="1">
        <v>49.54</v>
      </c>
      <c r="AS15" s="1">
        <v>50.372999999999998</v>
      </c>
      <c r="AT15" s="1">
        <v>51.223999999999997</v>
      </c>
      <c r="AU15" s="1">
        <v>52.057000000000002</v>
      </c>
      <c r="AV15" s="1">
        <v>52.838999999999999</v>
      </c>
      <c r="AW15" s="1">
        <v>53.552999999999997</v>
      </c>
      <c r="AX15" s="1">
        <v>54.192999999999998</v>
      </c>
      <c r="AY15" s="1">
        <v>54.756</v>
      </c>
      <c r="AZ15" s="1">
        <v>55.249000000000002</v>
      </c>
      <c r="BA15" s="1">
        <v>55.694000000000003</v>
      </c>
      <c r="BB15" s="1">
        <v>56.122</v>
      </c>
      <c r="BC15" s="1">
        <v>56.555999999999997</v>
      </c>
      <c r="BD15" s="1">
        <v>57.006999999999998</v>
      </c>
      <c r="BE15" s="1">
        <v>57.478000000000002</v>
      </c>
      <c r="BF15" s="1">
        <v>57.966000000000001</v>
      </c>
    </row>
    <row r="16" spans="1:58" x14ac:dyDescent="0.25">
      <c r="A16" s="18" t="s">
        <v>25</v>
      </c>
      <c r="B16" s="1">
        <v>61.994999999999997</v>
      </c>
      <c r="C16" s="1">
        <v>62.366999999999997</v>
      </c>
      <c r="D16" s="1">
        <v>62.743000000000002</v>
      </c>
      <c r="E16" s="1">
        <v>63.122</v>
      </c>
      <c r="F16" s="1">
        <v>63.496000000000002</v>
      </c>
      <c r="G16" s="1">
        <v>63.856000000000002</v>
      </c>
      <c r="H16" s="1">
        <v>64.186000000000007</v>
      </c>
      <c r="I16" s="1">
        <v>64.475999999999999</v>
      </c>
      <c r="J16" s="1">
        <v>64.718000000000004</v>
      </c>
      <c r="K16" s="1">
        <v>64.908000000000001</v>
      </c>
      <c r="L16" s="1">
        <v>65.045000000000002</v>
      </c>
      <c r="M16" s="1">
        <v>65.134</v>
      </c>
      <c r="N16" s="1">
        <v>65.186000000000007</v>
      </c>
      <c r="O16" s="1">
        <v>65.212999999999994</v>
      </c>
      <c r="P16" s="1">
        <v>65.221000000000004</v>
      </c>
      <c r="Q16" s="1">
        <v>65.209000000000003</v>
      </c>
      <c r="R16" s="1">
        <v>65.171999999999997</v>
      </c>
      <c r="S16" s="1">
        <v>65.111000000000004</v>
      </c>
      <c r="T16" s="1">
        <v>65.037000000000006</v>
      </c>
      <c r="U16" s="1">
        <v>64.971000000000004</v>
      </c>
      <c r="V16" s="1">
        <v>64.950999999999993</v>
      </c>
      <c r="W16" s="1">
        <v>65.022000000000006</v>
      </c>
      <c r="X16" s="1">
        <v>65.204999999999998</v>
      </c>
      <c r="Y16" s="1">
        <v>65.498999999999995</v>
      </c>
      <c r="Z16" s="1">
        <v>65.887</v>
      </c>
      <c r="AA16" s="1">
        <v>66.33</v>
      </c>
      <c r="AB16" s="1">
        <v>66.772000000000006</v>
      </c>
      <c r="AC16" s="1">
        <v>67.156000000000006</v>
      </c>
      <c r="AD16" s="1">
        <v>67.44</v>
      </c>
      <c r="AE16" s="1">
        <v>67.605000000000004</v>
      </c>
      <c r="AF16" s="1">
        <v>67.643000000000001</v>
      </c>
      <c r="AG16" s="1">
        <v>67.563000000000002</v>
      </c>
      <c r="AH16" s="1">
        <v>67.408000000000001</v>
      </c>
      <c r="AI16" s="1">
        <v>67.221000000000004</v>
      </c>
      <c r="AJ16" s="1">
        <v>67.03</v>
      </c>
      <c r="AK16" s="1">
        <v>66.867000000000004</v>
      </c>
      <c r="AL16" s="1">
        <v>66.760999999999996</v>
      </c>
      <c r="AM16" s="1">
        <v>66.721999999999994</v>
      </c>
      <c r="AN16" s="1">
        <v>66.751999999999995</v>
      </c>
      <c r="AO16" s="1">
        <v>66.852000000000004</v>
      </c>
      <c r="AP16" s="1">
        <v>67.006</v>
      </c>
      <c r="AQ16" s="1">
        <v>67.185000000000002</v>
      </c>
      <c r="AR16" s="1">
        <v>67.361999999999995</v>
      </c>
      <c r="AS16" s="1">
        <v>67.521000000000001</v>
      </c>
      <c r="AT16" s="1">
        <v>67.665000000000006</v>
      </c>
      <c r="AU16" s="1">
        <v>67.819999999999993</v>
      </c>
      <c r="AV16" s="1">
        <v>68.022000000000006</v>
      </c>
      <c r="AW16" s="1">
        <v>68.302000000000007</v>
      </c>
      <c r="AX16" s="1">
        <v>68.671000000000006</v>
      </c>
      <c r="AY16" s="1">
        <v>69.119</v>
      </c>
      <c r="AZ16" s="1">
        <v>69.616</v>
      </c>
      <c r="BA16" s="1">
        <v>70.117000000000004</v>
      </c>
      <c r="BB16" s="1">
        <v>70.576999999999998</v>
      </c>
      <c r="BC16" s="1">
        <v>70.960999999999999</v>
      </c>
      <c r="BD16" s="1">
        <v>71.257999999999996</v>
      </c>
      <c r="BE16" s="1">
        <v>71.468000000000004</v>
      </c>
      <c r="BF16" s="1">
        <v>71.61</v>
      </c>
    </row>
    <row r="17" spans="1:58" x14ac:dyDescent="0.25">
      <c r="A17" s="18" t="s">
        <v>26</v>
      </c>
      <c r="B17" s="1">
        <v>35.026000000000003</v>
      </c>
      <c r="C17" s="1">
        <v>35.49</v>
      </c>
      <c r="D17" s="1">
        <v>35.936</v>
      </c>
      <c r="E17" s="1">
        <v>36.363</v>
      </c>
      <c r="F17" s="1">
        <v>36.773000000000003</v>
      </c>
      <c r="G17" s="1">
        <v>37.173999999999999</v>
      </c>
      <c r="H17" s="1">
        <v>37.573</v>
      </c>
      <c r="I17" s="1">
        <v>37.979999999999997</v>
      </c>
      <c r="J17" s="1">
        <v>38.396999999999998</v>
      </c>
      <c r="K17" s="1">
        <v>38.826000000000001</v>
      </c>
      <c r="L17" s="1">
        <v>39.271000000000001</v>
      </c>
      <c r="M17" s="1">
        <v>39.734999999999999</v>
      </c>
      <c r="N17" s="1">
        <v>40.21</v>
      </c>
      <c r="O17" s="1">
        <v>40.679000000000002</v>
      </c>
      <c r="P17" s="1">
        <v>41.125</v>
      </c>
      <c r="Q17" s="1">
        <v>41.512</v>
      </c>
      <c r="R17" s="1">
        <v>41.804000000000002</v>
      </c>
      <c r="S17" s="1">
        <v>41.982999999999997</v>
      </c>
      <c r="T17" s="1">
        <v>42.05</v>
      </c>
      <c r="U17" s="1">
        <v>42.017000000000003</v>
      </c>
      <c r="V17" s="1">
        <v>41.912999999999997</v>
      </c>
      <c r="W17" s="1">
        <v>41.777999999999999</v>
      </c>
      <c r="X17" s="1">
        <v>41.66</v>
      </c>
      <c r="Y17" s="1">
        <v>41.597000000000001</v>
      </c>
      <c r="Z17" s="1">
        <v>41.61</v>
      </c>
      <c r="AA17" s="1">
        <v>41.704999999999998</v>
      </c>
      <c r="AB17" s="1">
        <v>41.872</v>
      </c>
      <c r="AC17" s="1">
        <v>42.085000000000001</v>
      </c>
      <c r="AD17" s="1">
        <v>42.326999999999998</v>
      </c>
      <c r="AE17" s="1">
        <v>42.6</v>
      </c>
      <c r="AF17" s="1">
        <v>42.914999999999999</v>
      </c>
      <c r="AG17" s="1">
        <v>43.292999999999999</v>
      </c>
      <c r="AH17" s="1">
        <v>43.744999999999997</v>
      </c>
      <c r="AI17" s="1">
        <v>44.271999999999998</v>
      </c>
      <c r="AJ17" s="1">
        <v>44.862000000000002</v>
      </c>
      <c r="AK17" s="1">
        <v>45.491</v>
      </c>
      <c r="AL17" s="1">
        <v>46.124000000000002</v>
      </c>
      <c r="AM17" s="1">
        <v>46.735999999999997</v>
      </c>
      <c r="AN17" s="1">
        <v>47.308999999999997</v>
      </c>
      <c r="AO17" s="1">
        <v>47.841000000000001</v>
      </c>
      <c r="AP17" s="1">
        <v>48.347999999999999</v>
      </c>
      <c r="AQ17" s="1">
        <v>48.859000000000002</v>
      </c>
      <c r="AR17" s="1">
        <v>49.405999999999999</v>
      </c>
      <c r="AS17" s="1">
        <v>50.006999999999998</v>
      </c>
      <c r="AT17" s="1">
        <v>50.662999999999997</v>
      </c>
      <c r="AU17" s="1">
        <v>51.362000000000002</v>
      </c>
      <c r="AV17" s="1">
        <v>52.079000000000001</v>
      </c>
      <c r="AW17" s="1">
        <v>52.784999999999997</v>
      </c>
      <c r="AX17" s="1">
        <v>53.459000000000003</v>
      </c>
      <c r="AY17" s="1">
        <v>54.095999999999997</v>
      </c>
      <c r="AZ17" s="1">
        <v>54.7</v>
      </c>
      <c r="BA17" s="1">
        <v>55.287999999999997</v>
      </c>
      <c r="BB17" s="1">
        <v>55.878</v>
      </c>
      <c r="BC17" s="1">
        <v>56.482999999999997</v>
      </c>
      <c r="BD17" s="1">
        <v>57.098999999999997</v>
      </c>
      <c r="BE17" s="1">
        <v>57.713999999999999</v>
      </c>
      <c r="BF17" s="1">
        <v>58.311</v>
      </c>
    </row>
    <row r="18" spans="1:58" x14ac:dyDescent="0.25">
      <c r="A18" s="18" t="s">
        <v>28</v>
      </c>
      <c r="B18" s="1">
        <v>42.713999999999999</v>
      </c>
      <c r="C18" s="1">
        <v>43.384</v>
      </c>
      <c r="D18" s="1">
        <v>44.136000000000003</v>
      </c>
      <c r="E18" s="1">
        <v>44.993000000000002</v>
      </c>
      <c r="F18" s="1">
        <v>45.95</v>
      </c>
      <c r="G18" s="1">
        <v>46.966999999999999</v>
      </c>
      <c r="H18" s="1">
        <v>47.981999999999999</v>
      </c>
      <c r="I18" s="1">
        <v>48.927</v>
      </c>
      <c r="J18" s="1">
        <v>49.750999999999998</v>
      </c>
      <c r="K18" s="1">
        <v>50.436999999999998</v>
      </c>
      <c r="L18" s="1">
        <v>50.988999999999997</v>
      </c>
      <c r="M18" s="1">
        <v>51.433</v>
      </c>
      <c r="N18" s="1">
        <v>51.817999999999998</v>
      </c>
      <c r="O18" s="1">
        <v>52.189</v>
      </c>
      <c r="P18" s="1">
        <v>52.564</v>
      </c>
      <c r="Q18" s="1">
        <v>52.954000000000001</v>
      </c>
      <c r="R18" s="1">
        <v>53.360999999999997</v>
      </c>
      <c r="S18" s="1">
        <v>53.771999999999998</v>
      </c>
      <c r="T18" s="1">
        <v>54.179000000000002</v>
      </c>
      <c r="U18" s="1">
        <v>54.581000000000003</v>
      </c>
      <c r="V18" s="1">
        <v>54.978000000000002</v>
      </c>
      <c r="W18" s="1">
        <v>55.371000000000002</v>
      </c>
      <c r="X18" s="1">
        <v>55.761000000000003</v>
      </c>
      <c r="Y18" s="1">
        <v>56.145000000000003</v>
      </c>
      <c r="Z18" s="1">
        <v>56.526000000000003</v>
      </c>
      <c r="AA18" s="1">
        <v>56.904000000000003</v>
      </c>
      <c r="AB18" s="1">
        <v>57.277999999999999</v>
      </c>
      <c r="AC18" s="1">
        <v>57.65</v>
      </c>
      <c r="AD18" s="1">
        <v>58.018000000000001</v>
      </c>
      <c r="AE18" s="1">
        <v>58.383000000000003</v>
      </c>
      <c r="AF18" s="1">
        <v>58.743000000000002</v>
      </c>
      <c r="AG18" s="1">
        <v>59.098999999999997</v>
      </c>
      <c r="AH18" s="1">
        <v>59.448</v>
      </c>
      <c r="AI18" s="1">
        <v>59.790999999999997</v>
      </c>
      <c r="AJ18" s="1">
        <v>60.128</v>
      </c>
      <c r="AK18" s="1">
        <v>60.463000000000001</v>
      </c>
      <c r="AL18" s="1">
        <v>60.795999999999999</v>
      </c>
      <c r="AM18" s="1">
        <v>61.131</v>
      </c>
      <c r="AN18" s="1">
        <v>61.466999999999999</v>
      </c>
      <c r="AO18" s="1">
        <v>61.802</v>
      </c>
      <c r="AP18" s="1">
        <v>62.133000000000003</v>
      </c>
      <c r="AQ18" s="1">
        <v>62.451999999999998</v>
      </c>
      <c r="AR18" s="1">
        <v>62.756999999999998</v>
      </c>
      <c r="AS18" s="1">
        <v>63.045999999999999</v>
      </c>
      <c r="AT18" s="1">
        <v>63.323</v>
      </c>
      <c r="AU18" s="1">
        <v>63.597000000000001</v>
      </c>
      <c r="AV18" s="1">
        <v>63.88</v>
      </c>
      <c r="AW18" s="1">
        <v>64.180999999999997</v>
      </c>
      <c r="AX18" s="1">
        <v>64.501000000000005</v>
      </c>
      <c r="AY18" s="1">
        <v>64.837999999999994</v>
      </c>
      <c r="AZ18" s="1">
        <v>65.177999999999997</v>
      </c>
      <c r="BA18" s="1">
        <v>65.506</v>
      </c>
      <c r="BB18" s="1">
        <v>65.805000000000007</v>
      </c>
      <c r="BC18" s="1">
        <v>66.066000000000003</v>
      </c>
      <c r="BD18" s="1">
        <v>66.284999999999997</v>
      </c>
      <c r="BE18" s="1">
        <v>66.463999999999999</v>
      </c>
      <c r="BF18" s="1">
        <v>66.611999999999995</v>
      </c>
    </row>
    <row r="19" spans="1:58" x14ac:dyDescent="0.25">
      <c r="A19" s="18" t="s">
        <v>29</v>
      </c>
      <c r="B19" s="1">
        <v>35.197000000000003</v>
      </c>
      <c r="C19" s="1">
        <v>35.561</v>
      </c>
      <c r="D19" s="1">
        <v>35.981000000000002</v>
      </c>
      <c r="E19" s="1">
        <v>36.454999999999998</v>
      </c>
      <c r="F19" s="1">
        <v>36.975999999999999</v>
      </c>
      <c r="G19" s="1">
        <v>37.536999999999999</v>
      </c>
      <c r="H19" s="1">
        <v>38.125</v>
      </c>
      <c r="I19" s="1">
        <v>38.728999999999999</v>
      </c>
      <c r="J19" s="1">
        <v>39.338999999999999</v>
      </c>
      <c r="K19" s="1">
        <v>39.945999999999998</v>
      </c>
      <c r="L19" s="1">
        <v>40.543999999999997</v>
      </c>
      <c r="M19" s="1">
        <v>41.128999999999998</v>
      </c>
      <c r="N19" s="1">
        <v>41.706000000000003</v>
      </c>
      <c r="O19" s="1">
        <v>42.28</v>
      </c>
      <c r="P19" s="1">
        <v>42.854999999999997</v>
      </c>
      <c r="Q19" s="1">
        <v>43.433999999999997</v>
      </c>
      <c r="R19" s="1">
        <v>44.023000000000003</v>
      </c>
      <c r="S19" s="1">
        <v>44.627000000000002</v>
      </c>
      <c r="T19" s="1">
        <v>45.25</v>
      </c>
      <c r="U19" s="1">
        <v>45.895000000000003</v>
      </c>
      <c r="V19" s="1">
        <v>46.561999999999998</v>
      </c>
      <c r="W19" s="1">
        <v>47.249000000000002</v>
      </c>
      <c r="X19" s="1">
        <v>47.954000000000001</v>
      </c>
      <c r="Y19" s="1">
        <v>48.673000000000002</v>
      </c>
      <c r="Z19" s="1">
        <v>49.408000000000001</v>
      </c>
      <c r="AA19" s="1">
        <v>50.161999999999999</v>
      </c>
      <c r="AB19" s="1">
        <v>50.938000000000002</v>
      </c>
      <c r="AC19" s="1">
        <v>51.738</v>
      </c>
      <c r="AD19" s="1">
        <v>52.561</v>
      </c>
      <c r="AE19" s="1">
        <v>53.402999999999999</v>
      </c>
      <c r="AF19" s="1">
        <v>54.26</v>
      </c>
      <c r="AG19" s="1">
        <v>55.125</v>
      </c>
      <c r="AH19" s="1">
        <v>55.991999999999997</v>
      </c>
      <c r="AI19" s="1">
        <v>56.851999999999997</v>
      </c>
      <c r="AJ19" s="1">
        <v>57.698999999999998</v>
      </c>
      <c r="AK19" s="1">
        <v>58.529000000000003</v>
      </c>
      <c r="AL19" s="1">
        <v>59.341000000000001</v>
      </c>
      <c r="AM19" s="1">
        <v>60.134</v>
      </c>
      <c r="AN19" s="1">
        <v>60.908999999999999</v>
      </c>
      <c r="AO19" s="1">
        <v>61.661000000000001</v>
      </c>
      <c r="AP19" s="1">
        <v>62.386000000000003</v>
      </c>
      <c r="AQ19" s="1">
        <v>63.082000000000001</v>
      </c>
      <c r="AR19" s="1">
        <v>63.744999999999997</v>
      </c>
      <c r="AS19" s="1">
        <v>64.376000000000005</v>
      </c>
      <c r="AT19" s="1">
        <v>64.972999999999999</v>
      </c>
      <c r="AU19" s="1">
        <v>65.537000000000006</v>
      </c>
      <c r="AV19" s="1">
        <v>66.066000000000003</v>
      </c>
      <c r="AW19" s="1">
        <v>66.564999999999998</v>
      </c>
      <c r="AX19" s="1">
        <v>67.036000000000001</v>
      </c>
      <c r="AY19" s="1">
        <v>67.483999999999995</v>
      </c>
      <c r="AZ19" s="1">
        <v>67.914000000000001</v>
      </c>
      <c r="BA19" s="1">
        <v>68.328999999999994</v>
      </c>
      <c r="BB19" s="1">
        <v>68.731999999999999</v>
      </c>
      <c r="BC19" s="1">
        <v>69.126000000000005</v>
      </c>
      <c r="BD19" s="1">
        <v>69.510999999999996</v>
      </c>
      <c r="BE19" s="1">
        <v>69.887</v>
      </c>
      <c r="BF19" s="1">
        <v>70.253</v>
      </c>
    </row>
    <row r="20" spans="1:58" x14ac:dyDescent="0.25">
      <c r="A20" s="18" t="s">
        <v>30</v>
      </c>
      <c r="B20" s="1">
        <v>47.03</v>
      </c>
      <c r="C20" s="1">
        <v>47.677</v>
      </c>
      <c r="D20" s="1">
        <v>48.329000000000001</v>
      </c>
      <c r="E20" s="1">
        <v>48.984000000000002</v>
      </c>
      <c r="F20" s="1">
        <v>49.642000000000003</v>
      </c>
      <c r="G20" s="1">
        <v>50.305999999999997</v>
      </c>
      <c r="H20" s="1">
        <v>50.978000000000002</v>
      </c>
      <c r="I20" s="1">
        <v>51.656999999999996</v>
      </c>
      <c r="J20" s="1">
        <v>52.338999999999999</v>
      </c>
      <c r="K20" s="1">
        <v>53.018999999999998</v>
      </c>
      <c r="L20" s="1">
        <v>53.685000000000002</v>
      </c>
      <c r="M20" s="1">
        <v>54.328000000000003</v>
      </c>
      <c r="N20" s="1">
        <v>54.941000000000003</v>
      </c>
      <c r="O20" s="1">
        <v>55.517000000000003</v>
      </c>
      <c r="P20" s="1">
        <v>56.052999999999997</v>
      </c>
      <c r="Q20" s="1">
        <v>56.545000000000002</v>
      </c>
      <c r="R20" s="1">
        <v>56.991</v>
      </c>
      <c r="S20" s="1">
        <v>57.398000000000003</v>
      </c>
      <c r="T20" s="1">
        <v>57.779000000000003</v>
      </c>
      <c r="U20" s="1">
        <v>58.146000000000001</v>
      </c>
      <c r="V20" s="1">
        <v>58.509</v>
      </c>
      <c r="W20" s="1">
        <v>58.88</v>
      </c>
      <c r="X20" s="1">
        <v>59.271000000000001</v>
      </c>
      <c r="Y20" s="1">
        <v>59.691000000000003</v>
      </c>
      <c r="Z20" s="1">
        <v>60.151000000000003</v>
      </c>
      <c r="AA20" s="1">
        <v>60.67</v>
      </c>
      <c r="AB20" s="1">
        <v>61.261000000000003</v>
      </c>
      <c r="AC20" s="1">
        <v>61.92</v>
      </c>
      <c r="AD20" s="1">
        <v>62.637</v>
      </c>
      <c r="AE20" s="1">
        <v>63.396000000000001</v>
      </c>
      <c r="AF20" s="1">
        <v>64.168999999999997</v>
      </c>
      <c r="AG20" s="1">
        <v>64.927000000000007</v>
      </c>
      <c r="AH20" s="1">
        <v>65.641999999999996</v>
      </c>
      <c r="AI20" s="1">
        <v>66.296999999999997</v>
      </c>
      <c r="AJ20" s="1">
        <v>66.885999999999996</v>
      </c>
      <c r="AK20" s="1">
        <v>67.411000000000001</v>
      </c>
      <c r="AL20" s="1">
        <v>67.891000000000005</v>
      </c>
      <c r="AM20" s="1">
        <v>68.349000000000004</v>
      </c>
      <c r="AN20" s="1">
        <v>68.808000000000007</v>
      </c>
      <c r="AO20" s="1">
        <v>69.272000000000006</v>
      </c>
      <c r="AP20" s="1">
        <v>69.742000000000004</v>
      </c>
      <c r="AQ20" s="1">
        <v>70.213999999999999</v>
      </c>
      <c r="AR20" s="1">
        <v>70.674999999999997</v>
      </c>
      <c r="AS20" s="1">
        <v>71.117000000000004</v>
      </c>
      <c r="AT20" s="1">
        <v>71.537000000000006</v>
      </c>
      <c r="AU20" s="1">
        <v>71.935000000000002</v>
      </c>
      <c r="AV20" s="1">
        <v>72.313000000000002</v>
      </c>
      <c r="AW20" s="1">
        <v>72.677000000000007</v>
      </c>
      <c r="AX20" s="1">
        <v>73.028000000000006</v>
      </c>
      <c r="AY20" s="1">
        <v>73.369</v>
      </c>
      <c r="AZ20" s="1">
        <v>73.698999999999998</v>
      </c>
      <c r="BA20" s="1">
        <v>74.016000000000005</v>
      </c>
      <c r="BB20" s="1">
        <v>74.319000000000003</v>
      </c>
      <c r="BC20" s="1">
        <v>74.608000000000004</v>
      </c>
      <c r="BD20" s="1">
        <v>74.884</v>
      </c>
      <c r="BE20" s="1">
        <v>75.149000000000001</v>
      </c>
      <c r="BF20" s="1">
        <v>75.403999999999996</v>
      </c>
    </row>
    <row r="21" spans="1:58" x14ac:dyDescent="0.25">
      <c r="A21" s="18" t="s">
        <v>31</v>
      </c>
      <c r="B21" s="1">
        <v>35.045000000000002</v>
      </c>
      <c r="C21" s="1">
        <v>35.131</v>
      </c>
      <c r="D21" s="1">
        <v>35.212000000000003</v>
      </c>
      <c r="E21" s="1">
        <v>35.287999999999997</v>
      </c>
      <c r="F21" s="1">
        <v>35.359000000000002</v>
      </c>
      <c r="G21" s="1">
        <v>35.427999999999997</v>
      </c>
      <c r="H21" s="1">
        <v>35.496000000000002</v>
      </c>
      <c r="I21" s="1">
        <v>35.570999999999998</v>
      </c>
      <c r="J21" s="1">
        <v>35.656999999999996</v>
      </c>
      <c r="K21" s="1">
        <v>35.76</v>
      </c>
      <c r="L21" s="1">
        <v>35.884</v>
      </c>
      <c r="M21" s="1">
        <v>36.031999999999996</v>
      </c>
      <c r="N21" s="1">
        <v>36.204000000000001</v>
      </c>
      <c r="O21" s="1">
        <v>36.402999999999999</v>
      </c>
      <c r="P21" s="1">
        <v>36.634</v>
      </c>
      <c r="Q21" s="1">
        <v>36.905000000000001</v>
      </c>
      <c r="R21" s="1">
        <v>37.226999999999997</v>
      </c>
      <c r="S21" s="1">
        <v>37.6</v>
      </c>
      <c r="T21" s="1">
        <v>38.020000000000003</v>
      </c>
      <c r="U21" s="1">
        <v>38.479999999999997</v>
      </c>
      <c r="V21" s="1">
        <v>38.962000000000003</v>
      </c>
      <c r="W21" s="1">
        <v>39.450000000000003</v>
      </c>
      <c r="X21" s="1">
        <v>39.927</v>
      </c>
      <c r="Y21" s="1">
        <v>40.384999999999998</v>
      </c>
      <c r="Z21" s="1">
        <v>40.820999999999998</v>
      </c>
      <c r="AA21" s="1">
        <v>41.24</v>
      </c>
      <c r="AB21" s="1">
        <v>41.654000000000003</v>
      </c>
      <c r="AC21" s="1">
        <v>42.079000000000001</v>
      </c>
      <c r="AD21" s="1">
        <v>42.530999999999999</v>
      </c>
      <c r="AE21" s="1">
        <v>43.015000000000001</v>
      </c>
      <c r="AF21" s="1">
        <v>43.54</v>
      </c>
      <c r="AG21" s="1">
        <v>44.107999999999997</v>
      </c>
      <c r="AH21" s="1">
        <v>44.710999999999999</v>
      </c>
      <c r="AI21" s="1">
        <v>45.343000000000004</v>
      </c>
      <c r="AJ21" s="1">
        <v>45.996000000000002</v>
      </c>
      <c r="AK21" s="1">
        <v>46.658999999999999</v>
      </c>
      <c r="AL21" s="1">
        <v>47.323</v>
      </c>
      <c r="AM21" s="1">
        <v>47.978999999999999</v>
      </c>
      <c r="AN21" s="1">
        <v>48.622</v>
      </c>
      <c r="AO21" s="1">
        <v>49.253</v>
      </c>
      <c r="AP21" s="1">
        <v>49.874000000000002</v>
      </c>
      <c r="AQ21" s="1">
        <v>50.494</v>
      </c>
      <c r="AR21" s="1">
        <v>51.122999999999998</v>
      </c>
      <c r="AS21" s="1">
        <v>51.77</v>
      </c>
      <c r="AT21" s="1">
        <v>52.436</v>
      </c>
      <c r="AU21" s="1">
        <v>53.127000000000002</v>
      </c>
      <c r="AV21" s="1">
        <v>53.848999999999997</v>
      </c>
      <c r="AW21" s="1">
        <v>54.593000000000004</v>
      </c>
      <c r="AX21" s="1">
        <v>55.35</v>
      </c>
      <c r="AY21" s="1">
        <v>56.104999999999997</v>
      </c>
      <c r="AZ21" s="1">
        <v>56.838000000000001</v>
      </c>
      <c r="BA21" s="1">
        <v>57.527999999999999</v>
      </c>
      <c r="BB21" s="1">
        <v>58.16</v>
      </c>
      <c r="BC21" s="1">
        <v>58.726999999999997</v>
      </c>
      <c r="BD21" s="1">
        <v>59.228000000000002</v>
      </c>
      <c r="BE21" s="1">
        <v>59.667000000000002</v>
      </c>
      <c r="BF21" s="1">
        <v>60.058</v>
      </c>
    </row>
    <row r="22" spans="1:58" x14ac:dyDescent="0.25">
      <c r="A22" s="18" t="s">
        <v>32</v>
      </c>
      <c r="B22" s="1">
        <v>42.292000000000002</v>
      </c>
      <c r="C22" s="1">
        <v>42.591999999999999</v>
      </c>
      <c r="D22" s="1">
        <v>42.883000000000003</v>
      </c>
      <c r="E22" s="1">
        <v>43.16</v>
      </c>
      <c r="F22" s="1">
        <v>43.417999999999999</v>
      </c>
      <c r="G22" s="1">
        <v>43.65</v>
      </c>
      <c r="H22" s="1">
        <v>43.847000000000001</v>
      </c>
      <c r="I22" s="1">
        <v>44.009</v>
      </c>
      <c r="J22" s="1">
        <v>44.140999999999998</v>
      </c>
      <c r="K22" s="1">
        <v>44.249000000000002</v>
      </c>
      <c r="L22" s="1">
        <v>44.338000000000001</v>
      </c>
      <c r="M22" s="1">
        <v>44.411999999999999</v>
      </c>
      <c r="N22" s="1">
        <v>44.484999999999999</v>
      </c>
      <c r="O22" s="1">
        <v>44.576999999999998</v>
      </c>
      <c r="P22" s="1">
        <v>44.709000000000003</v>
      </c>
      <c r="Q22" s="1">
        <v>44.932000000000002</v>
      </c>
      <c r="R22" s="1">
        <v>45.3</v>
      </c>
      <c r="S22" s="1">
        <v>45.823999999999998</v>
      </c>
      <c r="T22" s="1">
        <v>46.484999999999999</v>
      </c>
      <c r="U22" s="1">
        <v>47.241</v>
      </c>
      <c r="V22" s="1">
        <v>48.085000000000001</v>
      </c>
      <c r="W22" s="1">
        <v>49.012999999999998</v>
      </c>
      <c r="X22" s="1">
        <v>49.933999999999997</v>
      </c>
      <c r="Y22" s="1">
        <v>50.707999999999998</v>
      </c>
      <c r="Z22" s="1">
        <v>51.177</v>
      </c>
      <c r="AA22" s="1">
        <v>50.948</v>
      </c>
      <c r="AB22" s="1">
        <v>49.579000000000001</v>
      </c>
      <c r="AC22" s="1">
        <v>46.969000000000001</v>
      </c>
      <c r="AD22" s="1">
        <v>43.264000000000003</v>
      </c>
      <c r="AE22" s="1">
        <v>38.781999999999996</v>
      </c>
      <c r="AF22" s="1">
        <v>34.216999999999999</v>
      </c>
      <c r="AG22" s="1">
        <v>30.434000000000001</v>
      </c>
      <c r="AH22" s="1">
        <v>28.102</v>
      </c>
      <c r="AI22" s="1">
        <v>27.61</v>
      </c>
      <c r="AJ22" s="1">
        <v>29.003</v>
      </c>
      <c r="AK22" s="1">
        <v>31.977</v>
      </c>
      <c r="AL22" s="1">
        <v>35.923000000000002</v>
      </c>
      <c r="AM22" s="1">
        <v>40.012999999999998</v>
      </c>
      <c r="AN22" s="1">
        <v>43.595999999999997</v>
      </c>
      <c r="AO22" s="1">
        <v>46.411999999999999</v>
      </c>
      <c r="AP22" s="1">
        <v>48.414999999999999</v>
      </c>
      <c r="AQ22" s="1">
        <v>49.792999999999999</v>
      </c>
      <c r="AR22" s="1">
        <v>50.97</v>
      </c>
      <c r="AS22" s="1">
        <v>52.268000000000001</v>
      </c>
      <c r="AT22" s="1">
        <v>53.755000000000003</v>
      </c>
      <c r="AU22" s="1">
        <v>55.43</v>
      </c>
      <c r="AV22" s="1">
        <v>57.219000000000001</v>
      </c>
      <c r="AW22" s="1">
        <v>58.970999999999997</v>
      </c>
      <c r="AX22" s="1">
        <v>60.564999999999998</v>
      </c>
      <c r="AY22" s="1">
        <v>61.962000000000003</v>
      </c>
      <c r="AZ22" s="1">
        <v>63.14</v>
      </c>
      <c r="BA22" s="1">
        <v>64.105999999999995</v>
      </c>
      <c r="BB22" s="1">
        <v>64.911000000000001</v>
      </c>
      <c r="BC22" s="1">
        <v>65.597999999999999</v>
      </c>
      <c r="BD22" s="1">
        <v>66.188000000000002</v>
      </c>
      <c r="BE22" s="1">
        <v>66.695999999999998</v>
      </c>
      <c r="BF22" s="1">
        <v>67.129000000000005</v>
      </c>
    </row>
    <row r="23" spans="1:58" x14ac:dyDescent="0.25">
      <c r="A23" s="18" t="s">
        <v>33</v>
      </c>
      <c r="B23" s="1">
        <v>50.363999999999997</v>
      </c>
      <c r="C23" s="1">
        <v>50.944000000000003</v>
      </c>
      <c r="D23" s="1">
        <v>51.512</v>
      </c>
      <c r="E23" s="1">
        <v>52.063000000000002</v>
      </c>
      <c r="F23" s="1">
        <v>52.597000000000001</v>
      </c>
      <c r="G23" s="1">
        <v>53.118000000000002</v>
      </c>
      <c r="H23" s="1">
        <v>53.637999999999998</v>
      </c>
      <c r="I23" s="1">
        <v>54.164999999999999</v>
      </c>
      <c r="J23" s="1">
        <v>54.709000000000003</v>
      </c>
      <c r="K23" s="1">
        <v>55.271999999999998</v>
      </c>
      <c r="L23" s="1">
        <v>55.859000000000002</v>
      </c>
      <c r="M23" s="1">
        <v>56.475999999999999</v>
      </c>
      <c r="N23" s="1">
        <v>57.113999999999997</v>
      </c>
      <c r="O23" s="1">
        <v>57.758000000000003</v>
      </c>
      <c r="P23" s="1">
        <v>58.389000000000003</v>
      </c>
      <c r="Q23" s="1">
        <v>58.976999999999997</v>
      </c>
      <c r="R23" s="1">
        <v>59.487000000000002</v>
      </c>
      <c r="S23" s="1">
        <v>59.902000000000001</v>
      </c>
      <c r="T23" s="1">
        <v>60.213000000000001</v>
      </c>
      <c r="U23" s="1">
        <v>60.424999999999997</v>
      </c>
      <c r="V23" s="1">
        <v>60.554000000000002</v>
      </c>
      <c r="W23" s="1">
        <v>60.628</v>
      </c>
      <c r="X23" s="1">
        <v>60.683</v>
      </c>
      <c r="Y23" s="1">
        <v>60.75</v>
      </c>
      <c r="Z23" s="1">
        <v>60.841999999999999</v>
      </c>
      <c r="AA23" s="1">
        <v>60.969000000000001</v>
      </c>
      <c r="AB23" s="1">
        <v>61.125999999999998</v>
      </c>
      <c r="AC23" s="1">
        <v>61.296999999999997</v>
      </c>
      <c r="AD23" s="1">
        <v>61.47</v>
      </c>
      <c r="AE23" s="1">
        <v>61.640999999999998</v>
      </c>
      <c r="AF23" s="1">
        <v>61.808</v>
      </c>
      <c r="AG23" s="1">
        <v>61.972000000000001</v>
      </c>
      <c r="AH23" s="1">
        <v>62.133000000000003</v>
      </c>
      <c r="AI23" s="1">
        <v>62.293999999999997</v>
      </c>
      <c r="AJ23" s="1">
        <v>62.454000000000001</v>
      </c>
      <c r="AK23" s="1">
        <v>62.610999999999997</v>
      </c>
      <c r="AL23" s="1">
        <v>62.76</v>
      </c>
      <c r="AM23" s="1">
        <v>62.902000000000001</v>
      </c>
      <c r="AN23" s="1">
        <v>63.040999999999997</v>
      </c>
      <c r="AO23" s="1">
        <v>63.180999999999997</v>
      </c>
      <c r="AP23" s="1">
        <v>63.338000000000001</v>
      </c>
      <c r="AQ23" s="1">
        <v>63.526000000000003</v>
      </c>
      <c r="AR23" s="1">
        <v>63.753999999999998</v>
      </c>
      <c r="AS23" s="1">
        <v>64.021000000000001</v>
      </c>
      <c r="AT23" s="1">
        <v>64.322000000000003</v>
      </c>
      <c r="AU23" s="1">
        <v>64.641000000000005</v>
      </c>
      <c r="AV23" s="1">
        <v>64.956000000000003</v>
      </c>
      <c r="AW23" s="1">
        <v>65.248000000000005</v>
      </c>
      <c r="AX23" s="1">
        <v>65.5</v>
      </c>
      <c r="AY23" s="1">
        <v>65.709000000000003</v>
      </c>
      <c r="AZ23" s="1">
        <v>65.875</v>
      </c>
      <c r="BA23" s="1">
        <v>66.007999999999996</v>
      </c>
      <c r="BB23" s="1">
        <v>66.125</v>
      </c>
      <c r="BC23" s="1">
        <v>66.241</v>
      </c>
      <c r="BD23" s="1">
        <v>66.361000000000004</v>
      </c>
      <c r="BE23" s="1">
        <v>66.488</v>
      </c>
      <c r="BF23" s="1">
        <v>66.623999999999995</v>
      </c>
    </row>
    <row r="24" spans="1:58" x14ac:dyDescent="0.25">
      <c r="A24" s="18" t="s">
        <v>34</v>
      </c>
      <c r="B24" s="1">
        <v>59.369</v>
      </c>
      <c r="C24" s="1">
        <v>59.768999999999998</v>
      </c>
      <c r="D24" s="1">
        <v>60.177</v>
      </c>
      <c r="E24" s="1">
        <v>60.610999999999997</v>
      </c>
      <c r="F24" s="1">
        <v>61.078000000000003</v>
      </c>
      <c r="G24" s="1">
        <v>61.579000000000001</v>
      </c>
      <c r="H24" s="1">
        <v>62.103999999999999</v>
      </c>
      <c r="I24" s="1">
        <v>62.631</v>
      </c>
      <c r="J24" s="1">
        <v>63.143999999999998</v>
      </c>
      <c r="K24" s="1">
        <v>63.634</v>
      </c>
      <c r="L24" s="1">
        <v>64.096999999999994</v>
      </c>
      <c r="M24" s="1">
        <v>64.528000000000006</v>
      </c>
      <c r="N24" s="1">
        <v>64.933999999999997</v>
      </c>
      <c r="O24" s="1">
        <v>65.320999999999998</v>
      </c>
      <c r="P24" s="1">
        <v>65.694000000000003</v>
      </c>
      <c r="Q24" s="1">
        <v>66.066999999999993</v>
      </c>
      <c r="R24" s="1">
        <v>66.459000000000003</v>
      </c>
      <c r="S24" s="1">
        <v>66.873999999999995</v>
      </c>
      <c r="T24" s="1">
        <v>67.308000000000007</v>
      </c>
      <c r="U24" s="1">
        <v>67.751000000000005</v>
      </c>
      <c r="V24" s="1">
        <v>68.171000000000006</v>
      </c>
      <c r="W24" s="1">
        <v>68.528999999999996</v>
      </c>
      <c r="X24" s="1">
        <v>68.801000000000002</v>
      </c>
      <c r="Y24" s="1">
        <v>68.974999999999994</v>
      </c>
      <c r="Z24" s="1">
        <v>69.058000000000007</v>
      </c>
      <c r="AA24" s="1">
        <v>69.078999999999994</v>
      </c>
      <c r="AB24" s="1">
        <v>69.085999999999999</v>
      </c>
      <c r="AC24" s="1">
        <v>69.120999999999995</v>
      </c>
      <c r="AD24" s="1">
        <v>69.209000000000003</v>
      </c>
      <c r="AE24" s="1">
        <v>69.350999999999999</v>
      </c>
      <c r="AF24" s="1">
        <v>69.510999999999996</v>
      </c>
      <c r="AG24" s="1">
        <v>69.628</v>
      </c>
      <c r="AH24" s="1">
        <v>69.66</v>
      </c>
      <c r="AI24" s="1">
        <v>69.593000000000004</v>
      </c>
      <c r="AJ24" s="1">
        <v>69.451999999999998</v>
      </c>
      <c r="AK24" s="1">
        <v>69.31</v>
      </c>
      <c r="AL24" s="1">
        <v>69.266999999999996</v>
      </c>
      <c r="AM24" s="1">
        <v>69.399000000000001</v>
      </c>
      <c r="AN24" s="1">
        <v>69.744</v>
      </c>
      <c r="AO24" s="1">
        <v>70.296000000000006</v>
      </c>
      <c r="AP24" s="1">
        <v>71.001999999999995</v>
      </c>
      <c r="AQ24" s="1">
        <v>71.775000000000006</v>
      </c>
      <c r="AR24" s="1">
        <v>72.510999999999996</v>
      </c>
      <c r="AS24" s="1">
        <v>73.128</v>
      </c>
      <c r="AT24" s="1">
        <v>73.593000000000004</v>
      </c>
      <c r="AU24" s="1">
        <v>73.896000000000001</v>
      </c>
      <c r="AV24" s="1">
        <v>74.058999999999997</v>
      </c>
      <c r="AW24" s="1">
        <v>74.144000000000005</v>
      </c>
      <c r="AX24" s="1">
        <v>74.206999999999994</v>
      </c>
      <c r="AY24" s="1">
        <v>74.27</v>
      </c>
      <c r="AZ24" s="1">
        <v>74.352000000000004</v>
      </c>
      <c r="BA24" s="1">
        <v>74.462000000000003</v>
      </c>
      <c r="BB24" s="1">
        <v>74.593000000000004</v>
      </c>
      <c r="BC24" s="1">
        <v>74.741</v>
      </c>
      <c r="BD24" s="1">
        <v>74.906000000000006</v>
      </c>
      <c r="BE24" s="1">
        <v>75.087999999999994</v>
      </c>
      <c r="BF24" s="1">
        <v>75.284000000000006</v>
      </c>
    </row>
    <row r="25" spans="1:58" x14ac:dyDescent="0.25">
      <c r="A25" s="18" t="s">
        <v>35</v>
      </c>
      <c r="B25" s="1">
        <v>56.152000000000001</v>
      </c>
      <c r="C25" s="1">
        <v>56.572000000000003</v>
      </c>
      <c r="D25" s="1">
        <v>56.994999999999997</v>
      </c>
      <c r="E25" s="1">
        <v>57.418999999999997</v>
      </c>
      <c r="F25" s="1">
        <v>57.843000000000004</v>
      </c>
      <c r="G25" s="1">
        <v>58.261000000000003</v>
      </c>
      <c r="H25" s="1">
        <v>58.667000000000002</v>
      </c>
      <c r="I25" s="1">
        <v>59.058999999999997</v>
      </c>
      <c r="J25" s="1">
        <v>59.432000000000002</v>
      </c>
      <c r="K25" s="1">
        <v>59.783999999999999</v>
      </c>
      <c r="L25" s="1">
        <v>60.113999999999997</v>
      </c>
      <c r="M25" s="1">
        <v>60.421999999999997</v>
      </c>
      <c r="N25" s="1">
        <v>60.710999999999999</v>
      </c>
      <c r="O25" s="1">
        <v>60.985999999999997</v>
      </c>
      <c r="P25" s="1">
        <v>61.247</v>
      </c>
      <c r="Q25" s="1">
        <v>61.499000000000002</v>
      </c>
      <c r="R25" s="1">
        <v>61.743000000000002</v>
      </c>
      <c r="S25" s="1">
        <v>61.981999999999999</v>
      </c>
      <c r="T25" s="1">
        <v>62.216000000000001</v>
      </c>
      <c r="U25" s="1">
        <v>62.445</v>
      </c>
      <c r="V25" s="1">
        <v>62.679000000000002</v>
      </c>
      <c r="W25" s="1">
        <v>62.926000000000002</v>
      </c>
      <c r="X25" s="1">
        <v>63.183999999999997</v>
      </c>
      <c r="Y25" s="1">
        <v>63.442</v>
      </c>
      <c r="Z25" s="1">
        <v>63.683999999999997</v>
      </c>
      <c r="AA25" s="1">
        <v>63.869</v>
      </c>
      <c r="AB25" s="1">
        <v>63.945999999999998</v>
      </c>
      <c r="AC25" s="1">
        <v>63.896000000000001</v>
      </c>
      <c r="AD25" s="1">
        <v>63.723999999999997</v>
      </c>
      <c r="AE25" s="1">
        <v>63.454999999999998</v>
      </c>
      <c r="AF25" s="1">
        <v>63.149000000000001</v>
      </c>
      <c r="AG25" s="1">
        <v>62.88</v>
      </c>
      <c r="AH25" s="1">
        <v>62.719000000000001</v>
      </c>
      <c r="AI25" s="1">
        <v>62.71</v>
      </c>
      <c r="AJ25" s="1">
        <v>62.869</v>
      </c>
      <c r="AK25" s="1">
        <v>63.185000000000002</v>
      </c>
      <c r="AL25" s="1">
        <v>63.618000000000002</v>
      </c>
      <c r="AM25" s="1">
        <v>64.105000000000004</v>
      </c>
      <c r="AN25" s="1">
        <v>64.590999999999994</v>
      </c>
      <c r="AO25" s="1">
        <v>65.052999999999997</v>
      </c>
      <c r="AP25" s="1">
        <v>65.484999999999999</v>
      </c>
      <c r="AQ25" s="1">
        <v>65.894000000000005</v>
      </c>
      <c r="AR25" s="1">
        <v>66.302999999999997</v>
      </c>
      <c r="AS25" s="1">
        <v>66.727000000000004</v>
      </c>
      <c r="AT25" s="1">
        <v>67.162999999999997</v>
      </c>
      <c r="AU25" s="1">
        <v>67.606999999999999</v>
      </c>
      <c r="AV25" s="1">
        <v>68.052000000000007</v>
      </c>
      <c r="AW25" s="1">
        <v>68.486999999999995</v>
      </c>
      <c r="AX25" s="1">
        <v>68.902000000000001</v>
      </c>
      <c r="AY25" s="1">
        <v>69.290000000000006</v>
      </c>
      <c r="AZ25" s="1">
        <v>69.644000000000005</v>
      </c>
      <c r="BA25" s="1">
        <v>69.957999999999998</v>
      </c>
      <c r="BB25" s="1">
        <v>70.233999999999995</v>
      </c>
      <c r="BC25" s="1">
        <v>70.477000000000004</v>
      </c>
      <c r="BD25" s="1">
        <v>70.69</v>
      </c>
      <c r="BE25" s="1">
        <v>70.879000000000005</v>
      </c>
      <c r="BF25" s="1">
        <v>71.051000000000002</v>
      </c>
    </row>
    <row r="26" spans="1:58" x14ac:dyDescent="0.25">
      <c r="A26" s="18" t="s">
        <v>36</v>
      </c>
      <c r="B26" s="1">
        <v>43.686</v>
      </c>
      <c r="C26" s="1">
        <v>43.94</v>
      </c>
      <c r="D26" s="1">
        <v>44.195</v>
      </c>
      <c r="E26" s="1">
        <v>44.456000000000003</v>
      </c>
      <c r="F26" s="1">
        <v>44.731000000000002</v>
      </c>
      <c r="G26" s="1">
        <v>45.021999999999998</v>
      </c>
      <c r="H26" s="1">
        <v>45.33</v>
      </c>
      <c r="I26" s="1">
        <v>45.654000000000003</v>
      </c>
      <c r="J26" s="1">
        <v>45.993000000000002</v>
      </c>
      <c r="K26" s="1">
        <v>46.344999999999999</v>
      </c>
      <c r="L26" s="1">
        <v>46.718000000000004</v>
      </c>
      <c r="M26" s="1">
        <v>47.119</v>
      </c>
      <c r="N26" s="1">
        <v>47.545999999999999</v>
      </c>
      <c r="O26" s="1">
        <v>47.991999999999997</v>
      </c>
      <c r="P26" s="1">
        <v>48.447000000000003</v>
      </c>
      <c r="Q26" s="1">
        <v>48.890999999999998</v>
      </c>
      <c r="R26" s="1">
        <v>49.305999999999997</v>
      </c>
      <c r="S26" s="1">
        <v>49.674999999999997</v>
      </c>
      <c r="T26" s="1">
        <v>49.987000000000002</v>
      </c>
      <c r="U26" s="1">
        <v>50.237000000000002</v>
      </c>
      <c r="V26" s="1">
        <v>50.429000000000002</v>
      </c>
      <c r="W26" s="1">
        <v>50.576000000000001</v>
      </c>
      <c r="X26" s="1">
        <v>50.692</v>
      </c>
      <c r="Y26" s="1">
        <v>50.787999999999997</v>
      </c>
      <c r="Z26" s="1">
        <v>50.863</v>
      </c>
      <c r="AA26" s="1">
        <v>50.904000000000003</v>
      </c>
      <c r="AB26" s="1">
        <v>50.887999999999998</v>
      </c>
      <c r="AC26" s="1">
        <v>50.802999999999997</v>
      </c>
      <c r="AD26" s="1">
        <v>50.651000000000003</v>
      </c>
      <c r="AE26" s="1">
        <v>50.447000000000003</v>
      </c>
      <c r="AF26" s="1">
        <v>50.206000000000003</v>
      </c>
      <c r="AG26" s="1">
        <v>49.953000000000003</v>
      </c>
      <c r="AH26" s="1">
        <v>49.719000000000001</v>
      </c>
      <c r="AI26" s="1">
        <v>49.54</v>
      </c>
      <c r="AJ26" s="1">
        <v>49.444000000000003</v>
      </c>
      <c r="AK26" s="1">
        <v>49.46</v>
      </c>
      <c r="AL26" s="1">
        <v>49.609000000000002</v>
      </c>
      <c r="AM26" s="1">
        <v>49.889000000000003</v>
      </c>
      <c r="AN26" s="1">
        <v>50.296999999999997</v>
      </c>
      <c r="AO26" s="1">
        <v>50.831000000000003</v>
      </c>
      <c r="AP26" s="1">
        <v>51.493000000000002</v>
      </c>
      <c r="AQ26" s="1">
        <v>52.280999999999999</v>
      </c>
      <c r="AR26" s="1">
        <v>53.173000000000002</v>
      </c>
      <c r="AS26" s="1">
        <v>54.142000000000003</v>
      </c>
      <c r="AT26" s="1">
        <v>55.161000000000001</v>
      </c>
      <c r="AU26" s="1">
        <v>56.195999999999998</v>
      </c>
      <c r="AV26" s="1">
        <v>57.218000000000004</v>
      </c>
      <c r="AW26" s="1">
        <v>58.209000000000003</v>
      </c>
      <c r="AX26" s="1">
        <v>59.155999999999999</v>
      </c>
      <c r="AY26" s="1">
        <v>60.048000000000002</v>
      </c>
      <c r="AZ26" s="1">
        <v>60.893000000000001</v>
      </c>
      <c r="BA26" s="1">
        <v>61.713000000000001</v>
      </c>
      <c r="BB26" s="1">
        <v>62.527999999999999</v>
      </c>
      <c r="BC26" s="1">
        <v>63.347999999999999</v>
      </c>
      <c r="BD26" s="1">
        <v>64.162999999999997</v>
      </c>
      <c r="BE26" s="1">
        <v>64.95</v>
      </c>
      <c r="BF26" s="1">
        <v>65.674999999999997</v>
      </c>
    </row>
    <row r="27" spans="1:58" x14ac:dyDescent="0.25">
      <c r="A27" s="18" t="s">
        <v>37</v>
      </c>
      <c r="B27" s="1">
        <v>43.991</v>
      </c>
      <c r="C27" s="1">
        <v>44.567999999999998</v>
      </c>
      <c r="D27" s="1">
        <v>45.155999999999999</v>
      </c>
      <c r="E27" s="1">
        <v>45.747999999999998</v>
      </c>
      <c r="F27" s="1">
        <v>46.332000000000001</v>
      </c>
      <c r="G27" s="1">
        <v>46.890999999999998</v>
      </c>
      <c r="H27" s="1">
        <v>47.406999999999996</v>
      </c>
      <c r="I27" s="1">
        <v>47.865000000000002</v>
      </c>
      <c r="J27" s="1">
        <v>48.258000000000003</v>
      </c>
      <c r="K27" s="1">
        <v>48.578000000000003</v>
      </c>
      <c r="L27" s="1">
        <v>48.826999999999998</v>
      </c>
      <c r="M27" s="1">
        <v>49.01</v>
      </c>
      <c r="N27" s="1">
        <v>49.142000000000003</v>
      </c>
      <c r="O27" s="1">
        <v>49.235999999999997</v>
      </c>
      <c r="P27" s="1">
        <v>49.301000000000002</v>
      </c>
      <c r="Q27" s="1">
        <v>49.347000000000001</v>
      </c>
      <c r="R27" s="1">
        <v>49.384</v>
      </c>
      <c r="S27" s="1">
        <v>49.411999999999999</v>
      </c>
      <c r="T27" s="1">
        <v>49.426000000000002</v>
      </c>
      <c r="U27" s="1">
        <v>49.418999999999997</v>
      </c>
      <c r="V27" s="1">
        <v>49.374000000000002</v>
      </c>
      <c r="W27" s="1">
        <v>49.271999999999998</v>
      </c>
      <c r="X27" s="1">
        <v>49.095999999999997</v>
      </c>
      <c r="Y27" s="1">
        <v>48.841999999999999</v>
      </c>
      <c r="Z27" s="1">
        <v>48.512</v>
      </c>
      <c r="AA27" s="1">
        <v>48.103999999999999</v>
      </c>
      <c r="AB27" s="1">
        <v>47.625</v>
      </c>
      <c r="AC27" s="1">
        <v>47.097000000000001</v>
      </c>
      <c r="AD27" s="1">
        <v>46.548999999999999</v>
      </c>
      <c r="AE27" s="1">
        <v>46.012</v>
      </c>
      <c r="AF27" s="1">
        <v>45.509</v>
      </c>
      <c r="AG27" s="1">
        <v>45.058</v>
      </c>
      <c r="AH27" s="1">
        <v>44.676000000000002</v>
      </c>
      <c r="AI27" s="1">
        <v>44.387999999999998</v>
      </c>
      <c r="AJ27" s="1">
        <v>44.222999999999999</v>
      </c>
      <c r="AK27" s="1">
        <v>44.22</v>
      </c>
      <c r="AL27" s="1">
        <v>44.414999999999999</v>
      </c>
      <c r="AM27" s="1">
        <v>44.811</v>
      </c>
      <c r="AN27" s="1">
        <v>45.396999999999998</v>
      </c>
      <c r="AO27" s="1">
        <v>46.16</v>
      </c>
      <c r="AP27" s="1">
        <v>47.076999999999998</v>
      </c>
      <c r="AQ27" s="1">
        <v>48.12</v>
      </c>
      <c r="AR27" s="1">
        <v>49.241999999999997</v>
      </c>
      <c r="AS27" s="1">
        <v>50.393999999999998</v>
      </c>
      <c r="AT27" s="1">
        <v>51.537999999999997</v>
      </c>
      <c r="AU27" s="1">
        <v>52.64</v>
      </c>
      <c r="AV27" s="1">
        <v>53.680999999999997</v>
      </c>
      <c r="AW27" s="1">
        <v>54.66</v>
      </c>
      <c r="AX27" s="1">
        <v>55.573999999999998</v>
      </c>
      <c r="AY27" s="1">
        <v>56.408999999999999</v>
      </c>
      <c r="AZ27" s="1">
        <v>57.152999999999999</v>
      </c>
      <c r="BA27" s="1">
        <v>57.795999999999999</v>
      </c>
      <c r="BB27" s="1">
        <v>58.347000000000001</v>
      </c>
      <c r="BC27" s="1">
        <v>58.819000000000003</v>
      </c>
      <c r="BD27" s="1">
        <v>59.223999999999997</v>
      </c>
      <c r="BE27" s="1">
        <v>59.575000000000003</v>
      </c>
      <c r="BF27" s="1">
        <v>59.889000000000003</v>
      </c>
    </row>
    <row r="28" spans="1:58" x14ac:dyDescent="0.25">
      <c r="A28" s="18" t="s">
        <v>38</v>
      </c>
      <c r="B28" s="1">
        <v>45.124000000000002</v>
      </c>
      <c r="C28" s="1">
        <v>45.502000000000002</v>
      </c>
      <c r="D28" s="1">
        <v>45.869</v>
      </c>
      <c r="E28" s="1">
        <v>46.225000000000001</v>
      </c>
      <c r="F28" s="1">
        <v>46.573999999999998</v>
      </c>
      <c r="G28" s="1">
        <v>46.929000000000002</v>
      </c>
      <c r="H28" s="1">
        <v>47.302</v>
      </c>
      <c r="I28" s="1">
        <v>47.701000000000001</v>
      </c>
      <c r="J28" s="1">
        <v>48.127000000000002</v>
      </c>
      <c r="K28" s="1">
        <v>48.575000000000003</v>
      </c>
      <c r="L28" s="1">
        <v>49.039000000000001</v>
      </c>
      <c r="M28" s="1">
        <v>49.51</v>
      </c>
      <c r="N28" s="1">
        <v>49.970999999999997</v>
      </c>
      <c r="O28" s="1">
        <v>50.401000000000003</v>
      </c>
      <c r="P28" s="1">
        <v>50.78</v>
      </c>
      <c r="Q28" s="1">
        <v>51.088999999999999</v>
      </c>
      <c r="R28" s="1">
        <v>51.317</v>
      </c>
      <c r="S28" s="1">
        <v>51.456000000000003</v>
      </c>
      <c r="T28" s="1">
        <v>51.500999999999998</v>
      </c>
      <c r="U28" s="1">
        <v>51.442</v>
      </c>
      <c r="V28" s="1">
        <v>51.265000000000001</v>
      </c>
      <c r="W28" s="1">
        <v>50.957000000000001</v>
      </c>
      <c r="X28" s="1">
        <v>50.524999999999999</v>
      </c>
      <c r="Y28" s="1">
        <v>49.985999999999997</v>
      </c>
      <c r="Z28" s="1">
        <v>49.359000000000002</v>
      </c>
      <c r="AA28" s="1">
        <v>48.661000000000001</v>
      </c>
      <c r="AB28" s="1">
        <v>47.912999999999997</v>
      </c>
      <c r="AC28" s="1">
        <v>47.142000000000003</v>
      </c>
      <c r="AD28" s="1">
        <v>46.378999999999998</v>
      </c>
      <c r="AE28" s="1">
        <v>45.658000000000001</v>
      </c>
      <c r="AF28" s="1">
        <v>45.003</v>
      </c>
      <c r="AG28" s="1">
        <v>44.430999999999997</v>
      </c>
      <c r="AH28" s="1">
        <v>43.948</v>
      </c>
      <c r="AI28" s="1">
        <v>43.564</v>
      </c>
      <c r="AJ28" s="1">
        <v>43.296999999999997</v>
      </c>
      <c r="AK28" s="1">
        <v>43.165999999999997</v>
      </c>
      <c r="AL28" s="1">
        <v>43.183</v>
      </c>
      <c r="AM28" s="1">
        <v>43.345999999999997</v>
      </c>
      <c r="AN28" s="1">
        <v>43.652999999999999</v>
      </c>
      <c r="AO28" s="1">
        <v>44.103999999999999</v>
      </c>
      <c r="AP28" s="1">
        <v>44.701999999999998</v>
      </c>
      <c r="AQ28" s="1">
        <v>45.448</v>
      </c>
      <c r="AR28" s="1">
        <v>46.33</v>
      </c>
      <c r="AS28" s="1">
        <v>47.33</v>
      </c>
      <c r="AT28" s="1">
        <v>48.432000000000002</v>
      </c>
      <c r="AU28" s="1">
        <v>49.63</v>
      </c>
      <c r="AV28" s="1">
        <v>50.929000000000002</v>
      </c>
      <c r="AW28" s="1">
        <v>52.313000000000002</v>
      </c>
      <c r="AX28" s="1">
        <v>53.749000000000002</v>
      </c>
      <c r="AY28" s="1">
        <v>55.194000000000003</v>
      </c>
      <c r="AZ28" s="1">
        <v>56.588000000000001</v>
      </c>
      <c r="BA28" s="1">
        <v>57.872</v>
      </c>
      <c r="BB28" s="1">
        <v>59.011000000000003</v>
      </c>
      <c r="BC28" s="1">
        <v>59.981999999999999</v>
      </c>
      <c r="BD28" s="1">
        <v>60.774999999999999</v>
      </c>
      <c r="BE28" s="1">
        <v>61.396999999999998</v>
      </c>
      <c r="BF28" s="1">
        <v>61.874000000000002</v>
      </c>
    </row>
    <row r="29" spans="1:58" x14ac:dyDescent="0.25">
      <c r="A29" s="18" t="s">
        <v>39</v>
      </c>
      <c r="B29" s="1">
        <v>51.564999999999998</v>
      </c>
      <c r="C29" s="1">
        <v>51.938000000000002</v>
      </c>
      <c r="D29" s="1">
        <v>52.3</v>
      </c>
      <c r="E29" s="1">
        <v>52.651000000000003</v>
      </c>
      <c r="F29" s="1">
        <v>52.993000000000002</v>
      </c>
      <c r="G29" s="1">
        <v>53.325000000000003</v>
      </c>
      <c r="H29" s="1">
        <v>53.648000000000003</v>
      </c>
      <c r="I29" s="1">
        <v>53.965000000000003</v>
      </c>
      <c r="J29" s="1">
        <v>54.28</v>
      </c>
      <c r="K29" s="1">
        <v>54.597000000000001</v>
      </c>
      <c r="L29" s="1">
        <v>54.92</v>
      </c>
      <c r="M29" s="1">
        <v>55.25</v>
      </c>
      <c r="N29" s="1">
        <v>55.591999999999999</v>
      </c>
      <c r="O29" s="1">
        <v>55.948</v>
      </c>
      <c r="P29" s="1">
        <v>56.323999999999998</v>
      </c>
      <c r="Q29" s="1">
        <v>56.732999999999997</v>
      </c>
      <c r="R29" s="1">
        <v>57.194000000000003</v>
      </c>
      <c r="S29" s="1">
        <v>57.707999999999998</v>
      </c>
      <c r="T29" s="1">
        <v>58.259</v>
      </c>
      <c r="U29" s="1">
        <v>58.828000000000003</v>
      </c>
      <c r="V29" s="1">
        <v>59.39</v>
      </c>
      <c r="W29" s="1">
        <v>59.920999999999999</v>
      </c>
      <c r="X29" s="1">
        <v>60.386000000000003</v>
      </c>
      <c r="Y29" s="1">
        <v>60.746000000000002</v>
      </c>
      <c r="Z29" s="1">
        <v>60.965000000000003</v>
      </c>
      <c r="AA29" s="1">
        <v>60.999000000000002</v>
      </c>
      <c r="AB29" s="1">
        <v>60.816000000000003</v>
      </c>
      <c r="AC29" s="1">
        <v>60.411000000000001</v>
      </c>
      <c r="AD29" s="1">
        <v>59.793999999999997</v>
      </c>
      <c r="AE29" s="1">
        <v>58.970999999999997</v>
      </c>
      <c r="AF29" s="1">
        <v>57.944000000000003</v>
      </c>
      <c r="AG29" s="1">
        <v>56.72</v>
      </c>
      <c r="AH29" s="1">
        <v>55.337000000000003</v>
      </c>
      <c r="AI29" s="1">
        <v>53.853999999999999</v>
      </c>
      <c r="AJ29" s="1">
        <v>52.329000000000001</v>
      </c>
      <c r="AK29" s="1">
        <v>50.811</v>
      </c>
      <c r="AL29" s="1">
        <v>49.34</v>
      </c>
      <c r="AM29" s="1">
        <v>47.954999999999998</v>
      </c>
      <c r="AN29" s="1">
        <v>46.704999999999998</v>
      </c>
      <c r="AO29" s="1">
        <v>45.646999999999998</v>
      </c>
      <c r="AP29" s="1">
        <v>44.841000000000001</v>
      </c>
      <c r="AQ29" s="1">
        <v>44.326000000000001</v>
      </c>
      <c r="AR29" s="1">
        <v>44.109000000000002</v>
      </c>
      <c r="AS29" s="1">
        <v>44.188000000000002</v>
      </c>
      <c r="AT29" s="1">
        <v>44.570999999999998</v>
      </c>
      <c r="AU29" s="1">
        <v>45.281999999999996</v>
      </c>
      <c r="AV29" s="1">
        <v>46.344000000000001</v>
      </c>
      <c r="AW29" s="1">
        <v>47.719000000000001</v>
      </c>
      <c r="AX29" s="1">
        <v>49.337000000000003</v>
      </c>
      <c r="AY29" s="1">
        <v>51.122</v>
      </c>
      <c r="AZ29" s="1">
        <v>52.975000000000001</v>
      </c>
      <c r="BA29" s="1">
        <v>54.8</v>
      </c>
      <c r="BB29" s="1">
        <v>56.515999999999998</v>
      </c>
      <c r="BC29" s="1">
        <v>58.052999999999997</v>
      </c>
      <c r="BD29" s="1">
        <v>59.36</v>
      </c>
      <c r="BE29" s="1">
        <v>60.398000000000003</v>
      </c>
      <c r="BF29" s="1">
        <v>61.162999999999997</v>
      </c>
    </row>
    <row r="32" spans="1:58" x14ac:dyDescent="0.25">
      <c r="B32" s="1">
        <v>1960</v>
      </c>
      <c r="C32" s="1">
        <f>VLOOKUP(Indicateur4!$K$6,prevision4!$A$1:$BF$29,MATCH(prevision4!B32,prevision4!$A$1:$BF$1,0),FALSE)</f>
        <v>35.026000000000003</v>
      </c>
      <c r="H32" s="1">
        <v>1960</v>
      </c>
      <c r="I32" s="1">
        <f>VLOOKUP('comite 2'!$C$4,prevision4!$A$1:$BG$28,MATCH(H32,$A$1:$BG$1,0),FALSE)</f>
        <v>35.026000000000003</v>
      </c>
    </row>
    <row r="33" spans="2:9" x14ac:dyDescent="0.25">
      <c r="B33" s="1">
        <v>1961</v>
      </c>
      <c r="C33" s="1">
        <f>VLOOKUP(Indicateur4!$K$6,prevision4!$A$1:$BF$29,MATCH(prevision4!B33,prevision4!$A$1:$BF$1,0),FALSE)</f>
        <v>35.49</v>
      </c>
      <c r="H33" s="1">
        <v>1961</v>
      </c>
      <c r="I33" s="1">
        <f>VLOOKUP('comite 2'!$C$4,prevision4!$A$1:$BG$28,MATCH(H33,$A$1:$BG$1,0),FALSE)</f>
        <v>35.49</v>
      </c>
    </row>
    <row r="34" spans="2:9" x14ac:dyDescent="0.25">
      <c r="B34" s="1">
        <v>1962</v>
      </c>
      <c r="C34" s="1">
        <f>VLOOKUP(Indicateur4!$K$6,prevision4!$A$1:$BF$29,MATCH(prevision4!B34,prevision4!$A$1:$BF$1,0),FALSE)</f>
        <v>35.936</v>
      </c>
      <c r="H34" s="1">
        <v>1962</v>
      </c>
      <c r="I34" s="1">
        <f>VLOOKUP('comite 2'!$C$4,prevision4!$A$1:$BG$28,MATCH(H34,$A$1:$BG$1,0),FALSE)</f>
        <v>35.936</v>
      </c>
    </row>
    <row r="35" spans="2:9" x14ac:dyDescent="0.25">
      <c r="B35" s="1">
        <v>1963</v>
      </c>
      <c r="C35" s="1">
        <f>VLOOKUP(Indicateur4!$K$6,prevision4!$A$1:$BF$29,MATCH(prevision4!B35,prevision4!$A$1:$BF$1,0),FALSE)</f>
        <v>36.363</v>
      </c>
      <c r="H35" s="1">
        <v>1963</v>
      </c>
      <c r="I35" s="1">
        <f>VLOOKUP('comite 2'!$C$4,prevision4!$A$1:$BG$28,MATCH(H35,$A$1:$BG$1,0),FALSE)</f>
        <v>36.363</v>
      </c>
    </row>
    <row r="36" spans="2:9" x14ac:dyDescent="0.25">
      <c r="B36" s="1">
        <v>1964</v>
      </c>
      <c r="C36" s="1">
        <f>VLOOKUP(Indicateur4!$K$6,prevision4!$A$1:$BF$29,MATCH(prevision4!B36,prevision4!$A$1:$BF$1,0),FALSE)</f>
        <v>36.773000000000003</v>
      </c>
      <c r="H36" s="1">
        <v>1964</v>
      </c>
      <c r="I36" s="1">
        <f>VLOOKUP('comite 2'!$C$4,prevision4!$A$1:$BG$28,MATCH(H36,$A$1:$BG$1,0),FALSE)</f>
        <v>36.773000000000003</v>
      </c>
    </row>
    <row r="37" spans="2:9" x14ac:dyDescent="0.25">
      <c r="B37" s="1">
        <v>1965</v>
      </c>
      <c r="C37" s="1">
        <f>VLOOKUP(Indicateur4!$K$6,prevision4!$A$1:$BF$29,MATCH(prevision4!B37,prevision4!$A$1:$BF$1,0),FALSE)</f>
        <v>37.173999999999999</v>
      </c>
      <c r="H37" s="1">
        <v>1965</v>
      </c>
      <c r="I37" s="1">
        <f>VLOOKUP('comite 2'!$C$4,prevision4!$A$1:$BG$28,MATCH(H37,$A$1:$BG$1,0),FALSE)</f>
        <v>37.173999999999999</v>
      </c>
    </row>
    <row r="38" spans="2:9" x14ac:dyDescent="0.25">
      <c r="B38" s="1">
        <v>1966</v>
      </c>
      <c r="C38" s="1">
        <f>VLOOKUP(Indicateur4!$K$6,prevision4!$A$1:$BF$29,MATCH(prevision4!B38,prevision4!$A$1:$BF$1,0),FALSE)</f>
        <v>37.573</v>
      </c>
      <c r="H38" s="1">
        <v>1966</v>
      </c>
      <c r="I38" s="1">
        <f>VLOOKUP('comite 2'!$C$4,prevision4!$A$1:$BG$28,MATCH(H38,$A$1:$BG$1,0),FALSE)</f>
        <v>37.573</v>
      </c>
    </row>
    <row r="39" spans="2:9" x14ac:dyDescent="0.25">
      <c r="B39" s="1">
        <v>1967</v>
      </c>
      <c r="C39" s="1">
        <f>VLOOKUP(Indicateur4!$K$6,prevision4!$A$1:$BF$29,MATCH(prevision4!B39,prevision4!$A$1:$BF$1,0),FALSE)</f>
        <v>37.979999999999997</v>
      </c>
      <c r="H39" s="1">
        <v>1967</v>
      </c>
      <c r="I39" s="1">
        <f>VLOOKUP('comite 2'!$C$4,prevision4!$A$1:$BG$28,MATCH(H39,$A$1:$BG$1,0),FALSE)</f>
        <v>37.979999999999997</v>
      </c>
    </row>
    <row r="40" spans="2:9" x14ac:dyDescent="0.25">
      <c r="B40" s="1">
        <v>1968</v>
      </c>
      <c r="C40" s="1">
        <f>VLOOKUP(Indicateur4!$K$6,prevision4!$A$1:$BF$29,MATCH(prevision4!B40,prevision4!$A$1:$BF$1,0),FALSE)</f>
        <v>38.396999999999998</v>
      </c>
      <c r="H40" s="1">
        <v>1968</v>
      </c>
      <c r="I40" s="1">
        <f>VLOOKUP('comite 2'!$C$4,prevision4!$A$1:$BG$28,MATCH(H40,$A$1:$BG$1,0),FALSE)</f>
        <v>38.396999999999998</v>
      </c>
    </row>
    <row r="41" spans="2:9" x14ac:dyDescent="0.25">
      <c r="B41" s="1">
        <v>1969</v>
      </c>
      <c r="C41" s="1">
        <f>VLOOKUP(Indicateur4!$K$6,prevision4!$A$1:$BF$29,MATCH(prevision4!B41,prevision4!$A$1:$BF$1,0),FALSE)</f>
        <v>38.826000000000001</v>
      </c>
      <c r="H41" s="1">
        <v>1969</v>
      </c>
      <c r="I41" s="1">
        <f>VLOOKUP('comite 2'!$C$4,prevision4!$A$1:$BG$28,MATCH(H41,$A$1:$BG$1,0),FALSE)</f>
        <v>38.826000000000001</v>
      </c>
    </row>
    <row r="42" spans="2:9" x14ac:dyDescent="0.25">
      <c r="B42" s="1">
        <v>1970</v>
      </c>
      <c r="C42" s="1">
        <f>VLOOKUP(Indicateur4!$K$6,prevision4!$A$1:$BF$29,MATCH(prevision4!B42,prevision4!$A$1:$BF$1,0),FALSE)</f>
        <v>39.271000000000001</v>
      </c>
      <c r="H42" s="1">
        <v>1970</v>
      </c>
      <c r="I42" s="1">
        <f>VLOOKUP('comite 2'!$C$4,prevision4!$A$1:$BG$28,MATCH(H42,$A$1:$BG$1,0),FALSE)</f>
        <v>39.271000000000001</v>
      </c>
    </row>
    <row r="43" spans="2:9" x14ac:dyDescent="0.25">
      <c r="B43" s="1">
        <v>1971</v>
      </c>
      <c r="C43" s="1">
        <f>VLOOKUP(Indicateur4!$K$6,prevision4!$A$1:$BF$29,MATCH(prevision4!B43,prevision4!$A$1:$BF$1,0),FALSE)</f>
        <v>39.734999999999999</v>
      </c>
      <c r="H43" s="1">
        <v>1971</v>
      </c>
      <c r="I43" s="1">
        <f>VLOOKUP('comite 2'!$C$4,prevision4!$A$1:$BG$28,MATCH(H43,$A$1:$BG$1,0),FALSE)</f>
        <v>39.734999999999999</v>
      </c>
    </row>
    <row r="44" spans="2:9" x14ac:dyDescent="0.25">
      <c r="B44" s="1">
        <v>1972</v>
      </c>
      <c r="C44" s="1">
        <f>VLOOKUP(Indicateur4!$K$6,prevision4!$A$1:$BF$29,MATCH(prevision4!B44,prevision4!$A$1:$BF$1,0),FALSE)</f>
        <v>40.21</v>
      </c>
      <c r="H44" s="1">
        <v>1972</v>
      </c>
      <c r="I44" s="1">
        <f>VLOOKUP('comite 2'!$C$4,prevision4!$A$1:$BG$28,MATCH(H44,$A$1:$BG$1,0),FALSE)</f>
        <v>40.21</v>
      </c>
    </row>
    <row r="45" spans="2:9" x14ac:dyDescent="0.25">
      <c r="B45" s="1">
        <v>1973</v>
      </c>
      <c r="C45" s="1">
        <f>VLOOKUP(Indicateur4!$K$6,prevision4!$A$1:$BF$29,MATCH(prevision4!B45,prevision4!$A$1:$BF$1,0),FALSE)</f>
        <v>40.679000000000002</v>
      </c>
      <c r="H45" s="1">
        <v>1973</v>
      </c>
      <c r="I45" s="1">
        <f>VLOOKUP('comite 2'!$C$4,prevision4!$A$1:$BG$28,MATCH(H45,$A$1:$BG$1,0),FALSE)</f>
        <v>40.679000000000002</v>
      </c>
    </row>
    <row r="46" spans="2:9" x14ac:dyDescent="0.25">
      <c r="B46" s="1">
        <v>1974</v>
      </c>
      <c r="C46" s="1">
        <f>VLOOKUP(Indicateur4!$K$6,prevision4!$A$1:$BF$29,MATCH(prevision4!B46,prevision4!$A$1:$BF$1,0),FALSE)</f>
        <v>41.125</v>
      </c>
      <c r="H46" s="1">
        <v>1974</v>
      </c>
      <c r="I46" s="1">
        <f>VLOOKUP('comite 2'!$C$4,prevision4!$A$1:$BG$28,MATCH(H46,$A$1:$BG$1,0),FALSE)</f>
        <v>41.125</v>
      </c>
    </row>
    <row r="47" spans="2:9" x14ac:dyDescent="0.25">
      <c r="B47" s="1">
        <v>1975</v>
      </c>
      <c r="C47" s="1">
        <f>VLOOKUP(Indicateur4!$K$6,prevision4!$A$1:$BF$29,MATCH(prevision4!B47,prevision4!$A$1:$BF$1,0),FALSE)</f>
        <v>41.512</v>
      </c>
      <c r="H47" s="1">
        <v>1975</v>
      </c>
      <c r="I47" s="1">
        <f>VLOOKUP('comite 2'!$C$4,prevision4!$A$1:$BG$28,MATCH(H47,$A$1:$BG$1,0),FALSE)</f>
        <v>41.512</v>
      </c>
    </row>
    <row r="48" spans="2:9" x14ac:dyDescent="0.25">
      <c r="B48" s="1">
        <v>1976</v>
      </c>
      <c r="C48" s="1">
        <f>VLOOKUP(Indicateur4!$K$6,prevision4!$A$1:$BF$29,MATCH(prevision4!B48,prevision4!$A$1:$BF$1,0),FALSE)</f>
        <v>41.804000000000002</v>
      </c>
      <c r="H48" s="1">
        <v>1976</v>
      </c>
      <c r="I48" s="1">
        <f>VLOOKUP('comite 2'!$C$4,prevision4!$A$1:$BG$28,MATCH(H48,$A$1:$BG$1,0),FALSE)</f>
        <v>41.804000000000002</v>
      </c>
    </row>
    <row r="49" spans="2:9" x14ac:dyDescent="0.25">
      <c r="B49" s="1">
        <v>1977</v>
      </c>
      <c r="C49" s="1">
        <f>VLOOKUP(Indicateur4!$K$6,prevision4!$A$1:$BF$29,MATCH(prevision4!B49,prevision4!$A$1:$BF$1,0),FALSE)</f>
        <v>41.982999999999997</v>
      </c>
      <c r="H49" s="1">
        <v>1977</v>
      </c>
      <c r="I49" s="1">
        <f>VLOOKUP('comite 2'!$C$4,prevision4!$A$1:$BG$28,MATCH(H49,$A$1:$BG$1,0),FALSE)</f>
        <v>41.982999999999997</v>
      </c>
    </row>
    <row r="50" spans="2:9" x14ac:dyDescent="0.25">
      <c r="B50" s="1">
        <v>1978</v>
      </c>
      <c r="C50" s="1">
        <f>VLOOKUP(Indicateur4!$K$6,prevision4!$A$1:$BF$29,MATCH(prevision4!B50,prevision4!$A$1:$BF$1,0),FALSE)</f>
        <v>42.05</v>
      </c>
      <c r="H50" s="1">
        <v>1978</v>
      </c>
      <c r="I50" s="1">
        <f>VLOOKUP('comite 2'!$C$4,prevision4!$A$1:$BG$28,MATCH(H50,$A$1:$BG$1,0),FALSE)</f>
        <v>42.05</v>
      </c>
    </row>
    <row r="51" spans="2:9" x14ac:dyDescent="0.25">
      <c r="B51" s="1">
        <v>1979</v>
      </c>
      <c r="C51" s="1">
        <f>VLOOKUP(Indicateur4!$K$6,prevision4!$A$1:$BF$29,MATCH(prevision4!B51,prevision4!$A$1:$BF$1,0),FALSE)</f>
        <v>42.017000000000003</v>
      </c>
      <c r="H51" s="1">
        <v>1979</v>
      </c>
      <c r="I51" s="1">
        <f>VLOOKUP('comite 2'!$C$4,prevision4!$A$1:$BG$28,MATCH(H51,$A$1:$BG$1,0),FALSE)</f>
        <v>42.017000000000003</v>
      </c>
    </row>
    <row r="52" spans="2:9" x14ac:dyDescent="0.25">
      <c r="B52" s="1">
        <v>1980</v>
      </c>
      <c r="C52" s="1">
        <f>VLOOKUP(Indicateur4!$K$6,prevision4!$A$1:$BF$29,MATCH(prevision4!B52,prevision4!$A$1:$BF$1,0),FALSE)</f>
        <v>41.912999999999997</v>
      </c>
      <c r="H52" s="1">
        <v>1980</v>
      </c>
      <c r="I52" s="1">
        <f>VLOOKUP('comite 2'!$C$4,prevision4!$A$1:$BG$28,MATCH(H52,$A$1:$BG$1,0),FALSE)</f>
        <v>41.912999999999997</v>
      </c>
    </row>
    <row r="53" spans="2:9" x14ac:dyDescent="0.25">
      <c r="B53" s="1">
        <v>1981</v>
      </c>
      <c r="C53" s="1">
        <f>VLOOKUP(Indicateur4!$K$6,prevision4!$A$1:$BF$29,MATCH(prevision4!B53,prevision4!$A$1:$BF$1,0),FALSE)</f>
        <v>41.777999999999999</v>
      </c>
      <c r="H53" s="1">
        <v>1981</v>
      </c>
      <c r="I53" s="1">
        <f>VLOOKUP('comite 2'!$C$4,prevision4!$A$1:$BG$28,MATCH(H53,$A$1:$BG$1,0),FALSE)</f>
        <v>41.777999999999999</v>
      </c>
    </row>
    <row r="54" spans="2:9" x14ac:dyDescent="0.25">
      <c r="B54" s="1">
        <v>1982</v>
      </c>
      <c r="C54" s="1">
        <f>VLOOKUP(Indicateur4!$K$6,prevision4!$A$1:$BF$29,MATCH(prevision4!B54,prevision4!$A$1:$BF$1,0),FALSE)</f>
        <v>41.66</v>
      </c>
      <c r="H54" s="1">
        <v>1982</v>
      </c>
      <c r="I54" s="1">
        <f>VLOOKUP('comite 2'!$C$4,prevision4!$A$1:$BG$28,MATCH(H54,$A$1:$BG$1,0),FALSE)</f>
        <v>41.66</v>
      </c>
    </row>
    <row r="55" spans="2:9" x14ac:dyDescent="0.25">
      <c r="B55" s="1">
        <v>1983</v>
      </c>
      <c r="C55" s="1">
        <f>VLOOKUP(Indicateur4!$K$6,prevision4!$A$1:$BF$29,MATCH(prevision4!B55,prevision4!$A$1:$BF$1,0),FALSE)</f>
        <v>41.597000000000001</v>
      </c>
      <c r="H55" s="1">
        <v>1983</v>
      </c>
      <c r="I55" s="1">
        <f>VLOOKUP('comite 2'!$C$4,prevision4!$A$1:$BG$28,MATCH(H55,$A$1:$BG$1,0),FALSE)</f>
        <v>41.597000000000001</v>
      </c>
    </row>
    <row r="56" spans="2:9" x14ac:dyDescent="0.25">
      <c r="B56" s="1">
        <v>1984</v>
      </c>
      <c r="C56" s="1">
        <f>VLOOKUP(Indicateur4!$K$6,prevision4!$A$1:$BF$29,MATCH(prevision4!B56,prevision4!$A$1:$BF$1,0),FALSE)</f>
        <v>41.61</v>
      </c>
      <c r="H56" s="1">
        <v>1984</v>
      </c>
      <c r="I56" s="1">
        <f>VLOOKUP('comite 2'!$C$4,prevision4!$A$1:$BG$28,MATCH(H56,$A$1:$BG$1,0),FALSE)</f>
        <v>41.61</v>
      </c>
    </row>
    <row r="57" spans="2:9" x14ac:dyDescent="0.25">
      <c r="B57" s="1">
        <v>1985</v>
      </c>
      <c r="C57" s="1">
        <f>VLOOKUP(Indicateur4!$K$6,prevision4!$A$1:$BF$29,MATCH(prevision4!B57,prevision4!$A$1:$BF$1,0),FALSE)</f>
        <v>41.704999999999998</v>
      </c>
      <c r="H57" s="1">
        <v>1985</v>
      </c>
      <c r="I57" s="1">
        <f>VLOOKUP('comite 2'!$C$4,prevision4!$A$1:$BG$28,MATCH(H57,$A$1:$BG$1,0),FALSE)</f>
        <v>41.704999999999998</v>
      </c>
    </row>
    <row r="58" spans="2:9" x14ac:dyDescent="0.25">
      <c r="B58" s="1">
        <v>1986</v>
      </c>
      <c r="C58" s="1">
        <f>VLOOKUP(Indicateur4!$K$6,prevision4!$A$1:$BF$29,MATCH(prevision4!B58,prevision4!$A$1:$BF$1,0),FALSE)</f>
        <v>41.872</v>
      </c>
      <c r="H58" s="1">
        <v>1986</v>
      </c>
      <c r="I58" s="1">
        <f>VLOOKUP('comite 2'!$C$4,prevision4!$A$1:$BG$28,MATCH(H58,$A$1:$BG$1,0),FALSE)</f>
        <v>41.872</v>
      </c>
    </row>
    <row r="59" spans="2:9" x14ac:dyDescent="0.25">
      <c r="B59" s="1">
        <v>1987</v>
      </c>
      <c r="C59" s="1">
        <f>VLOOKUP(Indicateur4!$K$6,prevision4!$A$1:$BF$29,MATCH(prevision4!B59,prevision4!$A$1:$BF$1,0),FALSE)</f>
        <v>42.085000000000001</v>
      </c>
      <c r="H59" s="1">
        <v>1987</v>
      </c>
      <c r="I59" s="1">
        <f>VLOOKUP('comite 2'!$C$4,prevision4!$A$1:$BG$28,MATCH(H59,$A$1:$BG$1,0),FALSE)</f>
        <v>42.085000000000001</v>
      </c>
    </row>
    <row r="60" spans="2:9" x14ac:dyDescent="0.25">
      <c r="B60" s="1">
        <v>1988</v>
      </c>
      <c r="C60" s="1">
        <f>VLOOKUP(Indicateur4!$K$6,prevision4!$A$1:$BF$29,MATCH(prevision4!B60,prevision4!$A$1:$BF$1,0),FALSE)</f>
        <v>42.326999999999998</v>
      </c>
      <c r="H60" s="1">
        <v>1988</v>
      </c>
      <c r="I60" s="1">
        <f>VLOOKUP('comite 2'!$C$4,prevision4!$A$1:$BG$28,MATCH(H60,$A$1:$BG$1,0),FALSE)</f>
        <v>42.326999999999998</v>
      </c>
    </row>
    <row r="61" spans="2:9" x14ac:dyDescent="0.25">
      <c r="B61" s="1">
        <v>1989</v>
      </c>
      <c r="C61" s="1">
        <f>VLOOKUP(Indicateur4!$K$6,prevision4!$A$1:$BF$29,MATCH(prevision4!B61,prevision4!$A$1:$BF$1,0),FALSE)</f>
        <v>42.6</v>
      </c>
      <c r="H61" s="1">
        <v>1989</v>
      </c>
      <c r="I61" s="1">
        <f>VLOOKUP('comite 2'!$C$4,prevision4!$A$1:$BG$28,MATCH(H61,$A$1:$BG$1,0),FALSE)</f>
        <v>42.6</v>
      </c>
    </row>
    <row r="62" spans="2:9" x14ac:dyDescent="0.25">
      <c r="B62" s="1">
        <v>1990</v>
      </c>
      <c r="C62" s="1">
        <f>VLOOKUP(Indicateur4!$K$6,prevision4!$A$1:$BF$29,MATCH(prevision4!B62,prevision4!$A$1:$BF$1,0),FALSE)</f>
        <v>42.914999999999999</v>
      </c>
      <c r="H62" s="1">
        <v>1990</v>
      </c>
      <c r="I62" s="1">
        <f>VLOOKUP('comite 2'!$C$4,prevision4!$A$1:$BG$28,MATCH(H62,$A$1:$BG$1,0),FALSE)</f>
        <v>42.914999999999999</v>
      </c>
    </row>
    <row r="63" spans="2:9" x14ac:dyDescent="0.25">
      <c r="B63" s="1">
        <v>1991</v>
      </c>
      <c r="C63" s="1">
        <f>VLOOKUP(Indicateur4!$K$6,prevision4!$A$1:$BF$29,MATCH(prevision4!B63,prevision4!$A$1:$BF$1,0),FALSE)</f>
        <v>43.292999999999999</v>
      </c>
      <c r="H63" s="1">
        <v>1991</v>
      </c>
      <c r="I63" s="1">
        <f>VLOOKUP('comite 2'!$C$4,prevision4!$A$1:$BG$28,MATCH(H63,$A$1:$BG$1,0),FALSE)</f>
        <v>43.292999999999999</v>
      </c>
    </row>
    <row r="64" spans="2:9" x14ac:dyDescent="0.25">
      <c r="B64" s="1">
        <v>1992</v>
      </c>
      <c r="C64" s="1">
        <f>VLOOKUP(Indicateur4!$K$6,prevision4!$A$1:$BF$29,MATCH(prevision4!B64,prevision4!$A$1:$BF$1,0),FALSE)</f>
        <v>43.744999999999997</v>
      </c>
      <c r="H64" s="1">
        <v>1992</v>
      </c>
      <c r="I64" s="1">
        <f>VLOOKUP('comite 2'!$C$4,prevision4!$A$1:$BG$28,MATCH(H64,$A$1:$BG$1,0),FALSE)</f>
        <v>43.744999999999997</v>
      </c>
    </row>
    <row r="65" spans="2:9" x14ac:dyDescent="0.25">
      <c r="B65" s="1">
        <v>1993</v>
      </c>
      <c r="C65" s="1">
        <f>VLOOKUP(Indicateur4!$K$6,prevision4!$A$1:$BF$29,MATCH(prevision4!B65,prevision4!$A$1:$BF$1,0),FALSE)</f>
        <v>44.271999999999998</v>
      </c>
      <c r="H65" s="1">
        <v>1993</v>
      </c>
      <c r="I65" s="1">
        <f>VLOOKUP('comite 2'!$C$4,prevision4!$A$1:$BG$28,MATCH(H65,$A$1:$BG$1,0),FALSE)</f>
        <v>44.271999999999998</v>
      </c>
    </row>
    <row r="66" spans="2:9" x14ac:dyDescent="0.25">
      <c r="B66" s="1">
        <v>1994</v>
      </c>
      <c r="C66" s="1">
        <f>VLOOKUP(Indicateur4!$K$6,prevision4!$A$1:$BF$29,MATCH(prevision4!B66,prevision4!$A$1:$BF$1,0),FALSE)</f>
        <v>44.862000000000002</v>
      </c>
      <c r="H66" s="1">
        <v>1994</v>
      </c>
      <c r="I66" s="1">
        <f>VLOOKUP('comite 2'!$C$4,prevision4!$A$1:$BG$28,MATCH(H66,$A$1:$BG$1,0),FALSE)</f>
        <v>44.862000000000002</v>
      </c>
    </row>
    <row r="67" spans="2:9" x14ac:dyDescent="0.25">
      <c r="B67" s="1">
        <v>1995</v>
      </c>
      <c r="C67" s="1">
        <f>VLOOKUP(Indicateur4!$K$6,prevision4!$A$1:$BF$29,MATCH(prevision4!B67,prevision4!$A$1:$BF$1,0),FALSE)</f>
        <v>45.491</v>
      </c>
      <c r="H67" s="1">
        <v>1995</v>
      </c>
      <c r="I67" s="1">
        <f>VLOOKUP('comite 2'!$C$4,prevision4!$A$1:$BG$28,MATCH(H67,$A$1:$BG$1,0),FALSE)</f>
        <v>45.491</v>
      </c>
    </row>
    <row r="68" spans="2:9" x14ac:dyDescent="0.25">
      <c r="B68" s="1">
        <v>1996</v>
      </c>
      <c r="C68" s="1">
        <f>VLOOKUP(Indicateur4!$K$6,prevision4!$A$1:$BF$29,MATCH(prevision4!B68,prevision4!$A$1:$BF$1,0),FALSE)</f>
        <v>46.124000000000002</v>
      </c>
      <c r="H68" s="1">
        <v>1996</v>
      </c>
      <c r="I68" s="1">
        <f>VLOOKUP('comite 2'!$C$4,prevision4!$A$1:$BG$28,MATCH(H68,$A$1:$BG$1,0),FALSE)</f>
        <v>46.124000000000002</v>
      </c>
    </row>
    <row r="69" spans="2:9" x14ac:dyDescent="0.25">
      <c r="B69" s="1">
        <v>1997</v>
      </c>
      <c r="C69" s="1">
        <f>VLOOKUP(Indicateur4!$K$6,prevision4!$A$1:$BF$29,MATCH(prevision4!B69,prevision4!$A$1:$BF$1,0),FALSE)</f>
        <v>46.735999999999997</v>
      </c>
      <c r="H69" s="1">
        <v>1997</v>
      </c>
      <c r="I69" s="1">
        <f>VLOOKUP('comite 2'!$C$4,prevision4!$A$1:$BG$28,MATCH(H69,$A$1:$BG$1,0),FALSE)</f>
        <v>46.735999999999997</v>
      </c>
    </row>
    <row r="70" spans="2:9" x14ac:dyDescent="0.25">
      <c r="B70" s="1">
        <v>1998</v>
      </c>
      <c r="C70" s="1">
        <f>VLOOKUP(Indicateur4!$K$6,prevision4!$A$1:$BF$29,MATCH(prevision4!B70,prevision4!$A$1:$BF$1,0),FALSE)</f>
        <v>47.308999999999997</v>
      </c>
      <c r="H70" s="1">
        <v>1998</v>
      </c>
      <c r="I70" s="1">
        <f>VLOOKUP('comite 2'!$C$4,prevision4!$A$1:$BG$28,MATCH(H70,$A$1:$BG$1,0),FALSE)</f>
        <v>47.308999999999997</v>
      </c>
    </row>
    <row r="71" spans="2:9" x14ac:dyDescent="0.25">
      <c r="B71" s="1">
        <v>1999</v>
      </c>
      <c r="C71" s="1">
        <f>VLOOKUP(Indicateur4!$K$6,prevision4!$A$1:$BF$29,MATCH(prevision4!B71,prevision4!$A$1:$BF$1,0),FALSE)</f>
        <v>47.841000000000001</v>
      </c>
      <c r="H71" s="1">
        <v>1999</v>
      </c>
      <c r="I71" s="1">
        <f>VLOOKUP('comite 2'!$C$4,prevision4!$A$1:$BG$28,MATCH(H71,$A$1:$BG$1,0),FALSE)</f>
        <v>47.841000000000001</v>
      </c>
    </row>
    <row r="72" spans="2:9" x14ac:dyDescent="0.25">
      <c r="B72" s="1">
        <v>2000</v>
      </c>
      <c r="C72" s="1">
        <f>VLOOKUP(Indicateur4!$K$6,prevision4!$A$1:$BF$29,MATCH(prevision4!B72,prevision4!$A$1:$BF$1,0),FALSE)</f>
        <v>48.347999999999999</v>
      </c>
      <c r="H72" s="1">
        <v>2000</v>
      </c>
      <c r="I72" s="1">
        <f>VLOOKUP('comite 2'!$C$4,prevision4!$A$1:$BG$28,MATCH(H72,$A$1:$BG$1,0),FALSE)</f>
        <v>48.347999999999999</v>
      </c>
    </row>
    <row r="73" spans="2:9" x14ac:dyDescent="0.25">
      <c r="B73" s="1">
        <v>2001</v>
      </c>
      <c r="C73" s="1">
        <f>VLOOKUP(Indicateur4!$K$6,prevision4!$A$1:$BF$29,MATCH(prevision4!B73,prevision4!$A$1:$BF$1,0),FALSE)</f>
        <v>48.859000000000002</v>
      </c>
      <c r="H73" s="1">
        <v>2001</v>
      </c>
      <c r="I73" s="1">
        <f>VLOOKUP('comite 2'!$C$4,prevision4!$A$1:$BG$28,MATCH(H73,$A$1:$BG$1,0),FALSE)</f>
        <v>48.859000000000002</v>
      </c>
    </row>
    <row r="74" spans="2:9" x14ac:dyDescent="0.25">
      <c r="B74" s="1">
        <v>2002</v>
      </c>
      <c r="C74" s="1">
        <f>VLOOKUP(Indicateur4!$K$6,prevision4!$A$1:$BF$29,MATCH(prevision4!B74,prevision4!$A$1:$BF$1,0),FALSE)</f>
        <v>49.405999999999999</v>
      </c>
      <c r="H74" s="1">
        <v>2002</v>
      </c>
      <c r="I74" s="1">
        <f>VLOOKUP('comite 2'!$C$4,prevision4!$A$1:$BG$28,MATCH(H74,$A$1:$BG$1,0),FALSE)</f>
        <v>49.405999999999999</v>
      </c>
    </row>
    <row r="75" spans="2:9" x14ac:dyDescent="0.25">
      <c r="B75" s="1">
        <v>2003</v>
      </c>
      <c r="C75" s="1">
        <f>VLOOKUP(Indicateur4!$K$6,prevision4!$A$1:$BF$29,MATCH(prevision4!B75,prevision4!$A$1:$BF$1,0),FALSE)</f>
        <v>50.006999999999998</v>
      </c>
      <c r="H75" s="1">
        <v>2003</v>
      </c>
      <c r="I75" s="1">
        <f>VLOOKUP('comite 2'!$C$4,prevision4!$A$1:$BG$28,MATCH(H75,$A$1:$BG$1,0),FALSE)</f>
        <v>50.006999999999998</v>
      </c>
    </row>
    <row r="76" spans="2:9" x14ac:dyDescent="0.25">
      <c r="B76" s="1">
        <v>2004</v>
      </c>
      <c r="C76" s="1">
        <f>VLOOKUP(Indicateur4!$K$6,prevision4!$A$1:$BF$29,MATCH(prevision4!B76,prevision4!$A$1:$BF$1,0),FALSE)</f>
        <v>50.662999999999997</v>
      </c>
      <c r="H76" s="1">
        <v>2004</v>
      </c>
      <c r="I76" s="1">
        <f>VLOOKUP('comite 2'!$C$4,prevision4!$A$1:$BG$28,MATCH(H76,$A$1:$BG$1,0),FALSE)</f>
        <v>50.662999999999997</v>
      </c>
    </row>
    <row r="77" spans="2:9" x14ac:dyDescent="0.25">
      <c r="B77" s="1">
        <v>2005</v>
      </c>
      <c r="C77" s="1">
        <f>VLOOKUP(Indicateur4!$K$6,prevision4!$A$1:$BF$29,MATCH(prevision4!B77,prevision4!$A$1:$BF$1,0),FALSE)</f>
        <v>51.362000000000002</v>
      </c>
      <c r="H77" s="1">
        <v>2005</v>
      </c>
      <c r="I77" s="1">
        <f>VLOOKUP('comite 2'!$C$4,prevision4!$A$1:$BG$28,MATCH(H77,$A$1:$BG$1,0),FALSE)</f>
        <v>51.362000000000002</v>
      </c>
    </row>
    <row r="78" spans="2:9" x14ac:dyDescent="0.25">
      <c r="B78" s="1">
        <v>2006</v>
      </c>
      <c r="C78" s="1">
        <f>VLOOKUP(Indicateur4!$K$6,prevision4!$A$1:$BF$29,MATCH(prevision4!B78,prevision4!$A$1:$BF$1,0),FALSE)</f>
        <v>52.079000000000001</v>
      </c>
      <c r="H78" s="1">
        <v>2006</v>
      </c>
      <c r="I78" s="1">
        <f>VLOOKUP('comite 2'!$C$4,prevision4!$A$1:$BG$28,MATCH(H78,$A$1:$BG$1,0),FALSE)</f>
        <v>52.079000000000001</v>
      </c>
    </row>
    <row r="79" spans="2:9" x14ac:dyDescent="0.25">
      <c r="B79" s="1">
        <v>2007</v>
      </c>
      <c r="C79" s="1">
        <f>VLOOKUP(Indicateur4!$K$6,prevision4!$A$1:$BF$29,MATCH(prevision4!B79,prevision4!$A$1:$BF$1,0),FALSE)</f>
        <v>52.784999999999997</v>
      </c>
      <c r="H79" s="1">
        <v>2007</v>
      </c>
      <c r="I79" s="1">
        <f>VLOOKUP('comite 2'!$C$4,prevision4!$A$1:$BG$28,MATCH(H79,$A$1:$BG$1,0),FALSE)</f>
        <v>52.784999999999997</v>
      </c>
    </row>
    <row r="80" spans="2:9" x14ac:dyDescent="0.25">
      <c r="B80" s="1">
        <v>2008</v>
      </c>
      <c r="C80" s="1">
        <f>VLOOKUP(Indicateur4!$K$6,prevision4!$A$1:$BF$29,MATCH(prevision4!B80,prevision4!$A$1:$BF$1,0),FALSE)</f>
        <v>53.459000000000003</v>
      </c>
      <c r="H80" s="1">
        <v>2008</v>
      </c>
      <c r="I80" s="1">
        <f>VLOOKUP('comite 2'!$C$4,prevision4!$A$1:$BG$28,MATCH(H80,$A$1:$BG$1,0),FALSE)</f>
        <v>53.459000000000003</v>
      </c>
    </row>
    <row r="81" spans="2:10" x14ac:dyDescent="0.25">
      <c r="B81" s="1">
        <v>2009</v>
      </c>
      <c r="C81" s="1">
        <f>VLOOKUP(Indicateur4!$K$6,prevision4!$A$1:$BF$29,MATCH(prevision4!B81,prevision4!$A$1:$BF$1,0),FALSE)</f>
        <v>54.095999999999997</v>
      </c>
      <c r="H81" s="1">
        <v>2009</v>
      </c>
      <c r="I81" s="1">
        <f>VLOOKUP('comite 2'!$C$4,prevision4!$A$1:$BG$28,MATCH(H81,$A$1:$BG$1,0),FALSE)</f>
        <v>54.095999999999997</v>
      </c>
    </row>
    <row r="82" spans="2:10" x14ac:dyDescent="0.25">
      <c r="B82" s="1">
        <v>2010</v>
      </c>
      <c r="C82" s="1">
        <f>VLOOKUP(Indicateur4!$K$6,prevision4!$A$1:$BF$29,MATCH(prevision4!B82,prevision4!$A$1:$BF$1,0),FALSE)</f>
        <v>54.7</v>
      </c>
      <c r="H82" s="1">
        <v>2010</v>
      </c>
      <c r="I82" s="1">
        <f>VLOOKUP('comite 2'!$C$4,prevision4!$A$1:$BG$28,MATCH(H82,$A$1:$BG$1,0),FALSE)</f>
        <v>54.7</v>
      </c>
    </row>
    <row r="83" spans="2:10" x14ac:dyDescent="0.25">
      <c r="B83" s="1">
        <v>2011</v>
      </c>
      <c r="C83" s="1">
        <f>VLOOKUP(Indicateur4!$K$6,prevision4!$A$1:$BF$29,MATCH(prevision4!B83,prevision4!$A$1:$BF$1,0),FALSE)</f>
        <v>55.287999999999997</v>
      </c>
      <c r="H83" s="1">
        <v>2011</v>
      </c>
      <c r="I83" s="1">
        <f>VLOOKUP('comite 2'!$C$4,prevision4!$A$1:$BG$28,MATCH(H83,$A$1:$BG$1,0),FALSE)</f>
        <v>55.287999999999997</v>
      </c>
    </row>
    <row r="84" spans="2:10" x14ac:dyDescent="0.25">
      <c r="B84" s="1">
        <v>2012</v>
      </c>
      <c r="C84" s="1">
        <f>VLOOKUP(Indicateur4!$K$6,prevision4!$A$1:$BF$29,MATCH(prevision4!B84,prevision4!$A$1:$BF$1,0),FALSE)</f>
        <v>55.878</v>
      </c>
      <c r="H84" s="1">
        <v>2012</v>
      </c>
      <c r="I84" s="1">
        <f>VLOOKUP('comite 2'!$C$4,prevision4!$A$1:$BG$28,MATCH(H84,$A$1:$BG$1,0),FALSE)</f>
        <v>55.878</v>
      </c>
    </row>
    <row r="85" spans="2:10" x14ac:dyDescent="0.25">
      <c r="B85" s="1">
        <v>2013</v>
      </c>
      <c r="C85" s="1">
        <f>VLOOKUP(Indicateur4!$K$6,prevision4!$A$1:$BF$29,MATCH(prevision4!B85,prevision4!$A$1:$BF$1,0),FALSE)</f>
        <v>56.482999999999997</v>
      </c>
      <c r="H85" s="1">
        <v>2013</v>
      </c>
      <c r="I85" s="1">
        <f>VLOOKUP('comite 2'!$C$4,prevision4!$A$1:$BG$28,MATCH(H85,$A$1:$BG$1,0),FALSE)</f>
        <v>56.482999999999997</v>
      </c>
    </row>
    <row r="86" spans="2:10" x14ac:dyDescent="0.25">
      <c r="B86" s="1">
        <v>2014</v>
      </c>
      <c r="C86" s="1">
        <f>VLOOKUP(Indicateur4!$K$6,prevision4!$A$1:$BF$29,MATCH(prevision4!B86,prevision4!$A$1:$BF$1,0),FALSE)</f>
        <v>57.098999999999997</v>
      </c>
      <c r="H86" s="1">
        <v>2014</v>
      </c>
      <c r="I86" s="1">
        <f>VLOOKUP('comite 2'!$C$4,prevision4!$A$1:$BG$28,MATCH(H86,$A$1:$BG$1,0),FALSE)</f>
        <v>57.098999999999997</v>
      </c>
    </row>
    <row r="87" spans="2:10" x14ac:dyDescent="0.25">
      <c r="B87" s="1">
        <v>2015</v>
      </c>
      <c r="C87" s="1">
        <f>VLOOKUP(Indicateur4!$K$6,prevision4!$A$1:$BF$29,MATCH(prevision4!B87,prevision4!$A$1:$BF$1,0),FALSE)</f>
        <v>57.713999999999999</v>
      </c>
      <c r="H87" s="1">
        <v>2015</v>
      </c>
      <c r="I87" s="1">
        <f>VLOOKUP('comite 2'!$C$4,prevision4!$A$1:$BG$28,MATCH(H87,$A$1:$BG$1,0),FALSE)</f>
        <v>57.713999999999999</v>
      </c>
    </row>
    <row r="88" spans="2:10" x14ac:dyDescent="0.25">
      <c r="B88" s="1">
        <v>2016</v>
      </c>
      <c r="C88" s="1">
        <f>VLOOKUP(Indicateur4!$K$6,prevision4!$A$1:$BF$29,MATCH(prevision4!B88,prevision4!$A$1:$BF$1,0),FALSE)</f>
        <v>58.311</v>
      </c>
      <c r="D88" s="1">
        <f>C88</f>
        <v>58.311</v>
      </c>
      <c r="H88" s="1">
        <v>2016</v>
      </c>
      <c r="I88" s="1">
        <f>VLOOKUP('comite 2'!$C$4,prevision4!$A$1:$BG$28,MATCH(H88,$A$1:$BG$1,0),FALSE)</f>
        <v>58.311</v>
      </c>
      <c r="J88" s="1">
        <f>I88</f>
        <v>58.311</v>
      </c>
    </row>
    <row r="89" spans="2:10" x14ac:dyDescent="0.25">
      <c r="B89" s="1">
        <v>2017</v>
      </c>
      <c r="D89" s="1">
        <f>TREND($C$32:$C$88,$B$32:$B$88,B89)</f>
        <v>55.698513157894809</v>
      </c>
      <c r="H89" s="1">
        <v>2017</v>
      </c>
      <c r="J89" s="1">
        <f>TREND($I$32:$I$88,$H$32:$H$88,H89)</f>
        <v>55.698513157894809</v>
      </c>
    </row>
    <row r="90" spans="2:10" x14ac:dyDescent="0.25">
      <c r="B90" s="1">
        <v>2018</v>
      </c>
      <c r="D90" s="1">
        <f t="shared" ref="D90:D102" si="0">TREND($C$32:$C$88,$B$32:$B$88,B90)</f>
        <v>56.071543557168866</v>
      </c>
      <c r="H90" s="1">
        <v>2018</v>
      </c>
      <c r="J90" s="1">
        <f t="shared" ref="J90:J102" si="1">TREND($I$32:$I$88,$H$32:$H$88,H90)</f>
        <v>56.071543557168866</v>
      </c>
    </row>
    <row r="91" spans="2:10" x14ac:dyDescent="0.25">
      <c r="B91" s="1">
        <v>2019</v>
      </c>
      <c r="D91" s="1">
        <f t="shared" si="0"/>
        <v>56.444573956442923</v>
      </c>
      <c r="H91" s="1">
        <v>2019</v>
      </c>
      <c r="J91" s="1">
        <f t="shared" si="1"/>
        <v>56.444573956442923</v>
      </c>
    </row>
    <row r="92" spans="2:10" x14ac:dyDescent="0.25">
      <c r="B92" s="1">
        <v>2020</v>
      </c>
      <c r="D92" s="1">
        <f t="shared" si="0"/>
        <v>56.817604355716981</v>
      </c>
      <c r="H92" s="1">
        <v>2020</v>
      </c>
      <c r="J92" s="1">
        <f t="shared" si="1"/>
        <v>56.817604355716981</v>
      </c>
    </row>
    <row r="93" spans="2:10" x14ac:dyDescent="0.25">
      <c r="B93" s="1">
        <v>2021</v>
      </c>
      <c r="D93" s="1">
        <f t="shared" si="0"/>
        <v>57.190634754990924</v>
      </c>
      <c r="H93" s="1">
        <v>2021</v>
      </c>
      <c r="J93" s="1">
        <f t="shared" si="1"/>
        <v>57.190634754990924</v>
      </c>
    </row>
    <row r="94" spans="2:10" x14ac:dyDescent="0.25">
      <c r="B94" s="1">
        <v>2022</v>
      </c>
      <c r="D94" s="1">
        <f t="shared" si="0"/>
        <v>57.563665154264982</v>
      </c>
      <c r="H94" s="1">
        <v>2022</v>
      </c>
      <c r="J94" s="1">
        <f t="shared" si="1"/>
        <v>57.563665154264982</v>
      </c>
    </row>
    <row r="95" spans="2:10" x14ac:dyDescent="0.25">
      <c r="B95" s="1">
        <v>2023</v>
      </c>
      <c r="D95" s="1">
        <f t="shared" si="0"/>
        <v>57.936695553539039</v>
      </c>
      <c r="H95" s="1">
        <v>2023</v>
      </c>
      <c r="J95" s="1">
        <f t="shared" si="1"/>
        <v>57.936695553539039</v>
      </c>
    </row>
    <row r="96" spans="2:10" x14ac:dyDescent="0.25">
      <c r="B96" s="1">
        <v>2024</v>
      </c>
      <c r="D96" s="1">
        <f t="shared" si="0"/>
        <v>58.309725952813096</v>
      </c>
      <c r="H96" s="1">
        <v>2024</v>
      </c>
      <c r="J96" s="1">
        <f t="shared" si="1"/>
        <v>58.309725952813096</v>
      </c>
    </row>
    <row r="97" spans="2:10" x14ac:dyDescent="0.25">
      <c r="B97" s="1">
        <v>2025</v>
      </c>
      <c r="D97" s="1">
        <f t="shared" si="0"/>
        <v>58.682756352087154</v>
      </c>
      <c r="H97" s="1">
        <v>2025</v>
      </c>
      <c r="J97" s="1">
        <f t="shared" si="1"/>
        <v>58.682756352087154</v>
      </c>
    </row>
    <row r="98" spans="2:10" x14ac:dyDescent="0.25">
      <c r="B98" s="1">
        <v>2026</v>
      </c>
      <c r="D98" s="1">
        <f t="shared" si="0"/>
        <v>59.055786751361211</v>
      </c>
      <c r="H98" s="1">
        <v>2026</v>
      </c>
      <c r="J98" s="1">
        <f t="shared" si="1"/>
        <v>59.055786751361211</v>
      </c>
    </row>
    <row r="99" spans="2:10" x14ac:dyDescent="0.25">
      <c r="B99" s="1">
        <v>2027</v>
      </c>
      <c r="D99" s="1">
        <f t="shared" si="0"/>
        <v>59.428817150635268</v>
      </c>
      <c r="H99" s="1">
        <v>2027</v>
      </c>
      <c r="J99" s="1">
        <f t="shared" si="1"/>
        <v>59.428817150635268</v>
      </c>
    </row>
    <row r="100" spans="2:10" x14ac:dyDescent="0.25">
      <c r="B100" s="1">
        <v>2028</v>
      </c>
      <c r="D100" s="1">
        <f t="shared" si="0"/>
        <v>59.801847549909326</v>
      </c>
      <c r="H100" s="1">
        <v>2028</v>
      </c>
      <c r="J100" s="1">
        <f t="shared" si="1"/>
        <v>59.801847549909326</v>
      </c>
    </row>
    <row r="101" spans="2:10" x14ac:dyDescent="0.25">
      <c r="B101" s="1">
        <v>2029</v>
      </c>
      <c r="D101" s="1">
        <f t="shared" si="0"/>
        <v>60.174877949183383</v>
      </c>
      <c r="H101" s="1">
        <v>2029</v>
      </c>
      <c r="J101" s="1">
        <f t="shared" si="1"/>
        <v>60.174877949183383</v>
      </c>
    </row>
    <row r="102" spans="2:10" x14ac:dyDescent="0.25">
      <c r="B102" s="1">
        <v>2030</v>
      </c>
      <c r="D102" s="1">
        <f t="shared" si="0"/>
        <v>60.54790834845744</v>
      </c>
      <c r="H102" s="1">
        <v>2030</v>
      </c>
      <c r="J102" s="1">
        <f t="shared" si="1"/>
        <v>60.54790834845744</v>
      </c>
    </row>
  </sheetData>
  <phoneticPr fontId="12"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dimension ref="A1:BG103"/>
  <sheetViews>
    <sheetView topLeftCell="A74" workbookViewId="0">
      <selection activeCell="C33" sqref="C33:C90"/>
    </sheetView>
  </sheetViews>
  <sheetFormatPr defaultColWidth="8" defaultRowHeight="13.8" x14ac:dyDescent="0.25"/>
  <cols>
    <col min="1" max="16384" width="8" style="1"/>
  </cols>
  <sheetData>
    <row r="1" spans="1:59" x14ac:dyDescent="0.25">
      <c r="A1" s="16" t="s">
        <v>6</v>
      </c>
      <c r="B1" s="17">
        <v>1960</v>
      </c>
      <c r="C1" s="17">
        <v>1961</v>
      </c>
      <c r="D1" s="17">
        <v>1962</v>
      </c>
      <c r="E1" s="17">
        <v>1963</v>
      </c>
      <c r="F1" s="17">
        <v>1964</v>
      </c>
      <c r="G1" s="17">
        <v>1965</v>
      </c>
      <c r="H1" s="17">
        <v>1966</v>
      </c>
      <c r="I1" s="17">
        <v>1967</v>
      </c>
      <c r="J1" s="17">
        <v>1968</v>
      </c>
      <c r="K1" s="17">
        <v>1969</v>
      </c>
      <c r="L1" s="17">
        <v>1970</v>
      </c>
      <c r="M1" s="17">
        <v>1971</v>
      </c>
      <c r="N1" s="17">
        <v>1972</v>
      </c>
      <c r="O1" s="17">
        <v>1973</v>
      </c>
      <c r="P1" s="17">
        <v>1974</v>
      </c>
      <c r="Q1" s="17">
        <v>1975</v>
      </c>
      <c r="R1" s="17">
        <v>1976</v>
      </c>
      <c r="S1" s="17">
        <v>1977</v>
      </c>
      <c r="T1" s="17">
        <v>1978</v>
      </c>
      <c r="U1" s="17">
        <v>1979</v>
      </c>
      <c r="V1" s="17">
        <v>1980</v>
      </c>
      <c r="W1" s="17">
        <v>1981</v>
      </c>
      <c r="X1" s="17">
        <v>1982</v>
      </c>
      <c r="Y1" s="17">
        <v>1983</v>
      </c>
      <c r="Z1" s="17">
        <v>1984</v>
      </c>
      <c r="AA1" s="17">
        <v>1985</v>
      </c>
      <c r="AB1" s="17">
        <v>1986</v>
      </c>
      <c r="AC1" s="17">
        <v>1987</v>
      </c>
      <c r="AD1" s="17">
        <v>1988</v>
      </c>
      <c r="AE1" s="17">
        <v>1989</v>
      </c>
      <c r="AF1" s="17">
        <v>1990</v>
      </c>
      <c r="AG1" s="17">
        <v>1991</v>
      </c>
      <c r="AH1" s="17">
        <v>1992</v>
      </c>
      <c r="AI1" s="17">
        <v>1993</v>
      </c>
      <c r="AJ1" s="17">
        <v>1994</v>
      </c>
      <c r="AK1" s="17">
        <v>1995</v>
      </c>
      <c r="AL1" s="17">
        <v>1996</v>
      </c>
      <c r="AM1" s="17">
        <v>1997</v>
      </c>
      <c r="AN1" s="17">
        <v>1998</v>
      </c>
      <c r="AO1" s="17">
        <v>1999</v>
      </c>
      <c r="AP1" s="17">
        <v>2000</v>
      </c>
      <c r="AQ1" s="17">
        <v>2001</v>
      </c>
      <c r="AR1" s="17">
        <v>2002</v>
      </c>
      <c r="AS1" s="17">
        <v>2003</v>
      </c>
      <c r="AT1" s="17">
        <v>2004</v>
      </c>
      <c r="AU1" s="17">
        <v>2005</v>
      </c>
      <c r="AV1" s="17">
        <v>2006</v>
      </c>
      <c r="AW1" s="17">
        <v>2007</v>
      </c>
      <c r="AX1" s="17">
        <v>2008</v>
      </c>
      <c r="AY1" s="17">
        <v>2009</v>
      </c>
      <c r="AZ1" s="17">
        <v>2010</v>
      </c>
      <c r="BA1" s="17">
        <v>2011</v>
      </c>
      <c r="BB1" s="17">
        <v>2012</v>
      </c>
      <c r="BC1" s="17">
        <v>2013</v>
      </c>
      <c r="BD1" s="17">
        <v>2014</v>
      </c>
      <c r="BE1" s="17">
        <v>2015</v>
      </c>
      <c r="BF1" s="17">
        <v>2016</v>
      </c>
      <c r="BG1" s="17">
        <v>2017</v>
      </c>
    </row>
    <row r="2" spans="1:59" x14ac:dyDescent="0.25">
      <c r="A2" s="18" t="s">
        <v>9</v>
      </c>
      <c r="F2" s="1">
        <v>141.6</v>
      </c>
      <c r="G2" s="1">
        <v>142.80000000000001</v>
      </c>
      <c r="H2" s="1">
        <v>143.80000000000001</v>
      </c>
      <c r="I2" s="1">
        <v>144.9</v>
      </c>
      <c r="J2" s="1">
        <v>145.69999999999999</v>
      </c>
      <c r="K2" s="1">
        <v>146.30000000000001</v>
      </c>
      <c r="L2" s="1">
        <v>146.6</v>
      </c>
      <c r="M2" s="1">
        <v>146.80000000000001</v>
      </c>
      <c r="N2" s="1">
        <v>147.1</v>
      </c>
      <c r="O2" s="1">
        <v>147.4</v>
      </c>
      <c r="P2" s="1">
        <v>147.9</v>
      </c>
      <c r="Q2" s="1">
        <v>148.19999999999999</v>
      </c>
      <c r="R2" s="1">
        <v>147.69999999999999</v>
      </c>
      <c r="S2" s="1">
        <v>146.1</v>
      </c>
      <c r="T2" s="1">
        <v>143</v>
      </c>
      <c r="U2" s="1">
        <v>138.69999999999999</v>
      </c>
      <c r="V2" s="1">
        <v>133.1</v>
      </c>
      <c r="W2" s="1">
        <v>127.3</v>
      </c>
      <c r="X2" s="1">
        <v>121.2</v>
      </c>
      <c r="Y2" s="1">
        <v>115.3</v>
      </c>
      <c r="Z2" s="1">
        <v>110.1</v>
      </c>
      <c r="AA2" s="1">
        <v>106.3</v>
      </c>
      <c r="AB2" s="1">
        <v>104</v>
      </c>
      <c r="AC2" s="1">
        <v>103</v>
      </c>
      <c r="AD2" s="1">
        <v>103.2</v>
      </c>
      <c r="AE2" s="1">
        <v>104.1</v>
      </c>
      <c r="AF2" s="1">
        <v>105.4</v>
      </c>
      <c r="AG2" s="1">
        <v>106.6</v>
      </c>
      <c r="AH2" s="1">
        <v>107.6</v>
      </c>
      <c r="AI2" s="1">
        <v>108</v>
      </c>
      <c r="AJ2" s="1">
        <v>107.8</v>
      </c>
      <c r="AK2" s="1">
        <v>107</v>
      </c>
      <c r="AL2" s="1">
        <v>105.7</v>
      </c>
      <c r="AM2" s="1">
        <v>103.8</v>
      </c>
      <c r="AN2" s="1">
        <v>101.4</v>
      </c>
      <c r="AO2" s="1">
        <v>98.8</v>
      </c>
      <c r="AP2" s="1">
        <v>95.9</v>
      </c>
      <c r="AQ2" s="1">
        <v>92.8</v>
      </c>
      <c r="AR2" s="1">
        <v>89.6</v>
      </c>
      <c r="AS2" s="1">
        <v>86.3</v>
      </c>
      <c r="AT2" s="1">
        <v>82.6</v>
      </c>
      <c r="AU2" s="1">
        <v>78.7</v>
      </c>
      <c r="AV2" s="1">
        <v>74.599999999999994</v>
      </c>
      <c r="AW2" s="1">
        <v>70.5</v>
      </c>
      <c r="AX2" s="1">
        <v>66.400000000000006</v>
      </c>
      <c r="AY2" s="1">
        <v>62.6</v>
      </c>
      <c r="AZ2" s="1">
        <v>59.2</v>
      </c>
      <c r="BA2" s="1">
        <v>56.1</v>
      </c>
      <c r="BB2" s="1">
        <v>53.1</v>
      </c>
      <c r="BC2" s="1">
        <v>50.5</v>
      </c>
      <c r="BD2" s="1">
        <v>48</v>
      </c>
      <c r="BE2" s="1">
        <v>45.9</v>
      </c>
      <c r="BF2" s="1">
        <v>44.1</v>
      </c>
      <c r="BG2" s="1">
        <v>42.5</v>
      </c>
    </row>
    <row r="3" spans="1:59" x14ac:dyDescent="0.25">
      <c r="A3" s="18" t="s">
        <v>12</v>
      </c>
      <c r="B3" s="1">
        <v>164.6</v>
      </c>
      <c r="C3" s="1">
        <v>160.9</v>
      </c>
      <c r="D3" s="1">
        <v>157.9</v>
      </c>
      <c r="E3" s="1">
        <v>155.5</v>
      </c>
      <c r="F3" s="1">
        <v>152.80000000000001</v>
      </c>
      <c r="G3" s="1">
        <v>149.4</v>
      </c>
      <c r="H3" s="1">
        <v>145.4</v>
      </c>
      <c r="I3" s="1">
        <v>140.80000000000001</v>
      </c>
      <c r="J3" s="1">
        <v>135.4</v>
      </c>
      <c r="K3" s="1">
        <v>130.19999999999999</v>
      </c>
      <c r="L3" s="1">
        <v>125.3</v>
      </c>
      <c r="M3" s="1">
        <v>121.1</v>
      </c>
      <c r="N3" s="1">
        <v>117.9</v>
      </c>
      <c r="O3" s="1">
        <v>115.8</v>
      </c>
      <c r="P3" s="1">
        <v>114.5</v>
      </c>
      <c r="Q3" s="1">
        <v>113.9</v>
      </c>
      <c r="R3" s="1">
        <v>113.7</v>
      </c>
      <c r="S3" s="1">
        <v>113.2</v>
      </c>
      <c r="T3" s="1">
        <v>112.4</v>
      </c>
      <c r="U3" s="1">
        <v>110.9</v>
      </c>
      <c r="V3" s="1">
        <v>108.8</v>
      </c>
      <c r="W3" s="1">
        <v>106.2</v>
      </c>
      <c r="X3" s="1">
        <v>103.1</v>
      </c>
      <c r="Y3" s="1">
        <v>99.7</v>
      </c>
      <c r="Z3" s="1">
        <v>96.2</v>
      </c>
      <c r="AA3" s="1">
        <v>92.9</v>
      </c>
      <c r="AB3" s="1">
        <v>90</v>
      </c>
      <c r="AC3" s="1">
        <v>87.8</v>
      </c>
      <c r="AD3" s="1">
        <v>86.3</v>
      </c>
      <c r="AE3" s="1">
        <v>85.8</v>
      </c>
      <c r="AF3" s="1">
        <v>86</v>
      </c>
      <c r="AG3" s="1">
        <v>86.9</v>
      </c>
      <c r="AH3" s="1">
        <v>88.2</v>
      </c>
      <c r="AI3" s="1">
        <v>89.6</v>
      </c>
      <c r="AJ3" s="1">
        <v>91.1</v>
      </c>
      <c r="AK3" s="1">
        <v>92.3</v>
      </c>
      <c r="AL3" s="1">
        <v>93.2</v>
      </c>
      <c r="AM3" s="1">
        <v>93.7</v>
      </c>
      <c r="AN3" s="1">
        <v>93.6</v>
      </c>
      <c r="AO3" s="1">
        <v>92.9</v>
      </c>
      <c r="AP3" s="1">
        <v>91.6</v>
      </c>
      <c r="AQ3" s="1">
        <v>89.8</v>
      </c>
      <c r="AR3" s="1">
        <v>87.7</v>
      </c>
      <c r="AS3" s="1">
        <v>85.5</v>
      </c>
      <c r="AT3" s="1">
        <v>83.3</v>
      </c>
      <c r="AU3" s="1">
        <v>81.2</v>
      </c>
      <c r="AV3" s="1">
        <v>79</v>
      </c>
      <c r="AW3" s="1">
        <v>76.8</v>
      </c>
      <c r="AX3" s="1">
        <v>74.2</v>
      </c>
      <c r="AY3" s="1">
        <v>71.900000000000006</v>
      </c>
      <c r="AZ3" s="1">
        <v>69.099999999999994</v>
      </c>
      <c r="BA3" s="1">
        <v>66.8</v>
      </c>
      <c r="BB3" s="1">
        <v>64.400000000000006</v>
      </c>
      <c r="BC3" s="1">
        <v>62.1</v>
      </c>
      <c r="BD3" s="1">
        <v>60.3</v>
      </c>
      <c r="BE3" s="1">
        <v>58.2</v>
      </c>
      <c r="BF3" s="1">
        <v>56.6</v>
      </c>
      <c r="BG3" s="1">
        <v>55.1</v>
      </c>
    </row>
    <row r="4" spans="1:59" x14ac:dyDescent="0.25">
      <c r="A4" s="18" t="s">
        <v>13</v>
      </c>
      <c r="N4" s="1">
        <v>128</v>
      </c>
      <c r="O4" s="1">
        <v>127.5</v>
      </c>
      <c r="P4" s="1">
        <v>127</v>
      </c>
      <c r="Q4" s="1">
        <v>126.4</v>
      </c>
      <c r="R4" s="1">
        <v>125.9</v>
      </c>
      <c r="S4" s="1">
        <v>125.2</v>
      </c>
      <c r="T4" s="1">
        <v>124.7</v>
      </c>
      <c r="U4" s="1">
        <v>124</v>
      </c>
      <c r="V4" s="1">
        <v>123.3</v>
      </c>
      <c r="W4" s="1">
        <v>122.4</v>
      </c>
      <c r="X4" s="1">
        <v>121.4</v>
      </c>
      <c r="Y4" s="1">
        <v>120.3</v>
      </c>
      <c r="Z4" s="1">
        <v>119.2</v>
      </c>
      <c r="AA4" s="1">
        <v>118.1</v>
      </c>
      <c r="AB4" s="1">
        <v>116.9</v>
      </c>
      <c r="AC4" s="1">
        <v>115.7</v>
      </c>
      <c r="AD4" s="1">
        <v>114.5</v>
      </c>
      <c r="AE4" s="1">
        <v>113.3</v>
      </c>
      <c r="AF4" s="1">
        <v>112.1</v>
      </c>
      <c r="AG4" s="1">
        <v>110.9</v>
      </c>
      <c r="AH4" s="1">
        <v>109.8</v>
      </c>
      <c r="AI4" s="1">
        <v>108.7</v>
      </c>
      <c r="AJ4" s="1">
        <v>107.7</v>
      </c>
      <c r="AK4" s="1">
        <v>106.8</v>
      </c>
      <c r="AL4" s="1">
        <v>105.8</v>
      </c>
      <c r="AM4" s="1">
        <v>104.8</v>
      </c>
      <c r="AN4" s="1">
        <v>103.6</v>
      </c>
      <c r="AO4" s="1">
        <v>102.3</v>
      </c>
      <c r="AP4" s="1">
        <v>100.9</v>
      </c>
      <c r="AQ4" s="1">
        <v>99.4</v>
      </c>
      <c r="AR4" s="1">
        <v>98</v>
      </c>
      <c r="AS4" s="1">
        <v>96.6</v>
      </c>
      <c r="AT4" s="1">
        <v>95.1</v>
      </c>
      <c r="AU4" s="1">
        <v>93.6</v>
      </c>
      <c r="AV4" s="1">
        <v>92.1</v>
      </c>
      <c r="AW4" s="1">
        <v>90.4</v>
      </c>
      <c r="AX4" s="1">
        <v>88.7</v>
      </c>
      <c r="AY4" s="1">
        <v>87</v>
      </c>
      <c r="AZ4" s="1">
        <v>85.2</v>
      </c>
      <c r="BA4" s="1">
        <v>83.4</v>
      </c>
      <c r="BB4" s="1">
        <v>81.7</v>
      </c>
      <c r="BC4" s="1">
        <v>80.099999999999994</v>
      </c>
      <c r="BD4" s="1">
        <v>78.400000000000006</v>
      </c>
      <c r="BE4" s="1">
        <v>76.7</v>
      </c>
      <c r="BF4" s="1">
        <v>75</v>
      </c>
      <c r="BG4" s="1">
        <v>73.400000000000006</v>
      </c>
    </row>
    <row r="5" spans="1:59" x14ac:dyDescent="0.25">
      <c r="A5" s="18" t="s">
        <v>15</v>
      </c>
      <c r="L5" s="1">
        <v>150</v>
      </c>
      <c r="M5" s="1">
        <v>147.1</v>
      </c>
      <c r="N5" s="1">
        <v>144.1</v>
      </c>
      <c r="O5" s="1">
        <v>141.30000000000001</v>
      </c>
      <c r="P5" s="1">
        <v>138.4</v>
      </c>
      <c r="Q5" s="1">
        <v>135.30000000000001</v>
      </c>
      <c r="R5" s="1">
        <v>132.1</v>
      </c>
      <c r="S5" s="1">
        <v>128.80000000000001</v>
      </c>
      <c r="T5" s="1">
        <v>125.4</v>
      </c>
      <c r="U5" s="1">
        <v>121.8</v>
      </c>
      <c r="V5" s="1">
        <v>118.3</v>
      </c>
      <c r="W5" s="1">
        <v>114.8</v>
      </c>
      <c r="X5" s="1">
        <v>111.4</v>
      </c>
      <c r="Y5" s="1">
        <v>108</v>
      </c>
      <c r="Z5" s="1">
        <v>104.7</v>
      </c>
      <c r="AA5" s="1">
        <v>101.5</v>
      </c>
      <c r="AB5" s="1">
        <v>98.4</v>
      </c>
      <c r="AC5" s="1">
        <v>95.6</v>
      </c>
      <c r="AD5" s="1">
        <v>92.9</v>
      </c>
      <c r="AE5" s="1">
        <v>90.3</v>
      </c>
      <c r="AF5" s="1">
        <v>87.7</v>
      </c>
      <c r="AG5" s="1">
        <v>85.2</v>
      </c>
      <c r="AH5" s="1">
        <v>82.8</v>
      </c>
      <c r="AI5" s="1">
        <v>80.599999999999994</v>
      </c>
      <c r="AJ5" s="1">
        <v>78.599999999999994</v>
      </c>
      <c r="AK5" s="1">
        <v>76.900000000000006</v>
      </c>
      <c r="AL5" s="1">
        <v>75.5</v>
      </c>
      <c r="AM5" s="1">
        <v>74.5</v>
      </c>
      <c r="AN5" s="1">
        <v>73.599999999999994</v>
      </c>
      <c r="AO5" s="1">
        <v>73.099999999999994</v>
      </c>
      <c r="AP5" s="1">
        <v>72.7</v>
      </c>
      <c r="AQ5" s="1">
        <v>72.400000000000006</v>
      </c>
      <c r="AR5" s="1">
        <v>72.3</v>
      </c>
      <c r="AS5" s="1">
        <v>72</v>
      </c>
      <c r="AT5" s="1">
        <v>71.400000000000006</v>
      </c>
      <c r="AU5" s="1">
        <v>70.3</v>
      </c>
      <c r="AV5" s="1">
        <v>69</v>
      </c>
      <c r="AW5" s="1">
        <v>67.5</v>
      </c>
      <c r="AX5" s="1">
        <v>65.900000000000006</v>
      </c>
      <c r="AY5" s="1">
        <v>64.3</v>
      </c>
      <c r="AZ5" s="1">
        <v>62.6</v>
      </c>
      <c r="BA5" s="1">
        <v>60.9</v>
      </c>
      <c r="BB5" s="1">
        <v>59.5</v>
      </c>
      <c r="BC5" s="1">
        <v>57.9</v>
      </c>
      <c r="BD5" s="1">
        <v>56.4</v>
      </c>
      <c r="BE5" s="1">
        <v>54.9</v>
      </c>
      <c r="BF5" s="1">
        <v>53.6</v>
      </c>
      <c r="BG5" s="1">
        <v>52.2</v>
      </c>
    </row>
    <row r="6" spans="1:59" x14ac:dyDescent="0.25">
      <c r="A6" s="18" t="s">
        <v>16</v>
      </c>
      <c r="R6" s="1">
        <v>130</v>
      </c>
      <c r="S6" s="1">
        <v>126.6</v>
      </c>
      <c r="T6" s="1">
        <v>123.4</v>
      </c>
      <c r="U6" s="1">
        <v>120.1</v>
      </c>
      <c r="V6" s="1">
        <v>117.1</v>
      </c>
      <c r="W6" s="1">
        <v>114.2</v>
      </c>
      <c r="X6" s="1">
        <v>111.4</v>
      </c>
      <c r="Y6" s="1">
        <v>108.5</v>
      </c>
      <c r="Z6" s="1">
        <v>105.7</v>
      </c>
      <c r="AA6" s="1">
        <v>103</v>
      </c>
      <c r="AB6" s="1">
        <v>100.5</v>
      </c>
      <c r="AC6" s="1">
        <v>98.2</v>
      </c>
      <c r="AD6" s="1">
        <v>96</v>
      </c>
      <c r="AE6" s="1">
        <v>94</v>
      </c>
      <c r="AF6" s="1">
        <v>92.2</v>
      </c>
      <c r="AG6" s="1">
        <v>90.6</v>
      </c>
      <c r="AH6" s="1">
        <v>89.3</v>
      </c>
      <c r="AI6" s="1">
        <v>88.2</v>
      </c>
      <c r="AJ6" s="1">
        <v>87.3</v>
      </c>
      <c r="AK6" s="1">
        <v>86.4</v>
      </c>
      <c r="AL6" s="1">
        <v>85.4</v>
      </c>
      <c r="AM6" s="1">
        <v>84.3</v>
      </c>
      <c r="AN6" s="1">
        <v>83.1</v>
      </c>
      <c r="AO6" s="1">
        <v>81.7</v>
      </c>
      <c r="AP6" s="1">
        <v>80.3</v>
      </c>
      <c r="AQ6" s="1">
        <v>78.7</v>
      </c>
      <c r="AR6" s="1">
        <v>76.900000000000006</v>
      </c>
      <c r="AS6" s="1">
        <v>75.2</v>
      </c>
      <c r="AT6" s="1">
        <v>73.400000000000006</v>
      </c>
      <c r="AU6" s="1">
        <v>71.7</v>
      </c>
      <c r="AV6" s="1">
        <v>69.8</v>
      </c>
      <c r="AW6" s="1">
        <v>67.900000000000006</v>
      </c>
      <c r="AX6" s="1">
        <v>66.099999999999994</v>
      </c>
      <c r="AY6" s="1">
        <v>64.3</v>
      </c>
      <c r="AZ6" s="1">
        <v>62.6</v>
      </c>
      <c r="BA6" s="1">
        <v>60.9</v>
      </c>
      <c r="BB6" s="1">
        <v>59.3</v>
      </c>
      <c r="BC6" s="1">
        <v>57.7</v>
      </c>
      <c r="BD6" s="1">
        <v>56.1</v>
      </c>
      <c r="BE6" s="1">
        <v>54.5</v>
      </c>
      <c r="BF6" s="1">
        <v>53</v>
      </c>
      <c r="BG6" s="1">
        <v>51.5</v>
      </c>
    </row>
    <row r="7" spans="1:59" x14ac:dyDescent="0.25">
      <c r="A7" s="18" t="s">
        <v>1</v>
      </c>
      <c r="H7" s="1">
        <v>143.6</v>
      </c>
      <c r="I7" s="1">
        <v>143.4</v>
      </c>
      <c r="J7" s="1">
        <v>143.30000000000001</v>
      </c>
      <c r="K7" s="1">
        <v>143.30000000000001</v>
      </c>
      <c r="L7" s="1">
        <v>143.4</v>
      </c>
      <c r="M7" s="1">
        <v>143.4</v>
      </c>
      <c r="N7" s="1">
        <v>143.4</v>
      </c>
      <c r="O7" s="1">
        <v>143.30000000000001</v>
      </c>
      <c r="P7" s="1">
        <v>143.19999999999999</v>
      </c>
      <c r="Q7" s="1">
        <v>143.19999999999999</v>
      </c>
      <c r="R7" s="1">
        <v>143.19999999999999</v>
      </c>
      <c r="S7" s="1">
        <v>143.1</v>
      </c>
      <c r="T7" s="1">
        <v>142.80000000000001</v>
      </c>
      <c r="U7" s="1">
        <v>142.19999999999999</v>
      </c>
      <c r="V7" s="1">
        <v>141.19999999999999</v>
      </c>
      <c r="W7" s="1">
        <v>139.80000000000001</v>
      </c>
      <c r="X7" s="1">
        <v>138</v>
      </c>
      <c r="Y7" s="1">
        <v>135.80000000000001</v>
      </c>
      <c r="Z7" s="1">
        <v>133.4</v>
      </c>
      <c r="AA7" s="1">
        <v>131.1</v>
      </c>
      <c r="AB7" s="1">
        <v>128.9</v>
      </c>
      <c r="AC7" s="1">
        <v>126.8</v>
      </c>
      <c r="AD7" s="1">
        <v>124.7</v>
      </c>
      <c r="AE7" s="1">
        <v>122.5</v>
      </c>
      <c r="AF7" s="1">
        <v>120.2</v>
      </c>
      <c r="AG7" s="1">
        <v>117.7</v>
      </c>
      <c r="AH7" s="1">
        <v>114.8</v>
      </c>
      <c r="AI7" s="1">
        <v>111.7</v>
      </c>
      <c r="AJ7" s="1">
        <v>108.2</v>
      </c>
      <c r="AK7" s="1">
        <v>104.7</v>
      </c>
      <c r="AL7" s="1">
        <v>101.2</v>
      </c>
      <c r="AM7" s="1">
        <v>97.8</v>
      </c>
      <c r="AN7" s="1">
        <v>94.6</v>
      </c>
      <c r="AO7" s="1">
        <v>91.4</v>
      </c>
      <c r="AP7" s="1">
        <v>88.2</v>
      </c>
      <c r="AQ7" s="1">
        <v>84.9</v>
      </c>
      <c r="AR7" s="1">
        <v>81.5</v>
      </c>
      <c r="AS7" s="1">
        <v>77.900000000000006</v>
      </c>
      <c r="AT7" s="1">
        <v>74.3</v>
      </c>
      <c r="AU7" s="1">
        <v>70.7</v>
      </c>
      <c r="AV7" s="1">
        <v>67.2</v>
      </c>
      <c r="AW7" s="1">
        <v>63.9</v>
      </c>
      <c r="AX7" s="1">
        <v>60.8</v>
      </c>
      <c r="AY7" s="1">
        <v>57.9</v>
      </c>
      <c r="AZ7" s="1">
        <v>55.3</v>
      </c>
      <c r="BA7" s="1">
        <v>52.7</v>
      </c>
      <c r="BB7" s="1">
        <v>50.4</v>
      </c>
      <c r="BC7" s="1">
        <v>48.2</v>
      </c>
      <c r="BD7" s="1">
        <v>46.1</v>
      </c>
      <c r="BE7" s="1">
        <v>44.2</v>
      </c>
      <c r="BF7" s="1">
        <v>42.5</v>
      </c>
      <c r="BG7" s="1">
        <v>41</v>
      </c>
    </row>
    <row r="8" spans="1:59" x14ac:dyDescent="0.25">
      <c r="A8" s="18" t="s">
        <v>17</v>
      </c>
      <c r="H8" s="1">
        <v>199.9</v>
      </c>
      <c r="I8" s="1">
        <v>198.1</v>
      </c>
      <c r="J8" s="1">
        <v>196.2</v>
      </c>
      <c r="K8" s="1">
        <v>194.2</v>
      </c>
      <c r="L8" s="1">
        <v>192.2</v>
      </c>
      <c r="M8" s="1">
        <v>190.2</v>
      </c>
      <c r="N8" s="1">
        <v>188.1</v>
      </c>
      <c r="O8" s="1">
        <v>186</v>
      </c>
      <c r="P8" s="1">
        <v>183.9</v>
      </c>
      <c r="Q8" s="1">
        <v>181.4</v>
      </c>
      <c r="R8" s="1">
        <v>178.8</v>
      </c>
      <c r="S8" s="1">
        <v>176</v>
      </c>
      <c r="T8" s="1">
        <v>173.1</v>
      </c>
      <c r="U8" s="1">
        <v>170.2</v>
      </c>
      <c r="V8" s="1">
        <v>167.1</v>
      </c>
      <c r="W8" s="1">
        <v>164.2</v>
      </c>
      <c r="X8" s="1">
        <v>161.4</v>
      </c>
      <c r="Y8" s="1">
        <v>158.6</v>
      </c>
      <c r="Z8" s="1">
        <v>155.80000000000001</v>
      </c>
      <c r="AA8" s="1">
        <v>153.1</v>
      </c>
      <c r="AB8" s="1">
        <v>150.4</v>
      </c>
      <c r="AC8" s="1">
        <v>147.6</v>
      </c>
      <c r="AD8" s="1">
        <v>144.80000000000001</v>
      </c>
      <c r="AE8" s="1">
        <v>141.80000000000001</v>
      </c>
      <c r="AF8" s="1">
        <v>138.6</v>
      </c>
      <c r="AG8" s="1">
        <v>135.19999999999999</v>
      </c>
      <c r="AH8" s="1">
        <v>131.5</v>
      </c>
      <c r="AI8" s="1">
        <v>127.8</v>
      </c>
      <c r="AJ8" s="1">
        <v>124.1</v>
      </c>
      <c r="AK8" s="1">
        <v>120.2</v>
      </c>
      <c r="AL8" s="1">
        <v>116.4</v>
      </c>
      <c r="AM8" s="1">
        <v>112.5</v>
      </c>
      <c r="AN8" s="1">
        <v>108.5</v>
      </c>
      <c r="AO8" s="1">
        <v>104.6</v>
      </c>
      <c r="AP8" s="1">
        <v>100.5</v>
      </c>
      <c r="AQ8" s="1">
        <v>96.4</v>
      </c>
      <c r="AR8" s="1">
        <v>92.4</v>
      </c>
      <c r="AS8" s="1">
        <v>88.7</v>
      </c>
      <c r="AT8" s="1">
        <v>85.2</v>
      </c>
      <c r="AU8" s="1">
        <v>82</v>
      </c>
      <c r="AV8" s="1">
        <v>79.099999999999994</v>
      </c>
      <c r="AW8" s="1">
        <v>76.400000000000006</v>
      </c>
      <c r="AX8" s="1">
        <v>73.900000000000006</v>
      </c>
      <c r="AY8" s="1">
        <v>71.599999999999994</v>
      </c>
      <c r="AZ8" s="1">
        <v>69.5</v>
      </c>
      <c r="BA8" s="1">
        <v>67.400000000000006</v>
      </c>
      <c r="BB8" s="1">
        <v>65.400000000000006</v>
      </c>
      <c r="BC8" s="1">
        <v>63.5</v>
      </c>
      <c r="BD8" s="1">
        <v>61.6</v>
      </c>
      <c r="BE8" s="1">
        <v>59.8</v>
      </c>
      <c r="BF8" s="1">
        <v>58.1</v>
      </c>
      <c r="BG8" s="1">
        <v>56.4</v>
      </c>
    </row>
    <row r="9" spans="1:59" x14ac:dyDescent="0.25">
      <c r="A9" s="18" t="s">
        <v>18</v>
      </c>
      <c r="B9" s="1">
        <v>189.8</v>
      </c>
      <c r="C9" s="1">
        <v>186.8</v>
      </c>
      <c r="D9" s="1">
        <v>184</v>
      </c>
      <c r="E9" s="1">
        <v>181.1</v>
      </c>
      <c r="F9" s="1">
        <v>178.3</v>
      </c>
      <c r="G9" s="1">
        <v>175.5</v>
      </c>
      <c r="H9" s="1">
        <v>172.6</v>
      </c>
      <c r="I9" s="1">
        <v>169.5</v>
      </c>
      <c r="J9" s="1">
        <v>166.5</v>
      </c>
      <c r="K9" s="1">
        <v>163.4</v>
      </c>
      <c r="L9" s="1">
        <v>160.19999999999999</v>
      </c>
      <c r="M9" s="1">
        <v>156.9</v>
      </c>
      <c r="N9" s="1">
        <v>153.5</v>
      </c>
      <c r="O9" s="1">
        <v>150.1</v>
      </c>
      <c r="P9" s="1">
        <v>146.80000000000001</v>
      </c>
      <c r="Q9" s="1">
        <v>143.5</v>
      </c>
      <c r="R9" s="1">
        <v>140.19999999999999</v>
      </c>
      <c r="S9" s="1">
        <v>136.9</v>
      </c>
      <c r="T9" s="1">
        <v>133.69999999999999</v>
      </c>
      <c r="U9" s="1">
        <v>130.5</v>
      </c>
      <c r="V9" s="1">
        <v>127.4</v>
      </c>
      <c r="W9" s="1">
        <v>124.4</v>
      </c>
      <c r="X9" s="1">
        <v>121.5</v>
      </c>
      <c r="Y9" s="1">
        <v>118.6</v>
      </c>
      <c r="Z9" s="1">
        <v>115.8</v>
      </c>
      <c r="AA9" s="1">
        <v>113.1</v>
      </c>
      <c r="AB9" s="1">
        <v>110.4</v>
      </c>
      <c r="AC9" s="1">
        <v>107.8</v>
      </c>
      <c r="AD9" s="1">
        <v>105.3</v>
      </c>
      <c r="AE9" s="1">
        <v>102.8</v>
      </c>
      <c r="AF9" s="1">
        <v>100.3</v>
      </c>
      <c r="AG9" s="1">
        <v>97.8</v>
      </c>
      <c r="AH9" s="1">
        <v>95.2</v>
      </c>
      <c r="AI9" s="1">
        <v>92.5</v>
      </c>
      <c r="AJ9" s="1">
        <v>89.9</v>
      </c>
      <c r="AK9" s="1">
        <v>87.3</v>
      </c>
      <c r="AL9" s="1">
        <v>84.6</v>
      </c>
      <c r="AM9" s="1">
        <v>81.900000000000006</v>
      </c>
      <c r="AN9" s="1">
        <v>79.400000000000006</v>
      </c>
      <c r="AO9" s="1">
        <v>76.8</v>
      </c>
      <c r="AP9" s="1">
        <v>74.5</v>
      </c>
      <c r="AQ9" s="1">
        <v>72.3</v>
      </c>
      <c r="AR9" s="1">
        <v>70.400000000000006</v>
      </c>
      <c r="AS9" s="1">
        <v>68.7</v>
      </c>
      <c r="AT9" s="1">
        <v>67.2</v>
      </c>
      <c r="AU9" s="1">
        <v>65.8</v>
      </c>
      <c r="AV9" s="1">
        <v>64.599999999999994</v>
      </c>
      <c r="AW9" s="1">
        <v>63.5</v>
      </c>
      <c r="AX9" s="1">
        <v>62.4</v>
      </c>
      <c r="AY9" s="1">
        <v>61.4</v>
      </c>
      <c r="AZ9" s="1">
        <v>87</v>
      </c>
      <c r="BA9" s="1">
        <v>59.6</v>
      </c>
      <c r="BB9" s="1">
        <v>58.8</v>
      </c>
      <c r="BC9" s="1">
        <v>57.9</v>
      </c>
      <c r="BD9" s="1">
        <v>57</v>
      </c>
      <c r="BE9" s="1">
        <v>56.1</v>
      </c>
      <c r="BF9" s="1">
        <v>55</v>
      </c>
      <c r="BG9" s="1">
        <v>53.9</v>
      </c>
    </row>
    <row r="10" spans="1:59" x14ac:dyDescent="0.25">
      <c r="A10" s="18" t="s">
        <v>19</v>
      </c>
      <c r="B10" s="1">
        <v>117.4</v>
      </c>
      <c r="C10" s="1">
        <v>112.9</v>
      </c>
      <c r="D10" s="1">
        <v>109</v>
      </c>
      <c r="E10" s="1">
        <v>105.6</v>
      </c>
      <c r="F10" s="1">
        <v>102.8</v>
      </c>
      <c r="G10" s="1">
        <v>100.6</v>
      </c>
      <c r="H10" s="1">
        <v>98.9</v>
      </c>
      <c r="I10" s="1">
        <v>97.3</v>
      </c>
      <c r="J10" s="1">
        <v>95.7</v>
      </c>
      <c r="K10" s="1">
        <v>94</v>
      </c>
      <c r="L10" s="1">
        <v>92.2</v>
      </c>
      <c r="M10" s="1">
        <v>90.4</v>
      </c>
      <c r="N10" s="1">
        <v>88.4</v>
      </c>
      <c r="O10" s="1">
        <v>86.3</v>
      </c>
      <c r="P10" s="1">
        <v>84</v>
      </c>
      <c r="Q10" s="1">
        <v>81.599999999999994</v>
      </c>
      <c r="R10" s="1">
        <v>79.2</v>
      </c>
      <c r="S10" s="1">
        <v>76.599999999999994</v>
      </c>
      <c r="T10" s="1">
        <v>74.099999999999994</v>
      </c>
      <c r="U10" s="1">
        <v>71.599999999999994</v>
      </c>
      <c r="V10" s="1">
        <v>69.8</v>
      </c>
      <c r="W10" s="1">
        <v>67.8</v>
      </c>
      <c r="X10" s="1">
        <v>66</v>
      </c>
      <c r="Y10" s="1">
        <v>64.599999999999994</v>
      </c>
      <c r="Z10" s="1">
        <v>63.5</v>
      </c>
      <c r="AA10" s="1">
        <v>62.8</v>
      </c>
      <c r="AB10" s="1">
        <v>62.6</v>
      </c>
      <c r="AC10" s="1">
        <v>62.8</v>
      </c>
      <c r="AD10" s="1">
        <v>63.5</v>
      </c>
      <c r="AE10" s="1">
        <v>64.599999999999994</v>
      </c>
      <c r="AF10" s="1">
        <v>65.900000000000006</v>
      </c>
      <c r="AG10" s="1">
        <v>67.3</v>
      </c>
      <c r="AH10" s="1">
        <v>68.599999999999994</v>
      </c>
      <c r="AI10" s="1">
        <v>69.599999999999994</v>
      </c>
      <c r="AJ10" s="1">
        <v>70.2</v>
      </c>
      <c r="AK10" s="1">
        <v>70.3</v>
      </c>
      <c r="AL10" s="1">
        <v>69.900000000000006</v>
      </c>
      <c r="AM10" s="1">
        <v>69</v>
      </c>
      <c r="AN10" s="1">
        <v>67.7</v>
      </c>
      <c r="AO10" s="1">
        <v>66</v>
      </c>
      <c r="AP10" s="1">
        <v>64</v>
      </c>
      <c r="AQ10" s="1">
        <v>61.7</v>
      </c>
      <c r="AR10" s="1">
        <v>59.1</v>
      </c>
      <c r="AS10" s="1">
        <v>56.4</v>
      </c>
      <c r="AT10" s="1">
        <v>53.5</v>
      </c>
      <c r="AU10" s="1">
        <v>50.4</v>
      </c>
      <c r="AV10" s="1">
        <v>47.7</v>
      </c>
      <c r="AW10" s="1">
        <v>45.5</v>
      </c>
      <c r="AX10" s="1">
        <v>43.1</v>
      </c>
      <c r="AY10" s="1">
        <v>41.4</v>
      </c>
      <c r="AZ10" s="1">
        <v>39.9</v>
      </c>
      <c r="BA10" s="1">
        <v>38.9</v>
      </c>
      <c r="BB10" s="1">
        <v>38.299999999999997</v>
      </c>
      <c r="BC10" s="1">
        <v>37.4</v>
      </c>
      <c r="BD10" s="1">
        <v>36.299999999999997</v>
      </c>
      <c r="BE10" s="1">
        <v>35.1</v>
      </c>
      <c r="BF10" s="1">
        <v>34.299999999999997</v>
      </c>
      <c r="BG10" s="1">
        <v>33.6</v>
      </c>
    </row>
    <row r="11" spans="1:59" x14ac:dyDescent="0.25">
      <c r="A11" s="18" t="s">
        <v>20</v>
      </c>
    </row>
    <row r="12" spans="1:59" x14ac:dyDescent="0.25">
      <c r="A12" s="18" t="s">
        <v>21</v>
      </c>
      <c r="B12" s="1">
        <v>208.8</v>
      </c>
      <c r="C12" s="1">
        <v>209</v>
      </c>
      <c r="D12" s="1">
        <v>208.7</v>
      </c>
      <c r="E12" s="1">
        <v>208</v>
      </c>
      <c r="F12" s="1">
        <v>206.9</v>
      </c>
      <c r="G12" s="1">
        <v>205.3</v>
      </c>
      <c r="H12" s="1">
        <v>203.2</v>
      </c>
      <c r="I12" s="1">
        <v>200.6</v>
      </c>
      <c r="J12" s="1">
        <v>197.4</v>
      </c>
      <c r="K12" s="1">
        <v>193.9</v>
      </c>
      <c r="L12" s="1">
        <v>190.3</v>
      </c>
      <c r="M12" s="1">
        <v>187</v>
      </c>
      <c r="N12" s="1">
        <v>183.9</v>
      </c>
      <c r="O12" s="1">
        <v>180.9</v>
      </c>
      <c r="P12" s="1">
        <v>177.7</v>
      </c>
      <c r="Q12" s="1">
        <v>174.5</v>
      </c>
      <c r="R12" s="1">
        <v>171.5</v>
      </c>
      <c r="S12" s="1">
        <v>168.9</v>
      </c>
      <c r="T12" s="1">
        <v>166.3</v>
      </c>
      <c r="U12" s="1">
        <v>164</v>
      </c>
      <c r="V12" s="1">
        <v>161.69999999999999</v>
      </c>
      <c r="W12" s="1">
        <v>159.80000000000001</v>
      </c>
      <c r="X12" s="1">
        <v>158.30000000000001</v>
      </c>
      <c r="Y12" s="1">
        <v>157.5</v>
      </c>
      <c r="Z12" s="1">
        <v>157.5</v>
      </c>
      <c r="AA12" s="1">
        <v>158.5</v>
      </c>
      <c r="AB12" s="1">
        <v>160.69999999999999</v>
      </c>
      <c r="AC12" s="1">
        <v>163.80000000000001</v>
      </c>
      <c r="AD12" s="1">
        <v>167.4</v>
      </c>
      <c r="AE12" s="1">
        <v>171</v>
      </c>
      <c r="AF12" s="1">
        <v>173.7</v>
      </c>
      <c r="AG12" s="1">
        <v>175</v>
      </c>
      <c r="AH12" s="1">
        <v>174.4</v>
      </c>
      <c r="AI12" s="1">
        <v>171.9</v>
      </c>
      <c r="AJ12" s="1">
        <v>167.7</v>
      </c>
      <c r="AK12" s="1">
        <v>162.19999999999999</v>
      </c>
      <c r="AL12" s="1">
        <v>155.80000000000001</v>
      </c>
      <c r="AM12" s="1">
        <v>148.69999999999999</v>
      </c>
      <c r="AN12" s="1">
        <v>141.30000000000001</v>
      </c>
      <c r="AO12" s="1">
        <v>133.6</v>
      </c>
      <c r="AP12" s="1">
        <v>125.7</v>
      </c>
      <c r="AQ12" s="1">
        <v>117.8</v>
      </c>
      <c r="AR12" s="1">
        <v>110.3</v>
      </c>
      <c r="AS12" s="1">
        <v>103</v>
      </c>
      <c r="AT12" s="1">
        <v>96</v>
      </c>
      <c r="AU12" s="1">
        <v>89.9</v>
      </c>
      <c r="AV12" s="1">
        <v>84.6</v>
      </c>
      <c r="AW12" s="1">
        <v>80.2</v>
      </c>
      <c r="AX12" s="1">
        <v>76.5</v>
      </c>
      <c r="AY12" s="1">
        <v>73.3</v>
      </c>
      <c r="AZ12" s="1">
        <v>70.400000000000006</v>
      </c>
      <c r="BA12" s="1">
        <v>67.8</v>
      </c>
      <c r="BB12" s="1">
        <v>65.400000000000006</v>
      </c>
      <c r="BC12" s="1">
        <v>63.2</v>
      </c>
      <c r="BD12" s="1">
        <v>61.2</v>
      </c>
      <c r="BE12" s="1">
        <v>59.3</v>
      </c>
      <c r="BF12" s="1">
        <v>57.6</v>
      </c>
      <c r="BG12" s="1">
        <v>55.9</v>
      </c>
    </row>
    <row r="13" spans="1:59" x14ac:dyDescent="0.25">
      <c r="A13" s="18" t="s">
        <v>22</v>
      </c>
      <c r="J13" s="1">
        <v>90.9</v>
      </c>
      <c r="K13" s="1">
        <v>91.7</v>
      </c>
      <c r="L13" s="1">
        <v>92.6</v>
      </c>
      <c r="M13" s="1">
        <v>93.6</v>
      </c>
      <c r="N13" s="1">
        <v>94.8</v>
      </c>
      <c r="O13" s="1">
        <v>96.1</v>
      </c>
      <c r="P13" s="1">
        <v>97.6</v>
      </c>
      <c r="Q13" s="1">
        <v>99.1</v>
      </c>
      <c r="R13" s="1">
        <v>100.4</v>
      </c>
      <c r="S13" s="1">
        <v>101.7</v>
      </c>
      <c r="T13" s="1">
        <v>102.8</v>
      </c>
      <c r="U13" s="1">
        <v>103.8</v>
      </c>
      <c r="V13" s="1">
        <v>105.1</v>
      </c>
      <c r="W13" s="1">
        <v>106.7</v>
      </c>
      <c r="X13" s="1">
        <v>108.2</v>
      </c>
      <c r="Y13" s="1">
        <v>109.2</v>
      </c>
      <c r="Z13" s="1">
        <v>109.5</v>
      </c>
      <c r="AA13" s="1">
        <v>109.1</v>
      </c>
      <c r="AB13" s="1">
        <v>108</v>
      </c>
      <c r="AC13" s="1">
        <v>106</v>
      </c>
      <c r="AD13" s="1">
        <v>103.4</v>
      </c>
      <c r="AE13" s="1">
        <v>100.6</v>
      </c>
      <c r="AF13" s="1">
        <v>97.7</v>
      </c>
      <c r="AG13" s="1">
        <v>95</v>
      </c>
      <c r="AH13" s="1">
        <v>92.4</v>
      </c>
      <c r="AI13" s="1">
        <v>90</v>
      </c>
      <c r="AJ13" s="1">
        <v>87.7</v>
      </c>
      <c r="AK13" s="1">
        <v>85.1</v>
      </c>
      <c r="AL13" s="1">
        <v>82.2</v>
      </c>
      <c r="AM13" s="1">
        <v>79</v>
      </c>
      <c r="AN13" s="1">
        <v>75.5</v>
      </c>
      <c r="AO13" s="1">
        <v>71.900000000000006</v>
      </c>
      <c r="AP13" s="1">
        <v>68.5</v>
      </c>
      <c r="AQ13" s="1">
        <v>65.2</v>
      </c>
      <c r="AR13" s="1">
        <v>62.1</v>
      </c>
      <c r="AS13" s="1">
        <v>59.3</v>
      </c>
      <c r="AT13" s="1">
        <v>56.6</v>
      </c>
      <c r="AU13" s="1">
        <v>54</v>
      </c>
      <c r="AV13" s="1">
        <v>51.7</v>
      </c>
      <c r="AW13" s="1">
        <v>49.4</v>
      </c>
      <c r="AX13" s="1">
        <v>47.1</v>
      </c>
      <c r="AY13" s="1">
        <v>45</v>
      </c>
      <c r="AZ13" s="1">
        <v>42.9</v>
      </c>
      <c r="BA13" s="1">
        <v>40.9</v>
      </c>
      <c r="BB13" s="1">
        <v>39</v>
      </c>
      <c r="BC13" s="1">
        <v>37.4</v>
      </c>
      <c r="BD13" s="1">
        <v>36.1</v>
      </c>
      <c r="BE13" s="1">
        <v>34.9</v>
      </c>
      <c r="BF13" s="1">
        <v>33.700000000000003</v>
      </c>
      <c r="BG13" s="1">
        <v>32.700000000000003</v>
      </c>
    </row>
    <row r="14" spans="1:59" x14ac:dyDescent="0.25">
      <c r="A14" s="18" t="s">
        <v>23</v>
      </c>
      <c r="G14" s="1">
        <v>211.8</v>
      </c>
      <c r="H14" s="1">
        <v>210.4</v>
      </c>
      <c r="I14" s="1">
        <v>209.1</v>
      </c>
      <c r="J14" s="1">
        <v>207.6</v>
      </c>
      <c r="K14" s="1">
        <v>205.7</v>
      </c>
      <c r="L14" s="1">
        <v>203.1</v>
      </c>
      <c r="M14" s="1">
        <v>199.7</v>
      </c>
      <c r="N14" s="1">
        <v>195.4</v>
      </c>
      <c r="O14" s="1">
        <v>190.5</v>
      </c>
      <c r="P14" s="1">
        <v>185.1</v>
      </c>
      <c r="Q14" s="1">
        <v>179.4</v>
      </c>
      <c r="R14" s="1">
        <v>173.5</v>
      </c>
      <c r="S14" s="1">
        <v>167.6</v>
      </c>
      <c r="T14" s="1">
        <v>161.19999999999999</v>
      </c>
      <c r="U14" s="1">
        <v>155.30000000000001</v>
      </c>
      <c r="V14" s="1">
        <v>149.9</v>
      </c>
      <c r="W14" s="1">
        <v>145.80000000000001</v>
      </c>
      <c r="X14" s="1">
        <v>143.30000000000001</v>
      </c>
      <c r="Y14" s="1">
        <v>142.80000000000001</v>
      </c>
      <c r="Z14" s="1">
        <v>143.69999999999999</v>
      </c>
      <c r="AA14" s="1">
        <v>145.19999999999999</v>
      </c>
      <c r="AB14" s="1">
        <v>146.30000000000001</v>
      </c>
      <c r="AC14" s="1">
        <v>146.5</v>
      </c>
      <c r="AD14" s="1">
        <v>145</v>
      </c>
      <c r="AE14" s="1">
        <v>142.1</v>
      </c>
      <c r="AF14" s="1">
        <v>138.19999999999999</v>
      </c>
      <c r="AG14" s="1">
        <v>133.69999999999999</v>
      </c>
      <c r="AH14" s="1">
        <v>129.1</v>
      </c>
      <c r="AI14" s="1">
        <v>124.9</v>
      </c>
      <c r="AJ14" s="1">
        <v>121.2</v>
      </c>
      <c r="AK14" s="1">
        <v>118.1</v>
      </c>
      <c r="AL14" s="1">
        <v>115.8</v>
      </c>
      <c r="AM14" s="1">
        <v>113.5</v>
      </c>
      <c r="AN14" s="1">
        <v>110.6</v>
      </c>
      <c r="AO14" s="1">
        <v>106.5</v>
      </c>
      <c r="AP14" s="1">
        <v>101.1</v>
      </c>
      <c r="AQ14" s="1">
        <v>94.4</v>
      </c>
      <c r="AR14" s="1">
        <v>87.1</v>
      </c>
      <c r="AS14" s="1">
        <v>80.2</v>
      </c>
      <c r="AT14" s="1">
        <v>74</v>
      </c>
      <c r="AU14" s="1">
        <v>69.2</v>
      </c>
      <c r="AV14" s="1">
        <v>65.8</v>
      </c>
      <c r="AW14" s="1">
        <v>63.4</v>
      </c>
      <c r="AX14" s="1">
        <v>60.5</v>
      </c>
      <c r="AY14" s="1">
        <v>58.4</v>
      </c>
      <c r="AZ14" s="1">
        <v>56.2</v>
      </c>
      <c r="BA14" s="1">
        <v>52.9</v>
      </c>
      <c r="BB14" s="1">
        <v>49.2</v>
      </c>
      <c r="BC14" s="1">
        <v>46.4</v>
      </c>
      <c r="BD14" s="1">
        <v>44.1</v>
      </c>
      <c r="BE14" s="1">
        <v>42</v>
      </c>
      <c r="BF14" s="1">
        <v>40.200000000000003</v>
      </c>
      <c r="BG14" s="1">
        <v>38.5</v>
      </c>
    </row>
    <row r="15" spans="1:59" x14ac:dyDescent="0.25">
      <c r="A15" s="18" t="s">
        <v>24</v>
      </c>
      <c r="E15" s="1">
        <v>213.6</v>
      </c>
      <c r="F15" s="1">
        <v>210.1</v>
      </c>
      <c r="G15" s="1">
        <v>206.6</v>
      </c>
      <c r="H15" s="1">
        <v>203.3</v>
      </c>
      <c r="I15" s="1">
        <v>200.6</v>
      </c>
      <c r="J15" s="1">
        <v>198.2</v>
      </c>
      <c r="K15" s="1">
        <v>196.1</v>
      </c>
      <c r="L15" s="1">
        <v>194.2</v>
      </c>
      <c r="M15" s="1">
        <v>192.3</v>
      </c>
      <c r="N15" s="1">
        <v>189.9</v>
      </c>
      <c r="O15" s="1">
        <v>187.3</v>
      </c>
      <c r="P15" s="1">
        <v>184</v>
      </c>
      <c r="Q15" s="1">
        <v>180.3</v>
      </c>
      <c r="R15" s="1">
        <v>176.3</v>
      </c>
      <c r="S15" s="1">
        <v>172.2</v>
      </c>
      <c r="T15" s="1">
        <v>168.2</v>
      </c>
      <c r="U15" s="1">
        <v>164.5</v>
      </c>
      <c r="V15" s="1">
        <v>160.9</v>
      </c>
      <c r="W15" s="1">
        <v>157.5</v>
      </c>
      <c r="X15" s="1">
        <v>153.9</v>
      </c>
      <c r="Y15" s="1">
        <v>150.30000000000001</v>
      </c>
      <c r="Z15" s="1">
        <v>146.80000000000001</v>
      </c>
      <c r="AA15" s="1">
        <v>143.5</v>
      </c>
      <c r="AB15" s="1">
        <v>140.4</v>
      </c>
      <c r="AC15" s="1">
        <v>137.5</v>
      </c>
      <c r="AD15" s="1">
        <v>134.9</v>
      </c>
      <c r="AE15" s="1">
        <v>132.4</v>
      </c>
      <c r="AF15" s="1">
        <v>130.1</v>
      </c>
      <c r="AG15" s="1">
        <v>128.19999999999999</v>
      </c>
      <c r="AH15" s="1">
        <v>126.7</v>
      </c>
      <c r="AI15" s="1">
        <v>125.5</v>
      </c>
      <c r="AJ15" s="1">
        <v>124.7</v>
      </c>
      <c r="AK15" s="1">
        <v>123.9</v>
      </c>
      <c r="AL15" s="1">
        <v>123.1</v>
      </c>
      <c r="AM15" s="1">
        <v>122</v>
      </c>
      <c r="AN15" s="1">
        <v>120.5</v>
      </c>
      <c r="AO15" s="1">
        <v>118.3</v>
      </c>
      <c r="AP15" s="1">
        <v>115.3</v>
      </c>
      <c r="AQ15" s="1">
        <v>111.7</v>
      </c>
      <c r="AR15" s="1">
        <v>107.7</v>
      </c>
      <c r="AS15" s="1">
        <v>103.3</v>
      </c>
      <c r="AT15" s="1">
        <v>98.9</v>
      </c>
      <c r="AU15" s="1">
        <v>94.6</v>
      </c>
      <c r="AV15" s="1">
        <v>90.7</v>
      </c>
      <c r="AW15" s="1">
        <v>87.3</v>
      </c>
      <c r="AX15" s="1">
        <v>84.3</v>
      </c>
      <c r="AY15" s="1">
        <v>81.599999999999994</v>
      </c>
      <c r="AZ15" s="1">
        <v>79.099999999999994</v>
      </c>
      <c r="BA15" s="1">
        <v>76.900000000000006</v>
      </c>
      <c r="BB15" s="1">
        <v>74.7</v>
      </c>
      <c r="BC15" s="1">
        <v>72.8</v>
      </c>
      <c r="BD15" s="1">
        <v>71</v>
      </c>
      <c r="BE15" s="1">
        <v>69.2</v>
      </c>
      <c r="BF15" s="1">
        <v>67.400000000000006</v>
      </c>
      <c r="BG15" s="1">
        <v>65.8</v>
      </c>
    </row>
    <row r="16" spans="1:59" x14ac:dyDescent="0.25">
      <c r="A16" s="18" t="s">
        <v>25</v>
      </c>
      <c r="M16" s="1">
        <v>49.3</v>
      </c>
      <c r="N16" s="1">
        <v>48.2</v>
      </c>
      <c r="O16" s="1">
        <v>47</v>
      </c>
      <c r="P16" s="1">
        <v>45.8</v>
      </c>
      <c r="Q16" s="1">
        <v>44.7</v>
      </c>
      <c r="R16" s="1">
        <v>43.5</v>
      </c>
      <c r="S16" s="1">
        <v>42.4</v>
      </c>
      <c r="T16" s="1">
        <v>41.3</v>
      </c>
      <c r="U16" s="1">
        <v>40.4</v>
      </c>
      <c r="V16" s="1">
        <v>39.5</v>
      </c>
      <c r="W16" s="1">
        <v>38.5</v>
      </c>
      <c r="X16" s="1">
        <v>37.200000000000003</v>
      </c>
      <c r="Y16" s="1">
        <v>35.799999999999997</v>
      </c>
      <c r="Z16" s="1">
        <v>34.299999999999997</v>
      </c>
      <c r="AA16" s="1">
        <v>32.799999999999997</v>
      </c>
      <c r="AB16" s="1">
        <v>31.3</v>
      </c>
      <c r="AC16" s="1">
        <v>29.8</v>
      </c>
      <c r="AD16" s="1">
        <v>28.7</v>
      </c>
      <c r="AE16" s="1">
        <v>27.8</v>
      </c>
      <c r="AF16" s="1">
        <v>27.5</v>
      </c>
      <c r="AG16" s="1">
        <v>27.7</v>
      </c>
      <c r="AH16" s="1">
        <v>28.4</v>
      </c>
      <c r="AI16" s="1">
        <v>29.5</v>
      </c>
      <c r="AJ16" s="1">
        <v>30.5</v>
      </c>
      <c r="AK16" s="1">
        <v>31.2</v>
      </c>
      <c r="AL16" s="1">
        <v>31.5</v>
      </c>
      <c r="AM16" s="1">
        <v>31</v>
      </c>
      <c r="AN16" s="1">
        <v>30</v>
      </c>
      <c r="AO16" s="1">
        <v>28.3</v>
      </c>
      <c r="AP16" s="1">
        <v>26.2</v>
      </c>
      <c r="AQ16" s="1">
        <v>23.8</v>
      </c>
      <c r="AR16" s="1">
        <v>21.6</v>
      </c>
      <c r="AS16" s="1">
        <v>19.600000000000001</v>
      </c>
      <c r="AT16" s="1">
        <v>18</v>
      </c>
      <c r="AU16" s="1">
        <v>16.8</v>
      </c>
      <c r="AV16" s="1">
        <v>16</v>
      </c>
      <c r="AW16" s="1">
        <v>15.5</v>
      </c>
      <c r="AX16" s="1">
        <v>15.1</v>
      </c>
      <c r="AY16" s="1">
        <v>14.9</v>
      </c>
      <c r="AZ16" s="1">
        <v>14.8</v>
      </c>
      <c r="BA16" s="1">
        <v>14.6</v>
      </c>
      <c r="BB16" s="1">
        <v>14.4</v>
      </c>
      <c r="BC16" s="1">
        <v>14.2</v>
      </c>
      <c r="BD16" s="1">
        <v>14</v>
      </c>
      <c r="BE16" s="1">
        <v>13.8</v>
      </c>
      <c r="BF16" s="1">
        <v>13.5</v>
      </c>
      <c r="BG16" s="1">
        <v>13.3</v>
      </c>
    </row>
    <row r="17" spans="1:59" x14ac:dyDescent="0.25">
      <c r="A17" s="18" t="s">
        <v>26</v>
      </c>
      <c r="G17" s="1">
        <v>181.1</v>
      </c>
      <c r="H17" s="1">
        <v>181.8</v>
      </c>
      <c r="I17" s="1">
        <v>182.4</v>
      </c>
      <c r="J17" s="1">
        <v>182.8</v>
      </c>
      <c r="K17" s="1">
        <v>182.7</v>
      </c>
      <c r="L17" s="1">
        <v>182.4</v>
      </c>
      <c r="M17" s="1">
        <v>181.8</v>
      </c>
      <c r="N17" s="1">
        <v>180.9</v>
      </c>
      <c r="O17" s="1">
        <v>179.9</v>
      </c>
      <c r="P17" s="1">
        <v>178.9</v>
      </c>
      <c r="Q17" s="1">
        <v>177.8</v>
      </c>
      <c r="R17" s="1">
        <v>176.8</v>
      </c>
      <c r="S17" s="1">
        <v>175.9</v>
      </c>
      <c r="T17" s="1">
        <v>175.3</v>
      </c>
      <c r="U17" s="1">
        <v>174.7</v>
      </c>
      <c r="V17" s="1">
        <v>174.5</v>
      </c>
      <c r="W17" s="1">
        <v>174.2</v>
      </c>
      <c r="X17" s="1">
        <v>173.5</v>
      </c>
      <c r="Y17" s="1">
        <v>172.6</v>
      </c>
      <c r="Z17" s="1">
        <v>171.1</v>
      </c>
      <c r="AA17" s="1">
        <v>169.4</v>
      </c>
      <c r="AB17" s="1">
        <v>167.5</v>
      </c>
      <c r="AC17" s="1">
        <v>165.5</v>
      </c>
      <c r="AD17" s="1">
        <v>163.6</v>
      </c>
      <c r="AE17" s="1">
        <v>161.5</v>
      </c>
      <c r="AF17" s="1">
        <v>159.4</v>
      </c>
      <c r="AG17" s="1">
        <v>157.1</v>
      </c>
      <c r="AH17" s="1">
        <v>154.4</v>
      </c>
      <c r="AI17" s="1">
        <v>151.19999999999999</v>
      </c>
      <c r="AJ17" s="1">
        <v>147.4</v>
      </c>
      <c r="AK17" s="1">
        <v>143</v>
      </c>
      <c r="AL17" s="1">
        <v>137.69999999999999</v>
      </c>
      <c r="AM17" s="1">
        <v>131.69999999999999</v>
      </c>
      <c r="AN17" s="1">
        <v>125.4</v>
      </c>
      <c r="AO17" s="1">
        <v>119.3</v>
      </c>
      <c r="AP17" s="1">
        <v>113.3</v>
      </c>
      <c r="AQ17" s="1">
        <v>107.6</v>
      </c>
      <c r="AR17" s="1">
        <v>102.3</v>
      </c>
      <c r="AS17" s="1">
        <v>97.4</v>
      </c>
      <c r="AT17" s="1">
        <v>92.9</v>
      </c>
      <c r="AU17" s="1">
        <v>88.7</v>
      </c>
      <c r="AV17" s="1">
        <v>84.6</v>
      </c>
      <c r="AW17" s="1">
        <v>79.900000000000006</v>
      </c>
      <c r="AX17" s="1">
        <v>76.5</v>
      </c>
      <c r="AY17" s="1">
        <v>72.8</v>
      </c>
      <c r="AZ17" s="1">
        <v>70.7</v>
      </c>
      <c r="BA17" s="1">
        <v>66.900000000000006</v>
      </c>
      <c r="BB17" s="1">
        <v>63.5</v>
      </c>
      <c r="BC17" s="1">
        <v>60.9</v>
      </c>
      <c r="BD17" s="1">
        <v>58.9</v>
      </c>
      <c r="BE17" s="1">
        <v>57</v>
      </c>
      <c r="BF17" s="1">
        <v>55.2</v>
      </c>
      <c r="BG17" s="1">
        <v>53.3</v>
      </c>
    </row>
    <row r="18" spans="1:59" x14ac:dyDescent="0.25">
      <c r="A18" s="18" t="s">
        <v>28</v>
      </c>
      <c r="J18" s="1">
        <v>122.5</v>
      </c>
      <c r="K18" s="1">
        <v>120.5</v>
      </c>
      <c r="L18" s="1">
        <v>118.5</v>
      </c>
      <c r="M18" s="1">
        <v>116.5</v>
      </c>
      <c r="N18" s="1">
        <v>114.4</v>
      </c>
      <c r="O18" s="1">
        <v>112.4</v>
      </c>
      <c r="P18" s="1">
        <v>110.4</v>
      </c>
      <c r="Q18" s="1">
        <v>108.1</v>
      </c>
      <c r="R18" s="1">
        <v>106</v>
      </c>
      <c r="S18" s="1">
        <v>103.9</v>
      </c>
      <c r="T18" s="1">
        <v>101.7</v>
      </c>
      <c r="U18" s="1">
        <v>99.7</v>
      </c>
      <c r="V18" s="1">
        <v>97.8</v>
      </c>
      <c r="W18" s="1">
        <v>96</v>
      </c>
      <c r="X18" s="1">
        <v>94.2</v>
      </c>
      <c r="Y18" s="1">
        <v>92.6</v>
      </c>
      <c r="Z18" s="1">
        <v>91</v>
      </c>
      <c r="AA18" s="1">
        <v>89.5</v>
      </c>
      <c r="AB18" s="1">
        <v>88</v>
      </c>
      <c r="AC18" s="1">
        <v>86.6</v>
      </c>
      <c r="AD18" s="1">
        <v>85.1</v>
      </c>
      <c r="AE18" s="1">
        <v>83.6</v>
      </c>
      <c r="AF18" s="1">
        <v>81.900000000000006</v>
      </c>
      <c r="AG18" s="1">
        <v>80.2</v>
      </c>
      <c r="AH18" s="1">
        <v>78.5</v>
      </c>
      <c r="AI18" s="1">
        <v>76.8</v>
      </c>
      <c r="AJ18" s="1">
        <v>75.099999999999994</v>
      </c>
      <c r="AK18" s="1">
        <v>73.400000000000006</v>
      </c>
      <c r="AL18" s="1">
        <v>71.8</v>
      </c>
      <c r="AM18" s="1">
        <v>70.099999999999994</v>
      </c>
      <c r="AN18" s="1">
        <v>68.5</v>
      </c>
      <c r="AO18" s="1">
        <v>67</v>
      </c>
      <c r="AP18" s="1">
        <v>65.5</v>
      </c>
      <c r="AQ18" s="1">
        <v>64</v>
      </c>
      <c r="AR18" s="1">
        <v>62.4</v>
      </c>
      <c r="AS18" s="1">
        <v>60.8</v>
      </c>
      <c r="AT18" s="1">
        <v>59.2</v>
      </c>
      <c r="AU18" s="1">
        <v>57.6</v>
      </c>
      <c r="AV18" s="1">
        <v>55.9</v>
      </c>
      <c r="AW18" s="1">
        <v>54.2</v>
      </c>
      <c r="AX18" s="1">
        <v>56.8</v>
      </c>
      <c r="AY18" s="1">
        <v>50.8</v>
      </c>
      <c r="AZ18" s="1">
        <v>49</v>
      </c>
      <c r="BA18" s="1">
        <v>47.3</v>
      </c>
      <c r="BB18" s="1">
        <v>45.6</v>
      </c>
      <c r="BC18" s="1">
        <v>44.1</v>
      </c>
      <c r="BD18" s="1">
        <v>42.5</v>
      </c>
      <c r="BE18" s="1">
        <v>41.1</v>
      </c>
      <c r="BF18" s="1">
        <v>39.9</v>
      </c>
      <c r="BG18" s="1">
        <v>38.5</v>
      </c>
    </row>
    <row r="19" spans="1:59" x14ac:dyDescent="0.25">
      <c r="A19" s="18" t="s">
        <v>29</v>
      </c>
      <c r="B19" s="1">
        <v>216.5</v>
      </c>
      <c r="C19" s="1">
        <v>213.8</v>
      </c>
      <c r="D19" s="1">
        <v>210.4</v>
      </c>
      <c r="E19" s="1">
        <v>206.6</v>
      </c>
      <c r="F19" s="1">
        <v>202.4</v>
      </c>
      <c r="G19" s="1">
        <v>198</v>
      </c>
      <c r="H19" s="1">
        <v>193.5</v>
      </c>
      <c r="I19" s="1">
        <v>189</v>
      </c>
      <c r="J19" s="1">
        <v>184.5</v>
      </c>
      <c r="K19" s="1">
        <v>180.2</v>
      </c>
      <c r="L19" s="1">
        <v>176.3</v>
      </c>
      <c r="M19" s="1">
        <v>172.5</v>
      </c>
      <c r="N19" s="1">
        <v>168.8</v>
      </c>
      <c r="O19" s="1">
        <v>165.2</v>
      </c>
      <c r="P19" s="1">
        <v>161.6</v>
      </c>
      <c r="Q19" s="1">
        <v>158.19999999999999</v>
      </c>
      <c r="R19" s="1">
        <v>154.69999999999999</v>
      </c>
      <c r="S19" s="1">
        <v>151</v>
      </c>
      <c r="T19" s="1">
        <v>147.19999999999999</v>
      </c>
      <c r="U19" s="1">
        <v>143.4</v>
      </c>
      <c r="V19" s="1">
        <v>139.4</v>
      </c>
      <c r="W19" s="1">
        <v>135.5</v>
      </c>
      <c r="X19" s="1">
        <v>131.5</v>
      </c>
      <c r="Y19" s="1">
        <v>127.5</v>
      </c>
      <c r="Z19" s="1">
        <v>123.4</v>
      </c>
      <c r="AA19" s="1">
        <v>119.2</v>
      </c>
      <c r="AB19" s="1">
        <v>115.1</v>
      </c>
      <c r="AC19" s="1">
        <v>110.8</v>
      </c>
      <c r="AD19" s="1">
        <v>106.5</v>
      </c>
      <c r="AE19" s="1">
        <v>102</v>
      </c>
      <c r="AF19" s="1">
        <v>97.5</v>
      </c>
      <c r="AG19" s="1">
        <v>93.1</v>
      </c>
      <c r="AH19" s="1">
        <v>88.8</v>
      </c>
      <c r="AI19" s="1">
        <v>84.6</v>
      </c>
      <c r="AJ19" s="1">
        <v>80.7</v>
      </c>
      <c r="AK19" s="1">
        <v>76.900000000000006</v>
      </c>
      <c r="AL19" s="1">
        <v>73.3</v>
      </c>
      <c r="AM19" s="1">
        <v>69.8</v>
      </c>
      <c r="AN19" s="1">
        <v>66.5</v>
      </c>
      <c r="AO19" s="1">
        <v>63.3</v>
      </c>
      <c r="AP19" s="1">
        <v>60.2</v>
      </c>
      <c r="AQ19" s="1">
        <v>57.3</v>
      </c>
      <c r="AR19" s="1">
        <v>54.6</v>
      </c>
      <c r="AS19" s="1">
        <v>52.1</v>
      </c>
      <c r="AT19" s="1">
        <v>49.6</v>
      </c>
      <c r="AU19" s="1">
        <v>47.3</v>
      </c>
      <c r="AV19" s="1">
        <v>45.2</v>
      </c>
      <c r="AW19" s="1">
        <v>43.1</v>
      </c>
      <c r="AX19" s="1">
        <v>41.1</v>
      </c>
      <c r="AY19" s="1">
        <v>39.299999999999997</v>
      </c>
      <c r="AZ19" s="1">
        <v>37.5</v>
      </c>
      <c r="BA19" s="1">
        <v>35.799999999999997</v>
      </c>
      <c r="BB19" s="1">
        <v>34.200000000000003</v>
      </c>
      <c r="BC19" s="1">
        <v>32.6</v>
      </c>
      <c r="BD19" s="1">
        <v>31.2</v>
      </c>
      <c r="BE19" s="1">
        <v>29.9</v>
      </c>
      <c r="BF19" s="1">
        <v>28.8</v>
      </c>
      <c r="BG19" s="1">
        <v>27.8</v>
      </c>
    </row>
    <row r="20" spans="1:59" x14ac:dyDescent="0.25">
      <c r="A20" s="18" t="s">
        <v>30</v>
      </c>
      <c r="B20" s="1">
        <v>133</v>
      </c>
      <c r="C20" s="1">
        <v>131.69999999999999</v>
      </c>
      <c r="D20" s="1">
        <v>130.4</v>
      </c>
      <c r="E20" s="1">
        <v>129.1</v>
      </c>
      <c r="F20" s="1">
        <v>127.6</v>
      </c>
      <c r="G20" s="1">
        <v>126.1</v>
      </c>
      <c r="H20" s="1">
        <v>124.4</v>
      </c>
      <c r="I20" s="1">
        <v>122.6</v>
      </c>
      <c r="J20" s="1">
        <v>120.6</v>
      </c>
      <c r="K20" s="1">
        <v>118.6</v>
      </c>
      <c r="L20" s="1">
        <v>116.3</v>
      </c>
      <c r="M20" s="1">
        <v>113.7</v>
      </c>
      <c r="N20" s="1">
        <v>110.8</v>
      </c>
      <c r="O20" s="1">
        <v>107.5</v>
      </c>
      <c r="P20" s="1">
        <v>103.9</v>
      </c>
      <c r="Q20" s="1">
        <v>99.8</v>
      </c>
      <c r="R20" s="1">
        <v>95.4</v>
      </c>
      <c r="S20" s="1">
        <v>90.8</v>
      </c>
      <c r="T20" s="1">
        <v>86.1</v>
      </c>
      <c r="U20" s="1">
        <v>81.599999999999994</v>
      </c>
      <c r="V20" s="1">
        <v>77.2</v>
      </c>
      <c r="W20" s="1">
        <v>73.2</v>
      </c>
      <c r="X20" s="1">
        <v>69.5</v>
      </c>
      <c r="Y20" s="1">
        <v>66.2</v>
      </c>
      <c r="Z20" s="1">
        <v>63.3</v>
      </c>
      <c r="AA20" s="1">
        <v>60.8</v>
      </c>
      <c r="AB20" s="1">
        <v>58.6</v>
      </c>
      <c r="AC20" s="1">
        <v>56.6</v>
      </c>
      <c r="AD20" s="1">
        <v>54.7</v>
      </c>
      <c r="AE20" s="1">
        <v>52.8</v>
      </c>
      <c r="AF20" s="1">
        <v>50.9</v>
      </c>
      <c r="AG20" s="1">
        <v>48.9</v>
      </c>
      <c r="AH20" s="1">
        <v>46.8</v>
      </c>
      <c r="AI20" s="1">
        <v>44.7</v>
      </c>
      <c r="AJ20" s="1">
        <v>42.7</v>
      </c>
      <c r="AK20" s="1">
        <v>40.700000000000003</v>
      </c>
      <c r="AL20" s="1">
        <v>38.700000000000003</v>
      </c>
      <c r="AM20" s="1">
        <v>36.799999999999997</v>
      </c>
      <c r="AN20" s="1">
        <v>36.1</v>
      </c>
      <c r="AO20" s="1">
        <v>33.1</v>
      </c>
      <c r="AP20" s="1">
        <v>31.5</v>
      </c>
      <c r="AQ20" s="1">
        <v>29.9</v>
      </c>
      <c r="AR20" s="1">
        <v>28.4</v>
      </c>
      <c r="AS20" s="1">
        <v>27</v>
      </c>
      <c r="AT20" s="1">
        <v>25.7</v>
      </c>
      <c r="AU20" s="1">
        <v>24.5</v>
      </c>
      <c r="AV20" s="1">
        <v>23.3</v>
      </c>
      <c r="AW20" s="1">
        <v>22.2</v>
      </c>
      <c r="AX20" s="1">
        <v>21.1</v>
      </c>
      <c r="AY20" s="1">
        <v>20.100000000000001</v>
      </c>
      <c r="AZ20" s="1">
        <v>19.2</v>
      </c>
      <c r="BA20" s="1">
        <v>18.399999999999999</v>
      </c>
      <c r="BB20" s="1">
        <v>17.7</v>
      </c>
      <c r="BC20" s="1">
        <v>17</v>
      </c>
      <c r="BD20" s="1">
        <v>16.399999999999999</v>
      </c>
      <c r="BE20" s="1">
        <v>15.9</v>
      </c>
      <c r="BF20" s="1">
        <v>15.3</v>
      </c>
      <c r="BG20" s="1">
        <v>14.8</v>
      </c>
    </row>
    <row r="21" spans="1:59" x14ac:dyDescent="0.25">
      <c r="A21" s="18" t="s">
        <v>31</v>
      </c>
      <c r="I21" s="1">
        <v>126.8</v>
      </c>
      <c r="J21" s="1">
        <v>128.19999999999999</v>
      </c>
      <c r="K21" s="1">
        <v>129.6</v>
      </c>
      <c r="L21" s="1">
        <v>131.1</v>
      </c>
      <c r="M21" s="1">
        <v>132.4</v>
      </c>
      <c r="N21" s="1">
        <v>133.69999999999999</v>
      </c>
      <c r="O21" s="1">
        <v>134.6</v>
      </c>
      <c r="P21" s="1">
        <v>135</v>
      </c>
      <c r="Q21" s="1">
        <v>134.80000000000001</v>
      </c>
      <c r="R21" s="1">
        <v>134</v>
      </c>
      <c r="S21" s="1">
        <v>132.6</v>
      </c>
      <c r="T21" s="1">
        <v>131.1</v>
      </c>
      <c r="U21" s="1">
        <v>129.80000000000001</v>
      </c>
      <c r="V21" s="1">
        <v>128.9</v>
      </c>
      <c r="W21" s="1">
        <v>128.80000000000001</v>
      </c>
      <c r="X21" s="1">
        <v>129.4</v>
      </c>
      <c r="Y21" s="1">
        <v>130.69999999999999</v>
      </c>
      <c r="Z21" s="1">
        <v>132.19999999999999</v>
      </c>
      <c r="AA21" s="1">
        <v>133.6</v>
      </c>
      <c r="AB21" s="1">
        <v>134.69999999999999</v>
      </c>
      <c r="AC21" s="1">
        <v>135.1</v>
      </c>
      <c r="AD21" s="1">
        <v>134.69999999999999</v>
      </c>
      <c r="AE21" s="1">
        <v>133.69999999999999</v>
      </c>
      <c r="AF21" s="1">
        <v>132</v>
      </c>
      <c r="AG21" s="1">
        <v>129.69999999999999</v>
      </c>
      <c r="AH21" s="1">
        <v>126.7</v>
      </c>
      <c r="AI21" s="1">
        <v>123.3</v>
      </c>
      <c r="AJ21" s="1">
        <v>119.2</v>
      </c>
      <c r="AK21" s="1">
        <v>114.9</v>
      </c>
      <c r="AL21" s="1">
        <v>110.5</v>
      </c>
      <c r="AM21" s="1">
        <v>106.6</v>
      </c>
      <c r="AN21" s="1">
        <v>103</v>
      </c>
      <c r="AO21" s="1">
        <v>99.8</v>
      </c>
      <c r="AP21" s="1">
        <v>96.5</v>
      </c>
      <c r="AQ21" s="1">
        <v>93.2</v>
      </c>
      <c r="AR21" s="1">
        <v>89.6</v>
      </c>
      <c r="AS21" s="1">
        <v>85.7</v>
      </c>
      <c r="AT21" s="1">
        <v>81.900000000000006</v>
      </c>
      <c r="AU21" s="1">
        <v>78.099999999999994</v>
      </c>
      <c r="AV21" s="1">
        <v>74.5</v>
      </c>
      <c r="AW21" s="1">
        <v>71.099999999999994</v>
      </c>
      <c r="AX21" s="1">
        <v>68</v>
      </c>
      <c r="AY21" s="1">
        <v>65.099999999999994</v>
      </c>
      <c r="AZ21" s="1">
        <v>62.4</v>
      </c>
      <c r="BA21" s="1">
        <v>59.9</v>
      </c>
      <c r="BB21" s="1">
        <v>57.6</v>
      </c>
      <c r="BC21" s="1">
        <v>55.5</v>
      </c>
      <c r="BD21" s="1">
        <v>53.5</v>
      </c>
      <c r="BE21" s="1">
        <v>51.6</v>
      </c>
      <c r="BF21" s="1">
        <v>49.9</v>
      </c>
      <c r="BG21" s="1">
        <v>48.3</v>
      </c>
    </row>
    <row r="22" spans="1:59" x14ac:dyDescent="0.25">
      <c r="A22" s="18" t="s">
        <v>32</v>
      </c>
      <c r="B22" s="1">
        <v>131.1</v>
      </c>
      <c r="C22" s="1">
        <v>128.69999999999999</v>
      </c>
      <c r="D22" s="1">
        <v>126.9</v>
      </c>
      <c r="E22" s="1">
        <v>125.6</v>
      </c>
      <c r="F22" s="1">
        <v>124.9</v>
      </c>
      <c r="G22" s="1">
        <v>124.7</v>
      </c>
      <c r="H22" s="1">
        <v>125</v>
      </c>
      <c r="I22" s="1">
        <v>126</v>
      </c>
      <c r="J22" s="1">
        <v>127.3</v>
      </c>
      <c r="K22" s="1">
        <v>128.9</v>
      </c>
      <c r="L22" s="1">
        <v>130.69999999999999</v>
      </c>
      <c r="M22" s="1">
        <v>132.6</v>
      </c>
      <c r="N22" s="1">
        <v>135.1</v>
      </c>
      <c r="O22" s="1">
        <v>138.19999999999999</v>
      </c>
      <c r="P22" s="1">
        <v>141.69999999999999</v>
      </c>
      <c r="Q22" s="1">
        <v>145</v>
      </c>
      <c r="R22" s="1">
        <v>147.30000000000001</v>
      </c>
      <c r="S22" s="1">
        <v>147.19999999999999</v>
      </c>
      <c r="T22" s="1">
        <v>143.6</v>
      </c>
      <c r="U22" s="1">
        <v>136.69999999999999</v>
      </c>
      <c r="V22" s="1">
        <v>128.19999999999999</v>
      </c>
      <c r="W22" s="1">
        <v>119.3</v>
      </c>
      <c r="X22" s="1">
        <v>111.3</v>
      </c>
      <c r="Y22" s="1">
        <v>105.1</v>
      </c>
      <c r="Z22" s="1">
        <v>100.7</v>
      </c>
      <c r="AA22" s="1">
        <v>97.3</v>
      </c>
      <c r="AB22" s="1">
        <v>94.7</v>
      </c>
      <c r="AC22" s="1">
        <v>92.7</v>
      </c>
      <c r="AD22" s="1">
        <v>91.5</v>
      </c>
      <c r="AE22" s="1">
        <v>91.2</v>
      </c>
      <c r="AF22" s="1">
        <v>92.6</v>
      </c>
      <c r="AG22" s="1">
        <v>95.7</v>
      </c>
      <c r="AH22" s="1">
        <v>100.3</v>
      </c>
      <c r="AI22" s="1">
        <v>106.9</v>
      </c>
      <c r="AJ22" s="1">
        <v>124.8</v>
      </c>
      <c r="AK22" s="1">
        <v>116.6</v>
      </c>
      <c r="AL22" s="1">
        <v>110.8</v>
      </c>
      <c r="AM22" s="1">
        <v>114.9</v>
      </c>
      <c r="AN22" s="1">
        <v>116.9</v>
      </c>
      <c r="AO22" s="1">
        <v>110.4</v>
      </c>
      <c r="AP22" s="1">
        <v>107.7</v>
      </c>
      <c r="AQ22" s="1">
        <v>101</v>
      </c>
      <c r="AR22" s="1">
        <v>93.2</v>
      </c>
      <c r="AS22" s="1">
        <v>85</v>
      </c>
      <c r="AT22" s="1">
        <v>76.599999999999994</v>
      </c>
      <c r="AU22" s="1">
        <v>69.099999999999994</v>
      </c>
      <c r="AV22" s="1">
        <v>62.6</v>
      </c>
      <c r="AW22" s="1">
        <v>56.9</v>
      </c>
      <c r="AX22" s="1">
        <v>52.2</v>
      </c>
      <c r="AY22" s="1">
        <v>48.2</v>
      </c>
      <c r="AZ22" s="1">
        <v>44.5</v>
      </c>
      <c r="BA22" s="1">
        <v>40.4</v>
      </c>
      <c r="BB22" s="1">
        <v>37.5</v>
      </c>
      <c r="BC22" s="1">
        <v>35</v>
      </c>
      <c r="BD22" s="1">
        <v>33</v>
      </c>
      <c r="BE22" s="1">
        <v>31.4</v>
      </c>
      <c r="BF22" s="1">
        <v>30.1</v>
      </c>
      <c r="BG22" s="1">
        <v>28.9</v>
      </c>
    </row>
    <row r="23" spans="1:59" x14ac:dyDescent="0.25">
      <c r="A23" s="18" t="s">
        <v>33</v>
      </c>
      <c r="G23" s="1">
        <v>63.2</v>
      </c>
      <c r="H23" s="1">
        <v>61.2</v>
      </c>
      <c r="I23" s="1">
        <v>59.5</v>
      </c>
      <c r="J23" s="1">
        <v>58.1</v>
      </c>
      <c r="K23" s="1">
        <v>57.2</v>
      </c>
      <c r="L23" s="1">
        <v>56.8</v>
      </c>
      <c r="M23" s="1">
        <v>56.8</v>
      </c>
      <c r="N23" s="1">
        <v>57</v>
      </c>
      <c r="O23" s="1">
        <v>57.4</v>
      </c>
      <c r="P23" s="1">
        <v>57.8</v>
      </c>
      <c r="Q23" s="1">
        <v>58.1</v>
      </c>
      <c r="R23" s="1">
        <v>58.3</v>
      </c>
      <c r="S23" s="1">
        <v>58.5</v>
      </c>
      <c r="T23" s="1">
        <v>58.6</v>
      </c>
      <c r="U23" s="1">
        <v>58.9</v>
      </c>
      <c r="V23" s="1">
        <v>59.4</v>
      </c>
      <c r="W23" s="1">
        <v>60.1</v>
      </c>
      <c r="X23" s="1">
        <v>60.9</v>
      </c>
      <c r="Y23" s="1">
        <v>62</v>
      </c>
      <c r="Z23" s="1">
        <v>63.3</v>
      </c>
      <c r="AA23" s="1">
        <v>64.599999999999994</v>
      </c>
      <c r="AB23" s="1">
        <v>65.8</v>
      </c>
      <c r="AC23" s="1">
        <v>66.900000000000006</v>
      </c>
      <c r="AD23" s="1">
        <v>67.900000000000006</v>
      </c>
      <c r="AE23" s="1">
        <v>68.7</v>
      </c>
      <c r="AF23" s="1">
        <v>69.400000000000006</v>
      </c>
      <c r="AG23" s="1">
        <v>69.8</v>
      </c>
      <c r="AH23" s="1">
        <v>69.8</v>
      </c>
      <c r="AI23" s="1">
        <v>69.5</v>
      </c>
      <c r="AJ23" s="1">
        <v>68.7</v>
      </c>
      <c r="AK23" s="1">
        <v>67.400000000000006</v>
      </c>
      <c r="AL23" s="1">
        <v>65.7</v>
      </c>
      <c r="AM23" s="1">
        <v>63.6</v>
      </c>
      <c r="AN23" s="1">
        <v>61.2</v>
      </c>
      <c r="AO23" s="1">
        <v>58.7</v>
      </c>
      <c r="AP23" s="1">
        <v>56</v>
      </c>
      <c r="AQ23" s="1">
        <v>53.3</v>
      </c>
      <c r="AR23" s="1">
        <v>50.5</v>
      </c>
      <c r="AS23" s="1">
        <v>47.8</v>
      </c>
      <c r="AT23" s="1">
        <v>45.4</v>
      </c>
      <c r="AU23" s="1">
        <v>43</v>
      </c>
      <c r="AV23" s="1">
        <v>40.799999999999997</v>
      </c>
      <c r="AW23" s="1">
        <v>38.799999999999997</v>
      </c>
      <c r="AX23" s="1">
        <v>36.9</v>
      </c>
      <c r="AY23" s="1">
        <v>35.200000000000003</v>
      </c>
      <c r="AZ23" s="1">
        <v>33.5</v>
      </c>
      <c r="BA23" s="1">
        <v>31.9</v>
      </c>
      <c r="BB23" s="1">
        <v>30.5</v>
      </c>
      <c r="BC23" s="1">
        <v>29.2</v>
      </c>
      <c r="BD23" s="1">
        <v>28.1</v>
      </c>
      <c r="BE23" s="1">
        <v>27.1</v>
      </c>
      <c r="BF23" s="1">
        <v>26.1</v>
      </c>
      <c r="BG23" s="1">
        <v>25.2</v>
      </c>
    </row>
    <row r="24" spans="1:59" x14ac:dyDescent="0.25">
      <c r="A24" s="18" t="s">
        <v>34</v>
      </c>
      <c r="B24" s="1">
        <v>70.099999999999994</v>
      </c>
      <c r="C24" s="1">
        <v>67.7</v>
      </c>
      <c r="D24" s="1">
        <v>65.400000000000006</v>
      </c>
      <c r="E24" s="1">
        <v>63.2</v>
      </c>
      <c r="F24" s="1">
        <v>61.3</v>
      </c>
      <c r="G24" s="1">
        <v>59.6</v>
      </c>
      <c r="H24" s="1">
        <v>58</v>
      </c>
      <c r="I24" s="1">
        <v>56.7</v>
      </c>
      <c r="J24" s="1">
        <v>55.6</v>
      </c>
      <c r="K24" s="1">
        <v>54.7</v>
      </c>
      <c r="L24" s="1">
        <v>54</v>
      </c>
      <c r="M24" s="1">
        <v>53.3</v>
      </c>
      <c r="N24" s="1">
        <v>52.5</v>
      </c>
      <c r="O24" s="1">
        <v>51.7</v>
      </c>
      <c r="P24" s="1">
        <v>50.7</v>
      </c>
      <c r="Q24" s="1">
        <v>49.5</v>
      </c>
      <c r="R24" s="1">
        <v>48</v>
      </c>
      <c r="S24" s="1">
        <v>46.1</v>
      </c>
      <c r="T24" s="1">
        <v>44.2</v>
      </c>
      <c r="U24" s="1">
        <v>42</v>
      </c>
      <c r="V24" s="1">
        <v>39.6</v>
      </c>
      <c r="W24" s="1">
        <v>37</v>
      </c>
      <c r="X24" s="1">
        <v>34.200000000000003</v>
      </c>
      <c r="Y24" s="1">
        <v>31.2</v>
      </c>
      <c r="Z24" s="1">
        <v>28.2</v>
      </c>
      <c r="AA24" s="1">
        <v>25.2</v>
      </c>
      <c r="AB24" s="1">
        <v>22.6</v>
      </c>
      <c r="AC24" s="1">
        <v>20.5</v>
      </c>
      <c r="AD24" s="1">
        <v>19.2</v>
      </c>
      <c r="AE24" s="1">
        <v>18.399999999999999</v>
      </c>
      <c r="AF24" s="1">
        <v>18.100000000000001</v>
      </c>
      <c r="AG24" s="1">
        <v>18.100000000000001</v>
      </c>
      <c r="AH24" s="1">
        <v>18.100000000000001</v>
      </c>
      <c r="AI24" s="1">
        <v>18</v>
      </c>
      <c r="AJ24" s="1">
        <v>17.600000000000001</v>
      </c>
      <c r="AK24" s="1">
        <v>17.100000000000001</v>
      </c>
      <c r="AL24" s="1">
        <v>16.5</v>
      </c>
      <c r="AM24" s="1">
        <v>15.9</v>
      </c>
      <c r="AN24" s="1">
        <v>15.3</v>
      </c>
      <c r="AO24" s="1">
        <v>14.7</v>
      </c>
      <c r="AP24" s="1">
        <v>14.2</v>
      </c>
      <c r="AQ24" s="1">
        <v>13.8</v>
      </c>
      <c r="AR24" s="1">
        <v>13.4</v>
      </c>
      <c r="AS24" s="1">
        <v>13.1</v>
      </c>
      <c r="AT24" s="1">
        <v>15.5</v>
      </c>
      <c r="AU24" s="1">
        <v>12.3</v>
      </c>
      <c r="AV24" s="1">
        <v>11.7</v>
      </c>
      <c r="AW24" s="1">
        <v>11</v>
      </c>
      <c r="AX24" s="1">
        <v>10.6</v>
      </c>
      <c r="AY24" s="1">
        <v>10.199999999999999</v>
      </c>
      <c r="AZ24" s="1">
        <v>10</v>
      </c>
      <c r="BA24" s="1">
        <v>9.6</v>
      </c>
      <c r="BB24" s="1">
        <v>9.3000000000000007</v>
      </c>
      <c r="BC24" s="1">
        <v>8.9</v>
      </c>
      <c r="BD24" s="1">
        <v>8.5</v>
      </c>
      <c r="BE24" s="1">
        <v>8.1999999999999993</v>
      </c>
      <c r="BF24" s="1">
        <v>7.8</v>
      </c>
      <c r="BG24" s="1">
        <v>7.5</v>
      </c>
    </row>
    <row r="25" spans="1:59" x14ac:dyDescent="0.25">
      <c r="A25" s="18" t="s">
        <v>35</v>
      </c>
      <c r="N25" s="1">
        <v>119</v>
      </c>
      <c r="O25" s="1">
        <v>115.2</v>
      </c>
      <c r="P25" s="1">
        <v>111.6</v>
      </c>
      <c r="Q25" s="1">
        <v>108.3</v>
      </c>
      <c r="R25" s="1">
        <v>105.5</v>
      </c>
      <c r="S25" s="1">
        <v>103.4</v>
      </c>
      <c r="T25" s="1">
        <v>101.9</v>
      </c>
      <c r="U25" s="1">
        <v>101.1</v>
      </c>
      <c r="V25" s="1">
        <v>100.4</v>
      </c>
      <c r="W25" s="1">
        <v>99.9</v>
      </c>
      <c r="X25" s="1">
        <v>99.2</v>
      </c>
      <c r="Y25" s="1">
        <v>97.9</v>
      </c>
      <c r="Z25" s="1">
        <v>95.9</v>
      </c>
      <c r="AA25" s="1">
        <v>93.1</v>
      </c>
      <c r="AB25" s="1">
        <v>89.9</v>
      </c>
      <c r="AC25" s="1">
        <v>86.4</v>
      </c>
      <c r="AD25" s="1">
        <v>83.5</v>
      </c>
      <c r="AE25" s="1">
        <v>82.2</v>
      </c>
      <c r="AF25" s="1">
        <v>82.6</v>
      </c>
      <c r="AG25" s="1">
        <v>84.5</v>
      </c>
      <c r="AH25" s="1">
        <v>87.4</v>
      </c>
      <c r="AI25" s="1">
        <v>90.1</v>
      </c>
      <c r="AJ25" s="1">
        <v>91.1</v>
      </c>
      <c r="AK25" s="1">
        <v>89.9</v>
      </c>
      <c r="AL25" s="1">
        <v>87.2</v>
      </c>
      <c r="AM25" s="1">
        <v>83.7</v>
      </c>
      <c r="AN25" s="1">
        <v>79.7</v>
      </c>
      <c r="AO25" s="1">
        <v>75.2</v>
      </c>
      <c r="AP25" s="1">
        <v>70.5</v>
      </c>
      <c r="AQ25" s="1">
        <v>65.599999999999994</v>
      </c>
      <c r="AR25" s="1">
        <v>60.8</v>
      </c>
      <c r="AS25" s="1">
        <v>56.3</v>
      </c>
      <c r="AT25" s="1">
        <v>52.2</v>
      </c>
      <c r="AU25" s="1">
        <v>48.5</v>
      </c>
      <c r="AV25" s="1">
        <v>45.5</v>
      </c>
      <c r="AW25" s="1">
        <v>42.8</v>
      </c>
      <c r="AX25" s="1">
        <v>40.5</v>
      </c>
      <c r="AY25" s="1">
        <v>38.6</v>
      </c>
      <c r="AZ25" s="1">
        <v>36.9</v>
      </c>
      <c r="BA25" s="1">
        <v>35.5</v>
      </c>
      <c r="BB25" s="1">
        <v>34.299999999999997</v>
      </c>
      <c r="BC25" s="1">
        <v>33.200000000000003</v>
      </c>
      <c r="BD25" s="1">
        <v>32.200000000000003</v>
      </c>
      <c r="BE25" s="1">
        <v>31.3</v>
      </c>
      <c r="BF25" s="1">
        <v>30.3</v>
      </c>
      <c r="BG25" s="1">
        <v>29.4</v>
      </c>
    </row>
    <row r="26" spans="1:59" x14ac:dyDescent="0.25">
      <c r="A26" s="18" t="s">
        <v>36</v>
      </c>
      <c r="B26" s="1">
        <v>143.19999999999999</v>
      </c>
      <c r="C26" s="1">
        <v>141.9</v>
      </c>
      <c r="D26" s="1">
        <v>140.4</v>
      </c>
      <c r="E26" s="1">
        <v>138.9</v>
      </c>
      <c r="F26" s="1">
        <v>137.30000000000001</v>
      </c>
      <c r="G26" s="1">
        <v>135.4</v>
      </c>
      <c r="H26" s="1">
        <v>133.5</v>
      </c>
      <c r="I26" s="1">
        <v>131.5</v>
      </c>
      <c r="J26" s="1">
        <v>129.6</v>
      </c>
      <c r="K26" s="1">
        <v>127.8</v>
      </c>
      <c r="L26" s="1">
        <v>126</v>
      </c>
      <c r="M26" s="1">
        <v>124.1</v>
      </c>
      <c r="N26" s="1">
        <v>122.2</v>
      </c>
      <c r="O26" s="1">
        <v>120.2</v>
      </c>
      <c r="P26" s="1">
        <v>118</v>
      </c>
      <c r="Q26" s="1">
        <v>115.7</v>
      </c>
      <c r="R26" s="1">
        <v>113.5</v>
      </c>
      <c r="S26" s="1">
        <v>111.2</v>
      </c>
      <c r="T26" s="1">
        <v>109.3</v>
      </c>
      <c r="U26" s="1">
        <v>107.7</v>
      </c>
      <c r="V26" s="1">
        <v>106.6</v>
      </c>
      <c r="W26" s="1">
        <v>106.2</v>
      </c>
      <c r="X26" s="1">
        <v>106.1</v>
      </c>
      <c r="Y26" s="1">
        <v>106.2</v>
      </c>
      <c r="Z26" s="1">
        <v>106.3</v>
      </c>
      <c r="AA26" s="1">
        <v>106</v>
      </c>
      <c r="AB26" s="1">
        <v>105.2</v>
      </c>
      <c r="AC26" s="1">
        <v>104.2</v>
      </c>
      <c r="AD26" s="1">
        <v>102.9</v>
      </c>
      <c r="AE26" s="1">
        <v>101.5</v>
      </c>
      <c r="AF26" s="1">
        <v>100.3</v>
      </c>
      <c r="AG26" s="1">
        <v>99.3</v>
      </c>
      <c r="AH26" s="1">
        <v>98.3</v>
      </c>
      <c r="AI26" s="1">
        <v>97.2</v>
      </c>
      <c r="AJ26" s="1">
        <v>96.1</v>
      </c>
      <c r="AK26" s="1">
        <v>94.6</v>
      </c>
      <c r="AL26" s="1">
        <v>92.8</v>
      </c>
      <c r="AM26" s="1">
        <v>90.4</v>
      </c>
      <c r="AN26" s="1">
        <v>87.3</v>
      </c>
      <c r="AO26" s="1">
        <v>83.6</v>
      </c>
      <c r="AP26" s="1">
        <v>79.5</v>
      </c>
      <c r="AQ26" s="1">
        <v>75.099999999999994</v>
      </c>
      <c r="AR26" s="1">
        <v>70.599999999999994</v>
      </c>
      <c r="AS26" s="1">
        <v>66.5</v>
      </c>
      <c r="AT26" s="1">
        <v>62.7</v>
      </c>
      <c r="AU26" s="1">
        <v>59.3</v>
      </c>
      <c r="AV26" s="1">
        <v>56.8</v>
      </c>
      <c r="AW26" s="1">
        <v>54.2</v>
      </c>
      <c r="AX26" s="1">
        <v>51.9</v>
      </c>
      <c r="AY26" s="1">
        <v>50.3</v>
      </c>
      <c r="AZ26" s="1">
        <v>48.1</v>
      </c>
      <c r="BA26" s="1">
        <v>46.2</v>
      </c>
      <c r="BB26" s="1">
        <v>44.8</v>
      </c>
      <c r="BC26" s="1">
        <v>43.5</v>
      </c>
      <c r="BD26" s="1">
        <v>42.4</v>
      </c>
      <c r="BE26" s="1">
        <v>41</v>
      </c>
      <c r="BF26" s="1">
        <v>39.700000000000003</v>
      </c>
      <c r="BG26" s="1">
        <v>38.299999999999997</v>
      </c>
    </row>
    <row r="27" spans="1:59" x14ac:dyDescent="0.25">
      <c r="A27" s="18" t="s">
        <v>37</v>
      </c>
      <c r="B27" s="1">
        <v>131.5</v>
      </c>
      <c r="C27" s="1">
        <v>128.9</v>
      </c>
      <c r="D27" s="1">
        <v>126.5</v>
      </c>
      <c r="E27" s="1">
        <v>124.2</v>
      </c>
      <c r="F27" s="1">
        <v>122</v>
      </c>
      <c r="G27" s="1">
        <v>120</v>
      </c>
      <c r="H27" s="1">
        <v>118</v>
      </c>
      <c r="I27" s="1">
        <v>116.3</v>
      </c>
      <c r="J27" s="1">
        <v>114.8</v>
      </c>
      <c r="K27" s="1">
        <v>113.6</v>
      </c>
      <c r="L27" s="1">
        <v>112.8</v>
      </c>
      <c r="M27" s="1">
        <v>112.7</v>
      </c>
      <c r="N27" s="1">
        <v>113.1</v>
      </c>
      <c r="O27" s="1">
        <v>114.1</v>
      </c>
      <c r="P27" s="1">
        <v>115.6</v>
      </c>
      <c r="Q27" s="1">
        <v>117.5</v>
      </c>
      <c r="R27" s="1">
        <v>119.7</v>
      </c>
      <c r="S27" s="1">
        <v>122</v>
      </c>
      <c r="T27" s="1">
        <v>123.8</v>
      </c>
      <c r="U27" s="1">
        <v>125.1</v>
      </c>
      <c r="V27" s="1">
        <v>126</v>
      </c>
      <c r="W27" s="1">
        <v>125.3</v>
      </c>
      <c r="X27" s="1">
        <v>123.2</v>
      </c>
      <c r="Y27" s="1">
        <v>120.2</v>
      </c>
      <c r="Z27" s="1">
        <v>117.1</v>
      </c>
      <c r="AA27" s="1">
        <v>114.6</v>
      </c>
      <c r="AB27" s="1">
        <v>112.6</v>
      </c>
      <c r="AC27" s="1">
        <v>111.3</v>
      </c>
      <c r="AD27" s="1">
        <v>110.2</v>
      </c>
      <c r="AE27" s="1">
        <v>109</v>
      </c>
      <c r="AF27" s="1">
        <v>107.2</v>
      </c>
      <c r="AG27" s="1">
        <v>105.1</v>
      </c>
      <c r="AH27" s="1">
        <v>103</v>
      </c>
      <c r="AI27" s="1">
        <v>101.1</v>
      </c>
      <c r="AJ27" s="1">
        <v>99.4</v>
      </c>
      <c r="AK27" s="1">
        <v>98</v>
      </c>
      <c r="AL27" s="1">
        <v>96.8</v>
      </c>
      <c r="AM27" s="1">
        <v>95.4</v>
      </c>
      <c r="AN27" s="1">
        <v>93.7</v>
      </c>
      <c r="AO27" s="1">
        <v>91.4</v>
      </c>
      <c r="AP27" s="1">
        <v>88.4</v>
      </c>
      <c r="AQ27" s="1">
        <v>84.9</v>
      </c>
      <c r="AR27" s="1">
        <v>80.900000000000006</v>
      </c>
      <c r="AS27" s="1">
        <v>76.7</v>
      </c>
      <c r="AT27" s="1">
        <v>72.3</v>
      </c>
      <c r="AU27" s="1">
        <v>68</v>
      </c>
      <c r="AV27" s="1">
        <v>64</v>
      </c>
      <c r="AW27" s="1">
        <v>60.2</v>
      </c>
      <c r="AX27" s="1">
        <v>56.7</v>
      </c>
      <c r="AY27" s="1">
        <v>53.9</v>
      </c>
      <c r="AZ27" s="1">
        <v>51</v>
      </c>
      <c r="BA27" s="1">
        <v>48.3</v>
      </c>
      <c r="BB27" s="1">
        <v>45.1</v>
      </c>
      <c r="BC27" s="1">
        <v>42.9</v>
      </c>
      <c r="BD27" s="1">
        <v>41</v>
      </c>
      <c r="BE27" s="1">
        <v>39</v>
      </c>
      <c r="BF27" s="1">
        <v>37</v>
      </c>
      <c r="BG27" s="1">
        <v>35.4</v>
      </c>
    </row>
    <row r="28" spans="1:59" x14ac:dyDescent="0.25">
      <c r="A28" s="18" t="s">
        <v>38</v>
      </c>
      <c r="B28" s="1">
        <v>122.2</v>
      </c>
      <c r="C28" s="1">
        <v>120</v>
      </c>
      <c r="D28" s="1">
        <v>118</v>
      </c>
      <c r="E28" s="1">
        <v>116.3</v>
      </c>
      <c r="F28" s="1">
        <v>115</v>
      </c>
      <c r="G28" s="1">
        <v>114</v>
      </c>
      <c r="H28" s="1">
        <v>113.3</v>
      </c>
      <c r="I28" s="1">
        <v>112.8</v>
      </c>
      <c r="J28" s="1">
        <v>112.1</v>
      </c>
      <c r="K28" s="1">
        <v>110.8</v>
      </c>
      <c r="L28" s="1">
        <v>108.9</v>
      </c>
      <c r="M28" s="1">
        <v>106.2</v>
      </c>
      <c r="N28" s="1">
        <v>103.3</v>
      </c>
      <c r="O28" s="1">
        <v>100.3</v>
      </c>
      <c r="P28" s="1">
        <v>97.9</v>
      </c>
      <c r="Q28" s="1">
        <v>96.1</v>
      </c>
      <c r="R28" s="1">
        <v>95.1</v>
      </c>
      <c r="S28" s="1">
        <v>94.8</v>
      </c>
      <c r="T28" s="1">
        <v>95</v>
      </c>
      <c r="U28" s="1">
        <v>95.3</v>
      </c>
      <c r="V28" s="1">
        <v>95.8</v>
      </c>
      <c r="W28" s="1">
        <v>96.4</v>
      </c>
      <c r="X28" s="1">
        <v>97.3</v>
      </c>
      <c r="Y28" s="1">
        <v>98.6</v>
      </c>
      <c r="Z28" s="1">
        <v>100.4</v>
      </c>
      <c r="AA28" s="1">
        <v>102.6</v>
      </c>
      <c r="AB28" s="1">
        <v>105</v>
      </c>
      <c r="AC28" s="1">
        <v>107</v>
      </c>
      <c r="AD28" s="1">
        <v>108.7</v>
      </c>
      <c r="AE28" s="1">
        <v>109.9</v>
      </c>
      <c r="AF28" s="1">
        <v>110.5</v>
      </c>
      <c r="AG28" s="1">
        <v>110.8</v>
      </c>
      <c r="AH28" s="1">
        <v>110.7</v>
      </c>
      <c r="AI28" s="1">
        <v>110.1</v>
      </c>
      <c r="AJ28" s="1">
        <v>108.8</v>
      </c>
      <c r="AK28" s="1">
        <v>107.1</v>
      </c>
      <c r="AL28" s="1">
        <v>105.5</v>
      </c>
      <c r="AM28" s="1">
        <v>104</v>
      </c>
      <c r="AN28" s="1">
        <v>102.4</v>
      </c>
      <c r="AO28" s="1">
        <v>100</v>
      </c>
      <c r="AP28" s="1">
        <v>96.6</v>
      </c>
      <c r="AQ28" s="1">
        <v>91.6</v>
      </c>
      <c r="AR28" s="1">
        <v>85.3</v>
      </c>
      <c r="AS28" s="1">
        <v>79</v>
      </c>
      <c r="AT28" s="1">
        <v>72.7</v>
      </c>
      <c r="AU28" s="1">
        <v>66.8</v>
      </c>
      <c r="AV28" s="1">
        <v>62.7</v>
      </c>
      <c r="AW28" s="1">
        <v>60.9</v>
      </c>
      <c r="AX28" s="1">
        <v>57.9</v>
      </c>
      <c r="AY28" s="1">
        <v>55.6</v>
      </c>
      <c r="AZ28" s="1">
        <v>53.4</v>
      </c>
      <c r="BA28" s="1">
        <v>51.5</v>
      </c>
      <c r="BB28" s="1">
        <v>49.6</v>
      </c>
      <c r="BC28" s="1">
        <v>48.3</v>
      </c>
      <c r="BD28" s="1">
        <v>46.3</v>
      </c>
      <c r="BE28" s="1">
        <v>44.2</v>
      </c>
      <c r="BF28" s="1">
        <v>43</v>
      </c>
      <c r="BG28" s="1">
        <v>41.5</v>
      </c>
    </row>
    <row r="29" spans="1:59" x14ac:dyDescent="0.25">
      <c r="A29" s="18" t="s">
        <v>39</v>
      </c>
      <c r="B29" s="1">
        <v>92.5</v>
      </c>
      <c r="C29" s="1">
        <v>90</v>
      </c>
      <c r="D29" s="1">
        <v>87.5</v>
      </c>
      <c r="E29" s="1">
        <v>85</v>
      </c>
      <c r="F29" s="1">
        <v>82.5</v>
      </c>
      <c r="G29" s="1">
        <v>80</v>
      </c>
      <c r="H29" s="1">
        <v>77.8</v>
      </c>
      <c r="I29" s="1">
        <v>75.8</v>
      </c>
      <c r="J29" s="1">
        <v>74.2</v>
      </c>
      <c r="K29" s="1">
        <v>72.900000000000006</v>
      </c>
      <c r="L29" s="1">
        <v>72</v>
      </c>
      <c r="M29" s="1">
        <v>71.3</v>
      </c>
      <c r="N29" s="1">
        <v>70.8</v>
      </c>
      <c r="O29" s="1">
        <v>70.599999999999994</v>
      </c>
      <c r="P29" s="1">
        <v>70.599999999999994</v>
      </c>
      <c r="Q29" s="1">
        <v>70.599999999999994</v>
      </c>
      <c r="R29" s="1">
        <v>70.5</v>
      </c>
      <c r="S29" s="1">
        <v>70.3</v>
      </c>
      <c r="T29" s="1">
        <v>69.900000000000006</v>
      </c>
      <c r="U29" s="1">
        <v>69</v>
      </c>
      <c r="V29" s="1">
        <v>67.400000000000006</v>
      </c>
      <c r="W29" s="1">
        <v>65.099999999999994</v>
      </c>
      <c r="X29" s="1">
        <v>62.3</v>
      </c>
      <c r="Y29" s="1">
        <v>59.3</v>
      </c>
      <c r="Z29" s="1">
        <v>56.4</v>
      </c>
      <c r="AA29" s="1">
        <v>53.9</v>
      </c>
      <c r="AB29" s="1">
        <v>52</v>
      </c>
      <c r="AC29" s="1">
        <v>50.7</v>
      </c>
      <c r="AD29" s="1">
        <v>50.1</v>
      </c>
      <c r="AE29" s="1">
        <v>50.1</v>
      </c>
      <c r="AF29" s="1">
        <v>50.8</v>
      </c>
      <c r="AG29" s="1">
        <v>51.9</v>
      </c>
      <c r="AH29" s="1">
        <v>53.3</v>
      </c>
      <c r="AI29" s="1">
        <v>55</v>
      </c>
      <c r="AJ29" s="1">
        <v>56.6</v>
      </c>
      <c r="AK29" s="1">
        <v>58.3</v>
      </c>
      <c r="AL29" s="1">
        <v>59.2</v>
      </c>
      <c r="AM29" s="1">
        <v>59.6</v>
      </c>
      <c r="AN29" s="1">
        <v>59.4</v>
      </c>
      <c r="AO29" s="1">
        <v>58.9</v>
      </c>
      <c r="AP29" s="1">
        <v>58.4</v>
      </c>
      <c r="AQ29" s="1">
        <v>58</v>
      </c>
      <c r="AR29" s="1">
        <v>57.9</v>
      </c>
      <c r="AS29" s="1">
        <v>57.7</v>
      </c>
      <c r="AT29" s="1">
        <v>58.4</v>
      </c>
      <c r="AU29" s="1">
        <v>59</v>
      </c>
      <c r="AV29" s="1">
        <v>60</v>
      </c>
      <c r="AW29" s="1">
        <v>60.1</v>
      </c>
      <c r="AX29" s="1">
        <v>59.1</v>
      </c>
      <c r="AY29" s="1">
        <v>57.5</v>
      </c>
      <c r="AZ29" s="1">
        <v>55.1</v>
      </c>
      <c r="BA29" s="1">
        <v>52.2</v>
      </c>
      <c r="BB29" s="1">
        <v>48.4</v>
      </c>
      <c r="BC29" s="1">
        <v>45.4</v>
      </c>
      <c r="BD29" s="1">
        <v>42.3</v>
      </c>
      <c r="BE29" s="1">
        <v>40.200000000000003</v>
      </c>
      <c r="BF29" s="1">
        <v>38.200000000000003</v>
      </c>
      <c r="BG29" s="1">
        <v>36.5</v>
      </c>
    </row>
    <row r="33" spans="2:9" x14ac:dyDescent="0.25">
      <c r="B33" s="1">
        <v>1960</v>
      </c>
      <c r="C33" s="1">
        <f>VLOOKUP(Indicateur5!$K$6,prevision5!$A$1:$BG$29,MATCH(prevision5!B33,prevision5!$A$1:$BG$1,0),FALSE)</f>
        <v>0</v>
      </c>
      <c r="H33" s="1">
        <v>1960</v>
      </c>
      <c r="I33" s="1">
        <f>VLOOKUP('comite 2'!$C$4,prevision5!$A$1:$BG$28,MATCH(H33,$A$1:$BG$1,0),FALSE)</f>
        <v>0</v>
      </c>
    </row>
    <row r="34" spans="2:9" x14ac:dyDescent="0.25">
      <c r="B34" s="1">
        <v>1961</v>
      </c>
      <c r="C34" s="1">
        <f>VLOOKUP(Indicateur5!$K$6,prevision5!$A$1:$BG$29,MATCH(prevision5!B34,prevision5!$A$1:$BG$1,0),FALSE)</f>
        <v>0</v>
      </c>
      <c r="H34" s="1">
        <v>1961</v>
      </c>
      <c r="I34" s="1">
        <f>VLOOKUP('comite 2'!$C$4,prevision5!$A$1:$BG$28,MATCH(H34,$A$1:$BG$1,0),FALSE)</f>
        <v>0</v>
      </c>
    </row>
    <row r="35" spans="2:9" x14ac:dyDescent="0.25">
      <c r="B35" s="1">
        <v>1962</v>
      </c>
      <c r="C35" s="1">
        <f>VLOOKUP(Indicateur5!$K$6,prevision5!$A$1:$BG$29,MATCH(prevision5!B35,prevision5!$A$1:$BG$1,0),FALSE)</f>
        <v>0</v>
      </c>
      <c r="H35" s="1">
        <v>1962</v>
      </c>
      <c r="I35" s="1">
        <f>VLOOKUP('comite 2'!$C$4,prevision5!$A$1:$BG$28,MATCH(H35,$A$1:$BG$1,0),FALSE)</f>
        <v>0</v>
      </c>
    </row>
    <row r="36" spans="2:9" x14ac:dyDescent="0.25">
      <c r="B36" s="1">
        <v>1963</v>
      </c>
      <c r="C36" s="1">
        <f>VLOOKUP(Indicateur5!$K$6,prevision5!$A$1:$BG$29,MATCH(prevision5!B36,prevision5!$A$1:$BG$1,0),FALSE)</f>
        <v>0</v>
      </c>
      <c r="H36" s="1">
        <v>1963</v>
      </c>
      <c r="I36" s="1">
        <f>VLOOKUP('comite 2'!$C$4,prevision5!$A$1:$BG$28,MATCH(H36,$A$1:$BG$1,0),FALSE)</f>
        <v>0</v>
      </c>
    </row>
    <row r="37" spans="2:9" x14ac:dyDescent="0.25">
      <c r="B37" s="1">
        <v>1964</v>
      </c>
      <c r="C37" s="1">
        <f>VLOOKUP(Indicateur5!$K$6,prevision5!$A$1:$BG$29,MATCH(prevision5!B37,prevision5!$A$1:$BG$1,0),FALSE)</f>
        <v>0</v>
      </c>
      <c r="H37" s="1">
        <v>1964</v>
      </c>
      <c r="I37" s="1">
        <f>VLOOKUP('comite 2'!$C$4,prevision5!$A$1:$BG$28,MATCH(H37,$A$1:$BG$1,0),FALSE)</f>
        <v>0</v>
      </c>
    </row>
    <row r="38" spans="2:9" x14ac:dyDescent="0.25">
      <c r="B38" s="1">
        <v>1965</v>
      </c>
      <c r="C38" s="1">
        <f>VLOOKUP(Indicateur5!$K$6,prevision5!$A$1:$BG$29,MATCH(prevision5!B38,prevision5!$A$1:$BG$1,0),FALSE)</f>
        <v>181.1</v>
      </c>
      <c r="H38" s="1">
        <v>1965</v>
      </c>
      <c r="I38" s="1">
        <f>VLOOKUP('comite 2'!$C$4,prevision5!$A$1:$BG$28,MATCH(H38,$A$1:$BG$1,0),FALSE)</f>
        <v>181.1</v>
      </c>
    </row>
    <row r="39" spans="2:9" x14ac:dyDescent="0.25">
      <c r="B39" s="1">
        <v>1966</v>
      </c>
      <c r="C39" s="1">
        <f>VLOOKUP(Indicateur5!$K$6,prevision5!$A$1:$BG$29,MATCH(prevision5!B39,prevision5!$A$1:$BG$1,0),FALSE)</f>
        <v>181.8</v>
      </c>
      <c r="H39" s="1">
        <v>1966</v>
      </c>
      <c r="I39" s="1">
        <f>VLOOKUP('comite 2'!$C$4,prevision5!$A$1:$BG$28,MATCH(H39,$A$1:$BG$1,0),FALSE)</f>
        <v>181.8</v>
      </c>
    </row>
    <row r="40" spans="2:9" x14ac:dyDescent="0.25">
      <c r="B40" s="1">
        <v>1967</v>
      </c>
      <c r="C40" s="1">
        <f>VLOOKUP(Indicateur5!$K$6,prevision5!$A$1:$BG$29,MATCH(prevision5!B40,prevision5!$A$1:$BG$1,0),FALSE)</f>
        <v>182.4</v>
      </c>
      <c r="H40" s="1">
        <v>1967</v>
      </c>
      <c r="I40" s="1">
        <f>VLOOKUP('comite 2'!$C$4,prevision5!$A$1:$BG$28,MATCH(H40,$A$1:$BG$1,0),FALSE)</f>
        <v>182.4</v>
      </c>
    </row>
    <row r="41" spans="2:9" x14ac:dyDescent="0.25">
      <c r="B41" s="1">
        <v>1968</v>
      </c>
      <c r="C41" s="1">
        <f>VLOOKUP(Indicateur5!$K$6,prevision5!$A$1:$BG$29,MATCH(prevision5!B41,prevision5!$A$1:$BG$1,0),FALSE)</f>
        <v>182.8</v>
      </c>
      <c r="H41" s="1">
        <v>1968</v>
      </c>
      <c r="I41" s="1">
        <f>VLOOKUP('comite 2'!$C$4,prevision5!$A$1:$BG$28,MATCH(H41,$A$1:$BG$1,0),FALSE)</f>
        <v>182.8</v>
      </c>
    </row>
    <row r="42" spans="2:9" x14ac:dyDescent="0.25">
      <c r="B42" s="1">
        <v>1969</v>
      </c>
      <c r="C42" s="1">
        <f>VLOOKUP(Indicateur5!$K$6,prevision5!$A$1:$BG$29,MATCH(prevision5!B42,prevision5!$A$1:$BG$1,0),FALSE)</f>
        <v>182.7</v>
      </c>
      <c r="H42" s="1">
        <v>1969</v>
      </c>
      <c r="I42" s="1">
        <f>VLOOKUP('comite 2'!$C$4,prevision5!$A$1:$BG$28,MATCH(H42,$A$1:$BG$1,0),FALSE)</f>
        <v>182.7</v>
      </c>
    </row>
    <row r="43" spans="2:9" x14ac:dyDescent="0.25">
      <c r="B43" s="1">
        <v>1970</v>
      </c>
      <c r="C43" s="1">
        <f>VLOOKUP(Indicateur5!$K$6,prevision5!$A$1:$BG$29,MATCH(prevision5!B43,prevision5!$A$1:$BG$1,0),FALSE)</f>
        <v>182.4</v>
      </c>
      <c r="H43" s="1">
        <v>1970</v>
      </c>
      <c r="I43" s="1">
        <f>VLOOKUP('comite 2'!$C$4,prevision5!$A$1:$BG$28,MATCH(H43,$A$1:$BG$1,0),FALSE)</f>
        <v>182.4</v>
      </c>
    </row>
    <row r="44" spans="2:9" x14ac:dyDescent="0.25">
      <c r="B44" s="1">
        <v>1971</v>
      </c>
      <c r="C44" s="1">
        <f>VLOOKUP(Indicateur5!$K$6,prevision5!$A$1:$BG$29,MATCH(prevision5!B44,prevision5!$A$1:$BG$1,0),FALSE)</f>
        <v>181.8</v>
      </c>
      <c r="H44" s="1">
        <v>1971</v>
      </c>
      <c r="I44" s="1">
        <f>VLOOKUP('comite 2'!$C$4,prevision5!$A$1:$BG$28,MATCH(H44,$A$1:$BG$1,0),FALSE)</f>
        <v>181.8</v>
      </c>
    </row>
    <row r="45" spans="2:9" x14ac:dyDescent="0.25">
      <c r="B45" s="1">
        <v>1972</v>
      </c>
      <c r="C45" s="1">
        <f>VLOOKUP(Indicateur5!$K$6,prevision5!$A$1:$BG$29,MATCH(prevision5!B45,prevision5!$A$1:$BG$1,0),FALSE)</f>
        <v>180.9</v>
      </c>
      <c r="H45" s="1">
        <v>1972</v>
      </c>
      <c r="I45" s="1">
        <f>VLOOKUP('comite 2'!$C$4,prevision5!$A$1:$BG$28,MATCH(H45,$A$1:$BG$1,0),FALSE)</f>
        <v>180.9</v>
      </c>
    </row>
    <row r="46" spans="2:9" x14ac:dyDescent="0.25">
      <c r="B46" s="1">
        <v>1973</v>
      </c>
      <c r="C46" s="1">
        <f>VLOOKUP(Indicateur5!$K$6,prevision5!$A$1:$BG$29,MATCH(prevision5!B46,prevision5!$A$1:$BG$1,0),FALSE)</f>
        <v>179.9</v>
      </c>
      <c r="H46" s="1">
        <v>1973</v>
      </c>
      <c r="I46" s="1">
        <f>VLOOKUP('comite 2'!$C$4,prevision5!$A$1:$BG$28,MATCH(H46,$A$1:$BG$1,0),FALSE)</f>
        <v>179.9</v>
      </c>
    </row>
    <row r="47" spans="2:9" x14ac:dyDescent="0.25">
      <c r="B47" s="1">
        <v>1974</v>
      </c>
      <c r="C47" s="1">
        <f>VLOOKUP(Indicateur5!$K$6,prevision5!$A$1:$BG$29,MATCH(prevision5!B47,prevision5!$A$1:$BG$1,0),FALSE)</f>
        <v>178.9</v>
      </c>
      <c r="H47" s="1">
        <v>1974</v>
      </c>
      <c r="I47" s="1">
        <f>VLOOKUP('comite 2'!$C$4,prevision5!$A$1:$BG$28,MATCH(H47,$A$1:$BG$1,0),FALSE)</f>
        <v>178.9</v>
      </c>
    </row>
    <row r="48" spans="2:9" x14ac:dyDescent="0.25">
      <c r="B48" s="1">
        <v>1975</v>
      </c>
      <c r="C48" s="1">
        <f>VLOOKUP(Indicateur5!$K$6,prevision5!$A$1:$BG$29,MATCH(prevision5!B48,prevision5!$A$1:$BG$1,0),FALSE)</f>
        <v>177.8</v>
      </c>
      <c r="H48" s="1">
        <v>1975</v>
      </c>
      <c r="I48" s="1">
        <f>VLOOKUP('comite 2'!$C$4,prevision5!$A$1:$BG$28,MATCH(H48,$A$1:$BG$1,0),FALSE)</f>
        <v>177.8</v>
      </c>
    </row>
    <row r="49" spans="2:9" x14ac:dyDescent="0.25">
      <c r="B49" s="1">
        <v>1976</v>
      </c>
      <c r="C49" s="1">
        <f>VLOOKUP(Indicateur5!$K$6,prevision5!$A$1:$BG$29,MATCH(prevision5!B49,prevision5!$A$1:$BG$1,0),FALSE)</f>
        <v>176.8</v>
      </c>
      <c r="H49" s="1">
        <v>1976</v>
      </c>
      <c r="I49" s="1">
        <f>VLOOKUP('comite 2'!$C$4,prevision5!$A$1:$BG$28,MATCH(H49,$A$1:$BG$1,0),FALSE)</f>
        <v>176.8</v>
      </c>
    </row>
    <row r="50" spans="2:9" x14ac:dyDescent="0.25">
      <c r="B50" s="1">
        <v>1977</v>
      </c>
      <c r="C50" s="1">
        <f>VLOOKUP(Indicateur5!$K$6,prevision5!$A$1:$BG$29,MATCH(prevision5!B50,prevision5!$A$1:$BG$1,0),FALSE)</f>
        <v>175.9</v>
      </c>
      <c r="H50" s="1">
        <v>1977</v>
      </c>
      <c r="I50" s="1">
        <f>VLOOKUP('comite 2'!$C$4,prevision5!$A$1:$BG$28,MATCH(H50,$A$1:$BG$1,0),FALSE)</f>
        <v>175.9</v>
      </c>
    </row>
    <row r="51" spans="2:9" x14ac:dyDescent="0.25">
      <c r="B51" s="1">
        <v>1978</v>
      </c>
      <c r="C51" s="1">
        <f>VLOOKUP(Indicateur5!$K$6,prevision5!$A$1:$BG$29,MATCH(prevision5!B51,prevision5!$A$1:$BG$1,0),FALSE)</f>
        <v>175.3</v>
      </c>
      <c r="H51" s="1">
        <v>1978</v>
      </c>
      <c r="I51" s="1">
        <f>VLOOKUP('comite 2'!$C$4,prevision5!$A$1:$BG$28,MATCH(H51,$A$1:$BG$1,0),FALSE)</f>
        <v>175.3</v>
      </c>
    </row>
    <row r="52" spans="2:9" x14ac:dyDescent="0.25">
      <c r="B52" s="1">
        <v>1979</v>
      </c>
      <c r="C52" s="1">
        <f>VLOOKUP(Indicateur5!$K$6,prevision5!$A$1:$BG$29,MATCH(prevision5!B52,prevision5!$A$1:$BG$1,0),FALSE)</f>
        <v>174.7</v>
      </c>
      <c r="H52" s="1">
        <v>1979</v>
      </c>
      <c r="I52" s="1">
        <f>VLOOKUP('comite 2'!$C$4,prevision5!$A$1:$BG$28,MATCH(H52,$A$1:$BG$1,0),FALSE)</f>
        <v>174.7</v>
      </c>
    </row>
    <row r="53" spans="2:9" x14ac:dyDescent="0.25">
      <c r="B53" s="1">
        <v>1980</v>
      </c>
      <c r="C53" s="1">
        <f>VLOOKUP(Indicateur5!$K$6,prevision5!$A$1:$BG$29,MATCH(prevision5!B53,prevision5!$A$1:$BG$1,0),FALSE)</f>
        <v>174.5</v>
      </c>
      <c r="H53" s="1">
        <v>1980</v>
      </c>
      <c r="I53" s="1">
        <f>VLOOKUP('comite 2'!$C$4,prevision5!$A$1:$BG$28,MATCH(H53,$A$1:$BG$1,0),FALSE)</f>
        <v>174.5</v>
      </c>
    </row>
    <row r="54" spans="2:9" x14ac:dyDescent="0.25">
      <c r="B54" s="1">
        <v>1981</v>
      </c>
      <c r="C54" s="1">
        <f>VLOOKUP(Indicateur5!$K$6,prevision5!$A$1:$BG$29,MATCH(prevision5!B54,prevision5!$A$1:$BG$1,0),FALSE)</f>
        <v>174.2</v>
      </c>
      <c r="H54" s="1">
        <v>1981</v>
      </c>
      <c r="I54" s="1">
        <f>VLOOKUP('comite 2'!$C$4,prevision5!$A$1:$BG$28,MATCH(H54,$A$1:$BG$1,0),FALSE)</f>
        <v>174.2</v>
      </c>
    </row>
    <row r="55" spans="2:9" x14ac:dyDescent="0.25">
      <c r="B55" s="1">
        <v>1982</v>
      </c>
      <c r="C55" s="1">
        <f>VLOOKUP(Indicateur5!$K$6,prevision5!$A$1:$BG$29,MATCH(prevision5!B55,prevision5!$A$1:$BG$1,0),FALSE)</f>
        <v>173.5</v>
      </c>
      <c r="H55" s="1">
        <v>1982</v>
      </c>
      <c r="I55" s="1">
        <f>VLOOKUP('comite 2'!$C$4,prevision5!$A$1:$BG$28,MATCH(H55,$A$1:$BG$1,0),FALSE)</f>
        <v>173.5</v>
      </c>
    </row>
    <row r="56" spans="2:9" x14ac:dyDescent="0.25">
      <c r="B56" s="1">
        <v>1983</v>
      </c>
      <c r="C56" s="1">
        <f>VLOOKUP(Indicateur5!$K$6,prevision5!$A$1:$BG$29,MATCH(prevision5!B56,prevision5!$A$1:$BG$1,0),FALSE)</f>
        <v>172.6</v>
      </c>
      <c r="H56" s="1">
        <v>1983</v>
      </c>
      <c r="I56" s="1">
        <f>VLOOKUP('comite 2'!$C$4,prevision5!$A$1:$BG$28,MATCH(H56,$A$1:$BG$1,0),FALSE)</f>
        <v>172.6</v>
      </c>
    </row>
    <row r="57" spans="2:9" x14ac:dyDescent="0.25">
      <c r="B57" s="1">
        <v>1984</v>
      </c>
      <c r="C57" s="1">
        <f>VLOOKUP(Indicateur5!$K$6,prevision5!$A$1:$BG$29,MATCH(prevision5!B57,prevision5!$A$1:$BG$1,0),FALSE)</f>
        <v>171.1</v>
      </c>
      <c r="H57" s="1">
        <v>1984</v>
      </c>
      <c r="I57" s="1">
        <f>VLOOKUP('comite 2'!$C$4,prevision5!$A$1:$BG$28,MATCH(H57,$A$1:$BG$1,0),FALSE)</f>
        <v>171.1</v>
      </c>
    </row>
    <row r="58" spans="2:9" x14ac:dyDescent="0.25">
      <c r="B58" s="1">
        <v>1985</v>
      </c>
      <c r="C58" s="1">
        <f>VLOOKUP(Indicateur5!$K$6,prevision5!$A$1:$BG$29,MATCH(prevision5!B58,prevision5!$A$1:$BG$1,0),FALSE)</f>
        <v>169.4</v>
      </c>
      <c r="H58" s="1">
        <v>1985</v>
      </c>
      <c r="I58" s="1">
        <f>VLOOKUP('comite 2'!$C$4,prevision5!$A$1:$BG$28,MATCH(H58,$A$1:$BG$1,0),FALSE)</f>
        <v>169.4</v>
      </c>
    </row>
    <row r="59" spans="2:9" x14ac:dyDescent="0.25">
      <c r="B59" s="1">
        <v>1986</v>
      </c>
      <c r="C59" s="1">
        <f>VLOOKUP(Indicateur5!$K$6,prevision5!$A$1:$BG$29,MATCH(prevision5!B59,prevision5!$A$1:$BG$1,0),FALSE)</f>
        <v>167.5</v>
      </c>
      <c r="H59" s="1">
        <v>1986</v>
      </c>
      <c r="I59" s="1">
        <f>VLOOKUP('comite 2'!$C$4,prevision5!$A$1:$BG$28,MATCH(H59,$A$1:$BG$1,0),FALSE)</f>
        <v>167.5</v>
      </c>
    </row>
    <row r="60" spans="2:9" x14ac:dyDescent="0.25">
      <c r="B60" s="1">
        <v>1987</v>
      </c>
      <c r="C60" s="1">
        <f>VLOOKUP(Indicateur5!$K$6,prevision5!$A$1:$BG$29,MATCH(prevision5!B60,prevision5!$A$1:$BG$1,0),FALSE)</f>
        <v>165.5</v>
      </c>
      <c r="H60" s="1">
        <v>1987</v>
      </c>
      <c r="I60" s="1">
        <f>VLOOKUP('comite 2'!$C$4,prevision5!$A$1:$BG$28,MATCH(H60,$A$1:$BG$1,0),FALSE)</f>
        <v>165.5</v>
      </c>
    </row>
    <row r="61" spans="2:9" x14ac:dyDescent="0.25">
      <c r="B61" s="1">
        <v>1988</v>
      </c>
      <c r="C61" s="1">
        <f>VLOOKUP(Indicateur5!$K$6,prevision5!$A$1:$BG$29,MATCH(prevision5!B61,prevision5!$A$1:$BG$1,0),FALSE)</f>
        <v>163.6</v>
      </c>
      <c r="H61" s="1">
        <v>1988</v>
      </c>
      <c r="I61" s="1">
        <f>VLOOKUP('comite 2'!$C$4,prevision5!$A$1:$BG$28,MATCH(H61,$A$1:$BG$1,0),FALSE)</f>
        <v>163.6</v>
      </c>
    </row>
    <row r="62" spans="2:9" x14ac:dyDescent="0.25">
      <c r="B62" s="1">
        <v>1989</v>
      </c>
      <c r="C62" s="1">
        <f>VLOOKUP(Indicateur5!$K$6,prevision5!$A$1:$BG$29,MATCH(prevision5!B62,prevision5!$A$1:$BG$1,0),FALSE)</f>
        <v>161.5</v>
      </c>
      <c r="H62" s="1">
        <v>1989</v>
      </c>
      <c r="I62" s="1">
        <f>VLOOKUP('comite 2'!$C$4,prevision5!$A$1:$BG$28,MATCH(H62,$A$1:$BG$1,0),FALSE)</f>
        <v>161.5</v>
      </c>
    </row>
    <row r="63" spans="2:9" x14ac:dyDescent="0.25">
      <c r="B63" s="1">
        <v>1990</v>
      </c>
      <c r="C63" s="1">
        <f>VLOOKUP(Indicateur5!$K$6,prevision5!$A$1:$BG$29,MATCH(prevision5!B63,prevision5!$A$1:$BG$1,0),FALSE)</f>
        <v>159.4</v>
      </c>
      <c r="H63" s="1">
        <v>1990</v>
      </c>
      <c r="I63" s="1">
        <f>VLOOKUP('comite 2'!$C$4,prevision5!$A$1:$BG$28,MATCH(H63,$A$1:$BG$1,0),FALSE)</f>
        <v>159.4</v>
      </c>
    </row>
    <row r="64" spans="2:9" x14ac:dyDescent="0.25">
      <c r="B64" s="1">
        <v>1991</v>
      </c>
      <c r="C64" s="1">
        <f>VLOOKUP(Indicateur5!$K$6,prevision5!$A$1:$BG$29,MATCH(prevision5!B64,prevision5!$A$1:$BG$1,0),FALSE)</f>
        <v>157.1</v>
      </c>
      <c r="H64" s="1">
        <v>1991</v>
      </c>
      <c r="I64" s="1">
        <f>VLOOKUP('comite 2'!$C$4,prevision5!$A$1:$BG$28,MATCH(H64,$A$1:$BG$1,0),FALSE)</f>
        <v>157.1</v>
      </c>
    </row>
    <row r="65" spans="2:9" x14ac:dyDescent="0.25">
      <c r="B65" s="1">
        <v>1992</v>
      </c>
      <c r="C65" s="1">
        <f>VLOOKUP(Indicateur5!$K$6,prevision5!$A$1:$BG$29,MATCH(prevision5!B65,prevision5!$A$1:$BG$1,0),FALSE)</f>
        <v>154.4</v>
      </c>
      <c r="H65" s="1">
        <v>1992</v>
      </c>
      <c r="I65" s="1">
        <f>VLOOKUP('comite 2'!$C$4,prevision5!$A$1:$BG$28,MATCH(H65,$A$1:$BG$1,0),FALSE)</f>
        <v>154.4</v>
      </c>
    </row>
    <row r="66" spans="2:9" x14ac:dyDescent="0.25">
      <c r="B66" s="1">
        <v>1993</v>
      </c>
      <c r="C66" s="1">
        <f>VLOOKUP(Indicateur5!$K$6,prevision5!$A$1:$BG$29,MATCH(prevision5!B66,prevision5!$A$1:$BG$1,0),FALSE)</f>
        <v>151.19999999999999</v>
      </c>
      <c r="H66" s="1">
        <v>1993</v>
      </c>
      <c r="I66" s="1">
        <f>VLOOKUP('comite 2'!$C$4,prevision5!$A$1:$BG$28,MATCH(H66,$A$1:$BG$1,0),FALSE)</f>
        <v>151.19999999999999</v>
      </c>
    </row>
    <row r="67" spans="2:9" x14ac:dyDescent="0.25">
      <c r="B67" s="1">
        <v>1994</v>
      </c>
      <c r="C67" s="1">
        <f>VLOOKUP(Indicateur5!$K$6,prevision5!$A$1:$BG$29,MATCH(prevision5!B67,prevision5!$A$1:$BG$1,0),FALSE)</f>
        <v>147.4</v>
      </c>
      <c r="H67" s="1">
        <v>1994</v>
      </c>
      <c r="I67" s="1">
        <f>VLOOKUP('comite 2'!$C$4,prevision5!$A$1:$BG$28,MATCH(H67,$A$1:$BG$1,0),FALSE)</f>
        <v>147.4</v>
      </c>
    </row>
    <row r="68" spans="2:9" x14ac:dyDescent="0.25">
      <c r="B68" s="1">
        <v>1995</v>
      </c>
      <c r="C68" s="1">
        <f>VLOOKUP(Indicateur5!$K$6,prevision5!$A$1:$BG$29,MATCH(prevision5!B68,prevision5!$A$1:$BG$1,0),FALSE)</f>
        <v>143</v>
      </c>
      <c r="H68" s="1">
        <v>1995</v>
      </c>
      <c r="I68" s="1">
        <f>VLOOKUP('comite 2'!$C$4,prevision5!$A$1:$BG$28,MATCH(H68,$A$1:$BG$1,0),FALSE)</f>
        <v>143</v>
      </c>
    </row>
    <row r="69" spans="2:9" x14ac:dyDescent="0.25">
      <c r="B69" s="1">
        <v>1996</v>
      </c>
      <c r="C69" s="1">
        <f>VLOOKUP(Indicateur5!$K$6,prevision5!$A$1:$BG$29,MATCH(prevision5!B69,prevision5!$A$1:$BG$1,0),FALSE)</f>
        <v>137.69999999999999</v>
      </c>
      <c r="H69" s="1">
        <v>1996</v>
      </c>
      <c r="I69" s="1">
        <f>VLOOKUP('comite 2'!$C$4,prevision5!$A$1:$BG$28,MATCH(H69,$A$1:$BG$1,0),FALSE)</f>
        <v>137.69999999999999</v>
      </c>
    </row>
    <row r="70" spans="2:9" x14ac:dyDescent="0.25">
      <c r="B70" s="1">
        <v>1997</v>
      </c>
      <c r="C70" s="1">
        <f>VLOOKUP(Indicateur5!$K$6,prevision5!$A$1:$BG$29,MATCH(prevision5!B70,prevision5!$A$1:$BG$1,0),FALSE)</f>
        <v>131.69999999999999</v>
      </c>
      <c r="H70" s="1">
        <v>1997</v>
      </c>
      <c r="I70" s="1">
        <f>VLOOKUP('comite 2'!$C$4,prevision5!$A$1:$BG$28,MATCH(H70,$A$1:$BG$1,0),FALSE)</f>
        <v>131.69999999999999</v>
      </c>
    </row>
    <row r="71" spans="2:9" x14ac:dyDescent="0.25">
      <c r="B71" s="1">
        <v>1998</v>
      </c>
      <c r="C71" s="1">
        <f>VLOOKUP(Indicateur5!$K$6,prevision5!$A$1:$BG$29,MATCH(prevision5!B71,prevision5!$A$1:$BG$1,0),FALSE)</f>
        <v>125.4</v>
      </c>
      <c r="H71" s="1">
        <v>1998</v>
      </c>
      <c r="I71" s="1">
        <f>VLOOKUP('comite 2'!$C$4,prevision5!$A$1:$BG$28,MATCH(H71,$A$1:$BG$1,0),FALSE)</f>
        <v>125.4</v>
      </c>
    </row>
    <row r="72" spans="2:9" x14ac:dyDescent="0.25">
      <c r="B72" s="1">
        <v>1999</v>
      </c>
      <c r="C72" s="1">
        <f>VLOOKUP(Indicateur5!$K$6,prevision5!$A$1:$BG$29,MATCH(prevision5!B72,prevision5!$A$1:$BG$1,0),FALSE)</f>
        <v>119.3</v>
      </c>
      <c r="H72" s="1">
        <v>1999</v>
      </c>
      <c r="I72" s="1">
        <f>VLOOKUP('comite 2'!$C$4,prevision5!$A$1:$BG$28,MATCH(H72,$A$1:$BG$1,0),FALSE)</f>
        <v>119.3</v>
      </c>
    </row>
    <row r="73" spans="2:9" x14ac:dyDescent="0.25">
      <c r="B73" s="1">
        <v>2000</v>
      </c>
      <c r="C73" s="1">
        <f>VLOOKUP(Indicateur5!$K$6,prevision5!$A$1:$BG$29,MATCH(prevision5!B73,prevision5!$A$1:$BG$1,0),FALSE)</f>
        <v>113.3</v>
      </c>
      <c r="H73" s="1">
        <v>2000</v>
      </c>
      <c r="I73" s="1">
        <f>VLOOKUP('comite 2'!$C$4,prevision5!$A$1:$BG$28,MATCH(H73,$A$1:$BG$1,0),FALSE)</f>
        <v>113.3</v>
      </c>
    </row>
    <row r="74" spans="2:9" x14ac:dyDescent="0.25">
      <c r="B74" s="1">
        <v>2001</v>
      </c>
      <c r="C74" s="1">
        <f>VLOOKUP(Indicateur5!$K$6,prevision5!$A$1:$BG$29,MATCH(prevision5!B74,prevision5!$A$1:$BG$1,0),FALSE)</f>
        <v>107.6</v>
      </c>
      <c r="H74" s="1">
        <v>2001</v>
      </c>
      <c r="I74" s="1">
        <f>VLOOKUP('comite 2'!$C$4,prevision5!$A$1:$BG$28,MATCH(H74,$A$1:$BG$1,0),FALSE)</f>
        <v>107.6</v>
      </c>
    </row>
    <row r="75" spans="2:9" x14ac:dyDescent="0.25">
      <c r="B75" s="1">
        <v>2002</v>
      </c>
      <c r="C75" s="1">
        <f>VLOOKUP(Indicateur5!$K$6,prevision5!$A$1:$BG$29,MATCH(prevision5!B75,prevision5!$A$1:$BG$1,0),FALSE)</f>
        <v>102.3</v>
      </c>
      <c r="H75" s="1">
        <v>2002</v>
      </c>
      <c r="I75" s="1">
        <f>VLOOKUP('comite 2'!$C$4,prevision5!$A$1:$BG$28,MATCH(H75,$A$1:$BG$1,0),FALSE)</f>
        <v>102.3</v>
      </c>
    </row>
    <row r="76" spans="2:9" x14ac:dyDescent="0.25">
      <c r="B76" s="1">
        <v>2003</v>
      </c>
      <c r="C76" s="1">
        <f>VLOOKUP(Indicateur5!$K$6,prevision5!$A$1:$BG$29,MATCH(prevision5!B76,prevision5!$A$1:$BG$1,0),FALSE)</f>
        <v>97.4</v>
      </c>
      <c r="H76" s="1">
        <v>2003</v>
      </c>
      <c r="I76" s="1">
        <f>VLOOKUP('comite 2'!$C$4,prevision5!$A$1:$BG$28,MATCH(H76,$A$1:$BG$1,0),FALSE)</f>
        <v>97.4</v>
      </c>
    </row>
    <row r="77" spans="2:9" x14ac:dyDescent="0.25">
      <c r="B77" s="1">
        <v>2004</v>
      </c>
      <c r="C77" s="1">
        <f>VLOOKUP(Indicateur5!$K$6,prevision5!$A$1:$BG$29,MATCH(prevision5!B77,prevision5!$A$1:$BG$1,0),FALSE)</f>
        <v>92.9</v>
      </c>
      <c r="H77" s="1">
        <v>2004</v>
      </c>
      <c r="I77" s="1">
        <f>VLOOKUP('comite 2'!$C$4,prevision5!$A$1:$BG$28,MATCH(H77,$A$1:$BG$1,0),FALSE)</f>
        <v>92.9</v>
      </c>
    </row>
    <row r="78" spans="2:9" x14ac:dyDescent="0.25">
      <c r="B78" s="1">
        <v>2005</v>
      </c>
      <c r="C78" s="1">
        <f>VLOOKUP(Indicateur5!$K$6,prevision5!$A$1:$BG$29,MATCH(prevision5!B78,prevision5!$A$1:$BG$1,0),FALSE)</f>
        <v>88.7</v>
      </c>
      <c r="H78" s="1">
        <v>2005</v>
      </c>
      <c r="I78" s="1">
        <f>VLOOKUP('comite 2'!$C$4,prevision5!$A$1:$BG$28,MATCH(H78,$A$1:$BG$1,0),FALSE)</f>
        <v>88.7</v>
      </c>
    </row>
    <row r="79" spans="2:9" x14ac:dyDescent="0.25">
      <c r="B79" s="1">
        <v>2006</v>
      </c>
      <c r="C79" s="1">
        <f>VLOOKUP(Indicateur5!$K$6,prevision5!$A$1:$BG$29,MATCH(prevision5!B79,prevision5!$A$1:$BG$1,0),FALSE)</f>
        <v>84.6</v>
      </c>
      <c r="H79" s="1">
        <v>2006</v>
      </c>
      <c r="I79" s="1">
        <f>VLOOKUP('comite 2'!$C$4,prevision5!$A$1:$BG$28,MATCH(H79,$A$1:$BG$1,0),FALSE)</f>
        <v>84.6</v>
      </c>
    </row>
    <row r="80" spans="2:9" x14ac:dyDescent="0.25">
      <c r="B80" s="1">
        <v>2007</v>
      </c>
      <c r="C80" s="1">
        <f>VLOOKUP(Indicateur5!$K$6,prevision5!$A$1:$BG$29,MATCH(prevision5!B80,prevision5!$A$1:$BG$1,0),FALSE)</f>
        <v>79.900000000000006</v>
      </c>
      <c r="H80" s="1">
        <v>2007</v>
      </c>
      <c r="I80" s="1">
        <f>VLOOKUP('comite 2'!$C$4,prevision5!$A$1:$BG$28,MATCH(H80,$A$1:$BG$1,0),FALSE)</f>
        <v>79.900000000000006</v>
      </c>
    </row>
    <row r="81" spans="2:10" x14ac:dyDescent="0.25">
      <c r="B81" s="1">
        <v>2008</v>
      </c>
      <c r="C81" s="1">
        <f>VLOOKUP(Indicateur5!$K$6,prevision5!$A$1:$BG$29,MATCH(prevision5!B81,prevision5!$A$1:$BG$1,0),FALSE)</f>
        <v>76.5</v>
      </c>
      <c r="H81" s="1">
        <v>2008</v>
      </c>
      <c r="I81" s="1">
        <f>VLOOKUP('comite 2'!$C$4,prevision5!$A$1:$BG$28,MATCH(H81,$A$1:$BG$1,0),FALSE)</f>
        <v>76.5</v>
      </c>
    </row>
    <row r="82" spans="2:10" x14ac:dyDescent="0.25">
      <c r="B82" s="1">
        <v>2009</v>
      </c>
      <c r="C82" s="1">
        <f>VLOOKUP(Indicateur5!$K$6,prevision5!$A$1:$BG$29,MATCH(prevision5!B82,prevision5!$A$1:$BG$1,0),FALSE)</f>
        <v>72.8</v>
      </c>
      <c r="H82" s="1">
        <v>2009</v>
      </c>
      <c r="I82" s="1">
        <f>VLOOKUP('comite 2'!$C$4,prevision5!$A$1:$BG$28,MATCH(H82,$A$1:$BG$1,0),FALSE)</f>
        <v>72.8</v>
      </c>
    </row>
    <row r="83" spans="2:10" x14ac:dyDescent="0.25">
      <c r="B83" s="1">
        <v>2010</v>
      </c>
      <c r="C83" s="1">
        <f>VLOOKUP(Indicateur5!$K$6,prevision5!$A$1:$BG$29,MATCH(prevision5!B83,prevision5!$A$1:$BG$1,0),FALSE)</f>
        <v>70.7</v>
      </c>
      <c r="H83" s="1">
        <v>2010</v>
      </c>
      <c r="I83" s="1">
        <f>VLOOKUP('comite 2'!$C$4,prevision5!$A$1:$BG$28,MATCH(H83,$A$1:$BG$1,0),FALSE)</f>
        <v>70.7</v>
      </c>
    </row>
    <row r="84" spans="2:10" x14ac:dyDescent="0.25">
      <c r="B84" s="1">
        <v>2011</v>
      </c>
      <c r="C84" s="1">
        <f>VLOOKUP(Indicateur5!$K$6,prevision5!$A$1:$BG$29,MATCH(prevision5!B84,prevision5!$A$1:$BG$1,0),FALSE)</f>
        <v>66.900000000000006</v>
      </c>
      <c r="H84" s="1">
        <v>2011</v>
      </c>
      <c r="I84" s="1">
        <f>VLOOKUP('comite 2'!$C$4,prevision5!$A$1:$BG$28,MATCH(H84,$A$1:$BG$1,0),FALSE)</f>
        <v>66.900000000000006</v>
      </c>
    </row>
    <row r="85" spans="2:10" x14ac:dyDescent="0.25">
      <c r="B85" s="1">
        <v>2012</v>
      </c>
      <c r="C85" s="1">
        <f>VLOOKUP(Indicateur5!$K$6,prevision5!$A$1:$BG$29,MATCH(prevision5!B85,prevision5!$A$1:$BG$1,0),FALSE)</f>
        <v>63.5</v>
      </c>
      <c r="H85" s="1">
        <v>2012</v>
      </c>
      <c r="I85" s="1">
        <f>VLOOKUP('comite 2'!$C$4,prevision5!$A$1:$BG$28,MATCH(H85,$A$1:$BG$1,0),FALSE)</f>
        <v>63.5</v>
      </c>
    </row>
    <row r="86" spans="2:10" x14ac:dyDescent="0.25">
      <c r="B86" s="1">
        <v>2013</v>
      </c>
      <c r="C86" s="1">
        <f>VLOOKUP(Indicateur5!$K$6,prevision5!$A$1:$BG$29,MATCH(prevision5!B86,prevision5!$A$1:$BG$1,0),FALSE)</f>
        <v>60.9</v>
      </c>
      <c r="H86" s="1">
        <v>2013</v>
      </c>
      <c r="I86" s="1">
        <f>VLOOKUP('comite 2'!$C$4,prevision5!$A$1:$BG$28,MATCH(H86,$A$1:$BG$1,0),FALSE)</f>
        <v>60.9</v>
      </c>
    </row>
    <row r="87" spans="2:10" x14ac:dyDescent="0.25">
      <c r="B87" s="1">
        <v>2014</v>
      </c>
      <c r="C87" s="1">
        <f>VLOOKUP(Indicateur5!$K$6,prevision5!$A$1:$BG$29,MATCH(prevision5!B87,prevision5!$A$1:$BG$1,0),FALSE)</f>
        <v>58.9</v>
      </c>
      <c r="H87" s="1">
        <v>2014</v>
      </c>
      <c r="I87" s="1">
        <f>VLOOKUP('comite 2'!$C$4,prevision5!$A$1:$BG$28,MATCH(H87,$A$1:$BG$1,0),FALSE)</f>
        <v>58.9</v>
      </c>
    </row>
    <row r="88" spans="2:10" x14ac:dyDescent="0.25">
      <c r="B88" s="1">
        <v>2015</v>
      </c>
      <c r="C88" s="1">
        <f>VLOOKUP(Indicateur5!$K$6,prevision5!$A$1:$BG$29,MATCH(prevision5!B88,prevision5!$A$1:$BG$1,0),FALSE)</f>
        <v>57</v>
      </c>
      <c r="H88" s="1">
        <v>2015</v>
      </c>
      <c r="I88" s="1">
        <f>VLOOKUP('comite 2'!$C$4,prevision5!$A$1:$BG$28,MATCH(H88,$A$1:$BG$1,0),FALSE)</f>
        <v>57</v>
      </c>
    </row>
    <row r="89" spans="2:10" x14ac:dyDescent="0.25">
      <c r="B89" s="1">
        <v>2016</v>
      </c>
      <c r="C89" s="1">
        <f>VLOOKUP(Indicateur5!$K$6,prevision5!$A$1:$BG$29,MATCH(prevision5!B89,prevision5!$A$1:$BG$1,0),FALSE)</f>
        <v>55.2</v>
      </c>
      <c r="H89" s="1">
        <v>2016</v>
      </c>
      <c r="I89" s="1">
        <f>VLOOKUP('comite 2'!$C$4,prevision5!$A$1:$BG$28,MATCH(H89,$A$1:$BG$1,0),FALSE)</f>
        <v>55.2</v>
      </c>
    </row>
    <row r="90" spans="2:10" x14ac:dyDescent="0.25">
      <c r="B90" s="1">
        <v>2017</v>
      </c>
      <c r="C90" s="1">
        <f>VLOOKUP(Indicateur5!$K$6,prevision5!$A$1:$BG$29,MATCH(prevision5!B90,prevision5!$A$1:$BG$1,0),FALSE)</f>
        <v>53.3</v>
      </c>
      <c r="D90" s="1">
        <f>C90</f>
        <v>53.3</v>
      </c>
      <c r="H90" s="1">
        <v>2017</v>
      </c>
      <c r="I90" s="1">
        <f>VLOOKUP('comite 2'!$C$4,prevision5!$A$1:$BG$28,MATCH(H90,$A$1:$BG$1,0),FALSE)</f>
        <v>53.3</v>
      </c>
      <c r="J90" s="1">
        <f>I90</f>
        <v>53.3</v>
      </c>
    </row>
    <row r="91" spans="2:10" x14ac:dyDescent="0.25">
      <c r="B91" s="1">
        <v>2018</v>
      </c>
      <c r="D91" s="1">
        <f>TREND($C$33:$C$90,$B$33:$B$90,B91)</f>
        <v>93.594373865698799</v>
      </c>
      <c r="H91" s="1">
        <v>2018</v>
      </c>
      <c r="J91" s="1">
        <f>TREND($I$33:$I$90,$H$33:$H$90,H91)</f>
        <v>93.594373865698799</v>
      </c>
    </row>
    <row r="92" spans="2:10" x14ac:dyDescent="0.25">
      <c r="B92" s="1">
        <v>2019</v>
      </c>
      <c r="D92" s="1">
        <f t="shared" ref="D92:D103" si="0">TREND($C$33:$C$90,$B$33:$B$90,B92)</f>
        <v>92.548712664185587</v>
      </c>
      <c r="H92" s="1">
        <v>2019</v>
      </c>
      <c r="J92" s="1">
        <f t="shared" ref="J92:J103" si="1">TREND($I$33:$I$90,$H$33:$H$90,H92)</f>
        <v>92.548712664185587</v>
      </c>
    </row>
    <row r="93" spans="2:10" x14ac:dyDescent="0.25">
      <c r="B93" s="1">
        <v>2020</v>
      </c>
      <c r="D93" s="1">
        <f t="shared" si="0"/>
        <v>91.50305146267192</v>
      </c>
      <c r="H93" s="1">
        <v>2020</v>
      </c>
      <c r="J93" s="1">
        <f t="shared" si="1"/>
        <v>91.50305146267192</v>
      </c>
    </row>
    <row r="94" spans="2:10" x14ac:dyDescent="0.25">
      <c r="B94" s="1">
        <v>2021</v>
      </c>
      <c r="D94" s="1">
        <f t="shared" si="0"/>
        <v>90.457390261158707</v>
      </c>
      <c r="H94" s="1">
        <v>2021</v>
      </c>
      <c r="J94" s="1">
        <f t="shared" si="1"/>
        <v>90.457390261158707</v>
      </c>
    </row>
    <row r="95" spans="2:10" x14ac:dyDescent="0.25">
      <c r="B95" s="1">
        <v>2022</v>
      </c>
      <c r="D95" s="1">
        <f t="shared" si="0"/>
        <v>89.41172905964504</v>
      </c>
      <c r="H95" s="1">
        <v>2022</v>
      </c>
      <c r="J95" s="1">
        <f t="shared" si="1"/>
        <v>89.41172905964504</v>
      </c>
    </row>
    <row r="96" spans="2:10" x14ac:dyDescent="0.25">
      <c r="B96" s="1">
        <v>2023</v>
      </c>
      <c r="D96" s="1">
        <f t="shared" si="0"/>
        <v>88.366067858131828</v>
      </c>
      <c r="H96" s="1">
        <v>2023</v>
      </c>
      <c r="J96" s="1">
        <f t="shared" si="1"/>
        <v>88.366067858131828</v>
      </c>
    </row>
    <row r="97" spans="2:10" x14ac:dyDescent="0.25">
      <c r="B97" s="1">
        <v>2024</v>
      </c>
      <c r="D97" s="1">
        <f t="shared" si="0"/>
        <v>87.320406656618161</v>
      </c>
      <c r="H97" s="1">
        <v>2024</v>
      </c>
      <c r="J97" s="1">
        <f t="shared" si="1"/>
        <v>87.320406656618161</v>
      </c>
    </row>
    <row r="98" spans="2:10" x14ac:dyDescent="0.25">
      <c r="B98" s="1">
        <v>2025</v>
      </c>
      <c r="D98" s="1">
        <f t="shared" si="0"/>
        <v>86.274745455104949</v>
      </c>
      <c r="H98" s="1">
        <v>2025</v>
      </c>
      <c r="J98" s="1">
        <f t="shared" si="1"/>
        <v>86.274745455104949</v>
      </c>
    </row>
    <row r="99" spans="2:10" x14ac:dyDescent="0.25">
      <c r="B99" s="1">
        <v>2026</v>
      </c>
      <c r="D99" s="1">
        <f t="shared" si="0"/>
        <v>85.229084253591282</v>
      </c>
      <c r="H99" s="1">
        <v>2026</v>
      </c>
      <c r="J99" s="1">
        <f t="shared" si="1"/>
        <v>85.229084253591282</v>
      </c>
    </row>
    <row r="100" spans="2:10" x14ac:dyDescent="0.25">
      <c r="B100" s="1">
        <v>2027</v>
      </c>
      <c r="D100" s="1">
        <f t="shared" si="0"/>
        <v>84.183423052078069</v>
      </c>
      <c r="H100" s="1">
        <v>2027</v>
      </c>
      <c r="J100" s="1">
        <f t="shared" si="1"/>
        <v>84.183423052078069</v>
      </c>
    </row>
    <row r="101" spans="2:10" x14ac:dyDescent="0.25">
      <c r="B101" s="1">
        <v>2028</v>
      </c>
      <c r="D101" s="1">
        <f t="shared" si="0"/>
        <v>83.137761850564402</v>
      </c>
      <c r="H101" s="1">
        <v>2028</v>
      </c>
      <c r="J101" s="1">
        <f t="shared" si="1"/>
        <v>83.137761850564402</v>
      </c>
    </row>
    <row r="102" spans="2:10" x14ac:dyDescent="0.25">
      <c r="B102" s="1">
        <v>2029</v>
      </c>
      <c r="D102" s="1">
        <f t="shared" si="0"/>
        <v>82.09210064905119</v>
      </c>
      <c r="H102" s="1">
        <v>2029</v>
      </c>
      <c r="J102" s="1">
        <f t="shared" si="1"/>
        <v>82.09210064905119</v>
      </c>
    </row>
    <row r="103" spans="2:10" x14ac:dyDescent="0.25">
      <c r="B103" s="1">
        <v>2030</v>
      </c>
      <c r="D103" s="1">
        <f t="shared" si="0"/>
        <v>81.046439447537523</v>
      </c>
      <c r="H103" s="1">
        <v>2030</v>
      </c>
      <c r="J103" s="1">
        <f t="shared" si="1"/>
        <v>81.046439447537523</v>
      </c>
    </row>
  </sheetData>
  <phoneticPr fontId="12"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3"/>
  <dimension ref="A1:BG102"/>
  <sheetViews>
    <sheetView topLeftCell="A72" workbookViewId="0">
      <selection activeCell="C80" sqref="C80"/>
    </sheetView>
  </sheetViews>
  <sheetFormatPr defaultColWidth="8" defaultRowHeight="13.8" x14ac:dyDescent="0.25"/>
  <cols>
    <col min="1" max="2" width="8" style="1"/>
    <col min="3" max="3" width="8" style="1" bestFit="1" customWidth="1"/>
    <col min="4" max="16384" width="8" style="1"/>
  </cols>
  <sheetData>
    <row r="1" spans="1:59" x14ac:dyDescent="0.25">
      <c r="A1" s="16" t="s">
        <v>6</v>
      </c>
      <c r="B1" s="17">
        <v>1960</v>
      </c>
      <c r="C1" s="17">
        <v>1961</v>
      </c>
      <c r="D1" s="17">
        <v>1962</v>
      </c>
      <c r="E1" s="17">
        <v>1963</v>
      </c>
      <c r="F1" s="17">
        <v>1964</v>
      </c>
      <c r="G1" s="17">
        <v>1965</v>
      </c>
      <c r="H1" s="17">
        <v>1966</v>
      </c>
      <c r="I1" s="17">
        <v>1967</v>
      </c>
      <c r="J1" s="17">
        <v>1968</v>
      </c>
      <c r="K1" s="17">
        <v>1969</v>
      </c>
      <c r="L1" s="17">
        <v>1970</v>
      </c>
      <c r="M1" s="17">
        <v>1971</v>
      </c>
      <c r="N1" s="17">
        <v>1972</v>
      </c>
      <c r="O1" s="17">
        <v>1973</v>
      </c>
      <c r="P1" s="17">
        <v>1974</v>
      </c>
      <c r="Q1" s="17">
        <v>1975</v>
      </c>
      <c r="R1" s="17">
        <v>1976</v>
      </c>
      <c r="S1" s="17">
        <v>1977</v>
      </c>
      <c r="T1" s="17">
        <v>1978</v>
      </c>
      <c r="U1" s="17">
        <v>1979</v>
      </c>
      <c r="V1" s="17">
        <v>1980</v>
      </c>
      <c r="W1" s="17">
        <v>1981</v>
      </c>
      <c r="X1" s="17">
        <v>1982</v>
      </c>
      <c r="Y1" s="17">
        <v>1983</v>
      </c>
      <c r="Z1" s="17">
        <v>1984</v>
      </c>
      <c r="AA1" s="17">
        <v>1985</v>
      </c>
      <c r="AB1" s="17">
        <v>1986</v>
      </c>
      <c r="AC1" s="17">
        <v>1987</v>
      </c>
      <c r="AD1" s="17">
        <v>1988</v>
      </c>
      <c r="AE1" s="17">
        <v>1989</v>
      </c>
      <c r="AF1" s="17">
        <v>1990</v>
      </c>
      <c r="AG1" s="17">
        <v>1991</v>
      </c>
      <c r="AH1" s="17">
        <v>1992</v>
      </c>
      <c r="AI1" s="17">
        <v>1993</v>
      </c>
      <c r="AJ1" s="17">
        <v>1994</v>
      </c>
      <c r="AK1" s="17">
        <v>1995</v>
      </c>
      <c r="AL1" s="17">
        <v>1996</v>
      </c>
      <c r="AM1" s="17">
        <v>1997</v>
      </c>
      <c r="AN1" s="17">
        <v>1998</v>
      </c>
      <c r="AO1" s="17">
        <v>1999</v>
      </c>
      <c r="AP1" s="17">
        <v>2000</v>
      </c>
      <c r="AQ1" s="17">
        <v>2001</v>
      </c>
      <c r="AR1" s="17">
        <v>2002</v>
      </c>
      <c r="AS1" s="17">
        <v>2003</v>
      </c>
      <c r="AT1" s="17">
        <v>2004</v>
      </c>
      <c r="AU1" s="17">
        <v>2005</v>
      </c>
      <c r="AV1" s="17">
        <v>2006</v>
      </c>
      <c r="AW1" s="17">
        <v>2007</v>
      </c>
      <c r="AX1" s="17">
        <v>2008</v>
      </c>
      <c r="AY1" s="17">
        <v>2009</v>
      </c>
      <c r="AZ1" s="17">
        <v>2010</v>
      </c>
      <c r="BA1" s="17">
        <v>2011</v>
      </c>
      <c r="BB1" s="17">
        <v>2012</v>
      </c>
      <c r="BC1" s="17">
        <v>2013</v>
      </c>
      <c r="BD1" s="17">
        <v>2014</v>
      </c>
      <c r="BE1" s="17">
        <v>2015</v>
      </c>
      <c r="BF1" s="17">
        <v>2016</v>
      </c>
      <c r="BG1" s="17">
        <v>2017</v>
      </c>
    </row>
    <row r="2" spans="1:59" x14ac:dyDescent="0.25">
      <c r="A2" s="18" t="s">
        <v>9</v>
      </c>
      <c r="B2" s="1">
        <v>1.9450671046913399</v>
      </c>
      <c r="C2" s="1">
        <v>1.9041517609640299</v>
      </c>
      <c r="D2" s="1">
        <v>1.88388074767234</v>
      </c>
      <c r="E2" s="1">
        <v>1.92548381913877</v>
      </c>
      <c r="F2" s="1">
        <v>2.0445334815532501</v>
      </c>
      <c r="G2" s="1">
        <v>2.2014328598383002</v>
      </c>
      <c r="H2" s="1">
        <v>2.40267751598169</v>
      </c>
      <c r="I2" s="1">
        <v>2.5460349200237999</v>
      </c>
      <c r="J2" s="1">
        <v>2.5102627119219401</v>
      </c>
      <c r="K2" s="1">
        <v>2.2517396697513901</v>
      </c>
      <c r="L2" s="1">
        <v>1.8650942931115699</v>
      </c>
      <c r="M2" s="1">
        <v>1.43042293731486</v>
      </c>
      <c r="N2" s="1">
        <v>1.09672253196062</v>
      </c>
      <c r="O2" s="1">
        <v>0.96716292197423803</v>
      </c>
      <c r="P2" s="1">
        <v>1.1142141719068299</v>
      </c>
      <c r="Q2" s="1">
        <v>1.45155982540182</v>
      </c>
      <c r="R2" s="1">
        <v>1.83957671002837</v>
      </c>
      <c r="S2" s="1">
        <v>2.1568508426082502</v>
      </c>
      <c r="T2" s="1">
        <v>2.3937653592388899</v>
      </c>
      <c r="U2" s="1">
        <v>2.5115744424679201</v>
      </c>
      <c r="V2" s="1">
        <v>2.5463954715550199</v>
      </c>
      <c r="W2" s="1">
        <v>2.5511658632490999</v>
      </c>
      <c r="X2" s="1">
        <v>2.5757271975506599</v>
      </c>
      <c r="Y2" s="1">
        <v>2.6268990054985899</v>
      </c>
      <c r="Z2" s="1">
        <v>2.7177665677437202</v>
      </c>
      <c r="AA2" s="1">
        <v>2.8206108301397999</v>
      </c>
      <c r="AB2" s="1">
        <v>2.9236028971024099</v>
      </c>
      <c r="AC2" s="1">
        <v>2.9744083821677298</v>
      </c>
      <c r="AD2" s="1">
        <v>2.9283899980524302</v>
      </c>
      <c r="AE2" s="1">
        <v>2.7664643789615</v>
      </c>
      <c r="AF2" s="1">
        <v>2.5318873319789099</v>
      </c>
      <c r="AG2" s="1">
        <v>2.3114591054270202</v>
      </c>
      <c r="AH2" s="1">
        <v>2.12610011823655</v>
      </c>
      <c r="AI2" s="1">
        <v>1.9289230149249199</v>
      </c>
      <c r="AJ2" s="1">
        <v>1.72140224114754</v>
      </c>
      <c r="AK2" s="1">
        <v>1.52873622081271</v>
      </c>
      <c r="AL2" s="1">
        <v>1.3172377473904699</v>
      </c>
      <c r="AM2" s="1">
        <v>1.1681821195567701</v>
      </c>
      <c r="AN2" s="1">
        <v>1.2075653170326599</v>
      </c>
      <c r="AO2" s="1">
        <v>1.4855601097126701</v>
      </c>
      <c r="AP2" s="1">
        <v>1.9207120357062599</v>
      </c>
      <c r="AQ2" s="1">
        <v>2.3946280782341498</v>
      </c>
      <c r="AR2" s="1">
        <v>2.7938109586503002</v>
      </c>
      <c r="AS2" s="1">
        <v>3.0896785811888199</v>
      </c>
      <c r="AT2" s="1">
        <v>3.2451216748515499</v>
      </c>
      <c r="AU2" s="1">
        <v>3.2981530712579001</v>
      </c>
      <c r="AV2" s="1">
        <v>3.3390111168039698</v>
      </c>
      <c r="AW2" s="1">
        <v>3.3847163883889699</v>
      </c>
      <c r="AX2" s="1">
        <v>3.3769151240528901</v>
      </c>
      <c r="AY2" s="1">
        <v>3.3146212817890501</v>
      </c>
      <c r="AZ2" s="1">
        <v>3.2211828553465001</v>
      </c>
      <c r="BA2" s="1">
        <v>3.1060464141009199</v>
      </c>
      <c r="BB2" s="1">
        <v>3.00843601052626</v>
      </c>
      <c r="BC2" s="1">
        <v>2.9650960952535201</v>
      </c>
      <c r="BD2" s="1">
        <v>2.9922646871545102</v>
      </c>
      <c r="BE2" s="1">
        <v>3.06110289439754</v>
      </c>
      <c r="BF2" s="1">
        <v>3.1353331460468001</v>
      </c>
      <c r="BG2" s="1">
        <v>3.1807641546363898</v>
      </c>
    </row>
    <row r="3" spans="1:59" x14ac:dyDescent="0.25">
      <c r="A3" s="18" t="s">
        <v>12</v>
      </c>
      <c r="B3" s="1">
        <v>2.0191202759051001</v>
      </c>
      <c r="C3" s="1">
        <v>2.0831993683772398</v>
      </c>
      <c r="D3" s="1">
        <v>2.1468182045183202</v>
      </c>
      <c r="E3" s="1">
        <v>2.2053494386444301</v>
      </c>
      <c r="F3" s="1">
        <v>2.2565293684683199</v>
      </c>
      <c r="G3" s="1">
        <v>2.3025574874505401</v>
      </c>
      <c r="H3" s="1">
        <v>2.3483419837075901</v>
      </c>
      <c r="I3" s="1">
        <v>2.3956390101490199</v>
      </c>
      <c r="J3" s="1">
        <v>2.44155252012927</v>
      </c>
      <c r="K3" s="1">
        <v>2.48623085484429</v>
      </c>
      <c r="L3" s="1">
        <v>2.5298187453023702</v>
      </c>
      <c r="M3" s="1">
        <v>2.5726199472881399</v>
      </c>
      <c r="N3" s="1">
        <v>2.61539040577959</v>
      </c>
      <c r="O3" s="1">
        <v>2.6605651983634</v>
      </c>
      <c r="P3" s="1">
        <v>2.7087096285935401</v>
      </c>
      <c r="Q3" s="1">
        <v>2.7584177466004198</v>
      </c>
      <c r="R3" s="1">
        <v>2.8042520542847602</v>
      </c>
      <c r="S3" s="1">
        <v>2.8474688087493401</v>
      </c>
      <c r="T3" s="1">
        <v>2.89226178790646</v>
      </c>
      <c r="U3" s="1">
        <v>2.9395050315339599</v>
      </c>
      <c r="V3" s="1">
        <v>2.9857505966567199</v>
      </c>
      <c r="W3" s="1">
        <v>3.0247023813248801</v>
      </c>
      <c r="X3" s="1">
        <v>3.0548477233201399</v>
      </c>
      <c r="Y3" s="1">
        <v>3.0796202369363401</v>
      </c>
      <c r="Z3" s="1">
        <v>3.09876129481114</v>
      </c>
      <c r="AA3" s="1">
        <v>3.1101491529771401</v>
      </c>
      <c r="AB3" s="1">
        <v>3.1178151316809699</v>
      </c>
      <c r="AC3" s="1">
        <v>3.1142382148145198</v>
      </c>
      <c r="AD3" s="1">
        <v>3.08880957214574</v>
      </c>
      <c r="AE3" s="1">
        <v>3.0384711088426002</v>
      </c>
      <c r="AF3" s="1">
        <v>2.9720417073527901</v>
      </c>
      <c r="AG3" s="1">
        <v>2.9065956825294799</v>
      </c>
      <c r="AH3" s="1">
        <v>2.84618180633854</v>
      </c>
      <c r="AI3" s="1">
        <v>2.7811122849640002</v>
      </c>
      <c r="AJ3" s="1">
        <v>2.7121784891719001</v>
      </c>
      <c r="AK3" s="1">
        <v>2.6446806891655998</v>
      </c>
      <c r="AL3" s="1">
        <v>2.5775782196854</v>
      </c>
      <c r="AM3" s="1">
        <v>2.5232043046758998</v>
      </c>
      <c r="AN3" s="1">
        <v>2.4968851771364</v>
      </c>
      <c r="AO3" s="1">
        <v>2.5043989672862499</v>
      </c>
      <c r="AP3" s="1">
        <v>2.5350519883151099</v>
      </c>
      <c r="AQ3" s="1">
        <v>2.5703666141889299</v>
      </c>
      <c r="AR3" s="1">
        <v>2.6009050674791601</v>
      </c>
      <c r="AS3" s="1">
        <v>2.6317653886536898</v>
      </c>
      <c r="AT3" s="1">
        <v>2.6605715370920699</v>
      </c>
      <c r="AU3" s="1">
        <v>2.6861165006763099</v>
      </c>
      <c r="AV3" s="1">
        <v>2.7111635691955001</v>
      </c>
      <c r="AW3" s="1">
        <v>2.7323792110382299</v>
      </c>
      <c r="AX3" s="1">
        <v>2.7432611605442201</v>
      </c>
      <c r="AY3" s="1">
        <v>2.7416384998088699</v>
      </c>
      <c r="AZ3" s="1">
        <v>2.7306902313796</v>
      </c>
      <c r="BA3" s="1">
        <v>2.7165869389742099</v>
      </c>
      <c r="BB3" s="1">
        <v>2.7015959133753</v>
      </c>
      <c r="BC3" s="1">
        <v>2.68316290755262</v>
      </c>
      <c r="BD3" s="1">
        <v>2.66187609259836</v>
      </c>
      <c r="BE3" s="1">
        <v>2.63853608129366</v>
      </c>
      <c r="BF3" s="1">
        <v>2.61358514949048</v>
      </c>
      <c r="BG3" s="1">
        <v>2.58805882261683</v>
      </c>
    </row>
    <row r="4" spans="1:59" x14ac:dyDescent="0.25">
      <c r="A4" s="18" t="s">
        <v>13</v>
      </c>
      <c r="B4" s="1">
        <v>1.9000035806061999</v>
      </c>
      <c r="C4" s="1">
        <v>1.93877745696919</v>
      </c>
      <c r="D4" s="1">
        <v>1.9691747173641201</v>
      </c>
      <c r="E4" s="1">
        <v>1.9774570969451899</v>
      </c>
      <c r="F4" s="1">
        <v>1.95817926350658</v>
      </c>
      <c r="G4" s="1">
        <v>1.92401449608703</v>
      </c>
      <c r="H4" s="1">
        <v>1.8737276006455501</v>
      </c>
      <c r="I4" s="1">
        <v>1.8405448273821301</v>
      </c>
      <c r="J4" s="1">
        <v>1.86159061706758</v>
      </c>
      <c r="K4" s="1">
        <v>1.9532781834306601</v>
      </c>
      <c r="L4" s="1">
        <v>2.0847616313399402</v>
      </c>
      <c r="M4" s="1">
        <v>2.2401488209982401</v>
      </c>
      <c r="N4" s="1">
        <v>2.36079682064873</v>
      </c>
      <c r="O4" s="1">
        <v>2.39639008715961</v>
      </c>
      <c r="P4" s="1">
        <v>2.3240789744343102</v>
      </c>
      <c r="Q4" s="1">
        <v>2.1870778986660402</v>
      </c>
      <c r="R4" s="1">
        <v>2.0407532389332901</v>
      </c>
      <c r="S4" s="1">
        <v>1.94064659198251</v>
      </c>
      <c r="T4" s="1">
        <v>1.9013257118762401</v>
      </c>
      <c r="U4" s="1">
        <v>1.94312858288497</v>
      </c>
      <c r="V4" s="1">
        <v>2.04481487423564</v>
      </c>
      <c r="W4" s="1">
        <v>2.1514259285883202</v>
      </c>
      <c r="X4" s="1">
        <v>2.2526614811891199</v>
      </c>
      <c r="Y4" s="1">
        <v>2.38681756689975</v>
      </c>
      <c r="Z4" s="1">
        <v>2.5545744020133001</v>
      </c>
      <c r="AA4" s="1">
        <v>2.7374740358080398</v>
      </c>
      <c r="AB4" s="1">
        <v>2.9315641164670301</v>
      </c>
      <c r="AC4" s="1">
        <v>3.1000427916642801</v>
      </c>
      <c r="AD4" s="1">
        <v>3.2070646897028099</v>
      </c>
      <c r="AE4" s="1">
        <v>3.2374236932532701</v>
      </c>
      <c r="AF4" s="1">
        <v>3.2203019015123502</v>
      </c>
      <c r="AG4" s="1">
        <v>3.19219237293456</v>
      </c>
      <c r="AH4" s="1">
        <v>3.18460855822453</v>
      </c>
      <c r="AI4" s="1">
        <v>3.2008765785800799</v>
      </c>
      <c r="AJ4" s="1">
        <v>3.24959999394388</v>
      </c>
      <c r="AK4" s="1">
        <v>3.3197182822711899</v>
      </c>
      <c r="AL4" s="1">
        <v>3.3764537373109902</v>
      </c>
      <c r="AM4" s="1">
        <v>3.4224924785825799</v>
      </c>
      <c r="AN4" s="1">
        <v>3.4883962314147601</v>
      </c>
      <c r="AO4" s="1">
        <v>3.5771947759741098</v>
      </c>
      <c r="AP4" s="1">
        <v>3.6711345012519501</v>
      </c>
      <c r="AQ4" s="1">
        <v>3.7692464269534001</v>
      </c>
      <c r="AR4" s="1">
        <v>3.8349758287224902</v>
      </c>
      <c r="AS4" s="1">
        <v>3.8306411256675799</v>
      </c>
      <c r="AT4" s="1">
        <v>3.7442073065357202</v>
      </c>
      <c r="AU4" s="1">
        <v>3.6102931039285702</v>
      </c>
      <c r="AV4" s="1">
        <v>3.4616645780489299</v>
      </c>
      <c r="AW4" s="1">
        <v>3.3414053950262401</v>
      </c>
      <c r="AX4" s="1">
        <v>3.2696663913238</v>
      </c>
      <c r="AY4" s="1">
        <v>3.2598261497335401</v>
      </c>
      <c r="AZ4" s="1">
        <v>3.2873092309842402</v>
      </c>
      <c r="BA4" s="1">
        <v>3.3213794309443099</v>
      </c>
      <c r="BB4" s="1">
        <v>3.33300889359437</v>
      </c>
      <c r="BC4" s="1">
        <v>3.31667519978018</v>
      </c>
      <c r="BD4" s="1">
        <v>3.2647063652005399</v>
      </c>
      <c r="BE4" s="1">
        <v>3.1909402723936902</v>
      </c>
      <c r="BF4" s="1">
        <v>3.11409244065461</v>
      </c>
      <c r="BG4" s="1">
        <v>3.0490425032905502</v>
      </c>
    </row>
    <row r="5" spans="1:59" x14ac:dyDescent="0.25">
      <c r="A5" s="18" t="s">
        <v>15</v>
      </c>
      <c r="B5" s="1">
        <v>1.5948948102160401</v>
      </c>
      <c r="C5" s="1">
        <v>1.5667662030157501</v>
      </c>
      <c r="D5" s="1">
        <v>1.5633902780475899</v>
      </c>
      <c r="E5" s="1">
        <v>1.59673387607258</v>
      </c>
      <c r="F5" s="1">
        <v>1.67328370489556</v>
      </c>
      <c r="G5" s="1">
        <v>1.7856531580125701</v>
      </c>
      <c r="H5" s="1">
        <v>1.9355966644378599</v>
      </c>
      <c r="I5" s="1">
        <v>2.0680467938851699</v>
      </c>
      <c r="J5" s="1">
        <v>2.1436331005855802</v>
      </c>
      <c r="K5" s="1">
        <v>2.1306031334304998</v>
      </c>
      <c r="L5" s="1">
        <v>2.0770259532294002</v>
      </c>
      <c r="M5" s="1">
        <v>1.9755407940872101</v>
      </c>
      <c r="N5" s="1">
        <v>1.9376860527187501</v>
      </c>
      <c r="O5" s="1">
        <v>2.0573988729939101</v>
      </c>
      <c r="P5" s="1">
        <v>2.3856510185469801</v>
      </c>
      <c r="Q5" s="1">
        <v>2.83270220362223</v>
      </c>
      <c r="R5" s="1">
        <v>3.3115748046094802</v>
      </c>
      <c r="S5" s="1">
        <v>3.6718879782687202</v>
      </c>
      <c r="T5" s="1">
        <v>3.8167659374639298</v>
      </c>
      <c r="U5" s="1">
        <v>3.7029917256479998</v>
      </c>
      <c r="V5" s="1">
        <v>3.4308376136315899</v>
      </c>
      <c r="W5" s="1">
        <v>3.1267186891516898</v>
      </c>
      <c r="X5" s="1">
        <v>2.89833987636649</v>
      </c>
      <c r="Y5" s="1">
        <v>2.7601813794507599</v>
      </c>
      <c r="Z5" s="1">
        <v>2.7497396820767799</v>
      </c>
      <c r="AA5" s="1">
        <v>2.8172404692651001</v>
      </c>
      <c r="AB5" s="1">
        <v>2.89107456526623</v>
      </c>
      <c r="AC5" s="1">
        <v>2.9349613547801998</v>
      </c>
      <c r="AD5" s="1">
        <v>2.9582980097150799</v>
      </c>
      <c r="AE5" s="1">
        <v>2.96341493968414</v>
      </c>
      <c r="AF5" s="1">
        <v>2.9493302945929898</v>
      </c>
      <c r="AG5" s="1">
        <v>2.9394096268344101</v>
      </c>
      <c r="AH5" s="1">
        <v>2.9237715881950401</v>
      </c>
      <c r="AI5" s="1">
        <v>2.8963707862897401</v>
      </c>
      <c r="AJ5" s="1">
        <v>2.8531331905402499</v>
      </c>
      <c r="AK5" s="1">
        <v>2.7979655382905801</v>
      </c>
      <c r="AL5" s="1">
        <v>2.7455483327516399</v>
      </c>
      <c r="AM5" s="1">
        <v>2.6907072587393901</v>
      </c>
      <c r="AN5" s="1">
        <v>2.6407704375318302</v>
      </c>
      <c r="AO5" s="1">
        <v>2.5786861790334101</v>
      </c>
      <c r="AP5" s="1">
        <v>2.52234002212069</v>
      </c>
      <c r="AQ5" s="1">
        <v>2.4642378912691498</v>
      </c>
      <c r="AR5" s="1">
        <v>2.41550726459531</v>
      </c>
      <c r="AS5" s="1">
        <v>2.3827134214535599</v>
      </c>
      <c r="AT5" s="1">
        <v>2.3749908060831801</v>
      </c>
      <c r="AU5" s="1">
        <v>2.38236695500082</v>
      </c>
      <c r="AV5" s="1">
        <v>2.3906434898981699</v>
      </c>
      <c r="AW5" s="1">
        <v>2.3967173655849301</v>
      </c>
      <c r="AX5" s="1">
        <v>2.4036283650959298</v>
      </c>
      <c r="AY5" s="1">
        <v>2.4087190564731502</v>
      </c>
      <c r="AZ5" s="1">
        <v>2.4125418771942599</v>
      </c>
      <c r="BA5" s="1">
        <v>2.4175740775310701</v>
      </c>
      <c r="BB5" s="1">
        <v>2.4188193422099702</v>
      </c>
      <c r="BC5" s="1">
        <v>2.40661062566515</v>
      </c>
      <c r="BD5" s="1">
        <v>2.3833733588499499</v>
      </c>
      <c r="BE5" s="1">
        <v>2.34769949129974</v>
      </c>
      <c r="BF5" s="1">
        <v>2.3111913812565201</v>
      </c>
      <c r="BG5" s="1">
        <v>2.2754448158280698</v>
      </c>
    </row>
    <row r="6" spans="1:59" x14ac:dyDescent="0.25">
      <c r="A6" s="18" t="s">
        <v>16</v>
      </c>
      <c r="B6" s="1">
        <v>4.9309214152202703</v>
      </c>
      <c r="C6" s="1">
        <v>5.6505903479292297</v>
      </c>
      <c r="D6" s="1">
        <v>6.2482690637337903</v>
      </c>
      <c r="E6" s="1">
        <v>6.5967905433098402</v>
      </c>
      <c r="F6" s="1">
        <v>6.6832093721583004</v>
      </c>
      <c r="G6" s="1">
        <v>6.6347694783188498</v>
      </c>
      <c r="H6" s="1">
        <v>6.6483993153242</v>
      </c>
      <c r="I6" s="1">
        <v>6.7128944122730596</v>
      </c>
      <c r="J6" s="1">
        <v>6.6713714819085004</v>
      </c>
      <c r="K6" s="1">
        <v>6.4944687306043596</v>
      </c>
      <c r="L6" s="1">
        <v>6.3158614023727502</v>
      </c>
      <c r="M6" s="1">
        <v>5.9057188411475696</v>
      </c>
      <c r="N6" s="1">
        <v>5.6538940844647199</v>
      </c>
      <c r="O6" s="1">
        <v>6.1372666109289602</v>
      </c>
      <c r="P6" s="1">
        <v>7.3883430163145203</v>
      </c>
      <c r="Q6" s="1">
        <v>8.85701661900133</v>
      </c>
      <c r="R6" s="1">
        <v>10.320548965431</v>
      </c>
      <c r="S6" s="1">
        <v>11.007708238587901</v>
      </c>
      <c r="T6" s="1">
        <v>10.438050201496401</v>
      </c>
      <c r="U6" s="1">
        <v>8.7238347498370192</v>
      </c>
      <c r="V6" s="1">
        <v>6.58468575071283</v>
      </c>
      <c r="W6" s="1">
        <v>4.3547050189102201</v>
      </c>
      <c r="X6" s="1">
        <v>2.7188970916179498</v>
      </c>
      <c r="Y6" s="1">
        <v>2.1901262139281399</v>
      </c>
      <c r="Z6" s="1">
        <v>3.0546785734019402</v>
      </c>
      <c r="AA6" s="1">
        <v>4.7135452027413702</v>
      </c>
      <c r="AB6" s="1">
        <v>6.5361553585041197</v>
      </c>
      <c r="AC6" s="1">
        <v>7.6186597554922502</v>
      </c>
      <c r="AD6" s="1">
        <v>7.5907907683656797</v>
      </c>
      <c r="AE6" s="1">
        <v>6.3826546171282699</v>
      </c>
      <c r="AF6" s="1">
        <v>4.5983798078022602</v>
      </c>
      <c r="AG6" s="1">
        <v>2.7474870634819299</v>
      </c>
      <c r="AH6" s="1">
        <v>1.3438312448475001</v>
      </c>
      <c r="AI6" s="1">
        <v>0.55790388955488202</v>
      </c>
      <c r="AJ6" s="1">
        <v>0.62392363972092002</v>
      </c>
      <c r="AK6" s="1">
        <v>1.2807158706794399</v>
      </c>
      <c r="AL6" s="1">
        <v>2.0869312501134201</v>
      </c>
      <c r="AM6" s="1">
        <v>2.6477917605727002</v>
      </c>
      <c r="AN6" s="1">
        <v>2.9309660476630901</v>
      </c>
      <c r="AO6" s="1">
        <v>2.8229360201767202</v>
      </c>
      <c r="AP6" s="1">
        <v>2.46682603372233</v>
      </c>
      <c r="AQ6" s="1">
        <v>2.0861340066988801</v>
      </c>
      <c r="AR6" s="1">
        <v>1.82704489612125</v>
      </c>
      <c r="AS6" s="1">
        <v>1.64725993456733</v>
      </c>
      <c r="AT6" s="1">
        <v>1.5872259312160899</v>
      </c>
      <c r="AU6" s="1">
        <v>1.6090375107515</v>
      </c>
      <c r="AV6" s="1">
        <v>1.6403421496910999</v>
      </c>
      <c r="AW6" s="1">
        <v>1.6435245162419501</v>
      </c>
      <c r="AX6" s="1">
        <v>1.65802996457734</v>
      </c>
      <c r="AY6" s="1">
        <v>1.6756890264814099</v>
      </c>
      <c r="AZ6" s="1">
        <v>1.6950783409915999</v>
      </c>
      <c r="BA6" s="1">
        <v>1.72284809228897</v>
      </c>
      <c r="BB6" s="1">
        <v>1.7455434892658199</v>
      </c>
      <c r="BC6" s="1">
        <v>1.7440382925404301</v>
      </c>
      <c r="BD6" s="1">
        <v>1.7111823002921001</v>
      </c>
      <c r="BE6" s="1">
        <v>1.6580269341401099</v>
      </c>
      <c r="BF6" s="1">
        <v>1.5958647482909101</v>
      </c>
      <c r="BG6" s="1">
        <v>1.54290020553782</v>
      </c>
    </row>
    <row r="7" spans="1:59" x14ac:dyDescent="0.25">
      <c r="A7" s="18" t="s">
        <v>1</v>
      </c>
      <c r="B7" s="1">
        <v>2.2335803585264999</v>
      </c>
      <c r="C7" s="1">
        <v>2.3199763078676101</v>
      </c>
      <c r="D7" s="1">
        <v>2.3978838179787201</v>
      </c>
      <c r="E7" s="1">
        <v>2.4545776493316902</v>
      </c>
      <c r="F7" s="1">
        <v>2.4841587552019</v>
      </c>
      <c r="G7" s="1">
        <v>2.4959558740413401</v>
      </c>
      <c r="H7" s="1">
        <v>2.4786580371289801</v>
      </c>
      <c r="I7" s="1">
        <v>2.46468623153025</v>
      </c>
      <c r="J7" s="1">
        <v>2.49836360444217</v>
      </c>
      <c r="K7" s="1">
        <v>2.59384097731916</v>
      </c>
      <c r="L7" s="1">
        <v>2.7143679689712301</v>
      </c>
      <c r="M7" s="1">
        <v>2.8795812421186202</v>
      </c>
      <c r="N7" s="1">
        <v>2.9891281414562401</v>
      </c>
      <c r="O7" s="1">
        <v>2.9190059354439999</v>
      </c>
      <c r="P7" s="1">
        <v>2.6293969182000301</v>
      </c>
      <c r="Q7" s="1">
        <v>2.22030024123716</v>
      </c>
      <c r="R7" s="1">
        <v>1.7654917045357601</v>
      </c>
      <c r="S7" s="1">
        <v>1.4243287679822401</v>
      </c>
      <c r="T7" s="1">
        <v>1.3175588710823001</v>
      </c>
      <c r="U7" s="1">
        <v>1.5203353805656601</v>
      </c>
      <c r="V7" s="1">
        <v>1.9316921661753601</v>
      </c>
      <c r="W7" s="1">
        <v>2.3966623669182998</v>
      </c>
      <c r="X7" s="1">
        <v>2.7754982317363202</v>
      </c>
      <c r="Y7" s="1">
        <v>3.0471553905964499</v>
      </c>
      <c r="Z7" s="1">
        <v>3.1695295188350499</v>
      </c>
      <c r="AA7" s="1">
        <v>3.1913954886921401</v>
      </c>
      <c r="AB7" s="1">
        <v>3.18495303120618</v>
      </c>
      <c r="AC7" s="1">
        <v>3.2066493828912499</v>
      </c>
      <c r="AD7" s="1">
        <v>3.2545147774421102</v>
      </c>
      <c r="AE7" s="1">
        <v>3.3416670445560799</v>
      </c>
      <c r="AF7" s="1">
        <v>3.4433474572363698</v>
      </c>
      <c r="AG7" s="1">
        <v>3.5436442684646399</v>
      </c>
      <c r="AH7" s="1">
        <v>3.6008732836427999</v>
      </c>
      <c r="AI7" s="1">
        <v>3.5850483559922099</v>
      </c>
      <c r="AJ7" s="1">
        <v>3.48437587617657</v>
      </c>
      <c r="AK7" s="1">
        <v>3.3331811672434002</v>
      </c>
      <c r="AL7" s="1">
        <v>3.1690584918240301</v>
      </c>
      <c r="AM7" s="1">
        <v>3.03241044527612</v>
      </c>
      <c r="AN7" s="1">
        <v>2.9374208136922499</v>
      </c>
      <c r="AO7" s="1">
        <v>2.8972317414567201</v>
      </c>
      <c r="AP7" s="1">
        <v>2.8928908966022502</v>
      </c>
      <c r="AQ7" s="1">
        <v>2.8957543808169799</v>
      </c>
      <c r="AR7" s="1">
        <v>2.8852176855038798</v>
      </c>
      <c r="AS7" s="1">
        <v>2.8636164702759599</v>
      </c>
      <c r="AT7" s="1">
        <v>2.8258554541128502</v>
      </c>
      <c r="AU7" s="1">
        <v>2.7787150564064098</v>
      </c>
      <c r="AV7" s="1">
        <v>2.7301302435492198</v>
      </c>
      <c r="AW7" s="1">
        <v>2.6898152561200299</v>
      </c>
      <c r="AX7" s="1">
        <v>2.6611540757463099</v>
      </c>
      <c r="AY7" s="1">
        <v>2.6470654046082198</v>
      </c>
      <c r="AZ7" s="1">
        <v>2.6415944766588502</v>
      </c>
      <c r="BA7" s="1">
        <v>2.6376702929657401</v>
      </c>
      <c r="BB7" s="1">
        <v>2.6275988813792002</v>
      </c>
      <c r="BC7" s="1">
        <v>2.6089304674401199</v>
      </c>
      <c r="BD7" s="1">
        <v>2.5790683056791499</v>
      </c>
      <c r="BE7" s="1">
        <v>2.5414686187041502</v>
      </c>
      <c r="BF7" s="1">
        <v>2.50182137816318</v>
      </c>
      <c r="BG7" s="1">
        <v>2.4636992543230498</v>
      </c>
    </row>
    <row r="8" spans="1:59" x14ac:dyDescent="0.25">
      <c r="A8" s="18" t="s">
        <v>17</v>
      </c>
      <c r="B8" s="1">
        <v>1.56938319825434</v>
      </c>
      <c r="C8" s="1">
        <v>1.55994077755865</v>
      </c>
      <c r="D8" s="1">
        <v>1.5568184520567201</v>
      </c>
      <c r="E8" s="1">
        <v>1.58174436059624</v>
      </c>
      <c r="F8" s="1">
        <v>1.6440696166454101</v>
      </c>
      <c r="G8" s="1">
        <v>1.72050023466339</v>
      </c>
      <c r="H8" s="1">
        <v>1.8159679016458501</v>
      </c>
      <c r="I8" s="1">
        <v>1.87194822412985</v>
      </c>
      <c r="J8" s="1">
        <v>1.8152925915348701</v>
      </c>
      <c r="K8" s="1">
        <v>1.61752542578113</v>
      </c>
      <c r="L8" s="1">
        <v>1.3303752979386201</v>
      </c>
      <c r="M8" s="1">
        <v>1.0389538514419401</v>
      </c>
      <c r="N8" s="1">
        <v>0.80008079272546095</v>
      </c>
      <c r="O8" s="1">
        <v>0.609318192095329</v>
      </c>
      <c r="P8" s="1">
        <v>0.488702982640215</v>
      </c>
      <c r="Q8" s="1">
        <v>0.43556605046255398</v>
      </c>
      <c r="R8" s="1">
        <v>0.39073398278809801</v>
      </c>
      <c r="S8" s="1">
        <v>0.38457533857674298</v>
      </c>
      <c r="T8" s="1">
        <v>0.51362881691648599</v>
      </c>
      <c r="U8" s="1">
        <v>0.80971701027887999</v>
      </c>
      <c r="V8" s="1">
        <v>1.22253997295211</v>
      </c>
      <c r="W8" s="1">
        <v>1.7114170039901</v>
      </c>
      <c r="X8" s="1">
        <v>2.17286078648592</v>
      </c>
      <c r="Y8" s="1">
        <v>2.5238625297958701</v>
      </c>
      <c r="Z8" s="1">
        <v>2.7201368702058302</v>
      </c>
      <c r="AA8" s="1">
        <v>2.82476414019269</v>
      </c>
      <c r="AB8" s="1">
        <v>2.8123255383553398</v>
      </c>
      <c r="AC8" s="1">
        <v>2.8591523954699598</v>
      </c>
      <c r="AD8" s="1">
        <v>3.1713193995084699</v>
      </c>
      <c r="AE8" s="1">
        <v>3.8107891661318898</v>
      </c>
      <c r="AF8" s="1">
        <v>4.5800048970153098</v>
      </c>
      <c r="AG8" s="1">
        <v>5.3693709229607398</v>
      </c>
      <c r="AH8" s="1">
        <v>5.8572151185525998</v>
      </c>
      <c r="AI8" s="1">
        <v>5.8110852390409997</v>
      </c>
      <c r="AJ8" s="1">
        <v>5.1829284109385396</v>
      </c>
      <c r="AK8" s="1">
        <v>4.2415980048721602</v>
      </c>
      <c r="AL8" s="1">
        <v>3.2667675105796801</v>
      </c>
      <c r="AM8" s="1">
        <v>2.4947166820834799</v>
      </c>
      <c r="AN8" s="1">
        <v>1.96320303787811</v>
      </c>
      <c r="AO8" s="1">
        <v>1.75409779453395</v>
      </c>
      <c r="AP8" s="1">
        <v>1.77274380123127</v>
      </c>
      <c r="AQ8" s="1">
        <v>1.8290260227908901</v>
      </c>
      <c r="AR8" s="1">
        <v>1.8357215039866801</v>
      </c>
      <c r="AS8" s="1">
        <v>1.87029027573573</v>
      </c>
      <c r="AT8" s="1">
        <v>1.91899783694693</v>
      </c>
      <c r="AU8" s="1">
        <v>1.97728149717433</v>
      </c>
      <c r="AV8" s="1">
        <v>2.0621477762343199</v>
      </c>
      <c r="AW8" s="1">
        <v>2.1554276194037598</v>
      </c>
      <c r="AX8" s="1">
        <v>2.2176859157341799</v>
      </c>
      <c r="AY8" s="1">
        <v>2.2355886344190701</v>
      </c>
      <c r="AZ8" s="1">
        <v>2.22621161386768</v>
      </c>
      <c r="BA8" s="1">
        <v>2.2081271555014799</v>
      </c>
      <c r="BB8" s="1">
        <v>2.2074022969209999</v>
      </c>
      <c r="BC8" s="1">
        <v>2.2364422407573699</v>
      </c>
      <c r="BD8" s="1">
        <v>2.3040396436433999</v>
      </c>
      <c r="BE8" s="1">
        <v>2.3939168664711401</v>
      </c>
      <c r="BF8" s="1">
        <v>2.4862253300873101</v>
      </c>
      <c r="BG8" s="1">
        <v>2.5585811788215</v>
      </c>
    </row>
    <row r="9" spans="1:59" x14ac:dyDescent="0.25">
      <c r="A9" s="18" t="s">
        <v>18</v>
      </c>
      <c r="B9" s="1">
        <v>1.96060845978278</v>
      </c>
      <c r="C9" s="1">
        <v>1.9772658409425301</v>
      </c>
      <c r="D9" s="1">
        <v>1.9892553436926499</v>
      </c>
      <c r="E9" s="1">
        <v>1.9969596663142799</v>
      </c>
      <c r="F9" s="1">
        <v>2.0002186694344801</v>
      </c>
      <c r="G9" s="1">
        <v>1.99806286977609</v>
      </c>
      <c r="H9" s="1">
        <v>2.0015694952452399</v>
      </c>
      <c r="I9" s="1">
        <v>2.00042703784221</v>
      </c>
      <c r="J9" s="1">
        <v>1.9757063857386701</v>
      </c>
      <c r="K9" s="1">
        <v>1.9216352192259001</v>
      </c>
      <c r="L9" s="1">
        <v>1.8527030734530801</v>
      </c>
      <c r="M9" s="1">
        <v>1.77893147443439</v>
      </c>
      <c r="N9" s="1">
        <v>1.72511947786682</v>
      </c>
      <c r="O9" s="1">
        <v>1.7098138381516601</v>
      </c>
      <c r="P9" s="1">
        <v>1.7442840032754501</v>
      </c>
      <c r="Q9" s="1">
        <v>1.8141500633086201</v>
      </c>
      <c r="R9" s="1">
        <v>1.88639862612842</v>
      </c>
      <c r="S9" s="1">
        <v>1.9504829439757601</v>
      </c>
      <c r="T9" s="1">
        <v>2.0224989537654201</v>
      </c>
      <c r="U9" s="1">
        <v>2.1008114569511802</v>
      </c>
      <c r="V9" s="1">
        <v>2.1781205674730999</v>
      </c>
      <c r="W9" s="1">
        <v>2.25662273609074</v>
      </c>
      <c r="X9" s="1">
        <v>2.32041529222542</v>
      </c>
      <c r="Y9" s="1">
        <v>2.3470290927950601</v>
      </c>
      <c r="Z9" s="1">
        <v>2.3286576348291899</v>
      </c>
      <c r="AA9" s="1">
        <v>2.2792499443366698</v>
      </c>
      <c r="AB9" s="1">
        <v>2.22052042900145</v>
      </c>
      <c r="AC9" s="1">
        <v>2.16744046393227</v>
      </c>
      <c r="AD9" s="1">
        <v>2.1178615583821401</v>
      </c>
      <c r="AE9" s="1">
        <v>2.0764094489702898</v>
      </c>
      <c r="AF9" s="1">
        <v>2.0409313059321499</v>
      </c>
      <c r="AG9" s="1">
        <v>2.0032430056321302</v>
      </c>
      <c r="AH9" s="1">
        <v>1.96288473047601</v>
      </c>
      <c r="AI9" s="1">
        <v>1.9270348710154901</v>
      </c>
      <c r="AJ9" s="1">
        <v>1.8968034387603701</v>
      </c>
      <c r="AK9" s="1">
        <v>1.8703048750528</v>
      </c>
      <c r="AL9" s="1">
        <v>1.8466623637383901</v>
      </c>
      <c r="AM9" s="1">
        <v>1.8212036693926399</v>
      </c>
      <c r="AN9" s="1">
        <v>1.79025080950335</v>
      </c>
      <c r="AO9" s="1">
        <v>1.7514225770449701</v>
      </c>
      <c r="AP9" s="1">
        <v>1.7082571057376601</v>
      </c>
      <c r="AQ9" s="1">
        <v>1.6630581344731299</v>
      </c>
      <c r="AR9" s="1">
        <v>1.6222591937681901</v>
      </c>
      <c r="AS9" s="1">
        <v>1.59249596137289</v>
      </c>
      <c r="AT9" s="1">
        <v>1.57638242295371</v>
      </c>
      <c r="AU9" s="1">
        <v>1.5691915255403901</v>
      </c>
      <c r="AV9" s="1">
        <v>1.5643663662107099</v>
      </c>
      <c r="AW9" s="1">
        <v>1.5547008330498799</v>
      </c>
      <c r="AX9" s="1">
        <v>1.53819490737395</v>
      </c>
      <c r="AY9" s="1">
        <v>1.5118578535268601</v>
      </c>
      <c r="AZ9" s="1">
        <v>1.4784008958366299</v>
      </c>
      <c r="BA9" s="1">
        <v>1.4439503822152799</v>
      </c>
      <c r="BB9" s="1">
        <v>1.41094772494131</v>
      </c>
      <c r="BC9" s="1">
        <v>1.37607592289763</v>
      </c>
      <c r="BD9" s="1">
        <v>1.3396541907930299</v>
      </c>
      <c r="BE9" s="1">
        <v>1.3023871377045999</v>
      </c>
      <c r="BF9" s="1">
        <v>1.2642389661953</v>
      </c>
      <c r="BG9" s="1">
        <v>1.22680250927908</v>
      </c>
    </row>
    <row r="10" spans="1:59" x14ac:dyDescent="0.25">
      <c r="A10" s="18" t="s">
        <v>19</v>
      </c>
      <c r="B10" s="1">
        <v>3.0688404005878298</v>
      </c>
      <c r="C10" s="1">
        <v>3.1095339472939698</v>
      </c>
      <c r="D10" s="1">
        <v>3.1494597985028898</v>
      </c>
      <c r="E10" s="1">
        <v>3.18717427718191</v>
      </c>
      <c r="F10" s="1">
        <v>3.22234277059952</v>
      </c>
      <c r="G10" s="1">
        <v>3.2566179613170299</v>
      </c>
      <c r="H10" s="1">
        <v>3.2888841903450001</v>
      </c>
      <c r="I10" s="1">
        <v>3.3239810690275902</v>
      </c>
      <c r="J10" s="1">
        <v>3.3673662499615502</v>
      </c>
      <c r="K10" s="1">
        <v>3.4207515626398401</v>
      </c>
      <c r="L10" s="1">
        <v>3.4793055771889398</v>
      </c>
      <c r="M10" s="1">
        <v>3.5361335411639798</v>
      </c>
      <c r="N10" s="1">
        <v>3.5864114330818899</v>
      </c>
      <c r="O10" s="1">
        <v>3.6298892212148401</v>
      </c>
      <c r="P10" s="1">
        <v>3.6650383160742201</v>
      </c>
      <c r="Q10" s="1">
        <v>3.69344098388052</v>
      </c>
      <c r="R10" s="1">
        <v>3.71231231404425</v>
      </c>
      <c r="S10" s="1">
        <v>3.7276116280935399</v>
      </c>
      <c r="T10" s="1">
        <v>3.7469894380080899</v>
      </c>
      <c r="U10" s="1">
        <v>3.7723910044709599</v>
      </c>
      <c r="V10" s="1">
        <v>3.7969047829016098</v>
      </c>
      <c r="W10" s="1">
        <v>3.8152005914296199</v>
      </c>
      <c r="X10" s="1">
        <v>3.81782797682432</v>
      </c>
      <c r="Y10" s="1">
        <v>3.7993181130280398</v>
      </c>
      <c r="Z10" s="1">
        <v>3.75723421736462</v>
      </c>
      <c r="AA10" s="1">
        <v>3.6983026491692899</v>
      </c>
      <c r="AB10" s="1">
        <v>3.6346929144466298</v>
      </c>
      <c r="AC10" s="1">
        <v>3.5701560166466599</v>
      </c>
      <c r="AD10" s="1">
        <v>3.49936009359216</v>
      </c>
      <c r="AE10" s="1">
        <v>3.42282226931763</v>
      </c>
      <c r="AF10" s="1">
        <v>3.3433163097955498</v>
      </c>
      <c r="AG10" s="1">
        <v>3.2666066361210402</v>
      </c>
      <c r="AH10" s="1">
        <v>3.19236846206493</v>
      </c>
      <c r="AI10" s="1">
        <v>3.1161476979729699</v>
      </c>
      <c r="AJ10" s="1">
        <v>3.0378340241230899</v>
      </c>
      <c r="AK10" s="1">
        <v>2.9614219367277101</v>
      </c>
      <c r="AL10" s="1">
        <v>2.8879913062755298</v>
      </c>
      <c r="AM10" s="1">
        <v>2.8245446994010601</v>
      </c>
      <c r="AN10" s="1">
        <v>2.7782256601798898</v>
      </c>
      <c r="AO10" s="1">
        <v>2.7518425124661698</v>
      </c>
      <c r="AP10" s="1">
        <v>2.7401358008788499</v>
      </c>
      <c r="AQ10" s="1">
        <v>2.73177458228569</v>
      </c>
      <c r="AR10" s="1">
        <v>2.72396581925676</v>
      </c>
      <c r="AS10" s="1">
        <v>2.7229981227767999</v>
      </c>
      <c r="AT10" s="1">
        <v>2.72849327911094</v>
      </c>
      <c r="AU10" s="1">
        <v>2.73727142320356</v>
      </c>
      <c r="AV10" s="1">
        <v>2.74643078401802</v>
      </c>
      <c r="AW10" s="1">
        <v>2.7520690358667301</v>
      </c>
      <c r="AX10" s="1">
        <v>2.75155906438204</v>
      </c>
      <c r="AY10" s="1">
        <v>2.7432078427850999</v>
      </c>
      <c r="AZ10" s="1">
        <v>2.72840571240366</v>
      </c>
      <c r="BA10" s="1">
        <v>2.71182599842321</v>
      </c>
      <c r="BB10" s="1">
        <v>2.69316939694823</v>
      </c>
      <c r="BC10" s="1">
        <v>2.66812165895313</v>
      </c>
      <c r="BD10" s="1">
        <v>2.6361163551476001</v>
      </c>
      <c r="BE10" s="1">
        <v>2.5993365335320702</v>
      </c>
      <c r="BF10" s="1">
        <v>2.5609253982648701</v>
      </c>
      <c r="BG10" s="1">
        <v>2.5231105626011199</v>
      </c>
    </row>
    <row r="11" spans="1:59" x14ac:dyDescent="0.25">
      <c r="A11" s="18" t="s">
        <v>20</v>
      </c>
      <c r="B11" s="1">
        <v>2.0267360399877701</v>
      </c>
      <c r="C11" s="1">
        <v>1.9864741026439801</v>
      </c>
      <c r="D11" s="1">
        <v>2.8573372444055898</v>
      </c>
      <c r="E11" s="1">
        <v>2.7779564107075698</v>
      </c>
      <c r="F11" s="1">
        <v>2.7028672387919399</v>
      </c>
      <c r="G11" s="1">
        <v>2.63173083173734</v>
      </c>
      <c r="H11" s="1">
        <v>2.5642430613337699</v>
      </c>
      <c r="I11" s="1">
        <v>2.5882747833223001</v>
      </c>
      <c r="J11" s="1">
        <v>2.43702226031614</v>
      </c>
      <c r="K11" s="1">
        <v>2.3790416836635702</v>
      </c>
      <c r="L11" s="1">
        <v>2.3237560125971402</v>
      </c>
      <c r="M11" s="1">
        <v>2.2709816198764798</v>
      </c>
      <c r="N11" s="1">
        <v>2.45556892574437</v>
      </c>
      <c r="O11" s="1">
        <v>2.32028970796638</v>
      </c>
      <c r="P11" s="1">
        <v>2.34238136740285</v>
      </c>
      <c r="Q11" s="1">
        <v>2.2157479597276399</v>
      </c>
      <c r="R11" s="1">
        <v>2.2391690314901198</v>
      </c>
      <c r="S11" s="1">
        <v>2.12022076506029</v>
      </c>
      <c r="T11" s="1">
        <v>2.0761991448429198</v>
      </c>
      <c r="U11" s="1">
        <v>2.1010600062356399</v>
      </c>
      <c r="V11" s="1">
        <v>1.9920977494554299</v>
      </c>
      <c r="W11" s="1">
        <v>2.0176408483871202</v>
      </c>
      <c r="X11" s="1">
        <v>1.91454475844351</v>
      </c>
      <c r="Y11" s="1">
        <v>2.0025700502294801</v>
      </c>
      <c r="Z11" s="1">
        <v>2.0239881347746098</v>
      </c>
      <c r="AA11" s="1">
        <v>2.1028110355253</v>
      </c>
      <c r="AB11" s="1">
        <v>2.0595020364582202</v>
      </c>
      <c r="AC11" s="1">
        <v>2.0750024023759099</v>
      </c>
      <c r="AD11" s="1">
        <v>2.1445517139477199</v>
      </c>
      <c r="AE11" s="1">
        <v>1.9901154317295</v>
      </c>
      <c r="AF11" s="1">
        <v>1.89759014590056</v>
      </c>
      <c r="AG11" s="1">
        <v>1.9149521332860699</v>
      </c>
      <c r="AH11" s="1">
        <v>1.7755035602590099</v>
      </c>
      <c r="AI11" s="1">
        <v>1.69365095308983</v>
      </c>
      <c r="AJ11" s="1">
        <v>1.6153809112453501</v>
      </c>
      <c r="AK11" s="1">
        <v>1.5897006409999499</v>
      </c>
      <c r="AL11" s="1">
        <v>1.46773672019747</v>
      </c>
      <c r="AM11" s="1">
        <v>1.3027928532928199</v>
      </c>
      <c r="AN11" s="1">
        <v>-5.9247334853605897</v>
      </c>
      <c r="AO11" s="1">
        <v>-10.955149421098699</v>
      </c>
      <c r="AP11" s="1">
        <v>-3.5821276451817301</v>
      </c>
      <c r="AQ11" s="1">
        <v>6.7859323293424201E-2</v>
      </c>
      <c r="AR11" s="1">
        <v>6.7930793124533095E-2</v>
      </c>
      <c r="AS11" s="1">
        <v>6.7884678522227695E-2</v>
      </c>
      <c r="AT11" s="1">
        <v>6.78386264869726E-2</v>
      </c>
      <c r="AU11" s="1">
        <v>6.7909885374403595E-2</v>
      </c>
      <c r="AV11" s="1">
        <v>0.80320028595336201</v>
      </c>
      <c r="AW11" s="1">
        <v>0.80326183292791598</v>
      </c>
      <c r="AX11" s="1">
        <v>0.80321347756918904</v>
      </c>
      <c r="AY11" s="1">
        <v>0.80317184479312198</v>
      </c>
      <c r="AZ11" s="1">
        <v>0.80324896127775403</v>
      </c>
      <c r="BA11" s="1">
        <v>0.85906749231754498</v>
      </c>
      <c r="BB11" s="1">
        <v>0.78972658921343297</v>
      </c>
      <c r="BC11" s="1">
        <v>1.0415325740022701</v>
      </c>
      <c r="BD11" s="1">
        <v>-0.12616913821593301</v>
      </c>
      <c r="BE11" s="1">
        <v>-1.1038858093369801</v>
      </c>
      <c r="BF11" s="1">
        <v>0.79602410383883204</v>
      </c>
      <c r="BG11" s="1">
        <v>0.79520011012409497</v>
      </c>
    </row>
    <row r="12" spans="1:59" x14ac:dyDescent="0.25">
      <c r="A12" s="18" t="s">
        <v>21</v>
      </c>
      <c r="B12" s="1">
        <v>2.1537718649897801</v>
      </c>
      <c r="C12" s="1">
        <v>2.1784299307368</v>
      </c>
      <c r="D12" s="1">
        <v>2.2021511230553901</v>
      </c>
      <c r="E12" s="1">
        <v>2.2312604857646798</v>
      </c>
      <c r="F12" s="1">
        <v>2.2678664410392599</v>
      </c>
      <c r="G12" s="1">
        <v>2.3113138939723301</v>
      </c>
      <c r="H12" s="1">
        <v>2.3537773108219402</v>
      </c>
      <c r="I12" s="1">
        <v>2.3974915585134902</v>
      </c>
      <c r="J12" s="1">
        <v>2.4470931262747899</v>
      </c>
      <c r="K12" s="1">
        <v>2.5043037618545698</v>
      </c>
      <c r="L12" s="1">
        <v>2.5664526205508098</v>
      </c>
      <c r="M12" s="1">
        <v>2.6245032830545099</v>
      </c>
      <c r="N12" s="1">
        <v>2.6809081663998899</v>
      </c>
      <c r="O12" s="1">
        <v>2.7415928009605199</v>
      </c>
      <c r="P12" s="1">
        <v>2.8081780244908301</v>
      </c>
      <c r="Q12" s="1">
        <v>2.8754479924954999</v>
      </c>
      <c r="R12" s="1">
        <v>2.8684108655239098</v>
      </c>
      <c r="S12" s="1">
        <v>2.84086283397549</v>
      </c>
      <c r="T12" s="1">
        <v>2.9080346710570502</v>
      </c>
      <c r="U12" s="1">
        <v>3.0921241719669701</v>
      </c>
      <c r="V12" s="1">
        <v>3.30742262791289</v>
      </c>
      <c r="W12" s="1">
        <v>3.5961303526066799</v>
      </c>
      <c r="X12" s="1">
        <v>3.7301037113717799</v>
      </c>
      <c r="Y12" s="1">
        <v>3.4375867236644901</v>
      </c>
      <c r="Z12" s="1">
        <v>2.63637981408686</v>
      </c>
      <c r="AA12" s="1">
        <v>1.5381156997016301</v>
      </c>
      <c r="AB12" s="1">
        <v>0.42226648107777098</v>
      </c>
      <c r="AC12" s="1">
        <v>-0.492163723119458</v>
      </c>
      <c r="AD12" s="1">
        <v>-1.19066270187364</v>
      </c>
      <c r="AE12" s="1">
        <v>-1.56242450454169</v>
      </c>
      <c r="AF12" s="1">
        <v>-1.62193059441523</v>
      </c>
      <c r="AG12" s="1">
        <v>-1.77827939865456</v>
      </c>
      <c r="AH12" s="1">
        <v>-1.83879963070125</v>
      </c>
      <c r="AI12" s="1">
        <v>-1.1176416873517601</v>
      </c>
      <c r="AJ12" s="1">
        <v>0.62978434894833102</v>
      </c>
      <c r="AK12" s="1">
        <v>2.9660303330356701</v>
      </c>
      <c r="AL12" s="1">
        <v>5.5210435438681396</v>
      </c>
      <c r="AM12" s="1">
        <v>7.3572924577270404</v>
      </c>
      <c r="AN12" s="1">
        <v>7.8497063350393104</v>
      </c>
      <c r="AO12" s="1">
        <v>6.9445443280485701</v>
      </c>
      <c r="AP12" s="1">
        <v>5.3404015318215903</v>
      </c>
      <c r="AQ12" s="1">
        <v>3.62927094137296</v>
      </c>
      <c r="AR12" s="1">
        <v>2.3698188387695298</v>
      </c>
      <c r="AS12" s="1">
        <v>1.72748011070889</v>
      </c>
      <c r="AT12" s="1">
        <v>1.91279869685765</v>
      </c>
      <c r="AU12" s="1">
        <v>2.6351537297577399</v>
      </c>
      <c r="AV12" s="1">
        <v>3.45391649682304</v>
      </c>
      <c r="AW12" s="1">
        <v>3.9807426620775002</v>
      </c>
      <c r="AX12" s="1">
        <v>4.1829556371799699</v>
      </c>
      <c r="AY12" s="1">
        <v>3.9749585815432198</v>
      </c>
      <c r="AZ12" s="1">
        <v>3.52106240624552</v>
      </c>
      <c r="BA12" s="1">
        <v>3.0443247882920601</v>
      </c>
      <c r="BB12" s="1">
        <v>2.7001069535943398</v>
      </c>
      <c r="BC12" s="1">
        <v>2.4736690130535202</v>
      </c>
      <c r="BD12" s="1">
        <v>2.4075304325297702</v>
      </c>
      <c r="BE12" s="1">
        <v>2.4496076461636598</v>
      </c>
      <c r="BF12" s="1">
        <v>2.5063626500126501</v>
      </c>
      <c r="BG12" s="1">
        <v>2.5271283660911599</v>
      </c>
    </row>
    <row r="13" spans="1:59" x14ac:dyDescent="0.25">
      <c r="A13" s="18" t="s">
        <v>22</v>
      </c>
      <c r="B13" s="1">
        <v>2.3737299582977398</v>
      </c>
      <c r="C13" s="1">
        <v>2.40631023060855</v>
      </c>
      <c r="D13" s="1">
        <v>2.4383608665288898</v>
      </c>
      <c r="E13" s="1">
        <v>2.46932368707076</v>
      </c>
      <c r="F13" s="1">
        <v>2.49925643830188</v>
      </c>
      <c r="G13" s="1">
        <v>2.5286439517966599</v>
      </c>
      <c r="H13" s="1">
        <v>2.5562546908364498</v>
      </c>
      <c r="I13" s="1">
        <v>2.5840236394071301</v>
      </c>
      <c r="J13" s="1">
        <v>2.6153443474791001</v>
      </c>
      <c r="K13" s="1">
        <v>2.65053320615332</v>
      </c>
      <c r="L13" s="1">
        <v>2.6874935879161601</v>
      </c>
      <c r="M13" s="1">
        <v>2.72317546729013</v>
      </c>
      <c r="N13" s="1">
        <v>2.7550418214389998</v>
      </c>
      <c r="O13" s="1">
        <v>2.7825425509553599</v>
      </c>
      <c r="P13" s="1">
        <v>2.80453628240917</v>
      </c>
      <c r="Q13" s="1">
        <v>2.8219391929554201</v>
      </c>
      <c r="R13" s="1">
        <v>2.8368562027462998</v>
      </c>
      <c r="S13" s="1">
        <v>2.8498062705814702</v>
      </c>
      <c r="T13" s="1">
        <v>2.8600487454349799</v>
      </c>
      <c r="U13" s="1">
        <v>2.8679280207651501</v>
      </c>
      <c r="V13" s="1">
        <v>2.87320786021529</v>
      </c>
      <c r="W13" s="1">
        <v>2.88117474839928</v>
      </c>
      <c r="X13" s="1">
        <v>2.8870685008849599</v>
      </c>
      <c r="Y13" s="1">
        <v>2.8836034583847798</v>
      </c>
      <c r="Z13" s="1">
        <v>2.86863129447377</v>
      </c>
      <c r="AA13" s="1">
        <v>2.8485878217494802</v>
      </c>
      <c r="AB13" s="1">
        <v>2.8276809810506198</v>
      </c>
      <c r="AC13" s="1">
        <v>2.8157648241541802</v>
      </c>
      <c r="AD13" s="1">
        <v>2.8209175911839401</v>
      </c>
      <c r="AE13" s="1">
        <v>2.84670899576914</v>
      </c>
      <c r="AF13" s="1">
        <v>2.88620025751485</v>
      </c>
      <c r="AG13" s="1">
        <v>2.9242930909852798</v>
      </c>
      <c r="AH13" s="1">
        <v>2.9577697115717099</v>
      </c>
      <c r="AI13" s="1">
        <v>2.99599663658711</v>
      </c>
      <c r="AJ13" s="1">
        <v>3.0387153065879899</v>
      </c>
      <c r="AK13" s="1">
        <v>3.0810807157788802</v>
      </c>
      <c r="AL13" s="1">
        <v>3.1216401780262801</v>
      </c>
      <c r="AM13" s="1">
        <v>3.1518181248171602</v>
      </c>
      <c r="AN13" s="1">
        <v>3.1620606932379198</v>
      </c>
      <c r="AO13" s="1">
        <v>3.1488766124117098</v>
      </c>
      <c r="AP13" s="1">
        <v>3.1197086959506399</v>
      </c>
      <c r="AQ13" s="1">
        <v>3.0858577050171698</v>
      </c>
      <c r="AR13" s="1">
        <v>3.0534937668569202</v>
      </c>
      <c r="AS13" s="1">
        <v>3.0199692773373399</v>
      </c>
      <c r="AT13" s="1">
        <v>2.9866762419640098</v>
      </c>
      <c r="AU13" s="1">
        <v>2.9539011006818199</v>
      </c>
      <c r="AV13" s="1">
        <v>2.9211530613257501</v>
      </c>
      <c r="AW13" s="1">
        <v>2.8882208971626602</v>
      </c>
      <c r="AX13" s="1">
        <v>2.8556143463716599</v>
      </c>
      <c r="AY13" s="1">
        <v>2.8235262650441002</v>
      </c>
      <c r="AZ13" s="1">
        <v>2.79264732396225</v>
      </c>
      <c r="BA13" s="1">
        <v>2.7618068074155002</v>
      </c>
      <c r="BB13" s="1">
        <v>2.7337464038063599</v>
      </c>
      <c r="BC13" s="1">
        <v>2.7130507128257699</v>
      </c>
      <c r="BD13" s="1">
        <v>2.7010974508385499</v>
      </c>
      <c r="BE13" s="1">
        <v>2.6945779458470902</v>
      </c>
      <c r="BF13" s="1">
        <v>2.6888707116748001</v>
      </c>
      <c r="BG13" s="1">
        <v>2.6805846464608201</v>
      </c>
    </row>
    <row r="14" spans="1:59" x14ac:dyDescent="0.25">
      <c r="A14" s="18" t="s">
        <v>23</v>
      </c>
      <c r="B14" s="1">
        <v>2.1967576418553998</v>
      </c>
      <c r="C14" s="1">
        <v>2.2253206895018001</v>
      </c>
      <c r="D14" s="1">
        <v>2.2558623412515399</v>
      </c>
      <c r="E14" s="1">
        <v>2.2903984896992702</v>
      </c>
      <c r="F14" s="1">
        <v>2.3304887831800598</v>
      </c>
      <c r="G14" s="1">
        <v>2.3749540908400202</v>
      </c>
      <c r="H14" s="1">
        <v>2.4207938124191899</v>
      </c>
      <c r="I14" s="1">
        <v>2.46756958129036</v>
      </c>
      <c r="J14" s="1">
        <v>2.5172032631476098</v>
      </c>
      <c r="K14" s="1">
        <v>2.5701664609756798</v>
      </c>
      <c r="L14" s="1">
        <v>2.6251919900684699</v>
      </c>
      <c r="M14" s="1">
        <v>2.6785633738219299</v>
      </c>
      <c r="N14" s="1">
        <v>2.7307230064850301</v>
      </c>
      <c r="O14" s="1">
        <v>2.7867537306792101</v>
      </c>
      <c r="P14" s="1">
        <v>2.8461179182343699</v>
      </c>
      <c r="Q14" s="1">
        <v>2.90620136253396</v>
      </c>
      <c r="R14" s="1">
        <v>3.0129621102615598</v>
      </c>
      <c r="S14" s="1">
        <v>3.1192618846017099</v>
      </c>
      <c r="T14" s="1">
        <v>3.13662362681622</v>
      </c>
      <c r="U14" s="1">
        <v>3.04414765287778</v>
      </c>
      <c r="V14" s="1">
        <v>2.9097781948165302</v>
      </c>
      <c r="W14" s="1">
        <v>2.6339465571325098</v>
      </c>
      <c r="X14" s="1">
        <v>2.4491193340913502</v>
      </c>
      <c r="Y14" s="1">
        <v>2.69160561713083</v>
      </c>
      <c r="Z14" s="1">
        <v>3.4607724800993198</v>
      </c>
      <c r="AA14" s="1">
        <v>4.4691106444219404</v>
      </c>
      <c r="AB14" s="1">
        <v>5.5850122777657996</v>
      </c>
      <c r="AC14" s="1">
        <v>6.2869285616472901</v>
      </c>
      <c r="AD14" s="1">
        <v>6.1706167198600497</v>
      </c>
      <c r="AE14" s="1">
        <v>5.1640863085405497</v>
      </c>
      <c r="AF14" s="1">
        <v>3.70080928594383</v>
      </c>
      <c r="AG14" s="1">
        <v>2.1343976825964699</v>
      </c>
      <c r="AH14" s="1">
        <v>0.91441031923636695</v>
      </c>
      <c r="AI14" s="1">
        <v>0.26830121279310598</v>
      </c>
      <c r="AJ14" s="1">
        <v>0.42059440303226298</v>
      </c>
      <c r="AK14" s="1">
        <v>1.1378549222752701</v>
      </c>
      <c r="AL14" s="1">
        <v>2.0051846536519702</v>
      </c>
      <c r="AM14" s="1">
        <v>2.6556082690863301</v>
      </c>
      <c r="AN14" s="1">
        <v>3.0626762616718102</v>
      </c>
      <c r="AO14" s="1">
        <v>3.12325205491052</v>
      </c>
      <c r="AP14" s="1">
        <v>2.9601464250561</v>
      </c>
      <c r="AQ14" s="1">
        <v>2.7714197036011998</v>
      </c>
      <c r="AR14" s="1">
        <v>2.68133913372565</v>
      </c>
      <c r="AS14" s="1">
        <v>2.6528925062001001</v>
      </c>
      <c r="AT14" s="1">
        <v>2.7135933683497302</v>
      </c>
      <c r="AU14" s="1">
        <v>2.8285954060943999</v>
      </c>
      <c r="AV14" s="1">
        <v>2.9436663748131999</v>
      </c>
      <c r="AW14" s="1">
        <v>3.0196904765135102</v>
      </c>
      <c r="AX14" s="1">
        <v>3.06129406831288</v>
      </c>
      <c r="AY14" s="1">
        <v>3.0594431216314</v>
      </c>
      <c r="AZ14" s="1">
        <v>3.0287944559309601</v>
      </c>
      <c r="BA14" s="1">
        <v>2.9911454938950701</v>
      </c>
      <c r="BB14" s="1">
        <v>2.9612133087384902</v>
      </c>
      <c r="BC14" s="1">
        <v>2.93731934371</v>
      </c>
      <c r="BD14" s="1">
        <v>2.92294017355582</v>
      </c>
      <c r="BE14" s="1">
        <v>2.9143712395279802</v>
      </c>
      <c r="BF14" s="1">
        <v>2.90481860513923</v>
      </c>
      <c r="BG14" s="1">
        <v>2.89029019490127</v>
      </c>
    </row>
    <row r="15" spans="1:59" x14ac:dyDescent="0.25">
      <c r="A15" s="18" t="s">
        <v>24</v>
      </c>
      <c r="B15" s="1">
        <v>1.11345092971902</v>
      </c>
      <c r="C15" s="1">
        <v>1.1058681664430401</v>
      </c>
      <c r="D15" s="1">
        <v>1.10434644276477</v>
      </c>
      <c r="E15" s="1">
        <v>1.1132907326977199</v>
      </c>
      <c r="F15" s="1">
        <v>1.13545172051846</v>
      </c>
      <c r="G15" s="1">
        <v>1.16928030653318</v>
      </c>
      <c r="H15" s="1">
        <v>1.20267314387137</v>
      </c>
      <c r="I15" s="1">
        <v>1.2403551772340999</v>
      </c>
      <c r="J15" s="1">
        <v>1.2995008165489701</v>
      </c>
      <c r="K15" s="1">
        <v>1.38423942769395</v>
      </c>
      <c r="L15" s="1">
        <v>1.4840172278505099</v>
      </c>
      <c r="M15" s="1">
        <v>1.59230283635896</v>
      </c>
      <c r="N15" s="1">
        <v>1.68849322020556</v>
      </c>
      <c r="O15" s="1">
        <v>1.7532231061296599</v>
      </c>
      <c r="P15" s="1">
        <v>1.7769201189505499</v>
      </c>
      <c r="Q15" s="1">
        <v>1.7731896507096201</v>
      </c>
      <c r="R15" s="1">
        <v>1.75085982713751</v>
      </c>
      <c r="S15" s="1">
        <v>1.7376121054270901</v>
      </c>
      <c r="T15" s="1">
        <v>1.7557549172344999</v>
      </c>
      <c r="U15" s="1">
        <v>1.81735702255861</v>
      </c>
      <c r="V15" s="1">
        <v>1.9015281374491999</v>
      </c>
      <c r="W15" s="1">
        <v>2.0130906297942102</v>
      </c>
      <c r="X15" s="1">
        <v>2.0976481067295398</v>
      </c>
      <c r="Y15" s="1">
        <v>2.09079786822798</v>
      </c>
      <c r="Z15" s="1">
        <v>1.96790449723715</v>
      </c>
      <c r="AA15" s="1">
        <v>1.7806209587467301</v>
      </c>
      <c r="AB15" s="1">
        <v>1.56175450393972</v>
      </c>
      <c r="AC15" s="1">
        <v>1.40543470579171</v>
      </c>
      <c r="AD15" s="1">
        <v>1.39055196096571</v>
      </c>
      <c r="AE15" s="1">
        <v>1.5622025038577001</v>
      </c>
      <c r="AF15" s="1">
        <v>1.8559055186561599</v>
      </c>
      <c r="AG15" s="1">
        <v>2.1887690120765302</v>
      </c>
      <c r="AH15" s="1">
        <v>2.4629033953181398</v>
      </c>
      <c r="AI15" s="1">
        <v>2.6396602975781902</v>
      </c>
      <c r="AJ15" s="1">
        <v>2.6862758383866399</v>
      </c>
      <c r="AK15" s="1">
        <v>2.6488222869853701</v>
      </c>
      <c r="AL15" s="1">
        <v>2.5936054117640399</v>
      </c>
      <c r="AM15" s="1">
        <v>2.5767309806607899</v>
      </c>
      <c r="AN15" s="1">
        <v>2.6031420999831698</v>
      </c>
      <c r="AO15" s="1">
        <v>2.6886289632946099</v>
      </c>
      <c r="AP15" s="1">
        <v>2.8106070524497602</v>
      </c>
      <c r="AQ15" s="1">
        <v>2.92522326716387</v>
      </c>
      <c r="AR15" s="1">
        <v>3.0149517269435</v>
      </c>
      <c r="AS15" s="1">
        <v>3.0978464079643602</v>
      </c>
      <c r="AT15" s="1">
        <v>3.17096257062909</v>
      </c>
      <c r="AU15" s="1">
        <v>3.2305008083825602</v>
      </c>
      <c r="AV15" s="1">
        <v>3.2916507989376198</v>
      </c>
      <c r="AW15" s="1">
        <v>3.3348628148660699</v>
      </c>
      <c r="AX15" s="1">
        <v>3.32678238377069</v>
      </c>
      <c r="AY15" s="1">
        <v>3.25917903698892</v>
      </c>
      <c r="AZ15" s="1">
        <v>3.1570105095450098</v>
      </c>
      <c r="BA15" s="1">
        <v>3.0437604056415499</v>
      </c>
      <c r="BB15" s="1">
        <v>2.9524525243475899</v>
      </c>
      <c r="BC15" s="1">
        <v>2.9009602431125199</v>
      </c>
      <c r="BD15" s="1">
        <v>2.9010310086912501</v>
      </c>
      <c r="BE15" s="1">
        <v>2.93397742028047</v>
      </c>
      <c r="BF15" s="1">
        <v>2.9719686325900998</v>
      </c>
      <c r="BG15" s="1">
        <v>2.9952467133631799</v>
      </c>
    </row>
    <row r="16" spans="1:59" x14ac:dyDescent="0.25">
      <c r="A16" s="18" t="s">
        <v>25</v>
      </c>
      <c r="B16" s="1">
        <v>2.5075940768211802</v>
      </c>
      <c r="C16" s="1">
        <v>2.36950297274546</v>
      </c>
      <c r="D16" s="1">
        <v>2.2396077472812501</v>
      </c>
      <c r="E16" s="1">
        <v>2.1170707122966501</v>
      </c>
      <c r="F16" s="1">
        <v>1.9290862091530701</v>
      </c>
      <c r="G16" s="1">
        <v>1.8218042705764399</v>
      </c>
      <c r="H16" s="1">
        <v>1.68484153987481</v>
      </c>
      <c r="I16" s="1">
        <v>1.5541670103441301</v>
      </c>
      <c r="J16" s="1">
        <v>1.42908182353752</v>
      </c>
      <c r="K16" s="1">
        <v>1.4089464875301201</v>
      </c>
      <c r="L16" s="1">
        <v>1.38937067881691</v>
      </c>
      <c r="M16" s="1">
        <v>1.4351192163090301</v>
      </c>
      <c r="N16" s="1">
        <v>1.3828810181739</v>
      </c>
      <c r="O16" s="1">
        <v>1.3640179759948601</v>
      </c>
      <c r="P16" s="1">
        <v>1.28347355853655</v>
      </c>
      <c r="Q16" s="1">
        <v>1.11352836321855</v>
      </c>
      <c r="R16" s="1">
        <v>1.00995502684135</v>
      </c>
      <c r="S16" s="1">
        <v>0.84900449328314598</v>
      </c>
      <c r="T16" s="1">
        <v>0.81191244385041905</v>
      </c>
      <c r="U16" s="1">
        <v>0.80537348070968295</v>
      </c>
      <c r="V16" s="1">
        <v>0.88731726804867295</v>
      </c>
      <c r="W16" s="1">
        <v>0.96704050316824797</v>
      </c>
      <c r="X16" s="1">
        <v>1.01553172194054</v>
      </c>
      <c r="Y16" s="1">
        <v>1.03389777951793</v>
      </c>
      <c r="Z16" s="1">
        <v>1.0233176280028999</v>
      </c>
      <c r="AA16" s="1">
        <v>0.95694510161506696</v>
      </c>
      <c r="AB16" s="1">
        <v>0.89236509622166005</v>
      </c>
      <c r="AC16" s="1">
        <v>0.85695064853005498</v>
      </c>
      <c r="AD16" s="1">
        <v>0.74043941742100905</v>
      </c>
      <c r="AE16" s="1">
        <v>0.57213069836091202</v>
      </c>
      <c r="AF16" s="1">
        <v>0.40666993825536102</v>
      </c>
      <c r="AG16" s="1">
        <v>0.216216300449532</v>
      </c>
      <c r="AH16" s="1">
        <v>5.3981107923500797E-2</v>
      </c>
      <c r="AI16" s="1">
        <v>-0.13500744591491301</v>
      </c>
      <c r="AJ16" s="1">
        <v>-0.27056293561574202</v>
      </c>
      <c r="AK16" s="1">
        <v>-0.43173529703935798</v>
      </c>
      <c r="AL16" s="1">
        <v>-0.20022213334363201</v>
      </c>
      <c r="AM16" s="1">
        <v>-0.36984694893285602</v>
      </c>
      <c r="AN16" s="1">
        <v>-4.0399949091569902E-2</v>
      </c>
      <c r="AO16" s="1">
        <v>-0.15701947393108101</v>
      </c>
      <c r="AP16" s="1">
        <v>-0.20335985702345799</v>
      </c>
      <c r="AQ16" s="1">
        <v>-0.22362654404981899</v>
      </c>
      <c r="AR16" s="1">
        <v>-0.231579735735711</v>
      </c>
      <c r="AS16" s="1">
        <v>-0.28159471648710699</v>
      </c>
      <c r="AT16" s="1">
        <v>-0.247449868318115</v>
      </c>
      <c r="AU16" s="1">
        <v>-0.24330722982984601</v>
      </c>
      <c r="AV16" s="1">
        <v>-0.27792356919118899</v>
      </c>
      <c r="AW16" s="1">
        <v>-0.23174716070115001</v>
      </c>
      <c r="AX16" s="1">
        <v>-0.19034517763099301</v>
      </c>
      <c r="AY16" s="1">
        <v>-0.126238295439487</v>
      </c>
      <c r="AZ16" s="1">
        <v>-9.9864634068835903E-2</v>
      </c>
      <c r="BA16" s="1">
        <v>-5.7820586778247703E-2</v>
      </c>
      <c r="BB16" s="1">
        <v>-1.31188896045369E-2</v>
      </c>
      <c r="BC16" s="1">
        <v>-2.67768650049581E-2</v>
      </c>
      <c r="BD16" s="1">
        <v>-6.09701011007674E-2</v>
      </c>
      <c r="BE16" s="1">
        <v>-6.4383614921027704E-2</v>
      </c>
      <c r="BF16" s="1">
        <v>-6.0624297000835298E-2</v>
      </c>
      <c r="BG16" s="1">
        <v>-6.2069612328547102E-2</v>
      </c>
    </row>
    <row r="17" spans="1:59" x14ac:dyDescent="0.25">
      <c r="A17" s="18" t="s">
        <v>26</v>
      </c>
      <c r="B17" s="1">
        <v>2.01597717128617</v>
      </c>
      <c r="C17" s="1">
        <v>2.04467666444308</v>
      </c>
      <c r="D17" s="1">
        <v>2.0710608401475299</v>
      </c>
      <c r="E17" s="1">
        <v>2.0941680507103499</v>
      </c>
      <c r="F17" s="1">
        <v>2.1137456346050398</v>
      </c>
      <c r="G17" s="1">
        <v>2.1321564601922902</v>
      </c>
      <c r="H17" s="1">
        <v>2.15123212266358</v>
      </c>
      <c r="I17" s="1">
        <v>2.17412939251864</v>
      </c>
      <c r="J17" s="1">
        <v>2.2031290878920098</v>
      </c>
      <c r="K17" s="1">
        <v>2.2396594507136101</v>
      </c>
      <c r="L17" s="1">
        <v>2.2822925495216202</v>
      </c>
      <c r="M17" s="1">
        <v>2.3048299824638101</v>
      </c>
      <c r="N17" s="1">
        <v>2.32596109305288</v>
      </c>
      <c r="O17" s="1">
        <v>2.387117603399</v>
      </c>
      <c r="P17" s="1">
        <v>2.49807099076174</v>
      </c>
      <c r="Q17" s="1">
        <v>2.6280968872478399</v>
      </c>
      <c r="R17" s="1">
        <v>2.7501579980572401</v>
      </c>
      <c r="S17" s="1">
        <v>2.8189707176192198</v>
      </c>
      <c r="T17" s="1">
        <v>2.8048740035988402</v>
      </c>
      <c r="U17" s="1">
        <v>2.6922001653747198</v>
      </c>
      <c r="V17" s="1">
        <v>2.50705874502273</v>
      </c>
      <c r="W17" s="1">
        <v>2.3748098339939698</v>
      </c>
      <c r="X17" s="1">
        <v>2.2506486041998599</v>
      </c>
      <c r="Y17" s="1">
        <v>1.9824759510011201</v>
      </c>
      <c r="Z17" s="1">
        <v>1.5371573835974099</v>
      </c>
      <c r="AA17" s="1">
        <v>1.0111090454645</v>
      </c>
      <c r="AB17" s="1">
        <v>0.38418436425672498</v>
      </c>
      <c r="AC17" s="1">
        <v>-0.103810197873531</v>
      </c>
      <c r="AD17" s="1">
        <v>-0.14070408302661799</v>
      </c>
      <c r="AE17" s="1">
        <v>0.43787681477041401</v>
      </c>
      <c r="AF17" s="1">
        <v>1.42956117830082</v>
      </c>
      <c r="AG17" s="1">
        <v>2.5659074459801299</v>
      </c>
      <c r="AH17" s="1">
        <v>3.4653181228522101</v>
      </c>
      <c r="AI17" s="1">
        <v>3.9419869486674202</v>
      </c>
      <c r="AJ17" s="1">
        <v>3.8863887535024499</v>
      </c>
      <c r="AK17" s="1">
        <v>3.5003891334133299</v>
      </c>
      <c r="AL17" s="1">
        <v>3.05640960857425</v>
      </c>
      <c r="AM17" s="1">
        <v>2.75055114976217</v>
      </c>
      <c r="AN17" s="1">
        <v>2.5737416522534802</v>
      </c>
      <c r="AO17" s="1">
        <v>2.5811785490594001</v>
      </c>
      <c r="AP17" s="1">
        <v>2.7086277830193199</v>
      </c>
      <c r="AQ17" s="1">
        <v>2.8431895190952701</v>
      </c>
      <c r="AR17" s="1">
        <v>2.9205528138115899</v>
      </c>
      <c r="AS17" s="1">
        <v>2.9698301552437099</v>
      </c>
      <c r="AT17" s="1">
        <v>2.9785733267674899</v>
      </c>
      <c r="AU17" s="1">
        <v>2.9605825605331302</v>
      </c>
      <c r="AV17" s="1">
        <v>2.9405705449331299</v>
      </c>
      <c r="AW17" s="1">
        <v>2.9310960499961398</v>
      </c>
      <c r="AX17" s="1">
        <v>2.9240181534613399</v>
      </c>
      <c r="AY17" s="1">
        <v>2.9214629274130801</v>
      </c>
      <c r="AZ17" s="1">
        <v>2.9212891641512302</v>
      </c>
      <c r="BA17" s="1">
        <v>2.9196297354631802</v>
      </c>
      <c r="BB17" s="1">
        <v>2.9147261271914302</v>
      </c>
      <c r="BC17" s="1">
        <v>2.9084828043495299</v>
      </c>
      <c r="BD17" s="1">
        <v>2.90069572870848</v>
      </c>
      <c r="BE17" s="1">
        <v>2.8914168419794501</v>
      </c>
      <c r="BF17" s="1">
        <v>2.8812077244991001</v>
      </c>
      <c r="BG17" s="1">
        <v>2.86987986018184</v>
      </c>
    </row>
    <row r="18" spans="1:59" x14ac:dyDescent="0.25">
      <c r="A18" s="18" t="s">
        <v>28</v>
      </c>
      <c r="B18" s="1">
        <v>2.1467779945830299</v>
      </c>
      <c r="C18" s="1">
        <v>2.13048046534395</v>
      </c>
      <c r="D18" s="1">
        <v>2.1230007354026998</v>
      </c>
      <c r="E18" s="1">
        <v>2.1409574697918901</v>
      </c>
      <c r="F18" s="1">
        <v>2.1921430993222399</v>
      </c>
      <c r="G18" s="1">
        <v>2.2630304474398</v>
      </c>
      <c r="H18" s="1">
        <v>2.3367672593688802</v>
      </c>
      <c r="I18" s="1">
        <v>2.3949370572834501</v>
      </c>
      <c r="J18" s="1">
        <v>2.43128034816089</v>
      </c>
      <c r="K18" s="1">
        <v>2.4394548102071099</v>
      </c>
      <c r="L18" s="1">
        <v>2.42784647665875</v>
      </c>
      <c r="M18" s="1">
        <v>2.4101417024926</v>
      </c>
      <c r="N18" s="1">
        <v>2.39535245645857</v>
      </c>
      <c r="O18" s="1">
        <v>2.3817900839826298</v>
      </c>
      <c r="P18" s="1">
        <v>2.3718483919791198</v>
      </c>
      <c r="Q18" s="1">
        <v>2.36346842393933</v>
      </c>
      <c r="R18" s="1">
        <v>2.3477952479220199</v>
      </c>
      <c r="S18" s="1">
        <v>2.3267659015687201</v>
      </c>
      <c r="T18" s="1">
        <v>2.3103084199618098</v>
      </c>
      <c r="U18" s="1">
        <v>2.3003112183525301</v>
      </c>
      <c r="V18" s="1">
        <v>2.29104522944596</v>
      </c>
      <c r="W18" s="1">
        <v>2.2795571517950899</v>
      </c>
      <c r="X18" s="1">
        <v>2.2555214775436898</v>
      </c>
      <c r="Y18" s="1">
        <v>2.2093619564948801</v>
      </c>
      <c r="Z18" s="1">
        <v>2.1366445463433301</v>
      </c>
      <c r="AA18" s="1">
        <v>2.0448423035068402</v>
      </c>
      <c r="AB18" s="1">
        <v>1.95547501852096</v>
      </c>
      <c r="AC18" s="1">
        <v>1.8685227085920599</v>
      </c>
      <c r="AD18" s="1">
        <v>1.7656577587440501</v>
      </c>
      <c r="AE18" s="1">
        <v>1.6446443671322</v>
      </c>
      <c r="AF18" s="1">
        <v>1.516347430098</v>
      </c>
      <c r="AG18" s="1">
        <v>1.3784886360530799</v>
      </c>
      <c r="AH18" s="1">
        <v>1.25767352957901</v>
      </c>
      <c r="AI18" s="1">
        <v>1.1875869299748101</v>
      </c>
      <c r="AJ18" s="1">
        <v>1.18332318360501</v>
      </c>
      <c r="AK18" s="1">
        <v>1.22297954379916</v>
      </c>
      <c r="AL18" s="1">
        <v>1.2766138353054599</v>
      </c>
      <c r="AM18" s="1">
        <v>1.3116868879574599</v>
      </c>
      <c r="AN18" s="1">
        <v>1.31738249848053</v>
      </c>
      <c r="AO18" s="1">
        <v>1.2806894028326701</v>
      </c>
      <c r="AP18" s="1">
        <v>1.2135853096193301</v>
      </c>
      <c r="AQ18" s="1">
        <v>1.14865834001569</v>
      </c>
      <c r="AR18" s="1">
        <v>1.0925474067076899</v>
      </c>
      <c r="AS18" s="1">
        <v>1.0229043275996399</v>
      </c>
      <c r="AT18" s="1">
        <v>0.93797879147312002</v>
      </c>
      <c r="AU18" s="1">
        <v>0.84698638120539405</v>
      </c>
      <c r="AV18" s="1">
        <v>0.74769362909954895</v>
      </c>
      <c r="AW18" s="1">
        <v>0.66337406035776803</v>
      </c>
      <c r="AX18" s="1">
        <v>0.62475990416533</v>
      </c>
      <c r="AY18" s="1">
        <v>0.64653039706936</v>
      </c>
      <c r="AZ18" s="1">
        <v>0.71072354392485504</v>
      </c>
      <c r="BA18" s="1">
        <v>0.78868293085810404</v>
      </c>
      <c r="BB18" s="1">
        <v>0.85382622794986496</v>
      </c>
      <c r="BC18" s="1">
        <v>0.90142321135702397</v>
      </c>
      <c r="BD18" s="1">
        <v>0.92092176502699996</v>
      </c>
      <c r="BE18" s="1">
        <v>0.91919918122672595</v>
      </c>
      <c r="BF18" s="1">
        <v>0.91473535079874702</v>
      </c>
      <c r="BG18" s="1">
        <v>0.91362397180206001</v>
      </c>
    </row>
    <row r="19" spans="1:59" x14ac:dyDescent="0.25">
      <c r="A19" s="18" t="s">
        <v>29</v>
      </c>
      <c r="B19" s="1">
        <v>1.5656238510917899</v>
      </c>
      <c r="C19" s="1">
        <v>1.56522594046798</v>
      </c>
      <c r="D19" s="1">
        <v>1.57671219087263</v>
      </c>
      <c r="E19" s="1">
        <v>1.6054912977546401</v>
      </c>
      <c r="F19" s="1">
        <v>1.6534790617659201</v>
      </c>
      <c r="G19" s="1">
        <v>1.7145570851560601</v>
      </c>
      <c r="H19" s="1">
        <v>1.78140827287694</v>
      </c>
      <c r="I19" s="1">
        <v>1.8455482213272401</v>
      </c>
      <c r="J19" s="1">
        <v>1.9031439015432099</v>
      </c>
      <c r="K19" s="1">
        <v>1.95071059471258</v>
      </c>
      <c r="L19" s="1">
        <v>1.9904861831693501</v>
      </c>
      <c r="M19" s="1">
        <v>2.0283021287008798</v>
      </c>
      <c r="N19" s="1">
        <v>2.0665890417433999</v>
      </c>
      <c r="O19" s="1">
        <v>2.10207188369036</v>
      </c>
      <c r="P19" s="1">
        <v>2.1348855511883098</v>
      </c>
      <c r="Q19" s="1">
        <v>2.16505187525346</v>
      </c>
      <c r="R19" s="1">
        <v>2.19177388317443</v>
      </c>
      <c r="S19" s="1">
        <v>2.2155471261569302</v>
      </c>
      <c r="T19" s="1">
        <v>2.23771599519044</v>
      </c>
      <c r="U19" s="1">
        <v>2.2584057501156898</v>
      </c>
      <c r="V19" s="1">
        <v>2.2768886288236301</v>
      </c>
      <c r="W19" s="1">
        <v>2.3008212712541898</v>
      </c>
      <c r="X19" s="1">
        <v>2.3220069952597702</v>
      </c>
      <c r="Y19" s="1">
        <v>2.3254040009264099</v>
      </c>
      <c r="Z19" s="1">
        <v>2.3070505223825899</v>
      </c>
      <c r="AA19" s="1">
        <v>2.2782984442269498</v>
      </c>
      <c r="AB19" s="1">
        <v>2.2302711509270998</v>
      </c>
      <c r="AC19" s="1">
        <v>2.1965163575974498</v>
      </c>
      <c r="AD19" s="1">
        <v>2.22184547461924</v>
      </c>
      <c r="AE19" s="1">
        <v>2.32180584212847</v>
      </c>
      <c r="AF19" s="1">
        <v>2.4615501120551699</v>
      </c>
      <c r="AG19" s="1">
        <v>2.60920207407914</v>
      </c>
      <c r="AH19" s="1">
        <v>2.71023204607746</v>
      </c>
      <c r="AI19" s="1">
        <v>2.7307032725477498</v>
      </c>
      <c r="AJ19" s="1">
        <v>2.6511747822629599</v>
      </c>
      <c r="AK19" s="1">
        <v>2.5046742123547698</v>
      </c>
      <c r="AL19" s="1">
        <v>2.3418981370256402</v>
      </c>
      <c r="AM19" s="1">
        <v>2.1964714843090301</v>
      </c>
      <c r="AN19" s="1">
        <v>2.0621377255491602</v>
      </c>
      <c r="AO19" s="1">
        <v>1.94835714499466</v>
      </c>
      <c r="AP19" s="1">
        <v>1.84891817908859</v>
      </c>
      <c r="AQ19" s="1">
        <v>1.75721591888621</v>
      </c>
      <c r="AR19" s="1">
        <v>1.66053730140166</v>
      </c>
      <c r="AS19" s="1">
        <v>1.55214971252955</v>
      </c>
      <c r="AT19" s="1">
        <v>1.42790124430349</v>
      </c>
      <c r="AU19" s="1">
        <v>1.29870211688625</v>
      </c>
      <c r="AV19" s="1">
        <v>1.1645177376659499</v>
      </c>
      <c r="AW19" s="1">
        <v>1.0515926840011001</v>
      </c>
      <c r="AX19" s="1">
        <v>0.99074070103818501</v>
      </c>
      <c r="AY19" s="1">
        <v>0.99684832235353904</v>
      </c>
      <c r="AZ19" s="1">
        <v>1.04916050907034</v>
      </c>
      <c r="BA19" s="1">
        <v>1.11871787326644</v>
      </c>
      <c r="BB19" s="1">
        <v>1.1742411775752399</v>
      </c>
      <c r="BC19" s="1">
        <v>1.2056714157573201</v>
      </c>
      <c r="BD19" s="1">
        <v>1.2002974723075801</v>
      </c>
      <c r="BE19" s="1">
        <v>1.16899817730387</v>
      </c>
      <c r="BF19" s="1">
        <v>1.1328863847858599</v>
      </c>
      <c r="BG19" s="1">
        <v>1.1056531691835501</v>
      </c>
    </row>
    <row r="20" spans="1:59" x14ac:dyDescent="0.25">
      <c r="A20" s="18" t="s">
        <v>30</v>
      </c>
      <c r="B20" s="1">
        <v>3.1675794469802701</v>
      </c>
      <c r="C20" s="1">
        <v>3.0903691120635401</v>
      </c>
      <c r="D20" s="1">
        <v>3.02216027729306</v>
      </c>
      <c r="E20" s="1">
        <v>2.978065346852</v>
      </c>
      <c r="F20" s="1">
        <v>2.9669341241157201</v>
      </c>
      <c r="G20" s="1">
        <v>2.97757478574538</v>
      </c>
      <c r="H20" s="1">
        <v>2.9902869632072999</v>
      </c>
      <c r="I20" s="1">
        <v>2.9962923922746101</v>
      </c>
      <c r="J20" s="1">
        <v>3.0092243680546802</v>
      </c>
      <c r="K20" s="1">
        <v>3.0269906775527202</v>
      </c>
      <c r="L20" s="1">
        <v>3.0465277610846599</v>
      </c>
      <c r="M20" s="1">
        <v>3.0617787393620102</v>
      </c>
      <c r="N20" s="1">
        <v>3.0711851232946299</v>
      </c>
      <c r="O20" s="1">
        <v>3.0790887755930898</v>
      </c>
      <c r="P20" s="1">
        <v>3.0834705762165302</v>
      </c>
      <c r="Q20" s="1">
        <v>3.0826277202555201</v>
      </c>
      <c r="R20" s="1">
        <v>3.0775364265031802</v>
      </c>
      <c r="S20" s="1">
        <v>3.06106511221101</v>
      </c>
      <c r="T20" s="1">
        <v>3.0243127680169302</v>
      </c>
      <c r="U20" s="1">
        <v>2.96489102014029</v>
      </c>
      <c r="V20" s="1">
        <v>2.8892651869439199</v>
      </c>
      <c r="W20" s="1">
        <v>2.8142286022651399</v>
      </c>
      <c r="X20" s="1">
        <v>2.7400162750491401</v>
      </c>
      <c r="Y20" s="1">
        <v>2.6544095321975898</v>
      </c>
      <c r="Z20" s="1">
        <v>2.5553803207054</v>
      </c>
      <c r="AA20" s="1">
        <v>2.45191821688613</v>
      </c>
      <c r="AB20" s="1">
        <v>2.3402588526542201</v>
      </c>
      <c r="AC20" s="1">
        <v>2.2403949622076098</v>
      </c>
      <c r="AD20" s="1">
        <v>2.1783226930105801</v>
      </c>
      <c r="AE20" s="1">
        <v>2.16394386497947</v>
      </c>
      <c r="AF20" s="1">
        <v>2.1781800512271099</v>
      </c>
      <c r="AG20" s="1">
        <v>2.2010665985320998</v>
      </c>
      <c r="AH20" s="1">
        <v>2.2053914355220501</v>
      </c>
      <c r="AI20" s="1">
        <v>2.1764859172387099</v>
      </c>
      <c r="AJ20" s="1">
        <v>2.1045102336540098</v>
      </c>
      <c r="AK20" s="1">
        <v>2.0038658226326098</v>
      </c>
      <c r="AL20" s="1">
        <v>1.90172022245982</v>
      </c>
      <c r="AM20" s="1">
        <v>1.8100464243077601</v>
      </c>
      <c r="AN20" s="1">
        <v>1.71884335250912</v>
      </c>
      <c r="AO20" s="1">
        <v>1.63017499219604</v>
      </c>
      <c r="AP20" s="1">
        <v>1.5463915670813499</v>
      </c>
      <c r="AQ20" s="1">
        <v>1.4604784718046</v>
      </c>
      <c r="AR20" s="1">
        <v>1.3820441064153199</v>
      </c>
      <c r="AS20" s="1">
        <v>1.32812035505421</v>
      </c>
      <c r="AT20" s="1">
        <v>1.3046669129777599</v>
      </c>
      <c r="AU20" s="1">
        <v>1.3027557822765501</v>
      </c>
      <c r="AV20" s="1">
        <v>1.30908642130945</v>
      </c>
      <c r="AW20" s="1">
        <v>1.3104985745168101</v>
      </c>
      <c r="AX20" s="1">
        <v>1.3025735479743901</v>
      </c>
      <c r="AY20" s="1">
        <v>1.28008928798093</v>
      </c>
      <c r="AZ20" s="1">
        <v>1.2476504106978901</v>
      </c>
      <c r="BA20" s="1">
        <v>1.2142843572950199</v>
      </c>
      <c r="BB20" s="1">
        <v>1.18595188777772</v>
      </c>
      <c r="BC20" s="1">
        <v>1.1611369872978801</v>
      </c>
      <c r="BD20" s="1">
        <v>1.1413411672703599</v>
      </c>
      <c r="BE20" s="1">
        <v>1.12497581944097</v>
      </c>
      <c r="BF20" s="1">
        <v>1.1101030508248899</v>
      </c>
      <c r="BG20" s="1">
        <v>1.0940549922010301</v>
      </c>
    </row>
    <row r="21" spans="1:59" x14ac:dyDescent="0.25">
      <c r="A21" s="18" t="s">
        <v>31</v>
      </c>
      <c r="B21" s="1">
        <v>2.7882166086077098</v>
      </c>
      <c r="C21" s="1">
        <v>2.8374314589471301</v>
      </c>
      <c r="D21" s="1">
        <v>2.87988537837342</v>
      </c>
      <c r="E21" s="1">
        <v>2.9035184566219701</v>
      </c>
      <c r="F21" s="1">
        <v>2.90219562780343</v>
      </c>
      <c r="G21" s="1">
        <v>2.8847443930477898</v>
      </c>
      <c r="H21" s="1">
        <v>2.86668873205821</v>
      </c>
      <c r="I21" s="1">
        <v>2.8546925339896898</v>
      </c>
      <c r="J21" s="1">
        <v>2.8391063125918499</v>
      </c>
      <c r="K21" s="1">
        <v>2.8214590841477301</v>
      </c>
      <c r="L21" s="1">
        <v>2.80408833857184</v>
      </c>
      <c r="M21" s="1">
        <v>2.7843012512824101</v>
      </c>
      <c r="N21" s="1">
        <v>2.7696919876227102</v>
      </c>
      <c r="O21" s="1">
        <v>2.7701220405736402</v>
      </c>
      <c r="P21" s="1">
        <v>2.7891723248143601</v>
      </c>
      <c r="Q21" s="1">
        <v>2.8197157371770198</v>
      </c>
      <c r="R21" s="1">
        <v>2.8540124723486899</v>
      </c>
      <c r="S21" s="1">
        <v>2.8822486575438302</v>
      </c>
      <c r="T21" s="1">
        <v>2.8976271460531802</v>
      </c>
      <c r="U21" s="1">
        <v>2.89712552843188</v>
      </c>
      <c r="V21" s="1">
        <v>2.8864896007573999</v>
      </c>
      <c r="W21" s="1">
        <v>2.8818467084652202</v>
      </c>
      <c r="X21" s="1">
        <v>2.8842806044226599</v>
      </c>
      <c r="Y21" s="1">
        <v>2.88210134892421</v>
      </c>
      <c r="Z21" s="1">
        <v>2.8748633316296601</v>
      </c>
      <c r="AA21" s="1">
        <v>2.8687668830036799</v>
      </c>
      <c r="AB21" s="1">
        <v>2.86233049269247</v>
      </c>
      <c r="AC21" s="1">
        <v>2.8702076685535398</v>
      </c>
      <c r="AD21" s="1">
        <v>2.9103341690029199</v>
      </c>
      <c r="AE21" s="1">
        <v>2.9885076551016798</v>
      </c>
      <c r="AF21" s="1">
        <v>3.0907063449440502</v>
      </c>
      <c r="AG21" s="1">
        <v>3.1946423366529899</v>
      </c>
      <c r="AH21" s="1">
        <v>3.2869613057687799</v>
      </c>
      <c r="AI21" s="1">
        <v>3.36961171269333</v>
      </c>
      <c r="AJ21" s="1">
        <v>3.4386508937919</v>
      </c>
      <c r="AK21" s="1">
        <v>3.49564092494332</v>
      </c>
      <c r="AL21" s="1">
        <v>3.5514508799327098</v>
      </c>
      <c r="AM21" s="1">
        <v>3.6013546874002902</v>
      </c>
      <c r="AN21" s="1">
        <v>3.6315422379304301</v>
      </c>
      <c r="AO21" s="1">
        <v>3.63947461400734</v>
      </c>
      <c r="AP21" s="1">
        <v>3.6338476188293498</v>
      </c>
      <c r="AQ21" s="1">
        <v>3.62421436796153</v>
      </c>
      <c r="AR21" s="1">
        <v>3.62060063429676</v>
      </c>
      <c r="AS21" s="1">
        <v>3.6272352785145601</v>
      </c>
      <c r="AT21" s="1">
        <v>3.6471941205990599</v>
      </c>
      <c r="AU21" s="1">
        <v>3.6753325617677399</v>
      </c>
      <c r="AV21" s="1">
        <v>3.7020840630823799</v>
      </c>
      <c r="AW21" s="1">
        <v>3.7245035087510501</v>
      </c>
      <c r="AX21" s="1">
        <v>3.7479020588015501</v>
      </c>
      <c r="AY21" s="1">
        <v>3.7719808287899301</v>
      </c>
      <c r="AZ21" s="1">
        <v>3.79496318310688</v>
      </c>
      <c r="BA21" s="1">
        <v>3.8168497912886399</v>
      </c>
      <c r="BB21" s="1">
        <v>3.8342024096962999</v>
      </c>
      <c r="BC21" s="1">
        <v>3.8432623326397199</v>
      </c>
      <c r="BD21" s="1">
        <v>3.8426809344167698</v>
      </c>
      <c r="BE21" s="1">
        <v>3.8357498845731199</v>
      </c>
      <c r="BF21" s="1">
        <v>3.82606646670245</v>
      </c>
      <c r="BG21" s="1">
        <v>3.8170926127810998</v>
      </c>
    </row>
    <row r="22" spans="1:59" x14ac:dyDescent="0.25">
      <c r="A22" s="18" t="s">
        <v>32</v>
      </c>
      <c r="B22" s="1">
        <v>2.5108500981808</v>
      </c>
      <c r="C22" s="1">
        <v>2.11384028426769</v>
      </c>
      <c r="D22" s="1">
        <v>1.8029495935054201</v>
      </c>
      <c r="E22" s="1">
        <v>1.7020758099609099</v>
      </c>
      <c r="F22" s="1">
        <v>1.8757086550164901</v>
      </c>
      <c r="G22" s="1">
        <v>2.2272635609123199</v>
      </c>
      <c r="H22" s="1">
        <v>2.6298154610263298</v>
      </c>
      <c r="I22" s="1">
        <v>2.9460086018360401</v>
      </c>
      <c r="J22" s="1">
        <v>3.1373891407273602</v>
      </c>
      <c r="K22" s="1">
        <v>3.1623815011529501</v>
      </c>
      <c r="L22" s="1">
        <v>3.0820009620609401</v>
      </c>
      <c r="M22" s="1">
        <v>2.9858658197905199</v>
      </c>
      <c r="N22" s="1">
        <v>2.9386336757114502</v>
      </c>
      <c r="O22" s="1">
        <v>2.9341875416205099</v>
      </c>
      <c r="P22" s="1">
        <v>2.9892057900654501</v>
      </c>
      <c r="Q22" s="1">
        <v>3.0818809792619599</v>
      </c>
      <c r="R22" s="1">
        <v>3.17045009203791</v>
      </c>
      <c r="S22" s="1">
        <v>3.2385905081492599</v>
      </c>
      <c r="T22" s="1">
        <v>3.30374738222699</v>
      </c>
      <c r="U22" s="1">
        <v>3.36405812344809</v>
      </c>
      <c r="V22" s="1">
        <v>3.4160129526322698</v>
      </c>
      <c r="W22" s="1">
        <v>3.3346663095251099</v>
      </c>
      <c r="X22" s="1">
        <v>3.22657181553343</v>
      </c>
      <c r="Y22" s="1">
        <v>3.3021553836535</v>
      </c>
      <c r="Z22" s="1">
        <v>3.6054554581449598</v>
      </c>
      <c r="AA22" s="1">
        <v>3.9698720986279099</v>
      </c>
      <c r="AB22" s="1">
        <v>4.5916442407003002</v>
      </c>
      <c r="AC22" s="1">
        <v>4.9395712999569898</v>
      </c>
      <c r="AD22" s="1">
        <v>4.3320432364723196</v>
      </c>
      <c r="AE22" s="1">
        <v>2.6092495216045601</v>
      </c>
      <c r="AF22" s="1">
        <v>0.27359881488436599</v>
      </c>
      <c r="AG22" s="1">
        <v>-2.5763561918270201</v>
      </c>
      <c r="AH22" s="1">
        <v>-5.0893332350964604</v>
      </c>
      <c r="AI22" s="1">
        <v>-6.1848568049758104</v>
      </c>
      <c r="AJ22" s="1">
        <v>-4.7926913292035804</v>
      </c>
      <c r="AK22" s="1">
        <v>-1.2908229754726399</v>
      </c>
      <c r="AL22" s="1">
        <v>3.1072196385791302</v>
      </c>
      <c r="AM22" s="1">
        <v>6.4467404454658004</v>
      </c>
      <c r="AN22" s="1">
        <v>7.9178917259825097</v>
      </c>
      <c r="AO22" s="1">
        <v>7.28396821932989</v>
      </c>
      <c r="AP22" s="1">
        <v>5.5391020329888896</v>
      </c>
      <c r="AQ22" s="1">
        <v>3.7142878687348002</v>
      </c>
      <c r="AR22" s="1">
        <v>2.4524384530826899</v>
      </c>
      <c r="AS22" s="1">
        <v>1.6744859985356899</v>
      </c>
      <c r="AT22" s="1">
        <v>1.5783367200463601</v>
      </c>
      <c r="AU22" s="1">
        <v>1.9461065247081999</v>
      </c>
      <c r="AV22" s="1">
        <v>2.3612623723730199</v>
      </c>
      <c r="AW22" s="1">
        <v>2.58213372728969</v>
      </c>
      <c r="AX22" s="1">
        <v>2.7227912962739098</v>
      </c>
      <c r="AY22" s="1">
        <v>2.7359449712842401</v>
      </c>
      <c r="AZ22" s="1">
        <v>2.6642414802930299</v>
      </c>
      <c r="BA22" s="1">
        <v>2.5935097909789899</v>
      </c>
      <c r="BB22" s="1">
        <v>2.5608813026541002</v>
      </c>
      <c r="BC22" s="1">
        <v>2.52871485554597</v>
      </c>
      <c r="BD22" s="1">
        <v>2.5007965300157999</v>
      </c>
      <c r="BE22" s="1">
        <v>2.4740945366655498</v>
      </c>
      <c r="BF22" s="1">
        <v>2.4459048668105701</v>
      </c>
      <c r="BG22" s="1">
        <v>2.4116233402262202</v>
      </c>
    </row>
    <row r="23" spans="1:59" x14ac:dyDescent="0.25">
      <c r="A23" s="18" t="s">
        <v>33</v>
      </c>
      <c r="B23" s="1">
        <v>1.21350261165204</v>
      </c>
      <c r="C23" s="1">
        <v>0.46271937471563901</v>
      </c>
      <c r="D23" s="1">
        <v>-0.18452049303253501</v>
      </c>
      <c r="E23" s="1">
        <v>-0.39655130537116301</v>
      </c>
      <c r="F23" s="1">
        <v>5.4521806178117797E-2</v>
      </c>
      <c r="G23" s="1">
        <v>0.90537639407236403</v>
      </c>
      <c r="H23" s="1">
        <v>1.9364959134273101</v>
      </c>
      <c r="I23" s="1">
        <v>2.70294796977872</v>
      </c>
      <c r="J23" s="1">
        <v>3.15138571927287</v>
      </c>
      <c r="K23" s="1">
        <v>3.0855582676640201</v>
      </c>
      <c r="L23" s="1">
        <v>2.7470429147670798</v>
      </c>
      <c r="M23" s="1">
        <v>2.3097252175811001</v>
      </c>
      <c r="N23" s="1">
        <v>2.01798087029767</v>
      </c>
      <c r="O23" s="1">
        <v>1.8971052925260501</v>
      </c>
      <c r="P23" s="1">
        <v>2.0640464237843101</v>
      </c>
      <c r="Q23" s="1">
        <v>2.3727663750041899</v>
      </c>
      <c r="R23" s="1">
        <v>2.7202976563671801</v>
      </c>
      <c r="S23" s="1">
        <v>2.9586823770086301</v>
      </c>
      <c r="T23" s="1">
        <v>2.9913847557959898</v>
      </c>
      <c r="U23" s="1">
        <v>2.8020088774328702</v>
      </c>
      <c r="V23" s="1">
        <v>2.45217459789896</v>
      </c>
      <c r="W23" s="1">
        <v>2.08554763446993</v>
      </c>
      <c r="X23" s="1">
        <v>1.79503531766776</v>
      </c>
      <c r="Y23" s="1">
        <v>1.61994056163967</v>
      </c>
      <c r="Z23" s="1">
        <v>1.5793992053958601</v>
      </c>
      <c r="AA23" s="1">
        <v>1.67263287768492</v>
      </c>
      <c r="AB23" s="1">
        <v>1.7599015733266301</v>
      </c>
      <c r="AC23" s="1">
        <v>1.82353600812039</v>
      </c>
      <c r="AD23" s="1">
        <v>1.89507019894532</v>
      </c>
      <c r="AE23" s="1">
        <v>1.9512417052945801</v>
      </c>
      <c r="AF23" s="1">
        <v>2.0096454976351699</v>
      </c>
      <c r="AG23" s="1">
        <v>2.08620563343371</v>
      </c>
      <c r="AH23" s="1">
        <v>2.1454610514569099</v>
      </c>
      <c r="AI23" s="1">
        <v>2.1572459594448001</v>
      </c>
      <c r="AJ23" s="1">
        <v>2.0915262371218399</v>
      </c>
      <c r="AK23" s="1">
        <v>1.98148057118676</v>
      </c>
      <c r="AL23" s="1">
        <v>1.8545238186167201</v>
      </c>
      <c r="AM23" s="1">
        <v>1.7589939841309401</v>
      </c>
      <c r="AN23" s="1">
        <v>1.74732732130007</v>
      </c>
      <c r="AO23" s="1">
        <v>1.83292420136004</v>
      </c>
      <c r="AP23" s="1">
        <v>1.98190769358248</v>
      </c>
      <c r="AQ23" s="1">
        <v>2.1526160560913401</v>
      </c>
      <c r="AR23" s="1">
        <v>2.2806395598231002</v>
      </c>
      <c r="AS23" s="1">
        <v>2.3754701664578599</v>
      </c>
      <c r="AT23" s="1">
        <v>2.3953918991933598</v>
      </c>
      <c r="AU23" s="1">
        <v>2.3804842539156099</v>
      </c>
      <c r="AV23" s="1">
        <v>2.3483575242853498</v>
      </c>
      <c r="AW23" s="1">
        <v>2.3404670356248198</v>
      </c>
      <c r="AX23" s="1">
        <v>2.3103077771092502</v>
      </c>
      <c r="AY23" s="1">
        <v>2.3096672283132</v>
      </c>
      <c r="AZ23" s="1">
        <v>2.29357631535468</v>
      </c>
      <c r="BA23" s="1">
        <v>2.27627087156222</v>
      </c>
      <c r="BB23" s="1">
        <v>2.2611548694611701</v>
      </c>
      <c r="BC23" s="1">
        <v>2.2469818182218799</v>
      </c>
      <c r="BD23" s="1">
        <v>2.2315899721806298</v>
      </c>
      <c r="BE23" s="1">
        <v>2.2166313090719898</v>
      </c>
      <c r="BF23" s="1">
        <v>2.2035822838881001</v>
      </c>
      <c r="BG23" s="1">
        <v>2.1854386414056099</v>
      </c>
    </row>
    <row r="24" spans="1:59" x14ac:dyDescent="0.25">
      <c r="A24" s="18" t="s">
        <v>34</v>
      </c>
      <c r="B24" s="1">
        <v>2.3945925589973802</v>
      </c>
      <c r="C24" s="1">
        <v>2.3734076436323401</v>
      </c>
      <c r="D24" s="1">
        <v>2.35100694552081</v>
      </c>
      <c r="E24" s="1">
        <v>2.34221131449043</v>
      </c>
      <c r="F24" s="1">
        <v>2.3543133020294098</v>
      </c>
      <c r="G24" s="1">
        <v>2.3756983826526699</v>
      </c>
      <c r="H24" s="1">
        <v>2.3997316144643599</v>
      </c>
      <c r="I24" s="1">
        <v>2.4046030203953701</v>
      </c>
      <c r="J24" s="1">
        <v>2.3730529517089498</v>
      </c>
      <c r="K24" s="1">
        <v>2.2968080783493998</v>
      </c>
      <c r="L24" s="1">
        <v>2.1926389585261798</v>
      </c>
      <c r="M24" s="1">
        <v>2.0773527815553301</v>
      </c>
      <c r="N24" s="1">
        <v>1.9762339773575801</v>
      </c>
      <c r="O24" s="1">
        <v>1.9030707312062001</v>
      </c>
      <c r="P24" s="1">
        <v>1.8681736272831699</v>
      </c>
      <c r="Q24" s="1">
        <v>1.8577313406925999</v>
      </c>
      <c r="R24" s="1">
        <v>1.85583116580881</v>
      </c>
      <c r="S24" s="1">
        <v>1.84162866260145</v>
      </c>
      <c r="T24" s="1">
        <v>1.80591000356412</v>
      </c>
      <c r="U24" s="1">
        <v>1.74092895643012</v>
      </c>
      <c r="V24" s="1">
        <v>1.65806616142207</v>
      </c>
      <c r="W24" s="1">
        <v>1.56744153530276</v>
      </c>
      <c r="X24" s="1">
        <v>1.4890104833365301</v>
      </c>
      <c r="Y24" s="1">
        <v>1.4364121788338799</v>
      </c>
      <c r="Z24" s="1">
        <v>1.4181588246283101</v>
      </c>
      <c r="AA24" s="1">
        <v>1.42153245307194</v>
      </c>
      <c r="AB24" s="1">
        <v>1.42927922084702</v>
      </c>
      <c r="AC24" s="1">
        <v>1.4230689784619399</v>
      </c>
      <c r="AD24" s="1">
        <v>1.3972375469129199</v>
      </c>
      <c r="AE24" s="1">
        <v>1.34455977181194</v>
      </c>
      <c r="AF24" s="1">
        <v>1.27177841403097</v>
      </c>
      <c r="AG24" s="1">
        <v>1.20405204086527</v>
      </c>
      <c r="AH24" s="1">
        <v>1.13948206683813</v>
      </c>
      <c r="AI24" s="1">
        <v>1.05379807062486</v>
      </c>
      <c r="AJ24" s="1">
        <v>0.94247988915501202</v>
      </c>
      <c r="AK24" s="1">
        <v>0.81866507713401004</v>
      </c>
      <c r="AL24" s="1">
        <v>0.68269839613943695</v>
      </c>
      <c r="AM24" s="1">
        <v>0.56656268299766799</v>
      </c>
      <c r="AN24" s="1">
        <v>0.508519875892261</v>
      </c>
      <c r="AO24" s="1">
        <v>0.52847876977113295</v>
      </c>
      <c r="AP24" s="1">
        <v>0.602575193660151</v>
      </c>
      <c r="AQ24" s="1">
        <v>0.69567081371493</v>
      </c>
      <c r="AR24" s="1">
        <v>0.77027999423996296</v>
      </c>
      <c r="AS24" s="1">
        <v>0.81520295667792098</v>
      </c>
      <c r="AT24" s="1">
        <v>0.81492952070716096</v>
      </c>
      <c r="AU24" s="1">
        <v>0.78165616279988404</v>
      </c>
      <c r="AV24" s="1">
        <v>0.74292512110060505</v>
      </c>
      <c r="AW24" s="1">
        <v>0.71243792503671</v>
      </c>
      <c r="AX24" s="1">
        <v>0.67935109159613905</v>
      </c>
      <c r="AY24" s="1">
        <v>0.64593445560892404</v>
      </c>
      <c r="AZ24" s="1">
        <v>0.61215226706709402</v>
      </c>
      <c r="BA24" s="1">
        <v>0.57592998298605202</v>
      </c>
      <c r="BB24" s="1">
        <v>0.53992744866429598</v>
      </c>
      <c r="BC24" s="1">
        <v>0.78030144758014197</v>
      </c>
      <c r="BD24" s="1">
        <v>0.89951278721032601</v>
      </c>
      <c r="BE24" s="1">
        <v>0.93442949364096495</v>
      </c>
      <c r="BF24" s="1">
        <v>1.12406030700326</v>
      </c>
      <c r="BG24" s="1">
        <v>1.1302204864877701</v>
      </c>
    </row>
    <row r="25" spans="1:59" x14ac:dyDescent="0.25">
      <c r="A25" s="18" t="s">
        <v>35</v>
      </c>
      <c r="B25" s="1">
        <v>3.2374104646138799</v>
      </c>
      <c r="C25" s="1">
        <v>3.39562848464168</v>
      </c>
      <c r="D25" s="1">
        <v>3.5236403318341201</v>
      </c>
      <c r="E25" s="1">
        <v>3.58671648685295</v>
      </c>
      <c r="F25" s="1">
        <v>3.5685442281229101</v>
      </c>
      <c r="G25" s="1">
        <v>3.4969152825442098</v>
      </c>
      <c r="H25" s="1">
        <v>3.4186511095675201</v>
      </c>
      <c r="I25" s="1">
        <v>3.3517322323718699</v>
      </c>
      <c r="J25" s="1">
        <v>3.2761832314316099</v>
      </c>
      <c r="K25" s="1">
        <v>3.1958380883882298</v>
      </c>
      <c r="L25" s="1">
        <v>3.1145054481980101</v>
      </c>
      <c r="M25" s="1">
        <v>3.03569080820776</v>
      </c>
      <c r="N25" s="1">
        <v>2.96427812837458</v>
      </c>
      <c r="O25" s="1">
        <v>2.9064728059577698</v>
      </c>
      <c r="P25" s="1">
        <v>2.86446318991552</v>
      </c>
      <c r="Q25" s="1">
        <v>2.83672601254893</v>
      </c>
      <c r="R25" s="1">
        <v>2.81207420447637</v>
      </c>
      <c r="S25" s="1">
        <v>2.7950081143304999</v>
      </c>
      <c r="T25" s="1">
        <v>2.8012175109597499</v>
      </c>
      <c r="U25" s="1">
        <v>2.8342873622372902</v>
      </c>
      <c r="V25" s="1">
        <v>2.8831973050131698</v>
      </c>
      <c r="W25" s="1">
        <v>2.91118767012212</v>
      </c>
      <c r="X25" s="1">
        <v>2.9282688491793398</v>
      </c>
      <c r="Y25" s="1">
        <v>2.9741987778032799</v>
      </c>
      <c r="Z25" s="1">
        <v>3.0541790147641898</v>
      </c>
      <c r="AA25" s="1">
        <v>3.1398006361070099</v>
      </c>
      <c r="AB25" s="1">
        <v>3.24132078688171</v>
      </c>
      <c r="AC25" s="1">
        <v>3.2877613141119801</v>
      </c>
      <c r="AD25" s="1">
        <v>3.19291777630005</v>
      </c>
      <c r="AE25" s="1">
        <v>2.9298573721070702</v>
      </c>
      <c r="AF25" s="1">
        <v>2.5673447663890201</v>
      </c>
      <c r="AG25" s="1">
        <v>2.1899257871155502</v>
      </c>
      <c r="AH25" s="1">
        <v>1.8757869758752299</v>
      </c>
      <c r="AI25" s="1">
        <v>1.6425936738979801</v>
      </c>
      <c r="AJ25" s="1">
        <v>1.52066812812541</v>
      </c>
      <c r="AK25" s="1">
        <v>1.48335410074331</v>
      </c>
      <c r="AL25" s="1">
        <v>1.46078298351547</v>
      </c>
      <c r="AM25" s="1">
        <v>1.4383017816275401</v>
      </c>
      <c r="AN25" s="1">
        <v>1.4622073396805</v>
      </c>
      <c r="AO25" s="1">
        <v>1.5358009396911301</v>
      </c>
      <c r="AP25" s="1">
        <v>1.6433465646087899</v>
      </c>
      <c r="AQ25" s="1">
        <v>1.7686354638775199</v>
      </c>
      <c r="AR25" s="1">
        <v>1.8875670368567501</v>
      </c>
      <c r="AS25" s="1">
        <v>1.9838395671823801</v>
      </c>
      <c r="AT25" s="1">
        <v>2.04622466808644</v>
      </c>
      <c r="AU25" s="1">
        <v>2.0835842269133602</v>
      </c>
      <c r="AV25" s="1">
        <v>2.1131615759565001</v>
      </c>
      <c r="AW25" s="1">
        <v>2.1456150200321802</v>
      </c>
      <c r="AX25" s="1">
        <v>2.1760196248509902</v>
      </c>
      <c r="AY25" s="1">
        <v>2.2066240360521601</v>
      </c>
      <c r="AZ25" s="1">
        <v>2.23386270801273</v>
      </c>
      <c r="BA25" s="1">
        <v>2.2555458434700402</v>
      </c>
      <c r="BB25" s="1">
        <v>2.26577114602006</v>
      </c>
      <c r="BC25" s="1">
        <v>2.2600165223477302</v>
      </c>
      <c r="BD25" s="1">
        <v>2.2362456157973098</v>
      </c>
      <c r="BE25" s="1">
        <v>2.1986770238589499</v>
      </c>
      <c r="BF25" s="1">
        <v>2.1558841231132502</v>
      </c>
      <c r="BG25" s="1">
        <v>2.1114161843133901</v>
      </c>
    </row>
    <row r="26" spans="1:59" x14ac:dyDescent="0.25">
      <c r="A26" s="18" t="s">
        <v>36</v>
      </c>
      <c r="B26" s="1">
        <v>2.8949827375248098</v>
      </c>
      <c r="C26" s="1">
        <v>2.9236470922805502</v>
      </c>
      <c r="D26" s="1">
        <v>2.94938524502775</v>
      </c>
      <c r="E26" s="1">
        <v>2.9693449938763701</v>
      </c>
      <c r="F26" s="1">
        <v>2.9824718554515699</v>
      </c>
      <c r="G26" s="1">
        <v>2.9923321085867101</v>
      </c>
      <c r="H26" s="1">
        <v>2.9963336187590501</v>
      </c>
      <c r="I26" s="1">
        <v>3.0040128019233499</v>
      </c>
      <c r="J26" s="1">
        <v>3.02838202702607</v>
      </c>
      <c r="K26" s="1">
        <v>3.07306305082041</v>
      </c>
      <c r="L26" s="1">
        <v>3.1278352672459002</v>
      </c>
      <c r="M26" s="1">
        <v>3.18488731576155</v>
      </c>
      <c r="N26" s="1">
        <v>3.2279762759881501</v>
      </c>
      <c r="O26" s="1">
        <v>3.2453552645342199</v>
      </c>
      <c r="P26" s="1">
        <v>3.2315603873822298</v>
      </c>
      <c r="Q26" s="1">
        <v>3.1982729526143001</v>
      </c>
      <c r="R26" s="1">
        <v>3.1597764783108699</v>
      </c>
      <c r="S26" s="1">
        <v>3.12976750176434</v>
      </c>
      <c r="T26" s="1">
        <v>3.1114733348945398</v>
      </c>
      <c r="U26" s="1">
        <v>3.1090917218382899</v>
      </c>
      <c r="V26" s="1">
        <v>3.1164556229867699</v>
      </c>
      <c r="W26" s="1">
        <v>3.1295855127537502</v>
      </c>
      <c r="X26" s="1">
        <v>3.1376639960459198</v>
      </c>
      <c r="Y26" s="1">
        <v>3.1332464476351798</v>
      </c>
      <c r="Z26" s="1">
        <v>3.1127881967676898</v>
      </c>
      <c r="AA26" s="1">
        <v>3.08504686746311</v>
      </c>
      <c r="AB26" s="1">
        <v>3.0409140285950498</v>
      </c>
      <c r="AC26" s="1">
        <v>3.0074170618024598</v>
      </c>
      <c r="AD26" s="1">
        <v>3.02058136727931</v>
      </c>
      <c r="AE26" s="1">
        <v>3.09109569899304</v>
      </c>
      <c r="AF26" s="1">
        <v>3.1887224621309</v>
      </c>
      <c r="AG26" s="1">
        <v>3.3046573622039799</v>
      </c>
      <c r="AH26" s="1">
        <v>3.3798387243935002</v>
      </c>
      <c r="AI26" s="1">
        <v>3.3585482122703398</v>
      </c>
      <c r="AJ26" s="1">
        <v>3.2204387990677201</v>
      </c>
      <c r="AK26" s="1">
        <v>3.0161189337434098</v>
      </c>
      <c r="AL26" s="1">
        <v>2.80104265506974</v>
      </c>
      <c r="AM26" s="1">
        <v>2.63725507515232</v>
      </c>
      <c r="AN26" s="1">
        <v>2.54811938454118</v>
      </c>
      <c r="AO26" s="1">
        <v>2.55500799923231</v>
      </c>
      <c r="AP26" s="1">
        <v>2.6280080429486601</v>
      </c>
      <c r="AQ26" s="1">
        <v>2.7102493669714498</v>
      </c>
      <c r="AR26" s="1">
        <v>2.77678540702476</v>
      </c>
      <c r="AS26" s="1">
        <v>2.8485052215598001</v>
      </c>
      <c r="AT26" s="1">
        <v>2.9204350931611001</v>
      </c>
      <c r="AU26" s="1">
        <v>2.9890278116906099</v>
      </c>
      <c r="AV26" s="1">
        <v>3.0595064430638899</v>
      </c>
      <c r="AW26" s="1">
        <v>3.1223172750019099</v>
      </c>
      <c r="AX26" s="1">
        <v>3.1611224902724699</v>
      </c>
      <c r="AY26" s="1">
        <v>3.1710097773156498</v>
      </c>
      <c r="AZ26" s="1">
        <v>3.1609405598942302</v>
      </c>
      <c r="BA26" s="1">
        <v>3.1438886250607498</v>
      </c>
      <c r="BB26" s="1">
        <v>3.1291409753289998</v>
      </c>
      <c r="BC26" s="1">
        <v>3.1161854690673301</v>
      </c>
      <c r="BD26" s="1">
        <v>3.1075724150560302</v>
      </c>
      <c r="BE26" s="1">
        <v>3.1008293082737501</v>
      </c>
      <c r="BF26" s="1">
        <v>3.0924540737403001</v>
      </c>
      <c r="BG26" s="1">
        <v>3.0792365884401902</v>
      </c>
    </row>
    <row r="27" spans="1:59" x14ac:dyDescent="0.25">
      <c r="A27" s="18" t="s">
        <v>37</v>
      </c>
      <c r="B27" s="1">
        <v>3.0377592699369802</v>
      </c>
      <c r="C27" s="1">
        <v>3.1669398723697801</v>
      </c>
      <c r="D27" s="1">
        <v>3.2787967436522201</v>
      </c>
      <c r="E27" s="1">
        <v>3.3580241667819402</v>
      </c>
      <c r="F27" s="1">
        <v>3.3976661420215102</v>
      </c>
      <c r="G27" s="1">
        <v>3.40379060505725</v>
      </c>
      <c r="H27" s="1">
        <v>3.4144725975715899</v>
      </c>
      <c r="I27" s="1">
        <v>3.4127923902729198</v>
      </c>
      <c r="J27" s="1">
        <v>3.3491243421190502</v>
      </c>
      <c r="K27" s="1">
        <v>3.2151468648735801</v>
      </c>
      <c r="L27" s="1">
        <v>3.0442736460636901</v>
      </c>
      <c r="M27" s="1">
        <v>2.86285202069406</v>
      </c>
      <c r="N27" s="1">
        <v>2.7195750336034101</v>
      </c>
      <c r="O27" s="1">
        <v>2.6482311128070801</v>
      </c>
      <c r="P27" s="1">
        <v>2.6676431902128801</v>
      </c>
      <c r="Q27" s="1">
        <v>2.7475431025988502</v>
      </c>
      <c r="R27" s="1">
        <v>2.8470651958649298</v>
      </c>
      <c r="S27" s="1">
        <v>2.92832734128987</v>
      </c>
      <c r="T27" s="1">
        <v>2.9839253132475299</v>
      </c>
      <c r="U27" s="1">
        <v>3.0025944997557001</v>
      </c>
      <c r="V27" s="1">
        <v>3.0008296613223702</v>
      </c>
      <c r="W27" s="1">
        <v>2.98823450933273</v>
      </c>
      <c r="X27" s="1">
        <v>2.9950427367146899</v>
      </c>
      <c r="Y27" s="1">
        <v>3.0450265987746601</v>
      </c>
      <c r="Z27" s="1">
        <v>3.1475409176269999</v>
      </c>
      <c r="AA27" s="1">
        <v>3.2767406076765702</v>
      </c>
      <c r="AB27" s="1">
        <v>3.4089038058967902</v>
      </c>
      <c r="AC27" s="1">
        <v>3.5069473354897598</v>
      </c>
      <c r="AD27" s="1">
        <v>3.5495496410157199</v>
      </c>
      <c r="AE27" s="1">
        <v>3.5254709348578199</v>
      </c>
      <c r="AF27" s="1">
        <v>3.4585162105067702</v>
      </c>
      <c r="AG27" s="1">
        <v>3.3912049220383702</v>
      </c>
      <c r="AH27" s="1">
        <v>3.33852465404274</v>
      </c>
      <c r="AI27" s="1">
        <v>3.28297725950251</v>
      </c>
      <c r="AJ27" s="1">
        <v>3.2272463403943799</v>
      </c>
      <c r="AK27" s="1">
        <v>3.1771825167633101</v>
      </c>
      <c r="AL27" s="1">
        <v>3.1225980922180998</v>
      </c>
      <c r="AM27" s="1">
        <v>3.0828681075196398</v>
      </c>
      <c r="AN27" s="1">
        <v>3.0884634190075002</v>
      </c>
      <c r="AO27" s="1">
        <v>3.14792779078949</v>
      </c>
      <c r="AP27" s="1">
        <v>3.2395234022493899</v>
      </c>
      <c r="AQ27" s="1">
        <v>3.3365684791256598</v>
      </c>
      <c r="AR27" s="1">
        <v>3.4138407908558599</v>
      </c>
      <c r="AS27" s="1">
        <v>3.4650861199774701</v>
      </c>
      <c r="AT27" s="1">
        <v>3.4827631655343998</v>
      </c>
      <c r="AU27" s="1">
        <v>3.4773159278752099</v>
      </c>
      <c r="AV27" s="1">
        <v>3.46614919309937</v>
      </c>
      <c r="AW27" s="1">
        <v>3.4582931963011498</v>
      </c>
      <c r="AX27" s="1">
        <v>3.4488026096243698</v>
      </c>
      <c r="AY27" s="1">
        <v>3.4394183952138899</v>
      </c>
      <c r="AZ27" s="1">
        <v>3.4290027639141001</v>
      </c>
      <c r="BA27" s="1">
        <v>3.4158829475066499</v>
      </c>
      <c r="BB27" s="1">
        <v>3.3984795944577999</v>
      </c>
      <c r="BC27" s="1">
        <v>3.3767659605180902</v>
      </c>
      <c r="BD27" s="1">
        <v>3.3506503525505802</v>
      </c>
      <c r="BE27" s="1">
        <v>3.3215556860789301</v>
      </c>
      <c r="BF27" s="1">
        <v>3.29087238084198</v>
      </c>
      <c r="BG27" s="1">
        <v>3.26046178844302</v>
      </c>
    </row>
    <row r="28" spans="1:59" x14ac:dyDescent="0.25">
      <c r="A28" s="18" t="s">
        <v>38</v>
      </c>
      <c r="B28" s="1">
        <v>3.0126647317910402</v>
      </c>
      <c r="C28" s="1">
        <v>3.0856547648785102</v>
      </c>
      <c r="D28" s="1">
        <v>3.1447613414869502</v>
      </c>
      <c r="E28" s="1">
        <v>3.1755554687771301</v>
      </c>
      <c r="F28" s="1">
        <v>3.1716580356959301</v>
      </c>
      <c r="G28" s="1">
        <v>3.1490488403152299</v>
      </c>
      <c r="H28" s="1">
        <v>3.1159508071012598</v>
      </c>
      <c r="I28" s="1">
        <v>3.09871666178773</v>
      </c>
      <c r="J28" s="1">
        <v>3.1206695582180801</v>
      </c>
      <c r="K28" s="1">
        <v>3.1907592321888898</v>
      </c>
      <c r="L28" s="1">
        <v>3.28794865908301</v>
      </c>
      <c r="M28" s="1">
        <v>3.3876411171969401</v>
      </c>
      <c r="N28" s="1">
        <v>3.46309483791297</v>
      </c>
      <c r="O28" s="1">
        <v>3.5062783672487599</v>
      </c>
      <c r="P28" s="1">
        <v>3.50947014890642</v>
      </c>
      <c r="Q28" s="1">
        <v>3.4856855071695199</v>
      </c>
      <c r="R28" s="1">
        <v>3.4485087054724501</v>
      </c>
      <c r="S28" s="1">
        <v>3.416355772118</v>
      </c>
      <c r="T28" s="1">
        <v>3.3982881578535999</v>
      </c>
      <c r="U28" s="1">
        <v>3.4006797272704299</v>
      </c>
      <c r="V28" s="1">
        <v>3.4107676789552999</v>
      </c>
      <c r="W28" s="1">
        <v>3.4213224666925002</v>
      </c>
      <c r="X28" s="1">
        <v>3.41169297973995</v>
      </c>
      <c r="Y28" s="1">
        <v>3.3655437512636301</v>
      </c>
      <c r="Z28" s="1">
        <v>3.2765822669768601</v>
      </c>
      <c r="AA28" s="1">
        <v>3.1614632865341301</v>
      </c>
      <c r="AB28" s="1">
        <v>3.0505836176795902</v>
      </c>
      <c r="AC28" s="1">
        <v>2.9546659908992199</v>
      </c>
      <c r="AD28" s="1">
        <v>2.8613918267118499</v>
      </c>
      <c r="AE28" s="1">
        <v>2.7734704117065201</v>
      </c>
      <c r="AF28" s="1">
        <v>2.6949952228694198</v>
      </c>
      <c r="AG28" s="1">
        <v>2.61254418432299</v>
      </c>
      <c r="AH28" s="1">
        <v>2.5467816781603401</v>
      </c>
      <c r="AI28" s="1">
        <v>2.5337187194366102</v>
      </c>
      <c r="AJ28" s="1">
        <v>2.5841167034425001</v>
      </c>
      <c r="AK28" s="1">
        <v>2.67265411236919</v>
      </c>
      <c r="AL28" s="1">
        <v>2.7763016908039799</v>
      </c>
      <c r="AM28" s="1">
        <v>2.85708206997682</v>
      </c>
      <c r="AN28" s="1">
        <v>2.8920694617407099</v>
      </c>
      <c r="AO28" s="1">
        <v>2.8678626053909202</v>
      </c>
      <c r="AP28" s="1">
        <v>2.80705843058242</v>
      </c>
      <c r="AQ28" s="1">
        <v>2.7433165373098198</v>
      </c>
      <c r="AR28" s="1">
        <v>2.7004629508844</v>
      </c>
      <c r="AS28" s="1">
        <v>2.6757850714639799</v>
      </c>
      <c r="AT28" s="1">
        <v>2.6758581257087801</v>
      </c>
      <c r="AU28" s="1">
        <v>2.6945064400693099</v>
      </c>
      <c r="AV28" s="1">
        <v>2.7117015610598498</v>
      </c>
      <c r="AW28" s="1">
        <v>2.7284521042458301</v>
      </c>
      <c r="AX28" s="1">
        <v>2.7631656962141902</v>
      </c>
      <c r="AY28" s="1">
        <v>2.8179333934193802</v>
      </c>
      <c r="AZ28" s="1">
        <v>2.8831522658589201</v>
      </c>
      <c r="BA28" s="1">
        <v>2.9504264415222599</v>
      </c>
      <c r="BB28" s="1">
        <v>3.00513283440094</v>
      </c>
      <c r="BC28" s="1">
        <v>3.0369182638627099</v>
      </c>
      <c r="BD28" s="1">
        <v>3.0402107721545302</v>
      </c>
      <c r="BE28" s="1">
        <v>3.0241232531716902</v>
      </c>
      <c r="BF28" s="1">
        <v>3.0028155152340399</v>
      </c>
      <c r="BG28" s="1">
        <v>2.9851243617062599</v>
      </c>
    </row>
    <row r="29" spans="1:59" x14ac:dyDescent="0.25">
      <c r="A29" s="18" t="s">
        <v>39</v>
      </c>
      <c r="B29" s="1">
        <v>3.1998771676518598</v>
      </c>
      <c r="C29" s="1">
        <v>3.2395843054940401</v>
      </c>
      <c r="D29" s="1">
        <v>3.2699263769287601</v>
      </c>
      <c r="E29" s="1">
        <v>3.2795396197639799</v>
      </c>
      <c r="F29" s="1">
        <v>3.2637245648959601</v>
      </c>
      <c r="G29" s="1">
        <v>3.2341018448977001</v>
      </c>
      <c r="H29" s="1">
        <v>3.1958693095523301</v>
      </c>
      <c r="I29" s="1">
        <v>3.16897781210319</v>
      </c>
      <c r="J29" s="1">
        <v>3.1702480894416598</v>
      </c>
      <c r="K29" s="1">
        <v>3.2065191426728199</v>
      </c>
      <c r="L29" s="1">
        <v>3.26198479078883</v>
      </c>
      <c r="M29" s="1">
        <v>3.3361148140511001</v>
      </c>
      <c r="N29" s="1">
        <v>3.3929557488982298</v>
      </c>
      <c r="O29" s="1">
        <v>3.3950058346995902</v>
      </c>
      <c r="P29" s="1">
        <v>3.3296210463321798</v>
      </c>
      <c r="Q29" s="1">
        <v>3.23095475077228</v>
      </c>
      <c r="R29" s="1">
        <v>3.1060952366803498</v>
      </c>
      <c r="S29" s="1">
        <v>3.02271386457832</v>
      </c>
      <c r="T29" s="1">
        <v>3.0488973757320501</v>
      </c>
      <c r="U29" s="1">
        <v>3.2092067671664402</v>
      </c>
      <c r="V29" s="1">
        <v>3.4418086143453599</v>
      </c>
      <c r="W29" s="1">
        <v>3.6694435438150799</v>
      </c>
      <c r="X29" s="1">
        <v>3.8226379694633699</v>
      </c>
      <c r="Y29" s="1">
        <v>3.88679361381452</v>
      </c>
      <c r="Z29" s="1">
        <v>3.8445127076087502</v>
      </c>
      <c r="AA29" s="1">
        <v>3.72563565293897</v>
      </c>
      <c r="AB29" s="1">
        <v>3.5994459480249601</v>
      </c>
      <c r="AC29" s="1">
        <v>3.4714693940211299</v>
      </c>
      <c r="AD29" s="1">
        <v>3.29192419550896</v>
      </c>
      <c r="AE29" s="1">
        <v>3.0580166794000698</v>
      </c>
      <c r="AF29" s="1">
        <v>2.7939470164437301</v>
      </c>
      <c r="AG29" s="1">
        <v>2.52052550254573</v>
      </c>
      <c r="AH29" s="1">
        <v>2.2705321727995602</v>
      </c>
      <c r="AI29" s="1">
        <v>2.0649386440245001</v>
      </c>
      <c r="AJ29" s="1">
        <v>1.91800674717188</v>
      </c>
      <c r="AK29" s="1">
        <v>1.8130846959325799</v>
      </c>
      <c r="AL29" s="1">
        <v>1.7332138151509699</v>
      </c>
      <c r="AM29" s="1">
        <v>1.6509145587843801</v>
      </c>
      <c r="AN29" s="1">
        <v>1.5529940661425601</v>
      </c>
      <c r="AO29" s="1">
        <v>1.42974607946843</v>
      </c>
      <c r="AP29" s="1">
        <v>1.2987820124466001</v>
      </c>
      <c r="AQ29" s="1">
        <v>1.1705971085840501</v>
      </c>
      <c r="AR29" s="1">
        <v>1.08065293415603</v>
      </c>
      <c r="AS29" s="1">
        <v>1.06127964129117</v>
      </c>
      <c r="AT29" s="1">
        <v>1.13032327090155</v>
      </c>
      <c r="AU29" s="1">
        <v>1.2639089473576099</v>
      </c>
      <c r="AV29" s="1">
        <v>1.4137197277320199</v>
      </c>
      <c r="AW29" s="1">
        <v>1.5547348161535</v>
      </c>
      <c r="AX29" s="1">
        <v>1.7001063072573599</v>
      </c>
      <c r="AY29" s="1">
        <v>1.8424970313749101</v>
      </c>
      <c r="AZ29" s="1">
        <v>1.97675598375432</v>
      </c>
      <c r="BA29" s="1">
        <v>2.10967230476873</v>
      </c>
      <c r="BB29" s="1">
        <v>2.2283061582036701</v>
      </c>
      <c r="BC29" s="1">
        <v>2.3093663062179401</v>
      </c>
      <c r="BD29" s="1">
        <v>2.3447990700846102</v>
      </c>
      <c r="BE29" s="1">
        <v>2.3456429705700499</v>
      </c>
      <c r="BF29" s="1">
        <v>2.3360695495182999</v>
      </c>
      <c r="BG29" s="1">
        <v>2.3228639915426501</v>
      </c>
    </row>
    <row r="32" spans="1:59" x14ac:dyDescent="0.25">
      <c r="B32" s="1">
        <v>1960</v>
      </c>
      <c r="C32" s="1">
        <f>VLOOKUP(Indicateur6!$K$6,prevision6!$A$1:$BG$29,MATCH(prevision6!B32,prevision6!$A$1:$BG$1,0),FALSE)</f>
        <v>2.01597717128617</v>
      </c>
      <c r="H32" s="1">
        <v>1960</v>
      </c>
      <c r="I32" s="1">
        <f>VLOOKUP('comite 2'!$C$4,prevision6!$A$1:$BG$28,MATCH(H32,$A$1:$BG$1,0),FALSE)</f>
        <v>2.01597717128617</v>
      </c>
    </row>
    <row r="33" spans="2:9" x14ac:dyDescent="0.25">
      <c r="B33" s="1">
        <v>1961</v>
      </c>
      <c r="C33" s="1">
        <f>VLOOKUP(Indicateur6!$K$6,prevision6!$A$1:$BG$29,MATCH(prevision6!B33,prevision6!$A$1:$BG$1,0),FALSE)</f>
        <v>2.04467666444308</v>
      </c>
      <c r="H33" s="1">
        <v>1961</v>
      </c>
      <c r="I33" s="1">
        <f>VLOOKUP('comite 2'!$C$4,prevision6!$A$1:$BG$28,MATCH(H33,$A$1:$BG$1,0),FALSE)</f>
        <v>2.04467666444308</v>
      </c>
    </row>
    <row r="34" spans="2:9" x14ac:dyDescent="0.25">
      <c r="B34" s="1">
        <v>1962</v>
      </c>
      <c r="C34" s="1">
        <f>VLOOKUP(Indicateur6!$K$6,prevision6!$A$1:$BG$29,MATCH(prevision6!B34,prevision6!$A$1:$BG$1,0),FALSE)</f>
        <v>2.0710608401475299</v>
      </c>
      <c r="H34" s="1">
        <v>1962</v>
      </c>
      <c r="I34" s="1">
        <f>VLOOKUP('comite 2'!$C$4,prevision6!$A$1:$BG$28,MATCH(H34,$A$1:$BG$1,0),FALSE)</f>
        <v>2.0710608401475299</v>
      </c>
    </row>
    <row r="35" spans="2:9" x14ac:dyDescent="0.25">
      <c r="B35" s="1">
        <v>1963</v>
      </c>
      <c r="C35" s="1">
        <f>VLOOKUP(Indicateur6!$K$6,prevision6!$A$1:$BG$29,MATCH(prevision6!B35,prevision6!$A$1:$BG$1,0),FALSE)</f>
        <v>2.0941680507103499</v>
      </c>
      <c r="H35" s="1">
        <v>1963</v>
      </c>
      <c r="I35" s="1">
        <f>VLOOKUP('comite 2'!$C$4,prevision6!$A$1:$BG$28,MATCH(H35,$A$1:$BG$1,0),FALSE)</f>
        <v>2.0941680507103499</v>
      </c>
    </row>
    <row r="36" spans="2:9" x14ac:dyDescent="0.25">
      <c r="B36" s="1">
        <v>1964</v>
      </c>
      <c r="C36" s="1">
        <f>VLOOKUP(Indicateur6!$K$6,prevision6!$A$1:$BG$29,MATCH(prevision6!B36,prevision6!$A$1:$BG$1,0),FALSE)</f>
        <v>2.1137456346050398</v>
      </c>
      <c r="H36" s="1">
        <v>1964</v>
      </c>
      <c r="I36" s="1">
        <f>VLOOKUP('comite 2'!$C$4,prevision6!$A$1:$BG$28,MATCH(H36,$A$1:$BG$1,0),FALSE)</f>
        <v>2.1137456346050398</v>
      </c>
    </row>
    <row r="37" spans="2:9" x14ac:dyDescent="0.25">
      <c r="B37" s="1">
        <v>1965</v>
      </c>
      <c r="C37" s="1">
        <f>VLOOKUP(Indicateur6!$K$6,prevision6!$A$1:$BG$29,MATCH(prevision6!B37,prevision6!$A$1:$BG$1,0),FALSE)</f>
        <v>2.1321564601922902</v>
      </c>
      <c r="H37" s="1">
        <v>1965</v>
      </c>
      <c r="I37" s="1">
        <f>VLOOKUP('comite 2'!$C$4,prevision6!$A$1:$BG$28,MATCH(H37,$A$1:$BG$1,0),FALSE)</f>
        <v>2.1321564601922902</v>
      </c>
    </row>
    <row r="38" spans="2:9" x14ac:dyDescent="0.25">
      <c r="B38" s="1">
        <v>1966</v>
      </c>
      <c r="C38" s="1">
        <f>VLOOKUP(Indicateur6!$K$6,prevision6!$A$1:$BG$29,MATCH(prevision6!B38,prevision6!$A$1:$BG$1,0),FALSE)</f>
        <v>2.15123212266358</v>
      </c>
      <c r="H38" s="1">
        <v>1966</v>
      </c>
      <c r="I38" s="1">
        <f>VLOOKUP('comite 2'!$C$4,prevision6!$A$1:$BG$28,MATCH(H38,$A$1:$BG$1,0),FALSE)</f>
        <v>2.15123212266358</v>
      </c>
    </row>
    <row r="39" spans="2:9" x14ac:dyDescent="0.25">
      <c r="B39" s="1">
        <v>1967</v>
      </c>
      <c r="C39" s="1">
        <f>VLOOKUP(Indicateur6!$K$6,prevision6!$A$1:$BG$29,MATCH(prevision6!B39,prevision6!$A$1:$BG$1,0),FALSE)</f>
        <v>2.17412939251864</v>
      </c>
      <c r="H39" s="1">
        <v>1967</v>
      </c>
      <c r="I39" s="1">
        <f>VLOOKUP('comite 2'!$C$4,prevision6!$A$1:$BG$28,MATCH(H39,$A$1:$BG$1,0),FALSE)</f>
        <v>2.17412939251864</v>
      </c>
    </row>
    <row r="40" spans="2:9" x14ac:dyDescent="0.25">
      <c r="B40" s="1">
        <v>1968</v>
      </c>
      <c r="C40" s="1">
        <f>VLOOKUP(Indicateur6!$K$6,prevision6!$A$1:$BG$29,MATCH(prevision6!B40,prevision6!$A$1:$BG$1,0),FALSE)</f>
        <v>2.2031290878920098</v>
      </c>
      <c r="H40" s="1">
        <v>1968</v>
      </c>
      <c r="I40" s="1">
        <f>VLOOKUP('comite 2'!$C$4,prevision6!$A$1:$BG$28,MATCH(H40,$A$1:$BG$1,0),FALSE)</f>
        <v>2.2031290878920098</v>
      </c>
    </row>
    <row r="41" spans="2:9" x14ac:dyDescent="0.25">
      <c r="B41" s="1">
        <v>1969</v>
      </c>
      <c r="C41" s="1">
        <f>VLOOKUP(Indicateur6!$K$6,prevision6!$A$1:$BG$29,MATCH(prevision6!B41,prevision6!$A$1:$BG$1,0),FALSE)</f>
        <v>2.2396594507136101</v>
      </c>
      <c r="H41" s="1">
        <v>1969</v>
      </c>
      <c r="I41" s="1">
        <f>VLOOKUP('comite 2'!$C$4,prevision6!$A$1:$BG$28,MATCH(H41,$A$1:$BG$1,0),FALSE)</f>
        <v>2.2396594507136101</v>
      </c>
    </row>
    <row r="42" spans="2:9" x14ac:dyDescent="0.25">
      <c r="B42" s="1">
        <v>1970</v>
      </c>
      <c r="C42" s="1">
        <f>VLOOKUP(Indicateur6!$K$6,prevision6!$A$1:$BG$29,MATCH(prevision6!B42,prevision6!$A$1:$BG$1,0),FALSE)</f>
        <v>2.2822925495216202</v>
      </c>
      <c r="H42" s="1">
        <v>1970</v>
      </c>
      <c r="I42" s="1">
        <f>VLOOKUP('comite 2'!$C$4,prevision6!$A$1:$BG$28,MATCH(H42,$A$1:$BG$1,0),FALSE)</f>
        <v>2.2822925495216202</v>
      </c>
    </row>
    <row r="43" spans="2:9" x14ac:dyDescent="0.25">
      <c r="B43" s="1">
        <v>1971</v>
      </c>
      <c r="C43" s="1">
        <f>VLOOKUP(Indicateur6!$K$6,prevision6!$A$1:$BG$29,MATCH(prevision6!B43,prevision6!$A$1:$BG$1,0),FALSE)</f>
        <v>2.3048299824638101</v>
      </c>
      <c r="H43" s="1">
        <v>1971</v>
      </c>
      <c r="I43" s="1">
        <f>VLOOKUP('comite 2'!$C$4,prevision6!$A$1:$BG$28,MATCH(H43,$A$1:$BG$1,0),FALSE)</f>
        <v>2.3048299824638101</v>
      </c>
    </row>
    <row r="44" spans="2:9" x14ac:dyDescent="0.25">
      <c r="B44" s="1">
        <v>1972</v>
      </c>
      <c r="C44" s="1">
        <f>VLOOKUP(Indicateur6!$K$6,prevision6!$A$1:$BG$29,MATCH(prevision6!B44,prevision6!$A$1:$BG$1,0),FALSE)</f>
        <v>2.32596109305288</v>
      </c>
      <c r="H44" s="1">
        <v>1972</v>
      </c>
      <c r="I44" s="1">
        <f>VLOOKUP('comite 2'!$C$4,prevision6!$A$1:$BG$28,MATCH(H44,$A$1:$BG$1,0),FALSE)</f>
        <v>2.32596109305288</v>
      </c>
    </row>
    <row r="45" spans="2:9" x14ac:dyDescent="0.25">
      <c r="B45" s="1">
        <v>1973</v>
      </c>
      <c r="C45" s="1">
        <f>VLOOKUP(Indicateur6!$K$6,prevision6!$A$1:$BG$29,MATCH(prevision6!B45,prevision6!$A$1:$BG$1,0),FALSE)</f>
        <v>2.387117603399</v>
      </c>
      <c r="H45" s="1">
        <v>1973</v>
      </c>
      <c r="I45" s="1">
        <f>VLOOKUP('comite 2'!$C$4,prevision6!$A$1:$BG$28,MATCH(H45,$A$1:$BG$1,0),FALSE)</f>
        <v>2.387117603399</v>
      </c>
    </row>
    <row r="46" spans="2:9" x14ac:dyDescent="0.25">
      <c r="B46" s="1">
        <v>1974</v>
      </c>
      <c r="C46" s="1">
        <f>VLOOKUP(Indicateur6!$K$6,prevision6!$A$1:$BG$29,MATCH(prevision6!B46,prevision6!$A$1:$BG$1,0),FALSE)</f>
        <v>2.49807099076174</v>
      </c>
      <c r="H46" s="1">
        <v>1974</v>
      </c>
      <c r="I46" s="1">
        <f>VLOOKUP('comite 2'!$C$4,prevision6!$A$1:$BG$28,MATCH(H46,$A$1:$BG$1,0),FALSE)</f>
        <v>2.49807099076174</v>
      </c>
    </row>
    <row r="47" spans="2:9" x14ac:dyDescent="0.25">
      <c r="B47" s="1">
        <v>1975</v>
      </c>
      <c r="C47" s="1">
        <f>VLOOKUP(Indicateur6!$K$6,prevision6!$A$1:$BG$29,MATCH(prevision6!B47,prevision6!$A$1:$BG$1,0),FALSE)</f>
        <v>2.6280968872478399</v>
      </c>
      <c r="H47" s="1">
        <v>1975</v>
      </c>
      <c r="I47" s="1">
        <f>VLOOKUP('comite 2'!$C$4,prevision6!$A$1:$BG$28,MATCH(H47,$A$1:$BG$1,0),FALSE)</f>
        <v>2.6280968872478399</v>
      </c>
    </row>
    <row r="48" spans="2:9" x14ac:dyDescent="0.25">
      <c r="B48" s="1">
        <v>1976</v>
      </c>
      <c r="C48" s="1">
        <f>VLOOKUP(Indicateur6!$K$6,prevision6!$A$1:$BG$29,MATCH(prevision6!B48,prevision6!$A$1:$BG$1,0),FALSE)</f>
        <v>2.7501579980572401</v>
      </c>
      <c r="H48" s="1">
        <v>1976</v>
      </c>
      <c r="I48" s="1">
        <f>VLOOKUP('comite 2'!$C$4,prevision6!$A$1:$BG$28,MATCH(H48,$A$1:$BG$1,0),FALSE)</f>
        <v>2.7501579980572401</v>
      </c>
    </row>
    <row r="49" spans="2:9" x14ac:dyDescent="0.25">
      <c r="B49" s="1">
        <v>1977</v>
      </c>
      <c r="C49" s="1">
        <f>VLOOKUP(Indicateur6!$K$6,prevision6!$A$1:$BG$29,MATCH(prevision6!B49,prevision6!$A$1:$BG$1,0),FALSE)</f>
        <v>2.8189707176192198</v>
      </c>
      <c r="H49" s="1">
        <v>1977</v>
      </c>
      <c r="I49" s="1">
        <f>VLOOKUP('comite 2'!$C$4,prevision6!$A$1:$BG$28,MATCH(H49,$A$1:$BG$1,0),FALSE)</f>
        <v>2.8189707176192198</v>
      </c>
    </row>
    <row r="50" spans="2:9" x14ac:dyDescent="0.25">
      <c r="B50" s="1">
        <v>1978</v>
      </c>
      <c r="C50" s="1">
        <f>VLOOKUP(Indicateur6!$K$6,prevision6!$A$1:$BG$29,MATCH(prevision6!B50,prevision6!$A$1:$BG$1,0),FALSE)</f>
        <v>2.8048740035988402</v>
      </c>
      <c r="H50" s="1">
        <v>1978</v>
      </c>
      <c r="I50" s="1">
        <f>VLOOKUP('comite 2'!$C$4,prevision6!$A$1:$BG$28,MATCH(H50,$A$1:$BG$1,0),FALSE)</f>
        <v>2.8048740035988402</v>
      </c>
    </row>
    <row r="51" spans="2:9" x14ac:dyDescent="0.25">
      <c r="B51" s="1">
        <v>1979</v>
      </c>
      <c r="C51" s="1">
        <f>VLOOKUP(Indicateur6!$K$6,prevision6!$A$1:$BG$29,MATCH(prevision6!B51,prevision6!$A$1:$BG$1,0),FALSE)</f>
        <v>2.6922001653747198</v>
      </c>
      <c r="H51" s="1">
        <v>1979</v>
      </c>
      <c r="I51" s="1">
        <f>VLOOKUP('comite 2'!$C$4,prevision6!$A$1:$BG$28,MATCH(H51,$A$1:$BG$1,0),FALSE)</f>
        <v>2.6922001653747198</v>
      </c>
    </row>
    <row r="52" spans="2:9" x14ac:dyDescent="0.25">
      <c r="B52" s="1">
        <v>1980</v>
      </c>
      <c r="C52" s="1">
        <f>VLOOKUP(Indicateur6!$K$6,prevision6!$A$1:$BG$29,MATCH(prevision6!B52,prevision6!$A$1:$BG$1,0),FALSE)</f>
        <v>2.50705874502273</v>
      </c>
      <c r="H52" s="1">
        <v>1980</v>
      </c>
      <c r="I52" s="1">
        <f>VLOOKUP('comite 2'!$C$4,prevision6!$A$1:$BG$28,MATCH(H52,$A$1:$BG$1,0),FALSE)</f>
        <v>2.50705874502273</v>
      </c>
    </row>
    <row r="53" spans="2:9" x14ac:dyDescent="0.25">
      <c r="B53" s="1">
        <v>1981</v>
      </c>
      <c r="C53" s="1">
        <f>VLOOKUP(Indicateur6!$K$6,prevision6!$A$1:$BG$29,MATCH(prevision6!B53,prevision6!$A$1:$BG$1,0),FALSE)</f>
        <v>2.3748098339939698</v>
      </c>
      <c r="H53" s="1">
        <v>1981</v>
      </c>
      <c r="I53" s="1">
        <f>VLOOKUP('comite 2'!$C$4,prevision6!$A$1:$BG$28,MATCH(H53,$A$1:$BG$1,0),FALSE)</f>
        <v>2.3748098339939698</v>
      </c>
    </row>
    <row r="54" spans="2:9" x14ac:dyDescent="0.25">
      <c r="B54" s="1">
        <v>1982</v>
      </c>
      <c r="C54" s="1">
        <f>VLOOKUP(Indicateur6!$K$6,prevision6!$A$1:$BG$29,MATCH(prevision6!B54,prevision6!$A$1:$BG$1,0),FALSE)</f>
        <v>2.2506486041998599</v>
      </c>
      <c r="H54" s="1">
        <v>1982</v>
      </c>
      <c r="I54" s="1">
        <f>VLOOKUP('comite 2'!$C$4,prevision6!$A$1:$BG$28,MATCH(H54,$A$1:$BG$1,0),FALSE)</f>
        <v>2.2506486041998599</v>
      </c>
    </row>
    <row r="55" spans="2:9" x14ac:dyDescent="0.25">
      <c r="B55" s="1">
        <v>1983</v>
      </c>
      <c r="C55" s="1">
        <f>VLOOKUP(Indicateur6!$K$6,prevision6!$A$1:$BG$29,MATCH(prevision6!B55,prevision6!$A$1:$BG$1,0),FALSE)</f>
        <v>1.9824759510011201</v>
      </c>
      <c r="H55" s="1">
        <v>1983</v>
      </c>
      <c r="I55" s="1">
        <f>VLOOKUP('comite 2'!$C$4,prevision6!$A$1:$BG$28,MATCH(H55,$A$1:$BG$1,0),FALSE)</f>
        <v>1.9824759510011201</v>
      </c>
    </row>
    <row r="56" spans="2:9" x14ac:dyDescent="0.25">
      <c r="B56" s="1">
        <v>1984</v>
      </c>
      <c r="C56" s="1">
        <f>VLOOKUP(Indicateur6!$K$6,prevision6!$A$1:$BG$29,MATCH(prevision6!B56,prevision6!$A$1:$BG$1,0),FALSE)</f>
        <v>1.5371573835974099</v>
      </c>
      <c r="H56" s="1">
        <v>1984</v>
      </c>
      <c r="I56" s="1">
        <f>VLOOKUP('comite 2'!$C$4,prevision6!$A$1:$BG$28,MATCH(H56,$A$1:$BG$1,0),FALSE)</f>
        <v>1.5371573835974099</v>
      </c>
    </row>
    <row r="57" spans="2:9" x14ac:dyDescent="0.25">
      <c r="B57" s="1">
        <v>1985</v>
      </c>
      <c r="C57" s="1">
        <f>VLOOKUP(Indicateur6!$K$6,prevision6!$A$1:$BG$29,MATCH(prevision6!B57,prevision6!$A$1:$BG$1,0),FALSE)</f>
        <v>1.0111090454645</v>
      </c>
      <c r="H57" s="1">
        <v>1985</v>
      </c>
      <c r="I57" s="1">
        <f>VLOOKUP('comite 2'!$C$4,prevision6!$A$1:$BG$28,MATCH(H57,$A$1:$BG$1,0),FALSE)</f>
        <v>1.0111090454645</v>
      </c>
    </row>
    <row r="58" spans="2:9" x14ac:dyDescent="0.25">
      <c r="B58" s="1">
        <v>1986</v>
      </c>
      <c r="C58" s="1">
        <f>VLOOKUP(Indicateur6!$K$6,prevision6!$A$1:$BG$29,MATCH(prevision6!B58,prevision6!$A$1:$BG$1,0),FALSE)</f>
        <v>0.38418436425672498</v>
      </c>
      <c r="H58" s="1">
        <v>1986</v>
      </c>
      <c r="I58" s="1">
        <f>VLOOKUP('comite 2'!$C$4,prevision6!$A$1:$BG$28,MATCH(H58,$A$1:$BG$1,0),FALSE)</f>
        <v>0.38418436425672498</v>
      </c>
    </row>
    <row r="59" spans="2:9" x14ac:dyDescent="0.25">
      <c r="B59" s="1">
        <v>1987</v>
      </c>
      <c r="C59" s="1">
        <f>VLOOKUP(Indicateur6!$K$6,prevision6!$A$1:$BG$29,MATCH(prevision6!B59,prevision6!$A$1:$BG$1,0),FALSE)</f>
        <v>-0.103810197873531</v>
      </c>
      <c r="H59" s="1">
        <v>1987</v>
      </c>
      <c r="I59" s="1">
        <f>VLOOKUP('comite 2'!$C$4,prevision6!$A$1:$BG$28,MATCH(H59,$A$1:$BG$1,0),FALSE)</f>
        <v>-0.103810197873531</v>
      </c>
    </row>
    <row r="60" spans="2:9" x14ac:dyDescent="0.25">
      <c r="B60" s="1">
        <v>1988</v>
      </c>
      <c r="C60" s="1">
        <f>VLOOKUP(Indicateur6!$K$6,prevision6!$A$1:$BG$29,MATCH(prevision6!B60,prevision6!$A$1:$BG$1,0),FALSE)</f>
        <v>-0.14070408302661799</v>
      </c>
      <c r="H60" s="1">
        <v>1988</v>
      </c>
      <c r="I60" s="1">
        <f>VLOOKUP('comite 2'!$C$4,prevision6!$A$1:$BG$28,MATCH(H60,$A$1:$BG$1,0),FALSE)</f>
        <v>-0.14070408302661799</v>
      </c>
    </row>
    <row r="61" spans="2:9" x14ac:dyDescent="0.25">
      <c r="B61" s="1">
        <v>1989</v>
      </c>
      <c r="C61" s="1">
        <f>VLOOKUP(Indicateur6!$K$6,prevision6!$A$1:$BG$29,MATCH(prevision6!B61,prevision6!$A$1:$BG$1,0),FALSE)</f>
        <v>0.43787681477041401</v>
      </c>
      <c r="H61" s="1">
        <v>1989</v>
      </c>
      <c r="I61" s="1">
        <f>VLOOKUP('comite 2'!$C$4,prevision6!$A$1:$BG$28,MATCH(H61,$A$1:$BG$1,0),FALSE)</f>
        <v>0.43787681477041401</v>
      </c>
    </row>
    <row r="62" spans="2:9" x14ac:dyDescent="0.25">
      <c r="B62" s="1">
        <v>1990</v>
      </c>
      <c r="C62" s="1">
        <f>VLOOKUP(Indicateur6!$K$6,prevision6!$A$1:$BG$29,MATCH(prevision6!B62,prevision6!$A$1:$BG$1,0),FALSE)</f>
        <v>1.42956117830082</v>
      </c>
      <c r="H62" s="1">
        <v>1990</v>
      </c>
      <c r="I62" s="1">
        <f>VLOOKUP('comite 2'!$C$4,prevision6!$A$1:$BG$28,MATCH(H62,$A$1:$BG$1,0),FALSE)</f>
        <v>1.42956117830082</v>
      </c>
    </row>
    <row r="63" spans="2:9" x14ac:dyDescent="0.25">
      <c r="B63" s="1">
        <v>1991</v>
      </c>
      <c r="C63" s="1">
        <f>VLOOKUP(Indicateur6!$K$6,prevision6!$A$1:$BG$29,MATCH(prevision6!B63,prevision6!$A$1:$BG$1,0),FALSE)</f>
        <v>2.5659074459801299</v>
      </c>
      <c r="H63" s="1">
        <v>1991</v>
      </c>
      <c r="I63" s="1">
        <f>VLOOKUP('comite 2'!$C$4,prevision6!$A$1:$BG$28,MATCH(H63,$A$1:$BG$1,0),FALSE)</f>
        <v>2.5659074459801299</v>
      </c>
    </row>
    <row r="64" spans="2:9" x14ac:dyDescent="0.25">
      <c r="B64" s="1">
        <v>1992</v>
      </c>
      <c r="C64" s="1">
        <f>VLOOKUP(Indicateur6!$K$6,prevision6!$A$1:$BG$29,MATCH(prevision6!B64,prevision6!$A$1:$BG$1,0),FALSE)</f>
        <v>3.4653181228522101</v>
      </c>
      <c r="H64" s="1">
        <v>1992</v>
      </c>
      <c r="I64" s="1">
        <f>VLOOKUP('comite 2'!$C$4,prevision6!$A$1:$BG$28,MATCH(H64,$A$1:$BG$1,0),FALSE)</f>
        <v>3.4653181228522101</v>
      </c>
    </row>
    <row r="65" spans="2:9" x14ac:dyDescent="0.25">
      <c r="B65" s="1">
        <v>1993</v>
      </c>
      <c r="C65" s="1">
        <f>VLOOKUP(Indicateur6!$K$6,prevision6!$A$1:$BG$29,MATCH(prevision6!B65,prevision6!$A$1:$BG$1,0),FALSE)</f>
        <v>3.9419869486674202</v>
      </c>
      <c r="H65" s="1">
        <v>1993</v>
      </c>
      <c r="I65" s="1">
        <f>VLOOKUP('comite 2'!$C$4,prevision6!$A$1:$BG$28,MATCH(H65,$A$1:$BG$1,0),FALSE)</f>
        <v>3.9419869486674202</v>
      </c>
    </row>
    <row r="66" spans="2:9" x14ac:dyDescent="0.25">
      <c r="B66" s="1">
        <v>1994</v>
      </c>
      <c r="C66" s="1">
        <f>VLOOKUP(Indicateur6!$K$6,prevision6!$A$1:$BG$29,MATCH(prevision6!B66,prevision6!$A$1:$BG$1,0),FALSE)</f>
        <v>3.8863887535024499</v>
      </c>
      <c r="H66" s="1">
        <v>1994</v>
      </c>
      <c r="I66" s="1">
        <f>VLOOKUP('comite 2'!$C$4,prevision6!$A$1:$BG$28,MATCH(H66,$A$1:$BG$1,0),FALSE)</f>
        <v>3.8863887535024499</v>
      </c>
    </row>
    <row r="67" spans="2:9" x14ac:dyDescent="0.25">
      <c r="B67" s="1">
        <v>1995</v>
      </c>
      <c r="C67" s="1">
        <f>VLOOKUP(Indicateur6!$K$6,prevision6!$A$1:$BG$29,MATCH(prevision6!B67,prevision6!$A$1:$BG$1,0),FALSE)</f>
        <v>3.5003891334133299</v>
      </c>
      <c r="H67" s="1">
        <v>1995</v>
      </c>
      <c r="I67" s="1">
        <f>VLOOKUP('comite 2'!$C$4,prevision6!$A$1:$BG$28,MATCH(H67,$A$1:$BG$1,0),FALSE)</f>
        <v>3.5003891334133299</v>
      </c>
    </row>
    <row r="68" spans="2:9" x14ac:dyDescent="0.25">
      <c r="B68" s="1">
        <v>1996</v>
      </c>
      <c r="C68" s="1">
        <f>VLOOKUP(Indicateur6!$K$6,prevision6!$A$1:$BG$29,MATCH(prevision6!B68,prevision6!$A$1:$BG$1,0),FALSE)</f>
        <v>3.05640960857425</v>
      </c>
      <c r="H68" s="1">
        <v>1996</v>
      </c>
      <c r="I68" s="1">
        <f>VLOOKUP('comite 2'!$C$4,prevision6!$A$1:$BG$28,MATCH(H68,$A$1:$BG$1,0),FALSE)</f>
        <v>3.05640960857425</v>
      </c>
    </row>
    <row r="69" spans="2:9" x14ac:dyDescent="0.25">
      <c r="B69" s="1">
        <v>1997</v>
      </c>
      <c r="C69" s="1">
        <f>VLOOKUP(Indicateur6!$K$6,prevision6!$A$1:$BG$29,MATCH(prevision6!B69,prevision6!$A$1:$BG$1,0),FALSE)</f>
        <v>2.75055114976217</v>
      </c>
      <c r="H69" s="1">
        <v>1997</v>
      </c>
      <c r="I69" s="1">
        <f>VLOOKUP('comite 2'!$C$4,prevision6!$A$1:$BG$28,MATCH(H69,$A$1:$BG$1,0),FALSE)</f>
        <v>2.75055114976217</v>
      </c>
    </row>
    <row r="70" spans="2:9" x14ac:dyDescent="0.25">
      <c r="B70" s="1">
        <v>1998</v>
      </c>
      <c r="C70" s="1">
        <f>VLOOKUP(Indicateur6!$K$6,prevision6!$A$1:$BG$29,MATCH(prevision6!B70,prevision6!$A$1:$BG$1,0),FALSE)</f>
        <v>2.5737416522534802</v>
      </c>
      <c r="H70" s="1">
        <v>1998</v>
      </c>
      <c r="I70" s="1">
        <f>VLOOKUP('comite 2'!$C$4,prevision6!$A$1:$BG$28,MATCH(H70,$A$1:$BG$1,0),FALSE)</f>
        <v>2.5737416522534802</v>
      </c>
    </row>
    <row r="71" spans="2:9" x14ac:dyDescent="0.25">
      <c r="B71" s="1">
        <v>1999</v>
      </c>
      <c r="C71" s="1">
        <f>VLOOKUP(Indicateur6!$K$6,prevision6!$A$1:$BG$29,MATCH(prevision6!B71,prevision6!$A$1:$BG$1,0),FALSE)</f>
        <v>2.5811785490594001</v>
      </c>
      <c r="H71" s="1">
        <v>1999</v>
      </c>
      <c r="I71" s="1">
        <f>VLOOKUP('comite 2'!$C$4,prevision6!$A$1:$BG$28,MATCH(H71,$A$1:$BG$1,0),FALSE)</f>
        <v>2.5811785490594001</v>
      </c>
    </row>
    <row r="72" spans="2:9" x14ac:dyDescent="0.25">
      <c r="B72" s="1">
        <v>2000</v>
      </c>
      <c r="C72" s="1">
        <f>VLOOKUP(Indicateur6!$K$6,prevision6!$A$1:$BG$29,MATCH(prevision6!B72,prevision6!$A$1:$BG$1,0),FALSE)</f>
        <v>2.7086277830193199</v>
      </c>
      <c r="H72" s="1">
        <v>2000</v>
      </c>
      <c r="I72" s="1">
        <f>VLOOKUP('comite 2'!$C$4,prevision6!$A$1:$BG$28,MATCH(H72,$A$1:$BG$1,0),FALSE)</f>
        <v>2.7086277830193199</v>
      </c>
    </row>
    <row r="73" spans="2:9" x14ac:dyDescent="0.25">
      <c r="B73" s="1">
        <v>2001</v>
      </c>
      <c r="C73" s="1">
        <f>VLOOKUP(Indicateur6!$K$6,prevision6!$A$1:$BG$29,MATCH(prevision6!B73,prevision6!$A$1:$BG$1,0),FALSE)</f>
        <v>2.8431895190952701</v>
      </c>
      <c r="H73" s="1">
        <v>2001</v>
      </c>
      <c r="I73" s="1">
        <f>VLOOKUP('comite 2'!$C$4,prevision6!$A$1:$BG$28,MATCH(H73,$A$1:$BG$1,0),FALSE)</f>
        <v>2.8431895190952701</v>
      </c>
    </row>
    <row r="74" spans="2:9" x14ac:dyDescent="0.25">
      <c r="B74" s="1">
        <v>2002</v>
      </c>
      <c r="C74" s="1">
        <f>VLOOKUP(Indicateur6!$K$6,prevision6!$A$1:$BG$29,MATCH(prevision6!B74,prevision6!$A$1:$BG$1,0),FALSE)</f>
        <v>2.9205528138115899</v>
      </c>
      <c r="H74" s="1">
        <v>2002</v>
      </c>
      <c r="I74" s="1">
        <f>VLOOKUP('comite 2'!$C$4,prevision6!$A$1:$BG$28,MATCH(H74,$A$1:$BG$1,0),FALSE)</f>
        <v>2.9205528138115899</v>
      </c>
    </row>
    <row r="75" spans="2:9" x14ac:dyDescent="0.25">
      <c r="B75" s="1">
        <v>2003</v>
      </c>
      <c r="C75" s="1">
        <f>VLOOKUP(Indicateur6!$K$6,prevision6!$A$1:$BG$29,MATCH(prevision6!B75,prevision6!$A$1:$BG$1,0),FALSE)</f>
        <v>2.9698301552437099</v>
      </c>
      <c r="H75" s="1">
        <v>2003</v>
      </c>
      <c r="I75" s="1">
        <f>VLOOKUP('comite 2'!$C$4,prevision6!$A$1:$BG$28,MATCH(H75,$A$1:$BG$1,0),FALSE)</f>
        <v>2.9698301552437099</v>
      </c>
    </row>
    <row r="76" spans="2:9" x14ac:dyDescent="0.25">
      <c r="B76" s="1">
        <v>2004</v>
      </c>
      <c r="C76" s="1">
        <f>VLOOKUP(Indicateur6!$K$6,prevision6!$A$1:$BG$29,MATCH(prevision6!B76,prevision6!$A$1:$BG$1,0),FALSE)</f>
        <v>2.9785733267674899</v>
      </c>
      <c r="H76" s="1">
        <v>2004</v>
      </c>
      <c r="I76" s="1">
        <f>VLOOKUP('comite 2'!$C$4,prevision6!$A$1:$BG$28,MATCH(H76,$A$1:$BG$1,0),FALSE)</f>
        <v>2.9785733267674899</v>
      </c>
    </row>
    <row r="77" spans="2:9" x14ac:dyDescent="0.25">
      <c r="B77" s="1">
        <v>2005</v>
      </c>
      <c r="C77" s="1">
        <f>VLOOKUP(Indicateur6!$K$6,prevision6!$A$1:$BG$29,MATCH(prevision6!B77,prevision6!$A$1:$BG$1,0),FALSE)</f>
        <v>2.9605825605331302</v>
      </c>
      <c r="H77" s="1">
        <v>2005</v>
      </c>
      <c r="I77" s="1">
        <f>VLOOKUP('comite 2'!$C$4,prevision6!$A$1:$BG$28,MATCH(H77,$A$1:$BG$1,0),FALSE)</f>
        <v>2.9605825605331302</v>
      </c>
    </row>
    <row r="78" spans="2:9" x14ac:dyDescent="0.25">
      <c r="B78" s="1">
        <v>2006</v>
      </c>
      <c r="C78" s="1">
        <f>VLOOKUP(Indicateur6!$K$6,prevision6!$A$1:$BG$29,MATCH(prevision6!B78,prevision6!$A$1:$BG$1,0),FALSE)</f>
        <v>2.9405705449331299</v>
      </c>
      <c r="H78" s="1">
        <v>2006</v>
      </c>
      <c r="I78" s="1">
        <f>VLOOKUP('comite 2'!$C$4,prevision6!$A$1:$BG$28,MATCH(H78,$A$1:$BG$1,0),FALSE)</f>
        <v>2.9405705449331299</v>
      </c>
    </row>
    <row r="79" spans="2:9" x14ac:dyDescent="0.25">
      <c r="B79" s="1">
        <v>2007</v>
      </c>
      <c r="C79" s="1">
        <f>VLOOKUP(Indicateur6!$K$6,prevision6!$A$1:$BG$29,MATCH(prevision6!B79,prevision6!$A$1:$BG$1,0),FALSE)</f>
        <v>2.9310960499961398</v>
      </c>
      <c r="H79" s="1">
        <v>2007</v>
      </c>
      <c r="I79" s="1">
        <f>VLOOKUP('comite 2'!$C$4,prevision6!$A$1:$BG$28,MATCH(H79,$A$1:$BG$1,0),FALSE)</f>
        <v>2.9310960499961398</v>
      </c>
    </row>
    <row r="80" spans="2:9" x14ac:dyDescent="0.25">
      <c r="B80" s="1">
        <v>2008</v>
      </c>
      <c r="C80" s="1">
        <f>VLOOKUP(Indicateur6!$K$6,prevision6!$A$1:$BG$29,MATCH(prevision6!B80,prevision6!$A$1:$BG$1,0),FALSE)</f>
        <v>2.9240181534613399</v>
      </c>
      <c r="H80" s="1">
        <v>2008</v>
      </c>
      <c r="I80" s="1">
        <f>VLOOKUP('comite 2'!$C$4,prevision6!$A$1:$BG$28,MATCH(H80,$A$1:$BG$1,0),FALSE)</f>
        <v>2.9240181534613399</v>
      </c>
    </row>
    <row r="81" spans="2:10" x14ac:dyDescent="0.25">
      <c r="B81" s="1">
        <v>2009</v>
      </c>
      <c r="C81" s="1">
        <f>VLOOKUP(Indicateur6!$K$6,prevision6!$A$1:$BG$29,MATCH(prevision6!B81,prevision6!$A$1:$BG$1,0),FALSE)</f>
        <v>2.9214629274130801</v>
      </c>
      <c r="H81" s="1">
        <v>2009</v>
      </c>
      <c r="I81" s="1">
        <f>VLOOKUP('comite 2'!$C$4,prevision6!$A$1:$BG$28,MATCH(H81,$A$1:$BG$1,0),FALSE)</f>
        <v>2.9214629274130801</v>
      </c>
    </row>
    <row r="82" spans="2:10" x14ac:dyDescent="0.25">
      <c r="B82" s="1">
        <v>2010</v>
      </c>
      <c r="C82" s="1">
        <f>VLOOKUP(Indicateur6!$K$6,prevision6!$A$1:$BG$29,MATCH(prevision6!B82,prevision6!$A$1:$BG$1,0),FALSE)</f>
        <v>2.9212891641512302</v>
      </c>
      <c r="H82" s="1">
        <v>2010</v>
      </c>
      <c r="I82" s="1">
        <f>VLOOKUP('comite 2'!$C$4,prevision6!$A$1:$BG$28,MATCH(H82,$A$1:$BG$1,0),FALSE)</f>
        <v>2.9212891641512302</v>
      </c>
    </row>
    <row r="83" spans="2:10" x14ac:dyDescent="0.25">
      <c r="B83" s="1">
        <v>2011</v>
      </c>
      <c r="C83" s="1">
        <f>VLOOKUP(Indicateur6!$K$6,prevision6!$A$1:$BG$29,MATCH(prevision6!B83,prevision6!$A$1:$BG$1,0),FALSE)</f>
        <v>2.9196297354631802</v>
      </c>
      <c r="H83" s="1">
        <v>2011</v>
      </c>
      <c r="I83" s="1">
        <f>VLOOKUP('comite 2'!$C$4,prevision6!$A$1:$BG$28,MATCH(H83,$A$1:$BG$1,0),FALSE)</f>
        <v>2.9196297354631802</v>
      </c>
    </row>
    <row r="84" spans="2:10" x14ac:dyDescent="0.25">
      <c r="B84" s="1">
        <v>2012</v>
      </c>
      <c r="C84" s="1">
        <f>VLOOKUP(Indicateur6!$K$6,prevision6!$A$1:$BG$29,MATCH(prevision6!B84,prevision6!$A$1:$BG$1,0),FALSE)</f>
        <v>2.9147261271914302</v>
      </c>
      <c r="H84" s="1">
        <v>2012</v>
      </c>
      <c r="I84" s="1">
        <f>VLOOKUP('comite 2'!$C$4,prevision6!$A$1:$BG$28,MATCH(H84,$A$1:$BG$1,0),FALSE)</f>
        <v>2.9147261271914302</v>
      </c>
    </row>
    <row r="85" spans="2:10" x14ac:dyDescent="0.25">
      <c r="B85" s="1">
        <v>2013</v>
      </c>
      <c r="C85" s="1">
        <f>VLOOKUP(Indicateur6!$K$6,prevision6!$A$1:$BG$29,MATCH(prevision6!B85,prevision6!$A$1:$BG$1,0),FALSE)</f>
        <v>2.9084828043495299</v>
      </c>
      <c r="H85" s="1">
        <v>2013</v>
      </c>
      <c r="I85" s="1">
        <f>VLOOKUP('comite 2'!$C$4,prevision6!$A$1:$BG$28,MATCH(H85,$A$1:$BG$1,0),FALSE)</f>
        <v>2.9084828043495299</v>
      </c>
    </row>
    <row r="86" spans="2:10" x14ac:dyDescent="0.25">
      <c r="B86" s="1">
        <v>2014</v>
      </c>
      <c r="C86" s="1">
        <f>VLOOKUP(Indicateur6!$K$6,prevision6!$A$1:$BG$29,MATCH(prevision6!B86,prevision6!$A$1:$BG$1,0),FALSE)</f>
        <v>2.90069572870848</v>
      </c>
      <c r="H86" s="1">
        <v>2014</v>
      </c>
      <c r="I86" s="1">
        <f>VLOOKUP('comite 2'!$C$4,prevision6!$A$1:$BG$28,MATCH(H86,$A$1:$BG$1,0),FALSE)</f>
        <v>2.90069572870848</v>
      </c>
    </row>
    <row r="87" spans="2:10" x14ac:dyDescent="0.25">
      <c r="B87" s="1">
        <v>2015</v>
      </c>
      <c r="C87" s="1">
        <f>VLOOKUP(Indicateur6!$K$6,prevision6!$A$1:$BG$29,MATCH(prevision6!B87,prevision6!$A$1:$BG$1,0),FALSE)</f>
        <v>2.8914168419794501</v>
      </c>
      <c r="H87" s="1">
        <v>2015</v>
      </c>
      <c r="I87" s="1">
        <f>VLOOKUP('comite 2'!$C$4,prevision6!$A$1:$BG$28,MATCH(H87,$A$1:$BG$1,0),FALSE)</f>
        <v>2.8914168419794501</v>
      </c>
    </row>
    <row r="88" spans="2:10" x14ac:dyDescent="0.25">
      <c r="B88" s="1">
        <v>2016</v>
      </c>
      <c r="C88" s="1">
        <f>VLOOKUP(Indicateur6!$K$6,prevision6!$A$1:$BG$29,MATCH(prevision6!B88,prevision6!$A$1:$BG$1,0),FALSE)</f>
        <v>2.8812077244991001</v>
      </c>
      <c r="H88" s="1">
        <v>2016</v>
      </c>
      <c r="I88" s="1">
        <f>VLOOKUP('comite 2'!$C$4,prevision6!$A$1:$BG$28,MATCH(H88,$A$1:$BG$1,0),FALSE)</f>
        <v>2.8812077244991001</v>
      </c>
    </row>
    <row r="89" spans="2:10" x14ac:dyDescent="0.25">
      <c r="B89" s="1">
        <v>2017</v>
      </c>
      <c r="C89" s="1">
        <f>VLOOKUP(Indicateur6!$K$6,prevision6!$A$1:$BG$29,MATCH(prevision6!B89,prevision6!$A$1:$BG$1,0),FALSE)</f>
        <v>2.86987986018184</v>
      </c>
      <c r="D89" s="1">
        <f>C89</f>
        <v>2.86987986018184</v>
      </c>
      <c r="H89" s="1">
        <v>2017</v>
      </c>
      <c r="I89" s="1">
        <f>VLOOKUP('comite 2'!$C$4,prevision6!$A$1:$BG$28,MATCH(H89,$A$1:$BG$1,0),FALSE)</f>
        <v>2.86987986018184</v>
      </c>
      <c r="J89" s="1">
        <f>I89</f>
        <v>2.86987986018184</v>
      </c>
    </row>
    <row r="90" spans="2:10" x14ac:dyDescent="0.25">
      <c r="B90" s="1">
        <v>2018</v>
      </c>
      <c r="D90" s="1">
        <f>TREND($C$32:$C$89,$B$32:$B$89,B90)</f>
        <v>2.9617597304610328</v>
      </c>
      <c r="H90" s="1">
        <v>2018</v>
      </c>
      <c r="J90" s="1">
        <f>TREND($I$32:$I$89,$H$32:$H$89,H90)</f>
        <v>2.9617597304610328</v>
      </c>
    </row>
    <row r="91" spans="2:10" x14ac:dyDescent="0.25">
      <c r="B91" s="1">
        <v>2019</v>
      </c>
      <c r="D91" s="1">
        <f t="shared" ref="D91:D102" si="0">TREND($C$32:$C$89,$B$32:$B$89,B91)</f>
        <v>2.9797325455842909</v>
      </c>
      <c r="H91" s="1">
        <v>2019</v>
      </c>
      <c r="J91" s="1">
        <f t="shared" ref="J91:J102" si="1">TREND($I$32:$I$89,$H$32:$H$89,H91)</f>
        <v>2.9797325455842909</v>
      </c>
    </row>
    <row r="92" spans="2:10" x14ac:dyDescent="0.25">
      <c r="B92" s="1">
        <v>2020</v>
      </c>
      <c r="D92" s="1">
        <f t="shared" si="0"/>
        <v>2.9977053607075561</v>
      </c>
      <c r="H92" s="1">
        <v>2020</v>
      </c>
      <c r="J92" s="1">
        <f t="shared" si="1"/>
        <v>2.9977053607075561</v>
      </c>
    </row>
    <row r="93" spans="2:10" x14ac:dyDescent="0.25">
      <c r="B93" s="1">
        <v>2021</v>
      </c>
      <c r="D93" s="1">
        <f t="shared" si="0"/>
        <v>3.0156781758308142</v>
      </c>
      <c r="H93" s="1">
        <v>2021</v>
      </c>
      <c r="J93" s="1">
        <f t="shared" si="1"/>
        <v>3.0156781758308142</v>
      </c>
    </row>
    <row r="94" spans="2:10" x14ac:dyDescent="0.25">
      <c r="B94" s="1">
        <v>2022</v>
      </c>
      <c r="D94" s="1">
        <f t="shared" si="0"/>
        <v>3.0336509909540794</v>
      </c>
      <c r="H94" s="1">
        <v>2022</v>
      </c>
      <c r="J94" s="1">
        <f t="shared" si="1"/>
        <v>3.0336509909540794</v>
      </c>
    </row>
    <row r="95" spans="2:10" x14ac:dyDescent="0.25">
      <c r="B95" s="1">
        <v>2023</v>
      </c>
      <c r="D95" s="1">
        <f t="shared" si="0"/>
        <v>3.0516238060773375</v>
      </c>
      <c r="H95" s="1">
        <v>2023</v>
      </c>
      <c r="J95" s="1">
        <f t="shared" si="1"/>
        <v>3.0516238060773375</v>
      </c>
    </row>
    <row r="96" spans="2:10" x14ac:dyDescent="0.25">
      <c r="B96" s="1">
        <v>2024</v>
      </c>
      <c r="D96" s="1">
        <f t="shared" si="0"/>
        <v>3.0695966212005956</v>
      </c>
      <c r="H96" s="1">
        <v>2024</v>
      </c>
      <c r="J96" s="1">
        <f t="shared" si="1"/>
        <v>3.0695966212005956</v>
      </c>
    </row>
    <row r="97" spans="2:10" x14ac:dyDescent="0.25">
      <c r="B97" s="1">
        <v>2025</v>
      </c>
      <c r="D97" s="1">
        <f t="shared" si="0"/>
        <v>3.0875694363238608</v>
      </c>
      <c r="H97" s="1">
        <v>2025</v>
      </c>
      <c r="J97" s="1">
        <f t="shared" si="1"/>
        <v>3.0875694363238608</v>
      </c>
    </row>
    <row r="98" spans="2:10" x14ac:dyDescent="0.25">
      <c r="B98" s="1">
        <v>2026</v>
      </c>
      <c r="D98" s="1">
        <f t="shared" si="0"/>
        <v>3.1055422514471189</v>
      </c>
      <c r="H98" s="1">
        <v>2026</v>
      </c>
      <c r="J98" s="1">
        <f t="shared" si="1"/>
        <v>3.1055422514471189</v>
      </c>
    </row>
    <row r="99" spans="2:10" x14ac:dyDescent="0.25">
      <c r="B99" s="1">
        <v>2027</v>
      </c>
      <c r="D99" s="1">
        <f t="shared" si="0"/>
        <v>3.1235150665703841</v>
      </c>
      <c r="H99" s="1">
        <v>2027</v>
      </c>
      <c r="J99" s="1">
        <f t="shared" si="1"/>
        <v>3.1235150665703841</v>
      </c>
    </row>
    <row r="100" spans="2:10" x14ac:dyDescent="0.25">
      <c r="B100" s="1">
        <v>2028</v>
      </c>
      <c r="D100" s="1">
        <f t="shared" si="0"/>
        <v>3.1414878816936422</v>
      </c>
      <c r="H100" s="1">
        <v>2028</v>
      </c>
      <c r="J100" s="1">
        <f t="shared" si="1"/>
        <v>3.1414878816936422</v>
      </c>
    </row>
    <row r="101" spans="2:10" x14ac:dyDescent="0.25">
      <c r="B101" s="1">
        <v>2029</v>
      </c>
      <c r="D101" s="1">
        <f t="shared" si="0"/>
        <v>3.1594606968169074</v>
      </c>
      <c r="H101" s="1">
        <v>2029</v>
      </c>
      <c r="J101" s="1">
        <f t="shared" si="1"/>
        <v>3.1594606968169074</v>
      </c>
    </row>
    <row r="102" spans="2:10" x14ac:dyDescent="0.25">
      <c r="B102" s="1">
        <v>2030</v>
      </c>
      <c r="D102" s="1">
        <f t="shared" si="0"/>
        <v>3.1774335119401655</v>
      </c>
      <c r="H102" s="1">
        <v>2030</v>
      </c>
      <c r="J102" s="1">
        <f t="shared" si="1"/>
        <v>3.1774335119401655</v>
      </c>
    </row>
  </sheetData>
  <phoneticPr fontId="12"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comite 2</vt:lpstr>
      <vt:lpstr>Indicateur4</vt:lpstr>
      <vt:lpstr>Indicateur5</vt:lpstr>
      <vt:lpstr>Indicateur6</vt:lpstr>
      <vt:lpstr>prevision4</vt:lpstr>
      <vt:lpstr>prevision5</vt:lpstr>
      <vt:lpstr>prevision6</vt:lpstr>
    </vt:vector>
  </TitlesOfParts>
  <Company>UT1C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WEIHUI TU</dc:creator>
  <cp:lastModifiedBy>maikefeng</cp:lastModifiedBy>
  <dcterms:created xsi:type="dcterms:W3CDTF">2019-03-29T15:00:34Z</dcterms:created>
  <dcterms:modified xsi:type="dcterms:W3CDTF">2019-04-11T06:46:38Z</dcterms:modified>
</cp:coreProperties>
</file>
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licers/slicer1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F:\grand projet 2\"/>
    </mc:Choice>
  </mc:AlternateContent>
  <xr:revisionPtr revIDLastSave="0" documentId="13_ncr:1_{F9605E60-5BC1-4DC7-BA31-314035C38C66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comite 3" sheetId="2" r:id="rId1"/>
    <sheet name="Indicateur7" sheetId="3" r:id="rId2"/>
    <sheet name="Indicateur8" sheetId="5" r:id="rId3"/>
    <sheet name="Indicateur9" sheetId="7" r:id="rId4"/>
    <sheet name="prevision7" sheetId="4" state="hidden" r:id="rId5"/>
    <sheet name="prevision8" sheetId="6" state="hidden" r:id="rId6"/>
    <sheet name="prevision9" sheetId="8" state="hidden" r:id="rId7"/>
  </sheets>
  <definedNames>
    <definedName name="切片器_Country_name5">#N/A</definedName>
    <definedName name="切片器_Country_name6">#N/A</definedName>
    <definedName name="切片器_Country_name7">#N/A</definedName>
  </definedNames>
  <calcPr calcId="191029"/>
  <pivotCaches>
    <pivotCache cacheId="0" r:id="rId8"/>
    <pivotCache cacheId="1" r:id="rId9"/>
    <pivotCache cacheId="2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2" i="8" l="1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31" i="8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31" i="6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32" i="4"/>
  <c r="I32" i="8" l="1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31" i="8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31" i="6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32" i="4"/>
  <c r="J58" i="8" l="1"/>
  <c r="D58" i="8"/>
  <c r="J71" i="8"/>
  <c r="D71" i="8"/>
  <c r="J57" i="6"/>
  <c r="D57" i="6"/>
  <c r="J58" i="4"/>
  <c r="D58" i="4"/>
  <c r="J72" i="4"/>
  <c r="D72" i="4"/>
  <c r="D71" i="6" l="1"/>
  <c r="J71" i="6"/>
  <c r="D60" i="8"/>
  <c r="D62" i="8"/>
  <c r="D64" i="8"/>
  <c r="D66" i="8"/>
  <c r="D68" i="8"/>
  <c r="D70" i="8"/>
  <c r="J60" i="8"/>
  <c r="J62" i="8"/>
  <c r="J64" i="8"/>
  <c r="J66" i="8"/>
  <c r="J68" i="8"/>
  <c r="J70" i="8"/>
  <c r="D59" i="8"/>
  <c r="D61" i="8"/>
  <c r="D63" i="8"/>
  <c r="D65" i="8"/>
  <c r="D67" i="8"/>
  <c r="D69" i="8"/>
  <c r="J59" i="8"/>
  <c r="J61" i="8"/>
  <c r="J63" i="8"/>
  <c r="J65" i="8"/>
  <c r="J67" i="8"/>
  <c r="J69" i="8"/>
  <c r="D58" i="6"/>
  <c r="D60" i="6"/>
  <c r="D62" i="6"/>
  <c r="D64" i="6"/>
  <c r="D66" i="6"/>
  <c r="D68" i="6"/>
  <c r="D70" i="6"/>
  <c r="J58" i="6"/>
  <c r="J60" i="6"/>
  <c r="J62" i="6"/>
  <c r="J64" i="6"/>
  <c r="J66" i="6"/>
  <c r="J68" i="6"/>
  <c r="J70" i="6"/>
  <c r="D59" i="6"/>
  <c r="D61" i="6"/>
  <c r="D63" i="6"/>
  <c r="D65" i="6"/>
  <c r="D67" i="6"/>
  <c r="D69" i="6"/>
  <c r="J59" i="6"/>
  <c r="J61" i="6"/>
  <c r="J63" i="6"/>
  <c r="J65" i="6"/>
  <c r="J67" i="6"/>
  <c r="J69" i="6"/>
  <c r="D59" i="4"/>
  <c r="D61" i="4"/>
  <c r="D63" i="4"/>
  <c r="D65" i="4"/>
  <c r="D67" i="4"/>
  <c r="D69" i="4"/>
  <c r="D71" i="4"/>
  <c r="J59" i="4"/>
  <c r="J61" i="4"/>
  <c r="J63" i="4"/>
  <c r="J65" i="4"/>
  <c r="J67" i="4"/>
  <c r="J69" i="4"/>
  <c r="J71" i="4"/>
  <c r="D60" i="4"/>
  <c r="D62" i="4"/>
  <c r="D64" i="4"/>
  <c r="D66" i="4"/>
  <c r="D68" i="4"/>
  <c r="D70" i="4"/>
  <c r="J60" i="4"/>
  <c r="J62" i="4"/>
  <c r="J64" i="4"/>
  <c r="J66" i="4"/>
  <c r="J68" i="4"/>
  <c r="J70" i="4"/>
</calcChain>
</file>

<file path=xl/sharedStrings.xml><?xml version="1.0" encoding="utf-8"?>
<sst xmlns="http://schemas.openxmlformats.org/spreadsheetml/2006/main" count="9871" uniqueCount="48">
  <si>
    <t>Indicateurs de l’infrastructure</t>
  </si>
  <si>
    <t>Country name:</t>
  </si>
  <si>
    <t>Ethiopia</t>
  </si>
  <si>
    <t>Commentaire</t>
    <phoneticPr fontId="0" type="noConversion"/>
  </si>
  <si>
    <t>Country name</t>
  </si>
  <si>
    <t>Indicator name</t>
  </si>
  <si>
    <t>Data</t>
  </si>
  <si>
    <t>Year</t>
  </si>
  <si>
    <t>Graphique Croisé Dynamique</t>
    <phoneticPr fontId="0" type="noConversion"/>
  </si>
  <si>
    <t>Tableau Croisé Dynamique</t>
    <phoneticPr fontId="0" type="noConversion"/>
  </si>
  <si>
    <t>Burundi</t>
  </si>
  <si>
    <t>Access to electricity (% of population)</t>
    <phoneticPr fontId="0" type="noConversion"/>
  </si>
  <si>
    <t>Somme:Data</t>
  </si>
  <si>
    <t>Cameroon</t>
  </si>
  <si>
    <t>Access to electricity (% of population)</t>
  </si>
  <si>
    <t>Chad</t>
  </si>
  <si>
    <t>Comoros</t>
  </si>
  <si>
    <t>Djibouti</t>
  </si>
  <si>
    <t>Guinea</t>
  </si>
  <si>
    <t>Haiti</t>
  </si>
  <si>
    <t>Kenya</t>
  </si>
  <si>
    <t>Kosovo</t>
  </si>
  <si>
    <t>Liberia</t>
  </si>
  <si>
    <t>Madagascar</t>
  </si>
  <si>
    <t>Malawi</t>
  </si>
  <si>
    <t>Mali</t>
  </si>
  <si>
    <t>Moldova</t>
  </si>
  <si>
    <t>Mozambique</t>
  </si>
  <si>
    <t xml:space="preserve">Prévision de tendance </t>
    <phoneticPr fontId="0" type="noConversion"/>
  </si>
  <si>
    <t>Myanmar</t>
  </si>
  <si>
    <t>Nepal</t>
  </si>
  <si>
    <t>Nicaragua</t>
  </si>
  <si>
    <t>Niger</t>
  </si>
  <si>
    <t>Rwanda</t>
  </si>
  <si>
    <t>Sao Tome and Principe</t>
  </si>
  <si>
    <t>Sri Lanka</t>
  </si>
  <si>
    <t>Tajikistan</t>
  </si>
  <si>
    <t>Tanzania</t>
  </si>
  <si>
    <t>Uganda</t>
  </si>
  <si>
    <t>Zambia</t>
  </si>
  <si>
    <t>Zimbabwe</t>
  </si>
  <si>
    <t>Access to electricity, rural (% of rural population)</t>
  </si>
  <si>
    <t>Access to electricity, rural (% of rural population)</t>
    <phoneticPr fontId="0" type="noConversion"/>
  </si>
  <si>
    <t>Mobile cellular subscriptions (per 100 people)</t>
  </si>
  <si>
    <t>Mobile cellular subscriptions (per 100 people)</t>
    <phoneticPr fontId="0" type="noConversion"/>
  </si>
  <si>
    <t>Indicateur:Access to electricity (% of population)</t>
    <phoneticPr fontId="10" type="noConversion"/>
  </si>
  <si>
    <t>Indicateur: Access to electricity, rural (% of rural population)</t>
    <phoneticPr fontId="10" type="noConversion"/>
  </si>
  <si>
    <t>Indicateur: Mobile cellular subscriptions (per 100 people)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</si>
</sst>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11"/>
      <color theme="1"/>
      <name val="等线"/>
      <family val="2"/>
      <charset val="134"/>
      <scheme val="minor"/>
    </font>
    <font>
      <b/>
      <sz val="12"/>
      <color theme="0"/>
      <name val="Arial"/>
      <family val="2"/>
    </font>
    <font>
      <b/>
      <sz val="11"/>
      <name val="Arial"/>
      <family val="2"/>
    </font>
    <font>
      <sz val="12"/>
      <color indexed="8"/>
      <name val="宋体"/>
      <family val="3"/>
      <charset val="134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11"/>
      <color theme="1"/>
      <name val="等线"/>
      <family val="2"/>
      <charset val="134"/>
      <scheme val="minor"/>
    </font>
    <font>
      <sz val="9"/>
      <name val="宋体"/>
      <family val="3"/>
      <charset val="134"/>
    </font>
    <font>
      <sz val="11"/>
      <color rgb="FF000000"/>
      <name val="等线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0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double">
        <color theme="7" tint="0.39994506668294322"/>
      </left>
      <right style="double">
        <color theme="7" tint="0.39991454817346722"/>
      </right>
      <top/>
      <bottom style="double">
        <color theme="7" tint="0.399945066682943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theme="7" tint="0.399945066682943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7" tint="0.39994506668294322"/>
      </top>
      <bottom style="thin">
        <color theme="7" tint="0.39994506668294322"/>
      </bottom>
      <diagonal/>
    </border>
    <border>
      <left/>
      <right/>
      <top style="thin">
        <color theme="7" tint="0.39994506668294322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6" fillId="0" borderId="0"/>
    <xf numFmtId="0" fontId="6" fillId="0" borderId="0"/>
  </cellStyleXfs>
  <cellXfs count="35">
    <xf numFmtId="0" fontId="0" fillId="0" borderId="0" xfId="0"/>
    <xf numFmtId="0" fontId="3" fillId="0" borderId="0" xfId="1">
      <alignment vertical="center"/>
    </xf>
    <xf numFmtId="0" fontId="1" fillId="3" borderId="0" xfId="1" applyFont="1" applyFill="1">
      <alignment vertical="center"/>
    </xf>
    <xf numFmtId="0" fontId="3" fillId="4" borderId="0" xfId="1" applyFill="1" applyAlignment="1">
      <alignment horizontal="right" vertical="center"/>
    </xf>
    <xf numFmtId="0" fontId="5" fillId="3" borderId="0" xfId="1" applyFont="1" applyFill="1">
      <alignment vertical="center"/>
    </xf>
    <xf numFmtId="0" fontId="7" fillId="5" borderId="0" xfId="2" applyFont="1" applyFill="1" applyAlignment="1">
      <alignment horizontal="center" vertical="center"/>
    </xf>
    <xf numFmtId="0" fontId="5" fillId="3" borderId="1" xfId="1" applyFont="1" applyFill="1" applyBorder="1">
      <alignment vertical="center"/>
    </xf>
    <xf numFmtId="0" fontId="8" fillId="6" borderId="2" xfId="2" applyFont="1" applyFill="1" applyBorder="1" applyAlignment="1">
      <alignment horizontal="center" vertical="center" wrapText="1"/>
    </xf>
    <xf numFmtId="0" fontId="8" fillId="0" borderId="2" xfId="2" applyFont="1" applyBorder="1" applyAlignment="1">
      <alignment horizontal="center" vertical="center" wrapText="1"/>
    </xf>
    <xf numFmtId="0" fontId="8" fillId="6" borderId="4" xfId="2" applyFont="1" applyFill="1" applyBorder="1" applyAlignment="1">
      <alignment horizontal="center" vertical="center" wrapText="1"/>
    </xf>
    <xf numFmtId="0" fontId="8" fillId="0" borderId="4" xfId="2" applyFont="1" applyBorder="1" applyAlignment="1">
      <alignment horizontal="center" vertical="center" wrapText="1"/>
    </xf>
    <xf numFmtId="0" fontId="8" fillId="6" borderId="4" xfId="3" applyFont="1" applyFill="1" applyBorder="1" applyAlignment="1">
      <alignment horizontal="center" vertical="center" wrapText="1"/>
    </xf>
    <xf numFmtId="0" fontId="8" fillId="0" borderId="4" xfId="3" applyFont="1" applyBorder="1" applyAlignment="1">
      <alignment horizontal="center" vertical="center" wrapText="1"/>
    </xf>
    <xf numFmtId="0" fontId="9" fillId="3" borderId="7" xfId="1" applyFont="1" applyFill="1" applyBorder="1">
      <alignment vertical="center"/>
    </xf>
    <xf numFmtId="0" fontId="3" fillId="6" borderId="0" xfId="1" applyFill="1" applyAlignment="1">
      <alignment horizontal="left" vertical="center"/>
    </xf>
    <xf numFmtId="0" fontId="3" fillId="0" borderId="0" xfId="1" applyAlignment="1">
      <alignment horizontal="left" vertical="center"/>
    </xf>
    <xf numFmtId="0" fontId="9" fillId="3" borderId="7" xfId="1" applyFont="1" applyFill="1" applyBorder="1" applyAlignment="1">
      <alignment horizontal="right" vertical="center"/>
    </xf>
    <xf numFmtId="0" fontId="0" fillId="6" borderId="5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5" xfId="0" applyFill="1" applyBorder="1" applyAlignment="1">
      <alignment horizontal="right"/>
    </xf>
    <xf numFmtId="0" fontId="4" fillId="2" borderId="0" xfId="1" applyFont="1" applyFill="1" applyAlignment="1">
      <alignment horizontal="center" vertical="center"/>
    </xf>
    <xf numFmtId="0" fontId="0" fillId="0" borderId="8" xfId="1" applyFont="1" applyBorder="1" applyAlignment="1">
      <alignment vertical="center" wrapText="1"/>
    </xf>
    <xf numFmtId="0" fontId="0" fillId="0" borderId="0" xfId="1" applyFont="1" applyBorder="1" applyAlignment="1">
      <alignment vertical="center" wrapText="1"/>
    </xf>
    <xf numFmtId="0" fontId="0" fillId="0" borderId="9" xfId="1" applyFont="1" applyBorder="1" applyAlignment="1">
      <alignment vertical="center" wrapText="1"/>
    </xf>
    <xf numFmtId="0" fontId="5" fillId="3" borderId="0" xfId="1" applyFont="1" applyFill="1">
      <alignment vertical="center"/>
    </xf>
    <xf numFmtId="0" fontId="3" fillId="0" borderId="8" xfId="1" applyBorder="1">
      <alignment vertical="center"/>
    </xf>
    <xf numFmtId="0" fontId="3" fillId="0" borderId="0" xfId="1" applyBorder="1">
      <alignment vertical="center"/>
    </xf>
    <xf numFmtId="0" fontId="3" fillId="0" borderId="9" xfId="1" applyBorder="1">
      <alignment vertical="center"/>
    </xf>
    <xf numFmtId="0" fontId="3" fillId="0" borderId="10" xfId="1" applyBorder="1">
      <alignment vertical="center"/>
    </xf>
    <xf numFmtId="0" fontId="3" fillId="0" borderId="11" xfId="1" applyBorder="1">
      <alignment vertical="center"/>
    </xf>
    <xf numFmtId="0" fontId="3" fillId="0" borderId="12" xfId="1" applyBorder="1">
      <alignment vertical="center"/>
    </xf>
  </cellXfs>
  <cellStyles count="4">
    <cellStyle name="Normal 2" xfId="1" xr:uid="{00000000-0005-0000-0000-000001000000}"/>
    <cellStyle name="常规" xfId="0" builtinId="0"/>
    <cellStyle name="常规_Sheet1" xfId="3" xr:uid="{00000000-0005-0000-0000-000002000000}"/>
    <cellStyle name="常规_Sheet1_1" xfId="2" xr:uid="{00000000-0005-0000-0000-000003000000}"/>
  </cellStyles>
  <dxfs count="100"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alignment horizontal="right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 patternType="solid">
          <bgColor theme="0" tint="-4.9989318521683403E-2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 tint="-4.9989318521683403E-2"/>
        </patternFill>
      </fill>
    </dxf>
    <dxf>
      <alignment horizontal="right"/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0" tint="-4.9989318521683403E-2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right"/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border>
        <horizontal style="thin">
          <color theme="7" tint="0.39994506668294322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7" tint="0.39997558519241921"/>
        </patternFill>
      </fill>
    </dxf>
    <dxf>
      <fill>
        <patternFill patternType="solid">
          <bgColor theme="7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 sz="1400" b="0" i="0" baseline="0">
                <a:effectLst/>
              </a:rPr>
              <a:t>Mobile cellular subscriptions (per 100 people)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prevision9!$H$31:$H$71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prevision9!$I$31:$I$71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2.3599079275486001E-2</c:v>
                </c:pt>
                <c:pt idx="10">
                  <c:v>4.30733260404371E-2</c:v>
                </c:pt>
                <c:pt idx="11">
                  <c:v>7.1542751180925193E-2</c:v>
                </c:pt>
                <c:pt idx="12">
                  <c:v>8.9069019718116801E-2</c:v>
                </c:pt>
                <c:pt idx="13">
                  <c:v>0.328116055458816</c:v>
                </c:pt>
                <c:pt idx="14">
                  <c:v>0.461400799361535</c:v>
                </c:pt>
                <c:pt idx="15">
                  <c:v>0.88655793907455105</c:v>
                </c:pt>
                <c:pt idx="16">
                  <c:v>4.4605799291289001</c:v>
                </c:pt>
                <c:pt idx="17">
                  <c:v>12.4696321897282</c:v>
                </c:pt>
                <c:pt idx="18">
                  <c:v>15.8635079602139</c:v>
                </c:pt>
                <c:pt idx="19">
                  <c:v>20.933616687389399</c:v>
                </c:pt>
                <c:pt idx="20">
                  <c:v>34.028477152745097</c:v>
                </c:pt>
                <c:pt idx="21">
                  <c:v>48.868903146018098</c:v>
                </c:pt>
                <c:pt idx="22">
                  <c:v>60.067511937193302</c:v>
                </c:pt>
                <c:pt idx="23">
                  <c:v>76.333937340697702</c:v>
                </c:pt>
                <c:pt idx="24">
                  <c:v>81.280740435037103</c:v>
                </c:pt>
                <c:pt idx="25">
                  <c:v>96.021022545771999</c:v>
                </c:pt>
                <c:pt idx="26">
                  <c:v>110.825514233956</c:v>
                </c:pt>
                <c:pt idx="27">
                  <c:v>123.174879588799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91-4A55-AFA8-4EEA37F06CF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prevision9!$H$31:$H$71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prevision9!$J$31:$J$71</c:f>
              <c:numCache>
                <c:formatCode>General</c:formatCode>
                <c:ptCount val="41"/>
                <c:pt idx="27">
                  <c:v>123.174879588799</c:v>
                </c:pt>
                <c:pt idx="28">
                  <c:v>80.63097574204312</c:v>
                </c:pt>
                <c:pt idx="29">
                  <c:v>84.501506871748461</c:v>
                </c:pt>
                <c:pt idx="30">
                  <c:v>88.372038001453802</c:v>
                </c:pt>
                <c:pt idx="31">
                  <c:v>92.242569131159144</c:v>
                </c:pt>
                <c:pt idx="32">
                  <c:v>96.113100260865394</c:v>
                </c:pt>
                <c:pt idx="33">
                  <c:v>99.983631390570736</c:v>
                </c:pt>
                <c:pt idx="34">
                  <c:v>103.85416252027608</c:v>
                </c:pt>
                <c:pt idx="35">
                  <c:v>107.72469364998142</c:v>
                </c:pt>
                <c:pt idx="36">
                  <c:v>111.59522477968676</c:v>
                </c:pt>
                <c:pt idx="37">
                  <c:v>115.4657559093921</c:v>
                </c:pt>
                <c:pt idx="38">
                  <c:v>119.33628703909744</c:v>
                </c:pt>
                <c:pt idx="39">
                  <c:v>123.20681816880278</c:v>
                </c:pt>
                <c:pt idx="40">
                  <c:v>127.07734929850903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91-4A55-AFA8-4EEA37F06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6073160"/>
        <c:axId val="546070864"/>
      </c:lineChart>
      <c:catAx>
        <c:axId val="546073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6070864"/>
        <c:crosses val="autoZero"/>
        <c:auto val="1"/>
        <c:lblAlgn val="ctr"/>
        <c:lblOffset val="100"/>
        <c:noMultiLvlLbl val="0"/>
      </c:catAx>
      <c:valAx>
        <c:axId val="54607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607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 sz="1400" b="0" i="0" baseline="0">
                <a:effectLst/>
              </a:rPr>
              <a:t>Access to electricity (% of population)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prevision7!$H$32:$H$72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prevision7!$I$32:$I$72</c:f>
              <c:numCache>
                <c:formatCode>General</c:formatCode>
                <c:ptCount val="41"/>
                <c:pt idx="0">
                  <c:v>9.9999997764825804E-3</c:v>
                </c:pt>
                <c:pt idx="1">
                  <c:v>6.5060190856456798E-2</c:v>
                </c:pt>
                <c:pt idx="2">
                  <c:v>0.45856440067291299</c:v>
                </c:pt>
                <c:pt idx="3">
                  <c:v>1.7262779474258401</c:v>
                </c:pt>
                <c:pt idx="4">
                  <c:v>3.53385210037231</c:v>
                </c:pt>
                <c:pt idx="5">
                  <c:v>7.57501268386841</c:v>
                </c:pt>
                <c:pt idx="6">
                  <c:v>17.899999999999999</c:v>
                </c:pt>
                <c:pt idx="7">
                  <c:v>15.617564201355</c:v>
                </c:pt>
                <c:pt idx="8">
                  <c:v>19.612838745117202</c:v>
                </c:pt>
                <c:pt idx="9">
                  <c:v>23.586698532104499</c:v>
                </c:pt>
                <c:pt idx="10">
                  <c:v>27.537605285644499</c:v>
                </c:pt>
                <c:pt idx="11">
                  <c:v>24.6</c:v>
                </c:pt>
                <c:pt idx="12">
                  <c:v>35.390254974365199</c:v>
                </c:pt>
                <c:pt idx="13">
                  <c:v>39.304122924804702</c:v>
                </c:pt>
                <c:pt idx="14">
                  <c:v>37.200000000000003</c:v>
                </c:pt>
                <c:pt idx="15">
                  <c:v>47.137256622314503</c:v>
                </c:pt>
                <c:pt idx="16">
                  <c:v>51.2</c:v>
                </c:pt>
                <c:pt idx="17">
                  <c:v>55.018013000488303</c:v>
                </c:pt>
                <c:pt idx="18">
                  <c:v>58.989894866943402</c:v>
                </c:pt>
                <c:pt idx="19">
                  <c:v>62.9828071594238</c:v>
                </c:pt>
                <c:pt idx="20">
                  <c:v>66.993743896484403</c:v>
                </c:pt>
                <c:pt idx="21">
                  <c:v>76.3</c:v>
                </c:pt>
                <c:pt idx="22">
                  <c:v>75.057662963867202</c:v>
                </c:pt>
                <c:pt idx="23">
                  <c:v>79.104644775390597</c:v>
                </c:pt>
                <c:pt idx="24">
                  <c:v>84.9</c:v>
                </c:pt>
                <c:pt idx="25">
                  <c:v>87.213623046875</c:v>
                </c:pt>
                <c:pt idx="26">
                  <c:v>90.7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E-4B34-AF3D-2B995631E51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prevision7!$H$32:$H$72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prevision7!$J$32:$J$72</c:f>
              <c:numCache>
                <c:formatCode>General</c:formatCode>
                <c:ptCount val="41"/>
                <c:pt idx="26">
                  <c:v>90.7</c:v>
                </c:pt>
                <c:pt idx="27">
                  <c:v>93.259286744270867</c:v>
                </c:pt>
                <c:pt idx="28">
                  <c:v>97.037819135215614</c:v>
                </c:pt>
                <c:pt idx="29">
                  <c:v>100.81635152616036</c:v>
                </c:pt>
                <c:pt idx="30">
                  <c:v>104.59488391710602</c:v>
                </c:pt>
                <c:pt idx="31">
                  <c:v>108.37341630805076</c:v>
                </c:pt>
                <c:pt idx="32">
                  <c:v>112.15194869899551</c:v>
                </c:pt>
                <c:pt idx="33">
                  <c:v>115.93048108994026</c:v>
                </c:pt>
                <c:pt idx="34">
                  <c:v>119.70901348088501</c:v>
                </c:pt>
                <c:pt idx="35">
                  <c:v>123.48754587182975</c:v>
                </c:pt>
                <c:pt idx="36">
                  <c:v>127.2660782627745</c:v>
                </c:pt>
                <c:pt idx="37">
                  <c:v>131.04461065371925</c:v>
                </c:pt>
                <c:pt idx="38">
                  <c:v>134.8231430446649</c:v>
                </c:pt>
                <c:pt idx="39">
                  <c:v>138.60167543560965</c:v>
                </c:pt>
                <c:pt idx="40">
                  <c:v>142.3802078265544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2E-4B34-AF3D-2B995631E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547616"/>
        <c:axId val="510541712"/>
      </c:lineChart>
      <c:catAx>
        <c:axId val="51054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541712"/>
        <c:crosses val="autoZero"/>
        <c:auto val="1"/>
        <c:lblAlgn val="ctr"/>
        <c:lblOffset val="100"/>
        <c:noMultiLvlLbl val="0"/>
      </c:catAx>
      <c:valAx>
        <c:axId val="5105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54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 sz="1400" b="0" i="0" baseline="0">
                <a:effectLst/>
              </a:rPr>
              <a:t>Access to electricity, rural (% of rural population)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prevision8!$H$31:$H$71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prevision8!$I$31:$I$71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12.1</c:v>
                </c:pt>
                <c:pt idx="7">
                  <c:v>6.7628283202200299</c:v>
                </c:pt>
                <c:pt idx="8">
                  <c:v>10.7671299579705</c:v>
                </c:pt>
                <c:pt idx="9">
                  <c:v>14.769361058864099</c:v>
                </c:pt>
                <c:pt idx="10">
                  <c:v>18.769202296814001</c:v>
                </c:pt>
                <c:pt idx="11">
                  <c:v>17.399999999999999</c:v>
                </c:pt>
                <c:pt idx="12">
                  <c:v>27.011136979054999</c:v>
                </c:pt>
                <c:pt idx="13">
                  <c:v>31.2401351273909</c:v>
                </c:pt>
                <c:pt idx="14">
                  <c:v>27.3</c:v>
                </c:pt>
                <c:pt idx="15">
                  <c:v>39.764552046199398</c:v>
                </c:pt>
                <c:pt idx="16">
                  <c:v>43.2</c:v>
                </c:pt>
                <c:pt idx="17">
                  <c:v>48.429280573395097</c:v>
                </c:pt>
                <c:pt idx="18">
                  <c:v>52.8311672007193</c:v>
                </c:pt>
                <c:pt idx="19">
                  <c:v>57.281251558453903</c:v>
                </c:pt>
                <c:pt idx="20">
                  <c:v>61.7769754382714</c:v>
                </c:pt>
                <c:pt idx="21">
                  <c:v>72.900000000000006</c:v>
                </c:pt>
                <c:pt idx="22">
                  <c:v>70.8971405211242</c:v>
                </c:pt>
                <c:pt idx="23">
                  <c:v>75.517034671166698</c:v>
                </c:pt>
                <c:pt idx="24">
                  <c:v>81.7</c:v>
                </c:pt>
                <c:pt idx="25">
                  <c:v>84.867550376979096</c:v>
                </c:pt>
                <c:pt idx="26">
                  <c:v>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35-4523-8376-7B1564D4FA9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prevision8!$H$31:$H$71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prevision8!$J$31:$J$71</c:f>
              <c:numCache>
                <c:formatCode>General</c:formatCode>
                <c:ptCount val="41"/>
                <c:pt idx="26">
                  <c:v>85.2</c:v>
                </c:pt>
                <c:pt idx="27">
                  <c:v>87.100074425638013</c:v>
                </c:pt>
                <c:pt idx="28">
                  <c:v>90.833453429250767</c:v>
                </c:pt>
                <c:pt idx="29">
                  <c:v>94.566832432863521</c:v>
                </c:pt>
                <c:pt idx="30">
                  <c:v>98.300211436476275</c:v>
                </c:pt>
                <c:pt idx="31">
                  <c:v>102.03359044008903</c:v>
                </c:pt>
                <c:pt idx="32">
                  <c:v>105.76696944370087</c:v>
                </c:pt>
                <c:pt idx="33">
                  <c:v>109.50034844731363</c:v>
                </c:pt>
                <c:pt idx="34">
                  <c:v>113.23372745092638</c:v>
                </c:pt>
                <c:pt idx="35">
                  <c:v>116.96710645453913</c:v>
                </c:pt>
                <c:pt idx="36">
                  <c:v>120.70048545815189</c:v>
                </c:pt>
                <c:pt idx="37">
                  <c:v>124.43386446176464</c:v>
                </c:pt>
                <c:pt idx="38">
                  <c:v>128.1672434653774</c:v>
                </c:pt>
                <c:pt idx="39">
                  <c:v>131.90062246899015</c:v>
                </c:pt>
                <c:pt idx="40">
                  <c:v>135.6340014726029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35-4523-8376-7B1564D4F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233480"/>
        <c:axId val="550233808"/>
      </c:lineChart>
      <c:catAx>
        <c:axId val="55023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0233808"/>
        <c:crosses val="autoZero"/>
        <c:auto val="1"/>
        <c:lblAlgn val="ctr"/>
        <c:lblOffset val="100"/>
        <c:noMultiLvlLbl val="0"/>
      </c:catAx>
      <c:valAx>
        <c:axId val="5502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023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prevision7!$B$32:$B$72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prevision7!$C$32:$C$72</c:f>
              <c:numCache>
                <c:formatCode>General</c:formatCode>
                <c:ptCount val="41"/>
                <c:pt idx="0">
                  <c:v>9.9999997764825804E-3</c:v>
                </c:pt>
                <c:pt idx="1">
                  <c:v>6.5060190856456798E-2</c:v>
                </c:pt>
                <c:pt idx="2">
                  <c:v>0.45856440067291299</c:v>
                </c:pt>
                <c:pt idx="3">
                  <c:v>1.7262779474258401</c:v>
                </c:pt>
                <c:pt idx="4">
                  <c:v>3.53385210037231</c:v>
                </c:pt>
                <c:pt idx="5">
                  <c:v>7.57501268386841</c:v>
                </c:pt>
                <c:pt idx="6">
                  <c:v>17.899999999999999</c:v>
                </c:pt>
                <c:pt idx="7">
                  <c:v>15.617564201355</c:v>
                </c:pt>
                <c:pt idx="8">
                  <c:v>19.612838745117202</c:v>
                </c:pt>
                <c:pt idx="9">
                  <c:v>23.586698532104499</c:v>
                </c:pt>
                <c:pt idx="10">
                  <c:v>27.537605285644499</c:v>
                </c:pt>
                <c:pt idx="11">
                  <c:v>24.6</c:v>
                </c:pt>
                <c:pt idx="12">
                  <c:v>35.390254974365199</c:v>
                </c:pt>
                <c:pt idx="13">
                  <c:v>39.304122924804702</c:v>
                </c:pt>
                <c:pt idx="14">
                  <c:v>37.200000000000003</c:v>
                </c:pt>
                <c:pt idx="15">
                  <c:v>47.137256622314503</c:v>
                </c:pt>
                <c:pt idx="16">
                  <c:v>51.2</c:v>
                </c:pt>
                <c:pt idx="17">
                  <c:v>55.018013000488303</c:v>
                </c:pt>
                <c:pt idx="18">
                  <c:v>58.989894866943402</c:v>
                </c:pt>
                <c:pt idx="19">
                  <c:v>62.9828071594238</c:v>
                </c:pt>
                <c:pt idx="20">
                  <c:v>66.993743896484403</c:v>
                </c:pt>
                <c:pt idx="21">
                  <c:v>76.3</c:v>
                </c:pt>
                <c:pt idx="22">
                  <c:v>75.057662963867202</c:v>
                </c:pt>
                <c:pt idx="23">
                  <c:v>79.104644775390597</c:v>
                </c:pt>
                <c:pt idx="24">
                  <c:v>84.9</c:v>
                </c:pt>
                <c:pt idx="25">
                  <c:v>87.213623046875</c:v>
                </c:pt>
                <c:pt idx="26">
                  <c:v>90.7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DF-41AF-BF32-F0BB98E1F60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prevision7!$B$32:$B$72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prevision7!$D$32:$D$72</c:f>
              <c:numCache>
                <c:formatCode>General</c:formatCode>
                <c:ptCount val="41"/>
                <c:pt idx="26">
                  <c:v>90.7</c:v>
                </c:pt>
                <c:pt idx="27">
                  <c:v>93.259286744270867</c:v>
                </c:pt>
                <c:pt idx="28">
                  <c:v>97.037819135215614</c:v>
                </c:pt>
                <c:pt idx="29">
                  <c:v>100.81635152616036</c:v>
                </c:pt>
                <c:pt idx="30">
                  <c:v>104.59488391710602</c:v>
                </c:pt>
                <c:pt idx="31">
                  <c:v>108.37341630805076</c:v>
                </c:pt>
                <c:pt idx="32">
                  <c:v>112.15194869899551</c:v>
                </c:pt>
                <c:pt idx="33">
                  <c:v>115.93048108994026</c:v>
                </c:pt>
                <c:pt idx="34">
                  <c:v>119.70901348088501</c:v>
                </c:pt>
                <c:pt idx="35">
                  <c:v>123.48754587182975</c:v>
                </c:pt>
                <c:pt idx="36">
                  <c:v>127.2660782627745</c:v>
                </c:pt>
                <c:pt idx="37">
                  <c:v>131.04461065371925</c:v>
                </c:pt>
                <c:pt idx="38">
                  <c:v>134.8231430446649</c:v>
                </c:pt>
                <c:pt idx="39">
                  <c:v>138.60167543560965</c:v>
                </c:pt>
                <c:pt idx="40">
                  <c:v>142.3802078265544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DF-41AF-BF32-F0BB98E1F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9561728"/>
        <c:axId val="869562384"/>
      </c:lineChart>
      <c:catAx>
        <c:axId val="86956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562384"/>
        <c:crosses val="autoZero"/>
        <c:auto val="1"/>
        <c:lblAlgn val="ctr"/>
        <c:lblOffset val="100"/>
        <c:noMultiLvlLbl val="0"/>
      </c:catAx>
      <c:valAx>
        <c:axId val="86956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56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[indicateur de l'infrastructure.xlsm]Indicateur7!数据透视表2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/>
              <a:t>Access to electricity (% of population)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Indicateur7!$K$5:$K$6</c:f>
              <c:strCache>
                <c:ptCount val="1"/>
                <c:pt idx="0">
                  <c:v>Nepal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Indicateur7!$J$7:$J$33</c:f>
              <c:strCache>
                <c:ptCount val="27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</c:strCache>
            </c:strRef>
          </c:cat>
          <c:val>
            <c:numRef>
              <c:f>Indicateur7!$K$7:$K$33</c:f>
              <c:numCache>
                <c:formatCode>General</c:formatCode>
                <c:ptCount val="27"/>
                <c:pt idx="0">
                  <c:v>9.9999997764825804E-3</c:v>
                </c:pt>
                <c:pt idx="1">
                  <c:v>6.5060190856456798E-2</c:v>
                </c:pt>
                <c:pt idx="2">
                  <c:v>0.45856440067291299</c:v>
                </c:pt>
                <c:pt idx="3">
                  <c:v>1.7262779474258401</c:v>
                </c:pt>
                <c:pt idx="4">
                  <c:v>3.53385210037231</c:v>
                </c:pt>
                <c:pt idx="5">
                  <c:v>7.57501268386841</c:v>
                </c:pt>
                <c:pt idx="6">
                  <c:v>17.899999999999999</c:v>
                </c:pt>
                <c:pt idx="7">
                  <c:v>15.617564201355</c:v>
                </c:pt>
                <c:pt idx="8">
                  <c:v>19.612838745117202</c:v>
                </c:pt>
                <c:pt idx="9">
                  <c:v>23.586698532104499</c:v>
                </c:pt>
                <c:pt idx="10">
                  <c:v>27.537605285644499</c:v>
                </c:pt>
                <c:pt idx="11">
                  <c:v>24.6</c:v>
                </c:pt>
                <c:pt idx="12">
                  <c:v>35.390254974365199</c:v>
                </c:pt>
                <c:pt idx="13">
                  <c:v>39.304122924804702</c:v>
                </c:pt>
                <c:pt idx="14">
                  <c:v>37.200000000000003</c:v>
                </c:pt>
                <c:pt idx="15">
                  <c:v>47.137256622314503</c:v>
                </c:pt>
                <c:pt idx="16">
                  <c:v>51.2</c:v>
                </c:pt>
                <c:pt idx="17">
                  <c:v>55.018013000488303</c:v>
                </c:pt>
                <c:pt idx="18">
                  <c:v>58.989894866943402</c:v>
                </c:pt>
                <c:pt idx="19">
                  <c:v>62.9828071594238</c:v>
                </c:pt>
                <c:pt idx="20">
                  <c:v>66.993743896484403</c:v>
                </c:pt>
                <c:pt idx="21">
                  <c:v>76.3</c:v>
                </c:pt>
                <c:pt idx="22">
                  <c:v>75.057662963867202</c:v>
                </c:pt>
                <c:pt idx="23">
                  <c:v>79.104644775390597</c:v>
                </c:pt>
                <c:pt idx="24">
                  <c:v>84.9</c:v>
                </c:pt>
                <c:pt idx="25">
                  <c:v>87.213623046875</c:v>
                </c:pt>
                <c:pt idx="26">
                  <c:v>90.7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5-4C8A-AF80-3F0BB10C7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942080"/>
        <c:axId val="517948312"/>
      </c:lineChart>
      <c:catAx>
        <c:axId val="51794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7948312"/>
        <c:crosses val="autoZero"/>
        <c:auto val="1"/>
        <c:lblAlgn val="ctr"/>
        <c:lblOffset val="100"/>
        <c:noMultiLvlLbl val="0"/>
      </c:catAx>
      <c:valAx>
        <c:axId val="51794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794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02668416447944E-3"/>
                  <c:y val="-4.28517789442986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prevision8!$B$31:$B$71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prevision8!$C$31:$C$71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12.1</c:v>
                </c:pt>
                <c:pt idx="7">
                  <c:v>6.7628283202200299</c:v>
                </c:pt>
                <c:pt idx="8">
                  <c:v>10.7671299579705</c:v>
                </c:pt>
                <c:pt idx="9">
                  <c:v>14.769361058864099</c:v>
                </c:pt>
                <c:pt idx="10">
                  <c:v>18.769202296814001</c:v>
                </c:pt>
                <c:pt idx="11">
                  <c:v>17.399999999999999</c:v>
                </c:pt>
                <c:pt idx="12">
                  <c:v>27.011136979054999</c:v>
                </c:pt>
                <c:pt idx="13">
                  <c:v>31.2401351273909</c:v>
                </c:pt>
                <c:pt idx="14">
                  <c:v>27.3</c:v>
                </c:pt>
                <c:pt idx="15">
                  <c:v>39.764552046199398</c:v>
                </c:pt>
                <c:pt idx="16">
                  <c:v>43.2</c:v>
                </c:pt>
                <c:pt idx="17">
                  <c:v>48.429280573395097</c:v>
                </c:pt>
                <c:pt idx="18">
                  <c:v>52.8311672007193</c:v>
                </c:pt>
                <c:pt idx="19">
                  <c:v>57.281251558453903</c:v>
                </c:pt>
                <c:pt idx="20">
                  <c:v>61.7769754382714</c:v>
                </c:pt>
                <c:pt idx="21">
                  <c:v>72.900000000000006</c:v>
                </c:pt>
                <c:pt idx="22">
                  <c:v>70.8971405211242</c:v>
                </c:pt>
                <c:pt idx="23">
                  <c:v>75.517034671166698</c:v>
                </c:pt>
                <c:pt idx="24">
                  <c:v>81.7</c:v>
                </c:pt>
                <c:pt idx="25">
                  <c:v>84.867550376979096</c:v>
                </c:pt>
                <c:pt idx="26">
                  <c:v>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74-4AB9-8845-266A8F244B0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prevision8!$B$31:$B$71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prevision8!$D$31:$D$71</c:f>
              <c:numCache>
                <c:formatCode>General</c:formatCode>
                <c:ptCount val="41"/>
                <c:pt idx="26">
                  <c:v>85.2</c:v>
                </c:pt>
                <c:pt idx="27">
                  <c:v>87.100074425638013</c:v>
                </c:pt>
                <c:pt idx="28">
                  <c:v>90.833453429250767</c:v>
                </c:pt>
                <c:pt idx="29">
                  <c:v>94.566832432863521</c:v>
                </c:pt>
                <c:pt idx="30">
                  <c:v>98.300211436476275</c:v>
                </c:pt>
                <c:pt idx="31">
                  <c:v>102.03359044008903</c:v>
                </c:pt>
                <c:pt idx="32">
                  <c:v>105.76696944370087</c:v>
                </c:pt>
                <c:pt idx="33">
                  <c:v>109.50034844731363</c:v>
                </c:pt>
                <c:pt idx="34">
                  <c:v>113.23372745092638</c:v>
                </c:pt>
                <c:pt idx="35">
                  <c:v>116.96710645453913</c:v>
                </c:pt>
                <c:pt idx="36">
                  <c:v>120.70048545815189</c:v>
                </c:pt>
                <c:pt idx="37">
                  <c:v>124.43386446176464</c:v>
                </c:pt>
                <c:pt idx="38">
                  <c:v>128.1672434653774</c:v>
                </c:pt>
                <c:pt idx="39">
                  <c:v>131.90062246899015</c:v>
                </c:pt>
                <c:pt idx="40">
                  <c:v>135.6340014726029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74-4AB9-8845-266A8F244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022480"/>
        <c:axId val="974019200"/>
      </c:lineChart>
      <c:catAx>
        <c:axId val="97402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019200"/>
        <c:crosses val="autoZero"/>
        <c:auto val="1"/>
        <c:lblAlgn val="ctr"/>
        <c:lblOffset val="100"/>
        <c:noMultiLvlLbl val="0"/>
      </c:catAx>
      <c:valAx>
        <c:axId val="97401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02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[indicateur de l'infrastructure.xlsm]Indicateur8!数据透视表4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/>
              <a:t>Access to electricity, rural (% of rural population)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Indicateur8!$K$5:$K$6</c:f>
              <c:strCache>
                <c:ptCount val="1"/>
                <c:pt idx="0">
                  <c:v>Nepal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Indicateur8!$J$7:$J$33</c:f>
              <c:strCache>
                <c:ptCount val="27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</c:strCache>
            </c:strRef>
          </c:cat>
          <c:val>
            <c:numRef>
              <c:f>Indicateur8!$K$7:$K$33</c:f>
              <c:numCache>
                <c:formatCode>General</c:formatCode>
                <c:ptCount val="27"/>
                <c:pt idx="6">
                  <c:v>12.1</c:v>
                </c:pt>
                <c:pt idx="7">
                  <c:v>6.7628283202200299</c:v>
                </c:pt>
                <c:pt idx="8">
                  <c:v>10.7671299579705</c:v>
                </c:pt>
                <c:pt idx="9">
                  <c:v>14.769361058864099</c:v>
                </c:pt>
                <c:pt idx="10">
                  <c:v>18.769202296814001</c:v>
                </c:pt>
                <c:pt idx="11">
                  <c:v>17.399999999999999</c:v>
                </c:pt>
                <c:pt idx="12">
                  <c:v>27.011136979054999</c:v>
                </c:pt>
                <c:pt idx="13">
                  <c:v>31.2401351273909</c:v>
                </c:pt>
                <c:pt idx="14">
                  <c:v>27.3</c:v>
                </c:pt>
                <c:pt idx="15">
                  <c:v>39.764552046199398</c:v>
                </c:pt>
                <c:pt idx="16">
                  <c:v>43.2</c:v>
                </c:pt>
                <c:pt idx="17">
                  <c:v>48.429280573395097</c:v>
                </c:pt>
                <c:pt idx="18">
                  <c:v>52.8311672007193</c:v>
                </c:pt>
                <c:pt idx="19">
                  <c:v>57.281251558453903</c:v>
                </c:pt>
                <c:pt idx="20">
                  <c:v>61.7769754382714</c:v>
                </c:pt>
                <c:pt idx="21">
                  <c:v>72.900000000000006</c:v>
                </c:pt>
                <c:pt idx="22">
                  <c:v>70.8971405211242</c:v>
                </c:pt>
                <c:pt idx="23">
                  <c:v>75.517034671166698</c:v>
                </c:pt>
                <c:pt idx="24">
                  <c:v>81.7</c:v>
                </c:pt>
                <c:pt idx="25">
                  <c:v>84.867550376979096</c:v>
                </c:pt>
                <c:pt idx="26">
                  <c:v>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6-498C-BE84-F723AB02A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182520"/>
        <c:axId val="697182848"/>
      </c:lineChart>
      <c:catAx>
        <c:axId val="697182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7182848"/>
        <c:crosses val="autoZero"/>
        <c:auto val="1"/>
        <c:lblAlgn val="ctr"/>
        <c:lblOffset val="100"/>
        <c:noMultiLvlLbl val="0"/>
      </c:catAx>
      <c:valAx>
        <c:axId val="69718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7182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9.1522309711286089E-3"/>
                  <c:y val="-5.480205599300087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prevision9!$B$31:$B$71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prevision9!$C$31:$C$71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2.3599079275486001E-2</c:v>
                </c:pt>
                <c:pt idx="10">
                  <c:v>4.30733260404371E-2</c:v>
                </c:pt>
                <c:pt idx="11">
                  <c:v>7.1542751180925193E-2</c:v>
                </c:pt>
                <c:pt idx="12">
                  <c:v>8.9069019718116801E-2</c:v>
                </c:pt>
                <c:pt idx="13">
                  <c:v>0.328116055458816</c:v>
                </c:pt>
                <c:pt idx="14">
                  <c:v>0.461400799361535</c:v>
                </c:pt>
                <c:pt idx="15">
                  <c:v>0.88655793907455105</c:v>
                </c:pt>
                <c:pt idx="16">
                  <c:v>4.4605799291289001</c:v>
                </c:pt>
                <c:pt idx="17">
                  <c:v>12.4696321897282</c:v>
                </c:pt>
                <c:pt idx="18">
                  <c:v>15.8635079602139</c:v>
                </c:pt>
                <c:pt idx="19">
                  <c:v>20.933616687389399</c:v>
                </c:pt>
                <c:pt idx="20">
                  <c:v>34.028477152745097</c:v>
                </c:pt>
                <c:pt idx="21">
                  <c:v>48.868903146018098</c:v>
                </c:pt>
                <c:pt idx="22">
                  <c:v>60.067511937193302</c:v>
                </c:pt>
                <c:pt idx="23">
                  <c:v>76.333937340697702</c:v>
                </c:pt>
                <c:pt idx="24">
                  <c:v>81.280740435037103</c:v>
                </c:pt>
                <c:pt idx="25">
                  <c:v>96.021022545771999</c:v>
                </c:pt>
                <c:pt idx="26">
                  <c:v>110.825514233956</c:v>
                </c:pt>
                <c:pt idx="27">
                  <c:v>123.174879588799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D-46DE-99DF-7321C1566B3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prevision9!$B$31:$B$71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prevision9!$D$31:$D$71</c:f>
              <c:numCache>
                <c:formatCode>General</c:formatCode>
                <c:ptCount val="41"/>
                <c:pt idx="27">
                  <c:v>123.174879588799</c:v>
                </c:pt>
                <c:pt idx="28">
                  <c:v>80.63097574204312</c:v>
                </c:pt>
                <c:pt idx="29">
                  <c:v>84.501506871748461</c:v>
                </c:pt>
                <c:pt idx="30">
                  <c:v>88.372038001453802</c:v>
                </c:pt>
                <c:pt idx="31">
                  <c:v>92.242569131159144</c:v>
                </c:pt>
                <c:pt idx="32">
                  <c:v>96.113100260865394</c:v>
                </c:pt>
                <c:pt idx="33">
                  <c:v>99.983631390570736</c:v>
                </c:pt>
                <c:pt idx="34">
                  <c:v>103.85416252027608</c:v>
                </c:pt>
                <c:pt idx="35">
                  <c:v>107.72469364998142</c:v>
                </c:pt>
                <c:pt idx="36">
                  <c:v>111.59522477968676</c:v>
                </c:pt>
                <c:pt idx="37">
                  <c:v>115.4657559093921</c:v>
                </c:pt>
                <c:pt idx="38">
                  <c:v>119.33628703909744</c:v>
                </c:pt>
                <c:pt idx="39">
                  <c:v>123.20681816880278</c:v>
                </c:pt>
                <c:pt idx="40">
                  <c:v>127.07734929850903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0D-46DE-99DF-7321C1566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8697088"/>
        <c:axId val="978697416"/>
      </c:lineChart>
      <c:catAx>
        <c:axId val="9786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8697416"/>
        <c:crosses val="autoZero"/>
        <c:auto val="1"/>
        <c:lblAlgn val="ctr"/>
        <c:lblOffset val="100"/>
        <c:noMultiLvlLbl val="0"/>
      </c:catAx>
      <c:valAx>
        <c:axId val="97869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869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[indicateur de l'infrastructure.xlsm]Indicateur9!数据透视表5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altLang="zh-CN"/>
              <a:t>Mobile cellular subscriptions (per 100 people)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Indicateur9!$K$5:$K$6</c:f>
              <c:strCache>
                <c:ptCount val="1"/>
                <c:pt idx="0">
                  <c:v>Nepal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Indicateur9!$J$7:$J$34</c:f>
              <c:strCache>
                <c:ptCount val="28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</c:strCache>
            </c:strRef>
          </c:cat>
          <c:val>
            <c:numRef>
              <c:f>Indicateur9!$K$7:$K$34</c:f>
              <c:numCache>
                <c:formatCode>General</c:formatCode>
                <c:ptCount val="28"/>
                <c:pt idx="9">
                  <c:v>2.3599079275486001E-2</c:v>
                </c:pt>
                <c:pt idx="10">
                  <c:v>4.30733260404371E-2</c:v>
                </c:pt>
                <c:pt idx="11">
                  <c:v>7.1542751180925193E-2</c:v>
                </c:pt>
                <c:pt idx="12">
                  <c:v>8.9069019718116801E-2</c:v>
                </c:pt>
                <c:pt idx="13">
                  <c:v>0.328116055458816</c:v>
                </c:pt>
                <c:pt idx="14">
                  <c:v>0.461400799361535</c:v>
                </c:pt>
                <c:pt idx="15">
                  <c:v>0.88655793907455105</c:v>
                </c:pt>
                <c:pt idx="16">
                  <c:v>4.4605799291289001</c:v>
                </c:pt>
                <c:pt idx="17">
                  <c:v>12.4696321897282</c:v>
                </c:pt>
                <c:pt idx="18">
                  <c:v>15.8635079602139</c:v>
                </c:pt>
                <c:pt idx="19">
                  <c:v>20.933616687389399</c:v>
                </c:pt>
                <c:pt idx="20">
                  <c:v>34.028477152745097</c:v>
                </c:pt>
                <c:pt idx="21">
                  <c:v>48.868903146018098</c:v>
                </c:pt>
                <c:pt idx="22">
                  <c:v>60.067511937193302</c:v>
                </c:pt>
                <c:pt idx="23">
                  <c:v>76.333937340697702</c:v>
                </c:pt>
                <c:pt idx="24">
                  <c:v>81.280740435037103</c:v>
                </c:pt>
                <c:pt idx="25">
                  <c:v>96.021022545771999</c:v>
                </c:pt>
                <c:pt idx="26">
                  <c:v>110.825514233956</c:v>
                </c:pt>
                <c:pt idx="27">
                  <c:v>123.174879588799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9-49EA-B424-EB0D53820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194000"/>
        <c:axId val="697194328"/>
      </c:lineChart>
      <c:catAx>
        <c:axId val="69719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7194328"/>
        <c:crosses val="autoZero"/>
        <c:auto val="1"/>
        <c:lblAlgn val="ctr"/>
        <c:lblOffset val="100"/>
        <c:noMultiLvlLbl val="0"/>
      </c:catAx>
      <c:valAx>
        <c:axId val="69719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719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prevision7!$B$32:$B$72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prevision7!$C$32:$C$72</c:f>
              <c:numCache>
                <c:formatCode>General</c:formatCode>
                <c:ptCount val="41"/>
                <c:pt idx="0">
                  <c:v>9.9999997764825804E-3</c:v>
                </c:pt>
                <c:pt idx="1">
                  <c:v>6.5060190856456798E-2</c:v>
                </c:pt>
                <c:pt idx="2">
                  <c:v>0.45856440067291299</c:v>
                </c:pt>
                <c:pt idx="3">
                  <c:v>1.7262779474258401</c:v>
                </c:pt>
                <c:pt idx="4">
                  <c:v>3.53385210037231</c:v>
                </c:pt>
                <c:pt idx="5">
                  <c:v>7.57501268386841</c:v>
                </c:pt>
                <c:pt idx="6">
                  <c:v>17.899999999999999</c:v>
                </c:pt>
                <c:pt idx="7">
                  <c:v>15.617564201355</c:v>
                </c:pt>
                <c:pt idx="8">
                  <c:v>19.612838745117202</c:v>
                </c:pt>
                <c:pt idx="9">
                  <c:v>23.586698532104499</c:v>
                </c:pt>
                <c:pt idx="10">
                  <c:v>27.537605285644499</c:v>
                </c:pt>
                <c:pt idx="11">
                  <c:v>24.6</c:v>
                </c:pt>
                <c:pt idx="12">
                  <c:v>35.390254974365199</c:v>
                </c:pt>
                <c:pt idx="13">
                  <c:v>39.304122924804702</c:v>
                </c:pt>
                <c:pt idx="14">
                  <c:v>37.200000000000003</c:v>
                </c:pt>
                <c:pt idx="15">
                  <c:v>47.137256622314503</c:v>
                </c:pt>
                <c:pt idx="16">
                  <c:v>51.2</c:v>
                </c:pt>
                <c:pt idx="17">
                  <c:v>55.018013000488303</c:v>
                </c:pt>
                <c:pt idx="18">
                  <c:v>58.989894866943402</c:v>
                </c:pt>
                <c:pt idx="19">
                  <c:v>62.9828071594238</c:v>
                </c:pt>
                <c:pt idx="20">
                  <c:v>66.993743896484403</c:v>
                </c:pt>
                <c:pt idx="21">
                  <c:v>76.3</c:v>
                </c:pt>
                <c:pt idx="22">
                  <c:v>75.057662963867202</c:v>
                </c:pt>
                <c:pt idx="23">
                  <c:v>79.104644775390597</c:v>
                </c:pt>
                <c:pt idx="24">
                  <c:v>84.9</c:v>
                </c:pt>
                <c:pt idx="25">
                  <c:v>87.213623046875</c:v>
                </c:pt>
                <c:pt idx="26">
                  <c:v>90.7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B1-4A61-8F2C-C098BC101A0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prevision7!$B$32:$B$72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prevision7!$D$32:$D$72</c:f>
              <c:numCache>
                <c:formatCode>General</c:formatCode>
                <c:ptCount val="41"/>
                <c:pt idx="26">
                  <c:v>90.7</c:v>
                </c:pt>
                <c:pt idx="27">
                  <c:v>93.259286744270867</c:v>
                </c:pt>
                <c:pt idx="28">
                  <c:v>97.037819135215614</c:v>
                </c:pt>
                <c:pt idx="29">
                  <c:v>100.81635152616036</c:v>
                </c:pt>
                <c:pt idx="30">
                  <c:v>104.59488391710602</c:v>
                </c:pt>
                <c:pt idx="31">
                  <c:v>108.37341630805076</c:v>
                </c:pt>
                <c:pt idx="32">
                  <c:v>112.15194869899551</c:v>
                </c:pt>
                <c:pt idx="33">
                  <c:v>115.93048108994026</c:v>
                </c:pt>
                <c:pt idx="34">
                  <c:v>119.70901348088501</c:v>
                </c:pt>
                <c:pt idx="35">
                  <c:v>123.48754587182975</c:v>
                </c:pt>
                <c:pt idx="36">
                  <c:v>127.2660782627745</c:v>
                </c:pt>
                <c:pt idx="37">
                  <c:v>131.04461065371925</c:v>
                </c:pt>
                <c:pt idx="38">
                  <c:v>134.8231430446649</c:v>
                </c:pt>
                <c:pt idx="39">
                  <c:v>138.60167543560965</c:v>
                </c:pt>
                <c:pt idx="40">
                  <c:v>142.3802078265544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B1-4A61-8F2C-C098BC101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9561728"/>
        <c:axId val="869562384"/>
      </c:lineChart>
      <c:catAx>
        <c:axId val="86956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562384"/>
        <c:crosses val="autoZero"/>
        <c:auto val="1"/>
        <c:lblAlgn val="ctr"/>
        <c:lblOffset val="100"/>
        <c:noMultiLvlLbl val="0"/>
      </c:catAx>
      <c:valAx>
        <c:axId val="86956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56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prevision7!$H$32:$H$72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prevision7!$I$32:$I$72</c:f>
              <c:numCache>
                <c:formatCode>General</c:formatCode>
                <c:ptCount val="41"/>
                <c:pt idx="0">
                  <c:v>9.9999997764825804E-3</c:v>
                </c:pt>
                <c:pt idx="1">
                  <c:v>6.5060190856456798E-2</c:v>
                </c:pt>
                <c:pt idx="2">
                  <c:v>0.45856440067291299</c:v>
                </c:pt>
                <c:pt idx="3">
                  <c:v>1.7262779474258401</c:v>
                </c:pt>
                <c:pt idx="4">
                  <c:v>3.53385210037231</c:v>
                </c:pt>
                <c:pt idx="5">
                  <c:v>7.57501268386841</c:v>
                </c:pt>
                <c:pt idx="6">
                  <c:v>17.899999999999999</c:v>
                </c:pt>
                <c:pt idx="7">
                  <c:v>15.617564201355</c:v>
                </c:pt>
                <c:pt idx="8">
                  <c:v>19.612838745117202</c:v>
                </c:pt>
                <c:pt idx="9">
                  <c:v>23.586698532104499</c:v>
                </c:pt>
                <c:pt idx="10">
                  <c:v>27.537605285644499</c:v>
                </c:pt>
                <c:pt idx="11">
                  <c:v>24.6</c:v>
                </c:pt>
                <c:pt idx="12">
                  <c:v>35.390254974365199</c:v>
                </c:pt>
                <c:pt idx="13">
                  <c:v>39.304122924804702</c:v>
                </c:pt>
                <c:pt idx="14">
                  <c:v>37.200000000000003</c:v>
                </c:pt>
                <c:pt idx="15">
                  <c:v>47.137256622314503</c:v>
                </c:pt>
                <c:pt idx="16">
                  <c:v>51.2</c:v>
                </c:pt>
                <c:pt idx="17">
                  <c:v>55.018013000488303</c:v>
                </c:pt>
                <c:pt idx="18">
                  <c:v>58.989894866943402</c:v>
                </c:pt>
                <c:pt idx="19">
                  <c:v>62.9828071594238</c:v>
                </c:pt>
                <c:pt idx="20">
                  <c:v>66.993743896484403</c:v>
                </c:pt>
                <c:pt idx="21">
                  <c:v>76.3</c:v>
                </c:pt>
                <c:pt idx="22">
                  <c:v>75.057662963867202</c:v>
                </c:pt>
                <c:pt idx="23">
                  <c:v>79.104644775390597</c:v>
                </c:pt>
                <c:pt idx="24">
                  <c:v>84.9</c:v>
                </c:pt>
                <c:pt idx="25">
                  <c:v>87.213623046875</c:v>
                </c:pt>
                <c:pt idx="26">
                  <c:v>90.7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F7-46E1-A57F-754BF418312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prevision7!$H$32:$H$72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prevision7!$J$32:$J$72</c:f>
              <c:numCache>
                <c:formatCode>General</c:formatCode>
                <c:ptCount val="41"/>
                <c:pt idx="26">
                  <c:v>90.7</c:v>
                </c:pt>
                <c:pt idx="27">
                  <c:v>93.259286744270867</c:v>
                </c:pt>
                <c:pt idx="28">
                  <c:v>97.037819135215614</c:v>
                </c:pt>
                <c:pt idx="29">
                  <c:v>100.81635152616036</c:v>
                </c:pt>
                <c:pt idx="30">
                  <c:v>104.59488391710602</c:v>
                </c:pt>
                <c:pt idx="31">
                  <c:v>108.37341630805076</c:v>
                </c:pt>
                <c:pt idx="32">
                  <c:v>112.15194869899551</c:v>
                </c:pt>
                <c:pt idx="33">
                  <c:v>115.93048108994026</c:v>
                </c:pt>
                <c:pt idx="34">
                  <c:v>119.70901348088501</c:v>
                </c:pt>
                <c:pt idx="35">
                  <c:v>123.48754587182975</c:v>
                </c:pt>
                <c:pt idx="36">
                  <c:v>127.2660782627745</c:v>
                </c:pt>
                <c:pt idx="37">
                  <c:v>131.04461065371925</c:v>
                </c:pt>
                <c:pt idx="38">
                  <c:v>134.8231430446649</c:v>
                </c:pt>
                <c:pt idx="39">
                  <c:v>138.60167543560965</c:v>
                </c:pt>
                <c:pt idx="40">
                  <c:v>142.3802078265544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F7-46E1-A57F-754BF418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547616"/>
        <c:axId val="510541712"/>
      </c:lineChart>
      <c:catAx>
        <c:axId val="51054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541712"/>
        <c:crosses val="autoZero"/>
        <c:auto val="1"/>
        <c:lblAlgn val="ctr"/>
        <c:lblOffset val="100"/>
        <c:noMultiLvlLbl val="0"/>
      </c:catAx>
      <c:valAx>
        <c:axId val="5105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54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02668416447944E-3"/>
                  <c:y val="-4.28517789442986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prevision8!$B$31:$B$71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prevision8!$C$31:$C$71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12.1</c:v>
                </c:pt>
                <c:pt idx="7">
                  <c:v>6.7628283202200299</c:v>
                </c:pt>
                <c:pt idx="8">
                  <c:v>10.7671299579705</c:v>
                </c:pt>
                <c:pt idx="9">
                  <c:v>14.769361058864099</c:v>
                </c:pt>
                <c:pt idx="10">
                  <c:v>18.769202296814001</c:v>
                </c:pt>
                <c:pt idx="11">
                  <c:v>17.399999999999999</c:v>
                </c:pt>
                <c:pt idx="12">
                  <c:v>27.011136979054999</c:v>
                </c:pt>
                <c:pt idx="13">
                  <c:v>31.2401351273909</c:v>
                </c:pt>
                <c:pt idx="14">
                  <c:v>27.3</c:v>
                </c:pt>
                <c:pt idx="15">
                  <c:v>39.764552046199398</c:v>
                </c:pt>
                <c:pt idx="16">
                  <c:v>43.2</c:v>
                </c:pt>
                <c:pt idx="17">
                  <c:v>48.429280573395097</c:v>
                </c:pt>
                <c:pt idx="18">
                  <c:v>52.8311672007193</c:v>
                </c:pt>
                <c:pt idx="19">
                  <c:v>57.281251558453903</c:v>
                </c:pt>
                <c:pt idx="20">
                  <c:v>61.7769754382714</c:v>
                </c:pt>
                <c:pt idx="21">
                  <c:v>72.900000000000006</c:v>
                </c:pt>
                <c:pt idx="22">
                  <c:v>70.8971405211242</c:v>
                </c:pt>
                <c:pt idx="23">
                  <c:v>75.517034671166698</c:v>
                </c:pt>
                <c:pt idx="24">
                  <c:v>81.7</c:v>
                </c:pt>
                <c:pt idx="25">
                  <c:v>84.867550376979096</c:v>
                </c:pt>
                <c:pt idx="26">
                  <c:v>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8-4CB3-B7DE-FCA8DB9A246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prevision8!$B$31:$B$71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prevision8!$D$31:$D$71</c:f>
              <c:numCache>
                <c:formatCode>General</c:formatCode>
                <c:ptCount val="41"/>
                <c:pt idx="26">
                  <c:v>85.2</c:v>
                </c:pt>
                <c:pt idx="27">
                  <c:v>87.100074425638013</c:v>
                </c:pt>
                <c:pt idx="28">
                  <c:v>90.833453429250767</c:v>
                </c:pt>
                <c:pt idx="29">
                  <c:v>94.566832432863521</c:v>
                </c:pt>
                <c:pt idx="30">
                  <c:v>98.300211436476275</c:v>
                </c:pt>
                <c:pt idx="31">
                  <c:v>102.03359044008903</c:v>
                </c:pt>
                <c:pt idx="32">
                  <c:v>105.76696944370087</c:v>
                </c:pt>
                <c:pt idx="33">
                  <c:v>109.50034844731363</c:v>
                </c:pt>
                <c:pt idx="34">
                  <c:v>113.23372745092638</c:v>
                </c:pt>
                <c:pt idx="35">
                  <c:v>116.96710645453913</c:v>
                </c:pt>
                <c:pt idx="36">
                  <c:v>120.70048545815189</c:v>
                </c:pt>
                <c:pt idx="37">
                  <c:v>124.43386446176464</c:v>
                </c:pt>
                <c:pt idx="38">
                  <c:v>128.1672434653774</c:v>
                </c:pt>
                <c:pt idx="39">
                  <c:v>131.90062246899015</c:v>
                </c:pt>
                <c:pt idx="40">
                  <c:v>135.6340014726029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98-4CB3-B7DE-FCA8DB9A2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022480"/>
        <c:axId val="974019200"/>
      </c:lineChart>
      <c:catAx>
        <c:axId val="97402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019200"/>
        <c:crosses val="autoZero"/>
        <c:auto val="1"/>
        <c:lblAlgn val="ctr"/>
        <c:lblOffset val="100"/>
        <c:noMultiLvlLbl val="0"/>
      </c:catAx>
      <c:valAx>
        <c:axId val="97401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402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prevision8!$H$31:$H$71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prevision8!$I$31:$I$71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12.1</c:v>
                </c:pt>
                <c:pt idx="7">
                  <c:v>6.7628283202200299</c:v>
                </c:pt>
                <c:pt idx="8">
                  <c:v>10.7671299579705</c:v>
                </c:pt>
                <c:pt idx="9">
                  <c:v>14.769361058864099</c:v>
                </c:pt>
                <c:pt idx="10">
                  <c:v>18.769202296814001</c:v>
                </c:pt>
                <c:pt idx="11">
                  <c:v>17.399999999999999</c:v>
                </c:pt>
                <c:pt idx="12">
                  <c:v>27.011136979054999</c:v>
                </c:pt>
                <c:pt idx="13">
                  <c:v>31.2401351273909</c:v>
                </c:pt>
                <c:pt idx="14">
                  <c:v>27.3</c:v>
                </c:pt>
                <c:pt idx="15">
                  <c:v>39.764552046199398</c:v>
                </c:pt>
                <c:pt idx="16">
                  <c:v>43.2</c:v>
                </c:pt>
                <c:pt idx="17">
                  <c:v>48.429280573395097</c:v>
                </c:pt>
                <c:pt idx="18">
                  <c:v>52.8311672007193</c:v>
                </c:pt>
                <c:pt idx="19">
                  <c:v>57.281251558453903</c:v>
                </c:pt>
                <c:pt idx="20">
                  <c:v>61.7769754382714</c:v>
                </c:pt>
                <c:pt idx="21">
                  <c:v>72.900000000000006</c:v>
                </c:pt>
                <c:pt idx="22">
                  <c:v>70.8971405211242</c:v>
                </c:pt>
                <c:pt idx="23">
                  <c:v>75.517034671166698</c:v>
                </c:pt>
                <c:pt idx="24">
                  <c:v>81.7</c:v>
                </c:pt>
                <c:pt idx="25">
                  <c:v>84.867550376979096</c:v>
                </c:pt>
                <c:pt idx="26">
                  <c:v>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1-40B7-964E-A0ADAC3F8A5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prevision8!$H$31:$H$71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prevision8!$J$31:$J$71</c:f>
              <c:numCache>
                <c:formatCode>General</c:formatCode>
                <c:ptCount val="41"/>
                <c:pt idx="26">
                  <c:v>85.2</c:v>
                </c:pt>
                <c:pt idx="27">
                  <c:v>87.100074425638013</c:v>
                </c:pt>
                <c:pt idx="28">
                  <c:v>90.833453429250767</c:v>
                </c:pt>
                <c:pt idx="29">
                  <c:v>94.566832432863521</c:v>
                </c:pt>
                <c:pt idx="30">
                  <c:v>98.300211436476275</c:v>
                </c:pt>
                <c:pt idx="31">
                  <c:v>102.03359044008903</c:v>
                </c:pt>
                <c:pt idx="32">
                  <c:v>105.76696944370087</c:v>
                </c:pt>
                <c:pt idx="33">
                  <c:v>109.50034844731363</c:v>
                </c:pt>
                <c:pt idx="34">
                  <c:v>113.23372745092638</c:v>
                </c:pt>
                <c:pt idx="35">
                  <c:v>116.96710645453913</c:v>
                </c:pt>
                <c:pt idx="36">
                  <c:v>120.70048545815189</c:v>
                </c:pt>
                <c:pt idx="37">
                  <c:v>124.43386446176464</c:v>
                </c:pt>
                <c:pt idx="38">
                  <c:v>128.1672434653774</c:v>
                </c:pt>
                <c:pt idx="39">
                  <c:v>131.90062246899015</c:v>
                </c:pt>
                <c:pt idx="40">
                  <c:v>135.6340014726029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01-40B7-964E-A0ADAC3F8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233480"/>
        <c:axId val="550233808"/>
      </c:lineChart>
      <c:catAx>
        <c:axId val="55023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0233808"/>
        <c:crosses val="autoZero"/>
        <c:auto val="1"/>
        <c:lblAlgn val="ctr"/>
        <c:lblOffset val="100"/>
        <c:noMultiLvlLbl val="0"/>
      </c:catAx>
      <c:valAx>
        <c:axId val="5502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5023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9.1522309711286089E-3"/>
                  <c:y val="-5.480205599300087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prevision9!$B$31:$B$71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prevision9!$C$31:$C$71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2.3599079275486001E-2</c:v>
                </c:pt>
                <c:pt idx="10">
                  <c:v>4.30733260404371E-2</c:v>
                </c:pt>
                <c:pt idx="11">
                  <c:v>7.1542751180925193E-2</c:v>
                </c:pt>
                <c:pt idx="12">
                  <c:v>8.9069019718116801E-2</c:v>
                </c:pt>
                <c:pt idx="13">
                  <c:v>0.328116055458816</c:v>
                </c:pt>
                <c:pt idx="14">
                  <c:v>0.461400799361535</c:v>
                </c:pt>
                <c:pt idx="15">
                  <c:v>0.88655793907455105</c:v>
                </c:pt>
                <c:pt idx="16">
                  <c:v>4.4605799291289001</c:v>
                </c:pt>
                <c:pt idx="17">
                  <c:v>12.4696321897282</c:v>
                </c:pt>
                <c:pt idx="18">
                  <c:v>15.8635079602139</c:v>
                </c:pt>
                <c:pt idx="19">
                  <c:v>20.933616687389399</c:v>
                </c:pt>
                <c:pt idx="20">
                  <c:v>34.028477152745097</c:v>
                </c:pt>
                <c:pt idx="21">
                  <c:v>48.868903146018098</c:v>
                </c:pt>
                <c:pt idx="22">
                  <c:v>60.067511937193302</c:v>
                </c:pt>
                <c:pt idx="23">
                  <c:v>76.333937340697702</c:v>
                </c:pt>
                <c:pt idx="24">
                  <c:v>81.280740435037103</c:v>
                </c:pt>
                <c:pt idx="25">
                  <c:v>96.021022545771999</c:v>
                </c:pt>
                <c:pt idx="26">
                  <c:v>110.825514233956</c:v>
                </c:pt>
                <c:pt idx="27">
                  <c:v>123.174879588799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4-40A1-9C2A-A11437FFCD8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prevision9!$B$31:$B$71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prevision9!$D$31:$D$71</c:f>
              <c:numCache>
                <c:formatCode>General</c:formatCode>
                <c:ptCount val="41"/>
                <c:pt idx="27">
                  <c:v>123.174879588799</c:v>
                </c:pt>
                <c:pt idx="28">
                  <c:v>80.63097574204312</c:v>
                </c:pt>
                <c:pt idx="29">
                  <c:v>84.501506871748461</c:v>
                </c:pt>
                <c:pt idx="30">
                  <c:v>88.372038001453802</c:v>
                </c:pt>
                <c:pt idx="31">
                  <c:v>92.242569131159144</c:v>
                </c:pt>
                <c:pt idx="32">
                  <c:v>96.113100260865394</c:v>
                </c:pt>
                <c:pt idx="33">
                  <c:v>99.983631390570736</c:v>
                </c:pt>
                <c:pt idx="34">
                  <c:v>103.85416252027608</c:v>
                </c:pt>
                <c:pt idx="35">
                  <c:v>107.72469364998142</c:v>
                </c:pt>
                <c:pt idx="36">
                  <c:v>111.59522477968676</c:v>
                </c:pt>
                <c:pt idx="37">
                  <c:v>115.4657559093921</c:v>
                </c:pt>
                <c:pt idx="38">
                  <c:v>119.33628703909744</c:v>
                </c:pt>
                <c:pt idx="39">
                  <c:v>123.20681816880278</c:v>
                </c:pt>
                <c:pt idx="40">
                  <c:v>127.07734929850903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B4-40A1-9C2A-A11437FFC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8697088"/>
        <c:axId val="978697416"/>
      </c:lineChart>
      <c:catAx>
        <c:axId val="9786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8697416"/>
        <c:crosses val="autoZero"/>
        <c:auto val="1"/>
        <c:lblAlgn val="ctr"/>
        <c:lblOffset val="100"/>
        <c:noMultiLvlLbl val="0"/>
      </c:catAx>
      <c:valAx>
        <c:axId val="97869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7869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prevision9!$H$31:$H$71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prevision9!$I$31:$I$71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2.3599079275486001E-2</c:v>
                </c:pt>
                <c:pt idx="10">
                  <c:v>4.30733260404371E-2</c:v>
                </c:pt>
                <c:pt idx="11">
                  <c:v>7.1542751180925193E-2</c:v>
                </c:pt>
                <c:pt idx="12">
                  <c:v>8.9069019718116801E-2</c:v>
                </c:pt>
                <c:pt idx="13">
                  <c:v>0.328116055458816</c:v>
                </c:pt>
                <c:pt idx="14">
                  <c:v>0.461400799361535</c:v>
                </c:pt>
                <c:pt idx="15">
                  <c:v>0.88655793907455105</c:v>
                </c:pt>
                <c:pt idx="16">
                  <c:v>4.4605799291289001</c:v>
                </c:pt>
                <c:pt idx="17">
                  <c:v>12.4696321897282</c:v>
                </c:pt>
                <c:pt idx="18">
                  <c:v>15.8635079602139</c:v>
                </c:pt>
                <c:pt idx="19">
                  <c:v>20.933616687389399</c:v>
                </c:pt>
                <c:pt idx="20">
                  <c:v>34.028477152745097</c:v>
                </c:pt>
                <c:pt idx="21">
                  <c:v>48.868903146018098</c:v>
                </c:pt>
                <c:pt idx="22">
                  <c:v>60.067511937193302</c:v>
                </c:pt>
                <c:pt idx="23">
                  <c:v>76.333937340697702</c:v>
                </c:pt>
                <c:pt idx="24">
                  <c:v>81.280740435037103</c:v>
                </c:pt>
                <c:pt idx="25">
                  <c:v>96.021022545771999</c:v>
                </c:pt>
                <c:pt idx="26">
                  <c:v>110.825514233956</c:v>
                </c:pt>
                <c:pt idx="27">
                  <c:v>123.174879588799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E-4E17-B8D4-EB309E7B683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prevision9!$H$31:$H$71</c:f>
              <c:numCache>
                <c:formatCode>General</c:formatCode>
                <c:ptCount val="4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</c:numCache>
            </c:numRef>
          </c:cat>
          <c:val>
            <c:numRef>
              <c:f>prevision9!$J$31:$J$71</c:f>
              <c:numCache>
                <c:formatCode>General</c:formatCode>
                <c:ptCount val="41"/>
                <c:pt idx="27">
                  <c:v>123.174879588799</c:v>
                </c:pt>
                <c:pt idx="28">
                  <c:v>80.63097574204312</c:v>
                </c:pt>
                <c:pt idx="29">
                  <c:v>84.501506871748461</c:v>
                </c:pt>
                <c:pt idx="30">
                  <c:v>88.372038001453802</c:v>
                </c:pt>
                <c:pt idx="31">
                  <c:v>92.242569131159144</c:v>
                </c:pt>
                <c:pt idx="32">
                  <c:v>96.113100260865394</c:v>
                </c:pt>
                <c:pt idx="33">
                  <c:v>99.983631390570736</c:v>
                </c:pt>
                <c:pt idx="34">
                  <c:v>103.85416252027608</c:v>
                </c:pt>
                <c:pt idx="35">
                  <c:v>107.72469364998142</c:v>
                </c:pt>
                <c:pt idx="36">
                  <c:v>111.59522477968676</c:v>
                </c:pt>
                <c:pt idx="37">
                  <c:v>115.4657559093921</c:v>
                </c:pt>
                <c:pt idx="38">
                  <c:v>119.33628703909744</c:v>
                </c:pt>
                <c:pt idx="39">
                  <c:v>123.20681816880278</c:v>
                </c:pt>
                <c:pt idx="40">
                  <c:v>127.07734929850903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4E-4E17-B8D4-EB309E7B6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6073160"/>
        <c:axId val="546070864"/>
      </c:lineChart>
      <c:catAx>
        <c:axId val="546073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6070864"/>
        <c:crosses val="autoZero"/>
        <c:auto val="1"/>
        <c:lblAlgn val="ctr"/>
        <c:lblOffset val="100"/>
        <c:noMultiLvlLbl val="0"/>
      </c:catAx>
      <c:valAx>
        <c:axId val="54607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4607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15</xdr:row>
      <xdr:rowOff>15240</xdr:rowOff>
    </xdr:from>
    <xdr:to>
      <xdr:col>13</xdr:col>
      <xdr:colOff>0</xdr:colOff>
      <xdr:row>28</xdr:row>
      <xdr:rowOff>30480</xdr:rowOff>
    </xdr:to>
    <xdr:graphicFrame macro="">
      <xdr:nvGraphicFramePr>
        <xdr:cNvPr id="11" name="Graphique 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371474</xdr:colOff>
      <xdr:row>1</xdr:row>
      <xdr:rowOff>114299</xdr:rowOff>
    </xdr:from>
    <xdr:to>
      <xdr:col>3</xdr:col>
      <xdr:colOff>33654</xdr:colOff>
      <xdr:row>2</xdr:row>
      <xdr:rowOff>231627</xdr:rowOff>
    </xdr:to>
    <xdr:pic>
      <xdr:nvPicPr>
        <xdr:cNvPr id="2" name="图形 7" descr="指向右边的反手食指  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 flipV="1">
          <a:off x="2244162" y="365686"/>
          <a:ext cx="431653" cy="4241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830580</xdr:colOff>
          <xdr:row>5</xdr:row>
          <xdr:rowOff>38100</xdr:rowOff>
        </xdr:from>
        <xdr:to>
          <xdr:col>2</xdr:col>
          <xdr:colOff>76200</xdr:colOff>
          <xdr:row>6</xdr:row>
          <xdr:rowOff>152400</xdr:rowOff>
        </xdr:to>
        <xdr:sp macro="" textlink="">
          <xdr:nvSpPr>
            <xdr:cNvPr id="2049" name="Indicateur7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Indicateur7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830580</xdr:colOff>
          <xdr:row>6</xdr:row>
          <xdr:rowOff>220980</xdr:rowOff>
        </xdr:from>
        <xdr:to>
          <xdr:col>2</xdr:col>
          <xdr:colOff>76200</xdr:colOff>
          <xdr:row>8</xdr:row>
          <xdr:rowOff>83820</xdr:rowOff>
        </xdr:to>
        <xdr:sp macro="" textlink="">
          <xdr:nvSpPr>
            <xdr:cNvPr id="2050" name="Indicateur8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Indicateur8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830580</xdr:colOff>
          <xdr:row>8</xdr:row>
          <xdr:rowOff>175260</xdr:rowOff>
        </xdr:from>
        <xdr:to>
          <xdr:col>2</xdr:col>
          <xdr:colOff>76200</xdr:colOff>
          <xdr:row>10</xdr:row>
          <xdr:rowOff>38100</xdr:rowOff>
        </xdr:to>
        <xdr:sp macro="" textlink="">
          <xdr:nvSpPr>
            <xdr:cNvPr id="2051" name="Indicateur9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Indicateur9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2</xdr:row>
      <xdr:rowOff>243840</xdr:rowOff>
    </xdr:from>
    <xdr:to>
      <xdr:col>8</xdr:col>
      <xdr:colOff>399600</xdr:colOff>
      <xdr:row>13</xdr:row>
      <xdr:rowOff>177780</xdr:rowOff>
    </xdr:to>
    <xdr:graphicFrame macro="">
      <xdr:nvGraphicFramePr>
        <xdr:cNvPr id="9" name="Graphiqu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723900</xdr:colOff>
      <xdr:row>3</xdr:row>
      <xdr:rowOff>0</xdr:rowOff>
    </xdr:from>
    <xdr:to>
      <xdr:col>12</xdr:col>
      <xdr:colOff>1009200</xdr:colOff>
      <xdr:row>13</xdr:row>
      <xdr:rowOff>185400</xdr:rowOff>
    </xdr:to>
    <xdr:graphicFrame macro="">
      <xdr:nvGraphicFramePr>
        <xdr:cNvPr id="10" name="Graphiqu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</xdr:col>
      <xdr:colOff>161925</xdr:colOff>
      <xdr:row>30</xdr:row>
      <xdr:rowOff>114299</xdr:rowOff>
    </xdr:from>
    <xdr:ext cx="7286625" cy="4225772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415665" y="7719059"/>
          <a:ext cx="7286625" cy="42257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Pour</a:t>
          </a:r>
          <a:r>
            <a:rPr lang="fr-F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l'indicateur de l'infrastruction, généralement, nous pouvons constater que, à partir de 1960,  l'indice d'Accès à l'électricité (% de la population) est en augmentation continue. L'indice d'accès à l'électricité, rural (% de la population rurale) augmente également, mais le ratio est nettement inférieur à l'indice d'Accès à l'électricité (% de la population) .</a:t>
          </a:r>
        </a:p>
        <a:p>
          <a:r>
            <a:rPr lang="fr-FR" sz="1100"/>
            <a:t>Les abonnements à la téléphonie mobile cellulaire sont des abonnements à un service de téléphonie mobile public utilisant la technologie cellulaire, qui permettent d'accéder au réseau téléphonique public commuté. Les abonnements post-payés et prépayés sont inclus. On</a:t>
          </a:r>
          <a:r>
            <a:rPr lang="fr-FR" sz="1100" baseline="0"/>
            <a:t> peut noter que, depuis 1990, l'indicateur a connu une croissance exponentielle.</a:t>
          </a:r>
        </a:p>
        <a:p>
          <a:endParaRPr lang="fr-FR" sz="1100" baseline="0"/>
        </a:p>
        <a:p>
          <a:r>
            <a:rPr lang="fr-FR" sz="1100" baseline="0"/>
            <a:t>Par exemple: Nepal</a:t>
          </a:r>
        </a:p>
        <a:p>
          <a:endParaRPr lang="fr-FR" sz="1100" baseline="0"/>
        </a:p>
        <a:p>
          <a:r>
            <a:rPr lang="fr-FR" sz="1100" b="1" baseline="0"/>
            <a:t>Access to electricity (% of population)</a:t>
          </a:r>
        </a:p>
        <a:p>
          <a:endParaRPr lang="fr-FR" sz="1100" b="1" baseline="0"/>
        </a:p>
        <a:p>
          <a:r>
            <a:rPr lang="fr-FR" altLang="zh-CN"/>
            <a:t>Le gouvernementde</a:t>
          </a:r>
          <a:r>
            <a:rPr lang="fr-FR" altLang="zh-CN" baseline="0"/>
            <a:t> ce pays </a:t>
          </a:r>
          <a:r>
            <a:rPr lang="fr-FR" altLang="zh-CN"/>
            <a:t>a beaucoup investi dans les infrastructures. En ce qui concerne l'approvisionnement en électricité, cet indicateur est passé de 0,01% en 1990 à 90,7% en 2016.</a:t>
          </a:r>
          <a:endParaRPr lang="fr-FR" sz="1100" b="1" baseline="0"/>
        </a:p>
        <a:p>
          <a:endParaRPr lang="fr-FR" sz="1100" baseline="0"/>
        </a:p>
        <a:p>
          <a:r>
            <a:rPr lang="fr-FR" sz="1100" b="1" baseline="0"/>
            <a:t>Access to electricity, rural (% of rural population)</a:t>
          </a:r>
        </a:p>
        <a:p>
          <a:endParaRPr lang="fr-FR" sz="1100" b="1" baseline="0"/>
        </a:p>
        <a:p>
          <a:r>
            <a:rPr lang="fr-FR" altLang="zh-CN"/>
            <a:t>Et quelques années plus tard, l'offre d'électricité en zones rurales est passée de 12% en 1996 à 85,2% en 2016.</a:t>
          </a:r>
          <a:endParaRPr lang="fr-FR" sz="1100" b="1" baseline="0"/>
        </a:p>
        <a:p>
          <a:endParaRPr lang="fr-FR" sz="1100" baseline="0"/>
        </a:p>
        <a:p>
          <a:r>
            <a:rPr lang="fr-FR" sz="1100" b="1" baseline="0"/>
            <a:t>Mobile cellular subscriptions (per 100 people)</a:t>
          </a:r>
        </a:p>
        <a:p>
          <a:endParaRPr lang="fr-FR" sz="1100" b="1" baseline="0"/>
        </a:p>
        <a:p>
          <a:r>
            <a:rPr lang="fr-FR" altLang="zh-CN"/>
            <a:t>En 2005, presque personne n’avait souscrit à un téléphone cellulaire mobile sur</a:t>
          </a:r>
          <a:r>
            <a:rPr lang="fr-FR" altLang="zh-CN" baseline="0"/>
            <a:t> cent</a:t>
          </a:r>
          <a:r>
            <a:rPr lang="fr-FR" altLang="zh-CN"/>
            <a:t>, et ce nombre a rapidement augmenté au cours des 12 prochaines années. En 2017, le</a:t>
          </a:r>
          <a:r>
            <a:rPr lang="fr-FR" altLang="zh-CN" baseline="0"/>
            <a:t> donnée </a:t>
          </a:r>
          <a:r>
            <a:rPr lang="fr-FR" altLang="zh-CN"/>
            <a:t>se sont abonnées à 123 sur</a:t>
          </a:r>
          <a:r>
            <a:rPr lang="fr-FR" altLang="zh-CN" baseline="0"/>
            <a:t> cent personnes</a:t>
          </a:r>
          <a:r>
            <a:rPr lang="fr-FR" altLang="zh-CN"/>
            <a:t>.</a:t>
          </a:r>
          <a:endParaRPr lang="fr-FR" sz="1100" b="1" baseline="0"/>
        </a:p>
        <a:p>
          <a:endParaRPr lang="fr-FR" sz="1100" b="1" baseline="0"/>
        </a:p>
        <a:p>
          <a:endParaRPr lang="fr-FR" sz="1100" b="1" baseline="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2047874</xdr:colOff>
      <xdr:row>20</xdr:row>
      <xdr:rowOff>9524</xdr:rowOff>
    </xdr:from>
    <xdr:to>
      <xdr:col>7</xdr:col>
      <xdr:colOff>5972174</xdr:colOff>
      <xdr:row>33</xdr:row>
      <xdr:rowOff>247649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</xdr:row>
      <xdr:rowOff>276224</xdr:rowOff>
    </xdr:from>
    <xdr:to>
      <xdr:col>8</xdr:col>
      <xdr:colOff>19050</xdr:colOff>
      <xdr:row>18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9525</xdr:colOff>
      <xdr:row>3</xdr:row>
      <xdr:rowOff>1905</xdr:rowOff>
    </xdr:from>
    <xdr:to>
      <xdr:col>6</xdr:col>
      <xdr:colOff>1762125</xdr:colOff>
      <xdr:row>31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untry name 6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nam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6431" y="680561"/>
              <a:ext cx="1752600" cy="71227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60960</xdr:rowOff>
        </xdr:from>
        <xdr:to>
          <xdr:col>5</xdr:col>
          <xdr:colOff>1013460</xdr:colOff>
          <xdr:row>7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Enlever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274320</xdr:rowOff>
        </xdr:from>
        <xdr:to>
          <xdr:col>5</xdr:col>
          <xdr:colOff>1013460</xdr:colOff>
          <xdr:row>5</xdr:row>
          <xdr:rowOff>160020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Afficher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106680</xdr:rowOff>
        </xdr:from>
        <xdr:to>
          <xdr:col>5</xdr:col>
          <xdr:colOff>1013460</xdr:colOff>
          <xdr:row>9</xdr:row>
          <xdr:rowOff>213360</xdr:rowOff>
        </xdr:to>
        <xdr:sp macro="" textlink="">
          <xdr:nvSpPr>
            <xdr:cNvPr id="3075" name="comite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Comité 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20</xdr:row>
      <xdr:rowOff>9524</xdr:rowOff>
    </xdr:from>
    <xdr:to>
      <xdr:col>8</xdr:col>
      <xdr:colOff>0</xdr:colOff>
      <xdr:row>33</xdr:row>
      <xdr:rowOff>247649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</xdr:row>
      <xdr:rowOff>3811</xdr:rowOff>
    </xdr:from>
    <xdr:to>
      <xdr:col>8</xdr:col>
      <xdr:colOff>0</xdr:colOff>
      <xdr:row>18</xdr:row>
      <xdr:rowOff>19051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6</xdr:row>
          <xdr:rowOff>60960</xdr:rowOff>
        </xdr:from>
        <xdr:to>
          <xdr:col>5</xdr:col>
          <xdr:colOff>1013460</xdr:colOff>
          <xdr:row>7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Enlever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4</xdr:row>
          <xdr:rowOff>7620</xdr:rowOff>
        </xdr:from>
        <xdr:to>
          <xdr:col>5</xdr:col>
          <xdr:colOff>1013460</xdr:colOff>
          <xdr:row>5</xdr:row>
          <xdr:rowOff>160020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Afficher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9525</xdr:colOff>
      <xdr:row>3</xdr:row>
      <xdr:rowOff>11429</xdr:rowOff>
    </xdr:from>
    <xdr:to>
      <xdr:col>6</xdr:col>
      <xdr:colOff>1743075</xdr:colOff>
      <xdr:row>32</xdr:row>
      <xdr:rowOff>71437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untry name 7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nam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6431" y="690085"/>
              <a:ext cx="1733550" cy="73537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8</xdr:row>
          <xdr:rowOff>99060</xdr:rowOff>
        </xdr:from>
        <xdr:to>
          <xdr:col>5</xdr:col>
          <xdr:colOff>998220</xdr:colOff>
          <xdr:row>9</xdr:row>
          <xdr:rowOff>198120</xdr:rowOff>
        </xdr:to>
        <xdr:sp macro="" textlink="">
          <xdr:nvSpPr>
            <xdr:cNvPr id="5123" name="comite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Comité 3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20</xdr:row>
      <xdr:rowOff>19050</xdr:rowOff>
    </xdr:from>
    <xdr:to>
      <xdr:col>8</xdr:col>
      <xdr:colOff>0</xdr:colOff>
      <xdr:row>34</xdr:row>
      <xdr:rowOff>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-1</xdr:colOff>
      <xdr:row>4</xdr:row>
      <xdr:rowOff>10886</xdr:rowOff>
    </xdr:from>
    <xdr:to>
      <xdr:col>8</xdr:col>
      <xdr:colOff>21770</xdr:colOff>
      <xdr:row>17</xdr:row>
      <xdr:rowOff>239486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6</xdr:row>
          <xdr:rowOff>45720</xdr:rowOff>
        </xdr:from>
        <xdr:to>
          <xdr:col>5</xdr:col>
          <xdr:colOff>1013460</xdr:colOff>
          <xdr:row>7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Enlever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3</xdr:row>
          <xdr:rowOff>266700</xdr:rowOff>
        </xdr:from>
        <xdr:to>
          <xdr:col>5</xdr:col>
          <xdr:colOff>1013460</xdr:colOff>
          <xdr:row>5</xdr:row>
          <xdr:rowOff>144780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Afficher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3</xdr:row>
      <xdr:rowOff>17417</xdr:rowOff>
    </xdr:from>
    <xdr:to>
      <xdr:col>6</xdr:col>
      <xdr:colOff>1687285</xdr:colOff>
      <xdr:row>31</xdr:row>
      <xdr:rowOff>214993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untry name 8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 name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16906" y="696073"/>
              <a:ext cx="1687285" cy="72270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8</xdr:row>
          <xdr:rowOff>106680</xdr:rowOff>
        </xdr:from>
        <xdr:to>
          <xdr:col>5</xdr:col>
          <xdr:colOff>998220</xdr:colOff>
          <xdr:row>9</xdr:row>
          <xdr:rowOff>213360</xdr:rowOff>
        </xdr:to>
        <xdr:sp macro="" textlink="">
          <xdr:nvSpPr>
            <xdr:cNvPr id="7171" name="comite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Comité 3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537210</xdr:colOff>
      <xdr:row>47</xdr:row>
      <xdr:rowOff>60960</xdr:rowOff>
    </xdr:from>
    <xdr:to>
      <xdr:col>22</xdr:col>
      <xdr:colOff>232410</xdr:colOff>
      <xdr:row>62</xdr:row>
      <xdr:rowOff>175260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552450</xdr:colOff>
      <xdr:row>30</xdr:row>
      <xdr:rowOff>109537</xdr:rowOff>
    </xdr:from>
    <xdr:to>
      <xdr:col>18</xdr:col>
      <xdr:colOff>247650</xdr:colOff>
      <xdr:row>44</xdr:row>
      <xdr:rowOff>185737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342900</xdr:colOff>
      <xdr:row>43</xdr:row>
      <xdr:rowOff>108585</xdr:rowOff>
    </xdr:from>
    <xdr:to>
      <xdr:col>27</xdr:col>
      <xdr:colOff>38100</xdr:colOff>
      <xdr:row>59</xdr:row>
      <xdr:rowOff>32385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47625</xdr:colOff>
      <xdr:row>46</xdr:row>
      <xdr:rowOff>119062</xdr:rowOff>
    </xdr:from>
    <xdr:to>
      <xdr:col>18</xdr:col>
      <xdr:colOff>352425</xdr:colOff>
      <xdr:row>61</xdr:row>
      <xdr:rowOff>4762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146685</xdr:colOff>
      <xdr:row>50</xdr:row>
      <xdr:rowOff>51435</xdr:rowOff>
    </xdr:from>
    <xdr:to>
      <xdr:col>20</xdr:col>
      <xdr:colOff>451485</xdr:colOff>
      <xdr:row>65</xdr:row>
      <xdr:rowOff>165735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242887</xdr:colOff>
      <xdr:row>34</xdr:row>
      <xdr:rowOff>147637</xdr:rowOff>
    </xdr:from>
    <xdr:to>
      <xdr:col>17</xdr:col>
      <xdr:colOff>547687</xdr:colOff>
      <xdr:row>49</xdr:row>
      <xdr:rowOff>40957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A\21713620\Desktop\GRAND%20PROJET2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A\21713620\Desktop\GRAND%20PROJET2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ad.ut-capitole.fr\ETU\Personnel\A\21713620\Desktop\GRAND%20PROJET2.xlsm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kefeng" refreshedDate="43548.654358564818" createdVersion="6" refreshedVersion="6" minRefreshableVersion="3" recordCount="1624" xr:uid="{00000000-000A-0000-FFFF-FFFF09000000}">
  <cacheSource type="worksheet">
    <worksheetSource ref="A4:D1628" sheet="Indicateur7" r:id="rId2"/>
  </cacheSource>
  <cacheFields count="4">
    <cacheField name="Country name" numFmtId="0">
      <sharedItems count="28">
        <s v="Burundi"/>
        <s v="Cameroon"/>
        <s v="Chad"/>
        <s v="Comoros"/>
        <s v="Djibouti"/>
        <s v="Ethiopia"/>
        <s v="Guinea"/>
        <s v="Haiti"/>
        <s v="Kenya"/>
        <s v="Kosovo"/>
        <s v="Liberia"/>
        <s v="Madagascar"/>
        <s v="Malawi"/>
        <s v="Mali"/>
        <s v="Moldova"/>
        <s v="Mozambique"/>
        <s v="Myanmar"/>
        <s v="Nepal"/>
        <s v="Nicaragua"/>
        <s v="Niger"/>
        <s v="Rwanda"/>
        <s v="Sao Tome and Principe"/>
        <s v="Sri Lanka"/>
        <s v="Tajikistan"/>
        <s v="Tanzania"/>
        <s v="Uganda"/>
        <s v="Zambia"/>
        <s v="Zimbabwe"/>
      </sharedItems>
    </cacheField>
    <cacheField name="Indicator name" numFmtId="0">
      <sharedItems/>
    </cacheField>
    <cacheField name="Data" numFmtId="0">
      <sharedItems containsString="0" containsBlank="1" containsNumber="1" minValue="0" maxValue="100"/>
    </cacheField>
    <cacheField name="Year" numFmtId="0">
      <sharedItems containsSemiMixedTypes="0" containsString="0" containsNumber="1" containsInteger="1" minValue="1960" maxValue="2017" count="58"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</sharedItems>
    </cacheField>
  </cacheFields>
  <extLst>
    <ext xmlns:x14="http://schemas.microsoft.com/office/spreadsheetml/2009/9/main" uri="{725AE2AE-9491-48be-B2B4-4EB974FC3084}">
      <x14:pivotCacheDefinition pivotCacheId="110808187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kefeng" refreshedDate="43548.662091666665" createdVersion="6" refreshedVersion="6" minRefreshableVersion="3" recordCount="1624" xr:uid="{00000000-000A-0000-FFFF-FFFF0A000000}">
  <cacheSource type="worksheet">
    <worksheetSource ref="A4:D1628" sheet="Indicateur8" r:id="rId2"/>
  </cacheSource>
  <cacheFields count="4">
    <cacheField name="Country name" numFmtId="0">
      <sharedItems count="28">
        <s v="Burundi"/>
        <s v="Cameroon"/>
        <s v="Chad"/>
        <s v="Comoros"/>
        <s v="Djibouti"/>
        <s v="Ethiopia"/>
        <s v="Guinea"/>
        <s v="Haiti"/>
        <s v="Kenya"/>
        <s v="Kosovo"/>
        <s v="Liberia"/>
        <s v="Madagascar"/>
        <s v="Malawi"/>
        <s v="Mali"/>
        <s v="Moldova"/>
        <s v="Mozambique"/>
        <s v="Myanmar"/>
        <s v="Nepal"/>
        <s v="Nicaragua"/>
        <s v="Niger"/>
        <s v="Rwanda"/>
        <s v="Sao Tome and Principe"/>
        <s v="Sri Lanka"/>
        <s v="Tajikistan"/>
        <s v="Tanzania"/>
        <s v="Uganda"/>
        <s v="Zambia"/>
        <s v="Zimbabwe"/>
      </sharedItems>
    </cacheField>
    <cacheField name="Indicator name" numFmtId="0">
      <sharedItems/>
    </cacheField>
    <cacheField name="Data" numFmtId="0">
      <sharedItems containsString="0" containsBlank="1" containsNumber="1" minValue="6.1321236309726202E-4" maxValue="100"/>
    </cacheField>
    <cacheField name="Year" numFmtId="0">
      <sharedItems containsSemiMixedTypes="0" containsString="0" containsNumber="1" containsInteger="1" minValue="1960" maxValue="2017" count="58"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</sharedItems>
    </cacheField>
  </cacheFields>
  <extLst>
    <ext xmlns:x14="http://schemas.microsoft.com/office/spreadsheetml/2009/9/main" uri="{725AE2AE-9491-48be-B2B4-4EB974FC3084}">
      <x14:pivotCacheDefinition pivotCacheId="188393025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ikefeng" refreshedDate="43548.666647916667" createdVersion="6" refreshedVersion="6" minRefreshableVersion="3" recordCount="1624" xr:uid="{00000000-000A-0000-FFFF-FFFF0B000000}">
  <cacheSource type="worksheet">
    <worksheetSource ref="A4:D1628" sheet="Indicateur9" r:id="rId2"/>
  </cacheSource>
  <cacheFields count="4">
    <cacheField name="Country name" numFmtId="0">
      <sharedItems count="28">
        <s v="Burundi"/>
        <s v="Cameroon"/>
        <s v="Chad"/>
        <s v="Comoros"/>
        <s v="Djibouti"/>
        <s v="Ethiopia"/>
        <s v="Guinea"/>
        <s v="Haiti"/>
        <s v="Kenya"/>
        <s v="Kosovo"/>
        <s v="Liberia"/>
        <s v="Madagascar"/>
        <s v="Malawi"/>
        <s v="Mali"/>
        <s v="Moldova"/>
        <s v="Mozambique"/>
        <s v="Myanmar"/>
        <s v="Nepal"/>
        <s v="Nicaragua"/>
        <s v="Niger"/>
        <s v="Rwanda"/>
        <s v="Sao Tome and Principe"/>
        <s v="Sri Lanka"/>
        <s v="Tajikistan"/>
        <s v="Tanzania"/>
        <s v="Uganda"/>
        <s v="Zambia"/>
        <s v="Zimbabwe"/>
      </sharedItems>
    </cacheField>
    <cacheField name="Indicator name" numFmtId="0">
      <sharedItems/>
    </cacheField>
    <cacheField name="Data" numFmtId="0">
      <sharedItems containsString="0" containsBlank="1" containsNumber="1" minValue="0" maxValue="138.570844774515"/>
    </cacheField>
    <cacheField name="Year" numFmtId="0">
      <sharedItems containsSemiMixedTypes="0" containsString="0" containsNumber="1" containsInteger="1" minValue="1960" maxValue="2017" count="58"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</sharedItems>
    </cacheField>
  </cacheFields>
  <extLst>
    <ext xmlns:x14="http://schemas.microsoft.com/office/spreadsheetml/2009/9/main" uri="{725AE2AE-9491-48be-B2B4-4EB974FC3084}">
      <x14:pivotCacheDefinition pivotCacheId="18839302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24">
  <r>
    <x v="0"/>
    <s v="Access to electricity (% of population)"/>
    <m/>
    <x v="0"/>
  </r>
  <r>
    <x v="1"/>
    <s v="Access to electricity (% of population)"/>
    <m/>
    <x v="0"/>
  </r>
  <r>
    <x v="2"/>
    <s v="Access to electricity (% of population)"/>
    <m/>
    <x v="0"/>
  </r>
  <r>
    <x v="3"/>
    <s v="Access to electricity (% of population)"/>
    <m/>
    <x v="0"/>
  </r>
  <r>
    <x v="4"/>
    <s v="Access to electricity (% of population)"/>
    <m/>
    <x v="0"/>
  </r>
  <r>
    <x v="5"/>
    <s v="Access to electricity (% of population)"/>
    <m/>
    <x v="0"/>
  </r>
  <r>
    <x v="6"/>
    <s v="Access to electricity (% of population)"/>
    <m/>
    <x v="0"/>
  </r>
  <r>
    <x v="7"/>
    <s v="Access to electricity (% of population)"/>
    <m/>
    <x v="0"/>
  </r>
  <r>
    <x v="8"/>
    <s v="Access to electricity (% of population)"/>
    <m/>
    <x v="0"/>
  </r>
  <r>
    <x v="9"/>
    <s v="Access to electricity (% of population)"/>
    <m/>
    <x v="0"/>
  </r>
  <r>
    <x v="10"/>
    <s v="Access to electricity (% of population)"/>
    <m/>
    <x v="0"/>
  </r>
  <r>
    <x v="11"/>
    <s v="Access to electricity (% of population)"/>
    <m/>
    <x v="0"/>
  </r>
  <r>
    <x v="12"/>
    <s v="Access to electricity (% of population)"/>
    <m/>
    <x v="0"/>
  </r>
  <r>
    <x v="13"/>
    <s v="Access to electricity (% of population)"/>
    <m/>
    <x v="0"/>
  </r>
  <r>
    <x v="14"/>
    <s v="Access to electricity (% of population)"/>
    <m/>
    <x v="0"/>
  </r>
  <r>
    <x v="15"/>
    <s v="Access to electricity (% of population)"/>
    <m/>
    <x v="0"/>
  </r>
  <r>
    <x v="16"/>
    <s v="Access to electricity (% of population)"/>
    <m/>
    <x v="0"/>
  </r>
  <r>
    <x v="17"/>
    <s v="Access to electricity (% of population)"/>
    <m/>
    <x v="0"/>
  </r>
  <r>
    <x v="18"/>
    <s v="Access to electricity (% of population)"/>
    <m/>
    <x v="0"/>
  </r>
  <r>
    <x v="19"/>
    <s v="Access to electricity (% of population)"/>
    <m/>
    <x v="0"/>
  </r>
  <r>
    <x v="20"/>
    <s v="Access to electricity (% of population)"/>
    <m/>
    <x v="0"/>
  </r>
  <r>
    <x v="21"/>
    <s v="Access to electricity (% of population)"/>
    <m/>
    <x v="0"/>
  </r>
  <r>
    <x v="22"/>
    <s v="Access to electricity (% of population)"/>
    <m/>
    <x v="0"/>
  </r>
  <r>
    <x v="23"/>
    <s v="Access to electricity (% of population)"/>
    <m/>
    <x v="0"/>
  </r>
  <r>
    <x v="24"/>
    <s v="Access to electricity (% of population)"/>
    <m/>
    <x v="0"/>
  </r>
  <r>
    <x v="25"/>
    <s v="Access to electricity (% of population)"/>
    <m/>
    <x v="0"/>
  </r>
  <r>
    <x v="26"/>
    <s v="Access to electricity (% of population)"/>
    <m/>
    <x v="0"/>
  </r>
  <r>
    <x v="27"/>
    <s v="Access to electricity (% of population)"/>
    <m/>
    <x v="0"/>
  </r>
  <r>
    <x v="0"/>
    <s v="Access to electricity (% of population)"/>
    <m/>
    <x v="1"/>
  </r>
  <r>
    <x v="1"/>
    <s v="Access to electricity (% of population)"/>
    <m/>
    <x v="1"/>
  </r>
  <r>
    <x v="2"/>
    <s v="Access to electricity (% of population)"/>
    <m/>
    <x v="1"/>
  </r>
  <r>
    <x v="3"/>
    <s v="Access to electricity (% of population)"/>
    <m/>
    <x v="1"/>
  </r>
  <r>
    <x v="4"/>
    <s v="Access to electricity (% of population)"/>
    <m/>
    <x v="1"/>
  </r>
  <r>
    <x v="5"/>
    <s v="Access to electricity (% of population)"/>
    <m/>
    <x v="1"/>
  </r>
  <r>
    <x v="6"/>
    <s v="Access to electricity (% of population)"/>
    <m/>
    <x v="1"/>
  </r>
  <r>
    <x v="7"/>
    <s v="Access to electricity (% of population)"/>
    <m/>
    <x v="1"/>
  </r>
  <r>
    <x v="8"/>
    <s v="Access to electricity (% of population)"/>
    <m/>
    <x v="1"/>
  </r>
  <r>
    <x v="9"/>
    <s v="Access to electricity (% of population)"/>
    <m/>
    <x v="1"/>
  </r>
  <r>
    <x v="10"/>
    <s v="Access to electricity (% of population)"/>
    <m/>
    <x v="1"/>
  </r>
  <r>
    <x v="11"/>
    <s v="Access to electricity (% of population)"/>
    <m/>
    <x v="1"/>
  </r>
  <r>
    <x v="12"/>
    <s v="Access to electricity (% of population)"/>
    <m/>
    <x v="1"/>
  </r>
  <r>
    <x v="13"/>
    <s v="Access to electricity (% of population)"/>
    <m/>
    <x v="1"/>
  </r>
  <r>
    <x v="14"/>
    <s v="Access to electricity (% of population)"/>
    <m/>
    <x v="1"/>
  </r>
  <r>
    <x v="15"/>
    <s v="Access to electricity (% of population)"/>
    <m/>
    <x v="1"/>
  </r>
  <r>
    <x v="16"/>
    <s v="Access to electricity (% of population)"/>
    <m/>
    <x v="1"/>
  </r>
  <r>
    <x v="17"/>
    <s v="Access to electricity (% of population)"/>
    <m/>
    <x v="1"/>
  </r>
  <r>
    <x v="18"/>
    <s v="Access to electricity (% of population)"/>
    <m/>
    <x v="1"/>
  </r>
  <r>
    <x v="19"/>
    <s v="Access to electricity (% of population)"/>
    <m/>
    <x v="1"/>
  </r>
  <r>
    <x v="20"/>
    <s v="Access to electricity (% of population)"/>
    <m/>
    <x v="1"/>
  </r>
  <r>
    <x v="21"/>
    <s v="Access to electricity (% of population)"/>
    <m/>
    <x v="1"/>
  </r>
  <r>
    <x v="22"/>
    <s v="Access to electricity (% of population)"/>
    <m/>
    <x v="1"/>
  </r>
  <r>
    <x v="23"/>
    <s v="Access to electricity (% of population)"/>
    <m/>
    <x v="1"/>
  </r>
  <r>
    <x v="24"/>
    <s v="Access to electricity (% of population)"/>
    <m/>
    <x v="1"/>
  </r>
  <r>
    <x v="25"/>
    <s v="Access to electricity (% of population)"/>
    <m/>
    <x v="1"/>
  </r>
  <r>
    <x v="26"/>
    <s v="Access to electricity (% of population)"/>
    <m/>
    <x v="1"/>
  </r>
  <r>
    <x v="27"/>
    <s v="Access to electricity (% of population)"/>
    <m/>
    <x v="1"/>
  </r>
  <r>
    <x v="0"/>
    <s v="Access to electricity (% of population)"/>
    <m/>
    <x v="2"/>
  </r>
  <r>
    <x v="1"/>
    <s v="Access to electricity (% of population)"/>
    <m/>
    <x v="2"/>
  </r>
  <r>
    <x v="2"/>
    <s v="Access to electricity (% of population)"/>
    <m/>
    <x v="2"/>
  </r>
  <r>
    <x v="3"/>
    <s v="Access to electricity (% of population)"/>
    <m/>
    <x v="2"/>
  </r>
  <r>
    <x v="4"/>
    <s v="Access to electricity (% of population)"/>
    <m/>
    <x v="2"/>
  </r>
  <r>
    <x v="5"/>
    <s v="Access to electricity (% of population)"/>
    <m/>
    <x v="2"/>
  </r>
  <r>
    <x v="6"/>
    <s v="Access to electricity (% of population)"/>
    <m/>
    <x v="2"/>
  </r>
  <r>
    <x v="7"/>
    <s v="Access to electricity (% of population)"/>
    <m/>
    <x v="2"/>
  </r>
  <r>
    <x v="8"/>
    <s v="Access to electricity (% of population)"/>
    <m/>
    <x v="2"/>
  </r>
  <r>
    <x v="9"/>
    <s v="Access to electricity (% of population)"/>
    <m/>
    <x v="2"/>
  </r>
  <r>
    <x v="10"/>
    <s v="Access to electricity (% of population)"/>
    <m/>
    <x v="2"/>
  </r>
  <r>
    <x v="11"/>
    <s v="Access to electricity (% of population)"/>
    <m/>
    <x v="2"/>
  </r>
  <r>
    <x v="12"/>
    <s v="Access to electricity (% of population)"/>
    <m/>
    <x v="2"/>
  </r>
  <r>
    <x v="13"/>
    <s v="Access to electricity (% of population)"/>
    <m/>
    <x v="2"/>
  </r>
  <r>
    <x v="14"/>
    <s v="Access to electricity (% of population)"/>
    <m/>
    <x v="2"/>
  </r>
  <r>
    <x v="15"/>
    <s v="Access to electricity (% of population)"/>
    <m/>
    <x v="2"/>
  </r>
  <r>
    <x v="16"/>
    <s v="Access to electricity (% of population)"/>
    <m/>
    <x v="2"/>
  </r>
  <r>
    <x v="17"/>
    <s v="Access to electricity (% of population)"/>
    <m/>
    <x v="2"/>
  </r>
  <r>
    <x v="18"/>
    <s v="Access to electricity (% of population)"/>
    <m/>
    <x v="2"/>
  </r>
  <r>
    <x v="19"/>
    <s v="Access to electricity (% of population)"/>
    <m/>
    <x v="2"/>
  </r>
  <r>
    <x v="20"/>
    <s v="Access to electricity (% of population)"/>
    <m/>
    <x v="2"/>
  </r>
  <r>
    <x v="21"/>
    <s v="Access to electricity (% of population)"/>
    <m/>
    <x v="2"/>
  </r>
  <r>
    <x v="22"/>
    <s v="Access to electricity (% of population)"/>
    <m/>
    <x v="2"/>
  </r>
  <r>
    <x v="23"/>
    <s v="Access to electricity (% of population)"/>
    <m/>
    <x v="2"/>
  </r>
  <r>
    <x v="24"/>
    <s v="Access to electricity (% of population)"/>
    <m/>
    <x v="2"/>
  </r>
  <r>
    <x v="25"/>
    <s v="Access to electricity (% of population)"/>
    <m/>
    <x v="2"/>
  </r>
  <r>
    <x v="26"/>
    <s v="Access to electricity (% of population)"/>
    <m/>
    <x v="2"/>
  </r>
  <r>
    <x v="27"/>
    <s v="Access to electricity (% of population)"/>
    <m/>
    <x v="2"/>
  </r>
  <r>
    <x v="0"/>
    <s v="Access to electricity (% of population)"/>
    <m/>
    <x v="3"/>
  </r>
  <r>
    <x v="1"/>
    <s v="Access to electricity (% of population)"/>
    <m/>
    <x v="3"/>
  </r>
  <r>
    <x v="2"/>
    <s v="Access to electricity (% of population)"/>
    <m/>
    <x v="3"/>
  </r>
  <r>
    <x v="3"/>
    <s v="Access to electricity (% of population)"/>
    <m/>
    <x v="3"/>
  </r>
  <r>
    <x v="4"/>
    <s v="Access to electricity (% of population)"/>
    <m/>
    <x v="3"/>
  </r>
  <r>
    <x v="5"/>
    <s v="Access to electricity (% of population)"/>
    <m/>
    <x v="3"/>
  </r>
  <r>
    <x v="6"/>
    <s v="Access to electricity (% of population)"/>
    <m/>
    <x v="3"/>
  </r>
  <r>
    <x v="7"/>
    <s v="Access to electricity (% of population)"/>
    <m/>
    <x v="3"/>
  </r>
  <r>
    <x v="8"/>
    <s v="Access to electricity (% of population)"/>
    <m/>
    <x v="3"/>
  </r>
  <r>
    <x v="9"/>
    <s v="Access to electricity (% of population)"/>
    <m/>
    <x v="3"/>
  </r>
  <r>
    <x v="10"/>
    <s v="Access to electricity (% of population)"/>
    <m/>
    <x v="3"/>
  </r>
  <r>
    <x v="11"/>
    <s v="Access to electricity (% of population)"/>
    <m/>
    <x v="3"/>
  </r>
  <r>
    <x v="12"/>
    <s v="Access to electricity (% of population)"/>
    <m/>
    <x v="3"/>
  </r>
  <r>
    <x v="13"/>
    <s v="Access to electricity (% of population)"/>
    <m/>
    <x v="3"/>
  </r>
  <r>
    <x v="14"/>
    <s v="Access to electricity (% of population)"/>
    <m/>
    <x v="3"/>
  </r>
  <r>
    <x v="15"/>
    <s v="Access to electricity (% of population)"/>
    <m/>
    <x v="3"/>
  </r>
  <r>
    <x v="16"/>
    <s v="Access to electricity (% of population)"/>
    <m/>
    <x v="3"/>
  </r>
  <r>
    <x v="17"/>
    <s v="Access to electricity (% of population)"/>
    <m/>
    <x v="3"/>
  </r>
  <r>
    <x v="18"/>
    <s v="Access to electricity (% of population)"/>
    <m/>
    <x v="3"/>
  </r>
  <r>
    <x v="19"/>
    <s v="Access to electricity (% of population)"/>
    <m/>
    <x v="3"/>
  </r>
  <r>
    <x v="20"/>
    <s v="Access to electricity (% of population)"/>
    <m/>
    <x v="3"/>
  </r>
  <r>
    <x v="21"/>
    <s v="Access to electricity (% of population)"/>
    <m/>
    <x v="3"/>
  </r>
  <r>
    <x v="22"/>
    <s v="Access to electricity (% of population)"/>
    <m/>
    <x v="3"/>
  </r>
  <r>
    <x v="23"/>
    <s v="Access to electricity (% of population)"/>
    <m/>
    <x v="3"/>
  </r>
  <r>
    <x v="24"/>
    <s v="Access to electricity (% of population)"/>
    <m/>
    <x v="3"/>
  </r>
  <r>
    <x v="25"/>
    <s v="Access to electricity (% of population)"/>
    <m/>
    <x v="3"/>
  </r>
  <r>
    <x v="26"/>
    <s v="Access to electricity (% of population)"/>
    <m/>
    <x v="3"/>
  </r>
  <r>
    <x v="27"/>
    <s v="Access to electricity (% of population)"/>
    <m/>
    <x v="3"/>
  </r>
  <r>
    <x v="0"/>
    <s v="Access to electricity (% of population)"/>
    <m/>
    <x v="4"/>
  </r>
  <r>
    <x v="1"/>
    <s v="Access to electricity (% of population)"/>
    <m/>
    <x v="4"/>
  </r>
  <r>
    <x v="2"/>
    <s v="Access to electricity (% of population)"/>
    <m/>
    <x v="4"/>
  </r>
  <r>
    <x v="3"/>
    <s v="Access to electricity (% of population)"/>
    <m/>
    <x v="4"/>
  </r>
  <r>
    <x v="4"/>
    <s v="Access to electricity (% of population)"/>
    <m/>
    <x v="4"/>
  </r>
  <r>
    <x v="5"/>
    <s v="Access to electricity (% of population)"/>
    <m/>
    <x v="4"/>
  </r>
  <r>
    <x v="6"/>
    <s v="Access to electricity (% of population)"/>
    <m/>
    <x v="4"/>
  </r>
  <r>
    <x v="7"/>
    <s v="Access to electricity (% of population)"/>
    <m/>
    <x v="4"/>
  </r>
  <r>
    <x v="8"/>
    <s v="Access to electricity (% of population)"/>
    <m/>
    <x v="4"/>
  </r>
  <r>
    <x v="9"/>
    <s v="Access to electricity (% of population)"/>
    <m/>
    <x v="4"/>
  </r>
  <r>
    <x v="10"/>
    <s v="Access to electricity (% of population)"/>
    <m/>
    <x v="4"/>
  </r>
  <r>
    <x v="11"/>
    <s v="Access to electricity (% of population)"/>
    <m/>
    <x v="4"/>
  </r>
  <r>
    <x v="12"/>
    <s v="Access to electricity (% of population)"/>
    <m/>
    <x v="4"/>
  </r>
  <r>
    <x v="13"/>
    <s v="Access to electricity (% of population)"/>
    <m/>
    <x v="4"/>
  </r>
  <r>
    <x v="14"/>
    <s v="Access to electricity (% of population)"/>
    <m/>
    <x v="4"/>
  </r>
  <r>
    <x v="15"/>
    <s v="Access to electricity (% of population)"/>
    <m/>
    <x v="4"/>
  </r>
  <r>
    <x v="16"/>
    <s v="Access to electricity (% of population)"/>
    <m/>
    <x v="4"/>
  </r>
  <r>
    <x v="17"/>
    <s v="Access to electricity (% of population)"/>
    <m/>
    <x v="4"/>
  </r>
  <r>
    <x v="18"/>
    <s v="Access to electricity (% of population)"/>
    <m/>
    <x v="4"/>
  </r>
  <r>
    <x v="19"/>
    <s v="Access to electricity (% of population)"/>
    <m/>
    <x v="4"/>
  </r>
  <r>
    <x v="20"/>
    <s v="Access to electricity (% of population)"/>
    <m/>
    <x v="4"/>
  </r>
  <r>
    <x v="21"/>
    <s v="Access to electricity (% of population)"/>
    <m/>
    <x v="4"/>
  </r>
  <r>
    <x v="22"/>
    <s v="Access to electricity (% of population)"/>
    <m/>
    <x v="4"/>
  </r>
  <r>
    <x v="23"/>
    <s v="Access to electricity (% of population)"/>
    <m/>
    <x v="4"/>
  </r>
  <r>
    <x v="24"/>
    <s v="Access to electricity (% of population)"/>
    <m/>
    <x v="4"/>
  </r>
  <r>
    <x v="25"/>
    <s v="Access to electricity (% of population)"/>
    <m/>
    <x v="4"/>
  </r>
  <r>
    <x v="26"/>
    <s v="Access to electricity (% of population)"/>
    <m/>
    <x v="4"/>
  </r>
  <r>
    <x v="27"/>
    <s v="Access to electricity (% of population)"/>
    <m/>
    <x v="4"/>
  </r>
  <r>
    <x v="0"/>
    <s v="Access to electricity (% of population)"/>
    <m/>
    <x v="5"/>
  </r>
  <r>
    <x v="1"/>
    <s v="Access to electricity (% of population)"/>
    <m/>
    <x v="5"/>
  </r>
  <r>
    <x v="2"/>
    <s v="Access to electricity (% of population)"/>
    <m/>
    <x v="5"/>
  </r>
  <r>
    <x v="3"/>
    <s v="Access to electricity (% of population)"/>
    <m/>
    <x v="5"/>
  </r>
  <r>
    <x v="4"/>
    <s v="Access to electricity (% of population)"/>
    <m/>
    <x v="5"/>
  </r>
  <r>
    <x v="5"/>
    <s v="Access to electricity (% of population)"/>
    <m/>
    <x v="5"/>
  </r>
  <r>
    <x v="6"/>
    <s v="Access to electricity (% of population)"/>
    <m/>
    <x v="5"/>
  </r>
  <r>
    <x v="7"/>
    <s v="Access to electricity (% of population)"/>
    <m/>
    <x v="5"/>
  </r>
  <r>
    <x v="8"/>
    <s v="Access to electricity (% of population)"/>
    <m/>
    <x v="5"/>
  </r>
  <r>
    <x v="9"/>
    <s v="Access to electricity (% of population)"/>
    <m/>
    <x v="5"/>
  </r>
  <r>
    <x v="10"/>
    <s v="Access to electricity (% of population)"/>
    <m/>
    <x v="5"/>
  </r>
  <r>
    <x v="11"/>
    <s v="Access to electricity (% of population)"/>
    <m/>
    <x v="5"/>
  </r>
  <r>
    <x v="12"/>
    <s v="Access to electricity (% of population)"/>
    <m/>
    <x v="5"/>
  </r>
  <r>
    <x v="13"/>
    <s v="Access to electricity (% of population)"/>
    <m/>
    <x v="5"/>
  </r>
  <r>
    <x v="14"/>
    <s v="Access to electricity (% of population)"/>
    <m/>
    <x v="5"/>
  </r>
  <r>
    <x v="15"/>
    <s v="Access to electricity (% of population)"/>
    <m/>
    <x v="5"/>
  </r>
  <r>
    <x v="16"/>
    <s v="Access to electricity (% of population)"/>
    <m/>
    <x v="5"/>
  </r>
  <r>
    <x v="17"/>
    <s v="Access to electricity (% of population)"/>
    <m/>
    <x v="5"/>
  </r>
  <r>
    <x v="18"/>
    <s v="Access to electricity (% of population)"/>
    <m/>
    <x v="5"/>
  </r>
  <r>
    <x v="19"/>
    <s v="Access to electricity (% of population)"/>
    <m/>
    <x v="5"/>
  </r>
  <r>
    <x v="20"/>
    <s v="Access to electricity (% of population)"/>
    <m/>
    <x v="5"/>
  </r>
  <r>
    <x v="21"/>
    <s v="Access to electricity (% of population)"/>
    <m/>
    <x v="5"/>
  </r>
  <r>
    <x v="22"/>
    <s v="Access to electricity (% of population)"/>
    <m/>
    <x v="5"/>
  </r>
  <r>
    <x v="23"/>
    <s v="Access to electricity (% of population)"/>
    <m/>
    <x v="5"/>
  </r>
  <r>
    <x v="24"/>
    <s v="Access to electricity (% of population)"/>
    <m/>
    <x v="5"/>
  </r>
  <r>
    <x v="25"/>
    <s v="Access to electricity (% of population)"/>
    <m/>
    <x v="5"/>
  </r>
  <r>
    <x v="26"/>
    <s v="Access to electricity (% of population)"/>
    <m/>
    <x v="5"/>
  </r>
  <r>
    <x v="27"/>
    <s v="Access to electricity (% of population)"/>
    <m/>
    <x v="5"/>
  </r>
  <r>
    <x v="0"/>
    <s v="Access to electricity (% of population)"/>
    <m/>
    <x v="6"/>
  </r>
  <r>
    <x v="1"/>
    <s v="Access to electricity (% of population)"/>
    <m/>
    <x v="6"/>
  </r>
  <r>
    <x v="2"/>
    <s v="Access to electricity (% of population)"/>
    <m/>
    <x v="6"/>
  </r>
  <r>
    <x v="3"/>
    <s v="Access to electricity (% of population)"/>
    <m/>
    <x v="6"/>
  </r>
  <r>
    <x v="4"/>
    <s v="Access to electricity (% of population)"/>
    <m/>
    <x v="6"/>
  </r>
  <r>
    <x v="5"/>
    <s v="Access to electricity (% of population)"/>
    <m/>
    <x v="6"/>
  </r>
  <r>
    <x v="6"/>
    <s v="Access to electricity (% of population)"/>
    <m/>
    <x v="6"/>
  </r>
  <r>
    <x v="7"/>
    <s v="Access to electricity (% of population)"/>
    <m/>
    <x v="6"/>
  </r>
  <r>
    <x v="8"/>
    <s v="Access to electricity (% of population)"/>
    <m/>
    <x v="6"/>
  </r>
  <r>
    <x v="9"/>
    <s v="Access to electricity (% of population)"/>
    <m/>
    <x v="6"/>
  </r>
  <r>
    <x v="10"/>
    <s v="Access to electricity (% of population)"/>
    <m/>
    <x v="6"/>
  </r>
  <r>
    <x v="11"/>
    <s v="Access to electricity (% of population)"/>
    <m/>
    <x v="6"/>
  </r>
  <r>
    <x v="12"/>
    <s v="Access to electricity (% of population)"/>
    <m/>
    <x v="6"/>
  </r>
  <r>
    <x v="13"/>
    <s v="Access to electricity (% of population)"/>
    <m/>
    <x v="6"/>
  </r>
  <r>
    <x v="14"/>
    <s v="Access to electricity (% of population)"/>
    <m/>
    <x v="6"/>
  </r>
  <r>
    <x v="15"/>
    <s v="Access to electricity (% of population)"/>
    <m/>
    <x v="6"/>
  </r>
  <r>
    <x v="16"/>
    <s v="Access to electricity (% of population)"/>
    <m/>
    <x v="6"/>
  </r>
  <r>
    <x v="17"/>
    <s v="Access to electricity (% of population)"/>
    <m/>
    <x v="6"/>
  </r>
  <r>
    <x v="18"/>
    <s v="Access to electricity (% of population)"/>
    <m/>
    <x v="6"/>
  </r>
  <r>
    <x v="19"/>
    <s v="Access to electricity (% of population)"/>
    <m/>
    <x v="6"/>
  </r>
  <r>
    <x v="20"/>
    <s v="Access to electricity (% of population)"/>
    <m/>
    <x v="6"/>
  </r>
  <r>
    <x v="21"/>
    <s v="Access to electricity (% of population)"/>
    <m/>
    <x v="6"/>
  </r>
  <r>
    <x v="22"/>
    <s v="Access to electricity (% of population)"/>
    <m/>
    <x v="6"/>
  </r>
  <r>
    <x v="23"/>
    <s v="Access to electricity (% of population)"/>
    <m/>
    <x v="6"/>
  </r>
  <r>
    <x v="24"/>
    <s v="Access to electricity (% of population)"/>
    <m/>
    <x v="6"/>
  </r>
  <r>
    <x v="25"/>
    <s v="Access to electricity (% of population)"/>
    <m/>
    <x v="6"/>
  </r>
  <r>
    <x v="26"/>
    <s v="Access to electricity (% of population)"/>
    <m/>
    <x v="6"/>
  </r>
  <r>
    <x v="27"/>
    <s v="Access to electricity (% of population)"/>
    <m/>
    <x v="6"/>
  </r>
  <r>
    <x v="0"/>
    <s v="Access to electricity (% of population)"/>
    <m/>
    <x v="7"/>
  </r>
  <r>
    <x v="1"/>
    <s v="Access to electricity (% of population)"/>
    <m/>
    <x v="7"/>
  </r>
  <r>
    <x v="2"/>
    <s v="Access to electricity (% of population)"/>
    <m/>
    <x v="7"/>
  </r>
  <r>
    <x v="3"/>
    <s v="Access to electricity (% of population)"/>
    <m/>
    <x v="7"/>
  </r>
  <r>
    <x v="4"/>
    <s v="Access to electricity (% of population)"/>
    <m/>
    <x v="7"/>
  </r>
  <r>
    <x v="5"/>
    <s v="Access to electricity (% of population)"/>
    <m/>
    <x v="7"/>
  </r>
  <r>
    <x v="6"/>
    <s v="Access to electricity (% of population)"/>
    <m/>
    <x v="7"/>
  </r>
  <r>
    <x v="7"/>
    <s v="Access to electricity (% of population)"/>
    <m/>
    <x v="7"/>
  </r>
  <r>
    <x v="8"/>
    <s v="Access to electricity (% of population)"/>
    <m/>
    <x v="7"/>
  </r>
  <r>
    <x v="9"/>
    <s v="Access to electricity (% of population)"/>
    <m/>
    <x v="7"/>
  </r>
  <r>
    <x v="10"/>
    <s v="Access to electricity (% of population)"/>
    <m/>
    <x v="7"/>
  </r>
  <r>
    <x v="11"/>
    <s v="Access to electricity (% of population)"/>
    <m/>
    <x v="7"/>
  </r>
  <r>
    <x v="12"/>
    <s v="Access to electricity (% of population)"/>
    <m/>
    <x v="7"/>
  </r>
  <r>
    <x v="13"/>
    <s v="Access to electricity (% of population)"/>
    <m/>
    <x v="7"/>
  </r>
  <r>
    <x v="14"/>
    <s v="Access to electricity (% of population)"/>
    <m/>
    <x v="7"/>
  </r>
  <r>
    <x v="15"/>
    <s v="Access to electricity (% of population)"/>
    <m/>
    <x v="7"/>
  </r>
  <r>
    <x v="16"/>
    <s v="Access to electricity (% of population)"/>
    <m/>
    <x v="7"/>
  </r>
  <r>
    <x v="17"/>
    <s v="Access to electricity (% of population)"/>
    <m/>
    <x v="7"/>
  </r>
  <r>
    <x v="18"/>
    <s v="Access to electricity (% of population)"/>
    <m/>
    <x v="7"/>
  </r>
  <r>
    <x v="19"/>
    <s v="Access to electricity (% of population)"/>
    <m/>
    <x v="7"/>
  </r>
  <r>
    <x v="20"/>
    <s v="Access to electricity (% of population)"/>
    <m/>
    <x v="7"/>
  </r>
  <r>
    <x v="21"/>
    <s v="Access to electricity (% of population)"/>
    <m/>
    <x v="7"/>
  </r>
  <r>
    <x v="22"/>
    <s v="Access to electricity (% of population)"/>
    <m/>
    <x v="7"/>
  </r>
  <r>
    <x v="23"/>
    <s v="Access to electricity (% of population)"/>
    <m/>
    <x v="7"/>
  </r>
  <r>
    <x v="24"/>
    <s v="Access to electricity (% of population)"/>
    <m/>
    <x v="7"/>
  </r>
  <r>
    <x v="25"/>
    <s v="Access to electricity (% of population)"/>
    <m/>
    <x v="7"/>
  </r>
  <r>
    <x v="26"/>
    <s v="Access to electricity (% of population)"/>
    <m/>
    <x v="7"/>
  </r>
  <r>
    <x v="27"/>
    <s v="Access to electricity (% of population)"/>
    <m/>
    <x v="7"/>
  </r>
  <r>
    <x v="0"/>
    <s v="Access to electricity (% of population)"/>
    <m/>
    <x v="8"/>
  </r>
  <r>
    <x v="1"/>
    <s v="Access to electricity (% of population)"/>
    <m/>
    <x v="8"/>
  </r>
  <r>
    <x v="2"/>
    <s v="Access to electricity (% of population)"/>
    <m/>
    <x v="8"/>
  </r>
  <r>
    <x v="3"/>
    <s v="Access to electricity (% of population)"/>
    <m/>
    <x v="8"/>
  </r>
  <r>
    <x v="4"/>
    <s v="Access to electricity (% of population)"/>
    <m/>
    <x v="8"/>
  </r>
  <r>
    <x v="5"/>
    <s v="Access to electricity (% of population)"/>
    <m/>
    <x v="8"/>
  </r>
  <r>
    <x v="6"/>
    <s v="Access to electricity (% of population)"/>
    <m/>
    <x v="8"/>
  </r>
  <r>
    <x v="7"/>
    <s v="Access to electricity (% of population)"/>
    <m/>
    <x v="8"/>
  </r>
  <r>
    <x v="8"/>
    <s v="Access to electricity (% of population)"/>
    <m/>
    <x v="8"/>
  </r>
  <r>
    <x v="9"/>
    <s v="Access to electricity (% of population)"/>
    <m/>
    <x v="8"/>
  </r>
  <r>
    <x v="10"/>
    <s v="Access to electricity (% of population)"/>
    <m/>
    <x v="8"/>
  </r>
  <r>
    <x v="11"/>
    <s v="Access to electricity (% of population)"/>
    <m/>
    <x v="8"/>
  </r>
  <r>
    <x v="12"/>
    <s v="Access to electricity (% of population)"/>
    <m/>
    <x v="8"/>
  </r>
  <r>
    <x v="13"/>
    <s v="Access to electricity (% of population)"/>
    <m/>
    <x v="8"/>
  </r>
  <r>
    <x v="14"/>
    <s v="Access to electricity (% of population)"/>
    <m/>
    <x v="8"/>
  </r>
  <r>
    <x v="15"/>
    <s v="Access to electricity (% of population)"/>
    <m/>
    <x v="8"/>
  </r>
  <r>
    <x v="16"/>
    <s v="Access to electricity (% of population)"/>
    <m/>
    <x v="8"/>
  </r>
  <r>
    <x v="17"/>
    <s v="Access to electricity (% of population)"/>
    <m/>
    <x v="8"/>
  </r>
  <r>
    <x v="18"/>
    <s v="Access to electricity (% of population)"/>
    <m/>
    <x v="8"/>
  </r>
  <r>
    <x v="19"/>
    <s v="Access to electricity (% of population)"/>
    <m/>
    <x v="8"/>
  </r>
  <r>
    <x v="20"/>
    <s v="Access to electricity (% of population)"/>
    <m/>
    <x v="8"/>
  </r>
  <r>
    <x v="21"/>
    <s v="Access to electricity (% of population)"/>
    <m/>
    <x v="8"/>
  </r>
  <r>
    <x v="22"/>
    <s v="Access to electricity (% of population)"/>
    <m/>
    <x v="8"/>
  </r>
  <r>
    <x v="23"/>
    <s v="Access to electricity (% of population)"/>
    <m/>
    <x v="8"/>
  </r>
  <r>
    <x v="24"/>
    <s v="Access to electricity (% of population)"/>
    <m/>
    <x v="8"/>
  </r>
  <r>
    <x v="25"/>
    <s v="Access to electricity (% of population)"/>
    <m/>
    <x v="8"/>
  </r>
  <r>
    <x v="26"/>
    <s v="Access to electricity (% of population)"/>
    <m/>
    <x v="8"/>
  </r>
  <r>
    <x v="27"/>
    <s v="Access to electricity (% of population)"/>
    <m/>
    <x v="8"/>
  </r>
  <r>
    <x v="0"/>
    <s v="Access to electricity (% of population)"/>
    <m/>
    <x v="9"/>
  </r>
  <r>
    <x v="1"/>
    <s v="Access to electricity (% of population)"/>
    <m/>
    <x v="9"/>
  </r>
  <r>
    <x v="2"/>
    <s v="Access to electricity (% of population)"/>
    <m/>
    <x v="9"/>
  </r>
  <r>
    <x v="3"/>
    <s v="Access to electricity (% of population)"/>
    <m/>
    <x v="9"/>
  </r>
  <r>
    <x v="4"/>
    <s v="Access to electricity (% of population)"/>
    <m/>
    <x v="9"/>
  </r>
  <r>
    <x v="5"/>
    <s v="Access to electricity (% of population)"/>
    <m/>
    <x v="9"/>
  </r>
  <r>
    <x v="6"/>
    <s v="Access to electricity (% of population)"/>
    <m/>
    <x v="9"/>
  </r>
  <r>
    <x v="7"/>
    <s v="Access to electricity (% of population)"/>
    <m/>
    <x v="9"/>
  </r>
  <r>
    <x v="8"/>
    <s v="Access to electricity (% of population)"/>
    <m/>
    <x v="9"/>
  </r>
  <r>
    <x v="9"/>
    <s v="Access to electricity (% of population)"/>
    <m/>
    <x v="9"/>
  </r>
  <r>
    <x v="10"/>
    <s v="Access to electricity (% of population)"/>
    <m/>
    <x v="9"/>
  </r>
  <r>
    <x v="11"/>
    <s v="Access to electricity (% of population)"/>
    <m/>
    <x v="9"/>
  </r>
  <r>
    <x v="12"/>
    <s v="Access to electricity (% of population)"/>
    <m/>
    <x v="9"/>
  </r>
  <r>
    <x v="13"/>
    <s v="Access to electricity (% of population)"/>
    <m/>
    <x v="9"/>
  </r>
  <r>
    <x v="14"/>
    <s v="Access to electricity (% of population)"/>
    <m/>
    <x v="9"/>
  </r>
  <r>
    <x v="15"/>
    <s v="Access to electricity (% of population)"/>
    <m/>
    <x v="9"/>
  </r>
  <r>
    <x v="16"/>
    <s v="Access to electricity (% of population)"/>
    <m/>
    <x v="9"/>
  </r>
  <r>
    <x v="17"/>
    <s v="Access to electricity (% of population)"/>
    <m/>
    <x v="9"/>
  </r>
  <r>
    <x v="18"/>
    <s v="Access to electricity (% of population)"/>
    <m/>
    <x v="9"/>
  </r>
  <r>
    <x v="19"/>
    <s v="Access to electricity (% of population)"/>
    <m/>
    <x v="9"/>
  </r>
  <r>
    <x v="20"/>
    <s v="Access to electricity (% of population)"/>
    <m/>
    <x v="9"/>
  </r>
  <r>
    <x v="21"/>
    <s v="Access to electricity (% of population)"/>
    <m/>
    <x v="9"/>
  </r>
  <r>
    <x v="22"/>
    <s v="Access to electricity (% of population)"/>
    <m/>
    <x v="9"/>
  </r>
  <r>
    <x v="23"/>
    <s v="Access to electricity (% of population)"/>
    <m/>
    <x v="9"/>
  </r>
  <r>
    <x v="24"/>
    <s v="Access to electricity (% of population)"/>
    <m/>
    <x v="9"/>
  </r>
  <r>
    <x v="25"/>
    <s v="Access to electricity (% of population)"/>
    <m/>
    <x v="9"/>
  </r>
  <r>
    <x v="26"/>
    <s v="Access to electricity (% of population)"/>
    <m/>
    <x v="9"/>
  </r>
  <r>
    <x v="27"/>
    <s v="Access to electricity (% of population)"/>
    <m/>
    <x v="9"/>
  </r>
  <r>
    <x v="0"/>
    <s v="Access to electricity (% of population)"/>
    <m/>
    <x v="10"/>
  </r>
  <r>
    <x v="1"/>
    <s v="Access to electricity (% of population)"/>
    <m/>
    <x v="10"/>
  </r>
  <r>
    <x v="2"/>
    <s v="Access to electricity (% of population)"/>
    <m/>
    <x v="10"/>
  </r>
  <r>
    <x v="3"/>
    <s v="Access to electricity (% of population)"/>
    <m/>
    <x v="10"/>
  </r>
  <r>
    <x v="4"/>
    <s v="Access to electricity (% of population)"/>
    <m/>
    <x v="10"/>
  </r>
  <r>
    <x v="5"/>
    <s v="Access to electricity (% of population)"/>
    <m/>
    <x v="10"/>
  </r>
  <r>
    <x v="6"/>
    <s v="Access to electricity (% of population)"/>
    <m/>
    <x v="10"/>
  </r>
  <r>
    <x v="7"/>
    <s v="Access to electricity (% of population)"/>
    <m/>
    <x v="10"/>
  </r>
  <r>
    <x v="8"/>
    <s v="Access to electricity (% of population)"/>
    <m/>
    <x v="10"/>
  </r>
  <r>
    <x v="9"/>
    <s v="Access to electricity (% of population)"/>
    <m/>
    <x v="10"/>
  </r>
  <r>
    <x v="10"/>
    <s v="Access to electricity (% of population)"/>
    <m/>
    <x v="10"/>
  </r>
  <r>
    <x v="11"/>
    <s v="Access to electricity (% of population)"/>
    <m/>
    <x v="10"/>
  </r>
  <r>
    <x v="12"/>
    <s v="Access to electricity (% of population)"/>
    <m/>
    <x v="10"/>
  </r>
  <r>
    <x v="13"/>
    <s v="Access to electricity (% of population)"/>
    <m/>
    <x v="10"/>
  </r>
  <r>
    <x v="14"/>
    <s v="Access to electricity (% of population)"/>
    <m/>
    <x v="10"/>
  </r>
  <r>
    <x v="15"/>
    <s v="Access to electricity (% of population)"/>
    <m/>
    <x v="10"/>
  </r>
  <r>
    <x v="16"/>
    <s v="Access to electricity (% of population)"/>
    <m/>
    <x v="10"/>
  </r>
  <r>
    <x v="17"/>
    <s v="Access to electricity (% of population)"/>
    <m/>
    <x v="10"/>
  </r>
  <r>
    <x v="18"/>
    <s v="Access to electricity (% of population)"/>
    <m/>
    <x v="10"/>
  </r>
  <r>
    <x v="19"/>
    <s v="Access to electricity (% of population)"/>
    <m/>
    <x v="10"/>
  </r>
  <r>
    <x v="20"/>
    <s v="Access to electricity (% of population)"/>
    <m/>
    <x v="10"/>
  </r>
  <r>
    <x v="21"/>
    <s v="Access to electricity (% of population)"/>
    <m/>
    <x v="10"/>
  </r>
  <r>
    <x v="22"/>
    <s v="Access to electricity (% of population)"/>
    <m/>
    <x v="10"/>
  </r>
  <r>
    <x v="23"/>
    <s v="Access to electricity (% of population)"/>
    <m/>
    <x v="10"/>
  </r>
  <r>
    <x v="24"/>
    <s v="Access to electricity (% of population)"/>
    <m/>
    <x v="10"/>
  </r>
  <r>
    <x v="25"/>
    <s v="Access to electricity (% of population)"/>
    <m/>
    <x v="10"/>
  </r>
  <r>
    <x v="26"/>
    <s v="Access to electricity (% of population)"/>
    <m/>
    <x v="10"/>
  </r>
  <r>
    <x v="27"/>
    <s v="Access to electricity (% of population)"/>
    <m/>
    <x v="10"/>
  </r>
  <r>
    <x v="0"/>
    <s v="Access to electricity (% of population)"/>
    <m/>
    <x v="11"/>
  </r>
  <r>
    <x v="1"/>
    <s v="Access to electricity (% of population)"/>
    <m/>
    <x v="11"/>
  </r>
  <r>
    <x v="2"/>
    <s v="Access to electricity (% of population)"/>
    <m/>
    <x v="11"/>
  </r>
  <r>
    <x v="3"/>
    <s v="Access to electricity (% of population)"/>
    <m/>
    <x v="11"/>
  </r>
  <r>
    <x v="4"/>
    <s v="Access to electricity (% of population)"/>
    <m/>
    <x v="11"/>
  </r>
  <r>
    <x v="5"/>
    <s v="Access to electricity (% of population)"/>
    <m/>
    <x v="11"/>
  </r>
  <r>
    <x v="6"/>
    <s v="Access to electricity (% of population)"/>
    <m/>
    <x v="11"/>
  </r>
  <r>
    <x v="7"/>
    <s v="Access to electricity (% of population)"/>
    <m/>
    <x v="11"/>
  </r>
  <r>
    <x v="8"/>
    <s v="Access to electricity (% of population)"/>
    <m/>
    <x v="11"/>
  </r>
  <r>
    <x v="9"/>
    <s v="Access to electricity (% of population)"/>
    <m/>
    <x v="11"/>
  </r>
  <r>
    <x v="10"/>
    <s v="Access to electricity (% of population)"/>
    <m/>
    <x v="11"/>
  </r>
  <r>
    <x v="11"/>
    <s v="Access to electricity (% of population)"/>
    <m/>
    <x v="11"/>
  </r>
  <r>
    <x v="12"/>
    <s v="Access to electricity (% of population)"/>
    <m/>
    <x v="11"/>
  </r>
  <r>
    <x v="13"/>
    <s v="Access to electricity (% of population)"/>
    <m/>
    <x v="11"/>
  </r>
  <r>
    <x v="14"/>
    <s v="Access to electricity (% of population)"/>
    <m/>
    <x v="11"/>
  </r>
  <r>
    <x v="15"/>
    <s v="Access to electricity (% of population)"/>
    <m/>
    <x v="11"/>
  </r>
  <r>
    <x v="16"/>
    <s v="Access to electricity (% of population)"/>
    <m/>
    <x v="11"/>
  </r>
  <r>
    <x v="17"/>
    <s v="Access to electricity (% of population)"/>
    <m/>
    <x v="11"/>
  </r>
  <r>
    <x v="18"/>
    <s v="Access to electricity (% of population)"/>
    <m/>
    <x v="11"/>
  </r>
  <r>
    <x v="19"/>
    <s v="Access to electricity (% of population)"/>
    <m/>
    <x v="11"/>
  </r>
  <r>
    <x v="20"/>
    <s v="Access to electricity (% of population)"/>
    <m/>
    <x v="11"/>
  </r>
  <r>
    <x v="21"/>
    <s v="Access to electricity (% of population)"/>
    <m/>
    <x v="11"/>
  </r>
  <r>
    <x v="22"/>
    <s v="Access to electricity (% of population)"/>
    <m/>
    <x v="11"/>
  </r>
  <r>
    <x v="23"/>
    <s v="Access to electricity (% of population)"/>
    <m/>
    <x v="11"/>
  </r>
  <r>
    <x v="24"/>
    <s v="Access to electricity (% of population)"/>
    <m/>
    <x v="11"/>
  </r>
  <r>
    <x v="25"/>
    <s v="Access to electricity (% of population)"/>
    <m/>
    <x v="11"/>
  </r>
  <r>
    <x v="26"/>
    <s v="Access to electricity (% of population)"/>
    <m/>
    <x v="11"/>
  </r>
  <r>
    <x v="27"/>
    <s v="Access to electricity (% of population)"/>
    <m/>
    <x v="11"/>
  </r>
  <r>
    <x v="0"/>
    <s v="Access to electricity (% of population)"/>
    <m/>
    <x v="12"/>
  </r>
  <r>
    <x v="1"/>
    <s v="Access to electricity (% of population)"/>
    <m/>
    <x v="12"/>
  </r>
  <r>
    <x v="2"/>
    <s v="Access to electricity (% of population)"/>
    <m/>
    <x v="12"/>
  </r>
  <r>
    <x v="3"/>
    <s v="Access to electricity (% of population)"/>
    <m/>
    <x v="12"/>
  </r>
  <r>
    <x v="4"/>
    <s v="Access to electricity (% of population)"/>
    <m/>
    <x v="12"/>
  </r>
  <r>
    <x v="5"/>
    <s v="Access to electricity (% of population)"/>
    <m/>
    <x v="12"/>
  </r>
  <r>
    <x v="6"/>
    <s v="Access to electricity (% of population)"/>
    <m/>
    <x v="12"/>
  </r>
  <r>
    <x v="7"/>
    <s v="Access to electricity (% of population)"/>
    <m/>
    <x v="12"/>
  </r>
  <r>
    <x v="8"/>
    <s v="Access to electricity (% of population)"/>
    <m/>
    <x v="12"/>
  </r>
  <r>
    <x v="9"/>
    <s v="Access to electricity (% of population)"/>
    <m/>
    <x v="12"/>
  </r>
  <r>
    <x v="10"/>
    <s v="Access to electricity (% of population)"/>
    <m/>
    <x v="12"/>
  </r>
  <r>
    <x v="11"/>
    <s v="Access to electricity (% of population)"/>
    <m/>
    <x v="12"/>
  </r>
  <r>
    <x v="12"/>
    <s v="Access to electricity (% of population)"/>
    <m/>
    <x v="12"/>
  </r>
  <r>
    <x v="13"/>
    <s v="Access to electricity (% of population)"/>
    <m/>
    <x v="12"/>
  </r>
  <r>
    <x v="14"/>
    <s v="Access to electricity (% of population)"/>
    <m/>
    <x v="12"/>
  </r>
  <r>
    <x v="15"/>
    <s v="Access to electricity (% of population)"/>
    <m/>
    <x v="12"/>
  </r>
  <r>
    <x v="16"/>
    <s v="Access to electricity (% of population)"/>
    <m/>
    <x v="12"/>
  </r>
  <r>
    <x v="17"/>
    <s v="Access to electricity (% of population)"/>
    <m/>
    <x v="12"/>
  </r>
  <r>
    <x v="18"/>
    <s v="Access to electricity (% of population)"/>
    <m/>
    <x v="12"/>
  </r>
  <r>
    <x v="19"/>
    <s v="Access to electricity (% of population)"/>
    <m/>
    <x v="12"/>
  </r>
  <r>
    <x v="20"/>
    <s v="Access to electricity (% of population)"/>
    <m/>
    <x v="12"/>
  </r>
  <r>
    <x v="21"/>
    <s v="Access to electricity (% of population)"/>
    <m/>
    <x v="12"/>
  </r>
  <r>
    <x v="22"/>
    <s v="Access to electricity (% of population)"/>
    <m/>
    <x v="12"/>
  </r>
  <r>
    <x v="23"/>
    <s v="Access to electricity (% of population)"/>
    <m/>
    <x v="12"/>
  </r>
  <r>
    <x v="24"/>
    <s v="Access to electricity (% of population)"/>
    <m/>
    <x v="12"/>
  </r>
  <r>
    <x v="25"/>
    <s v="Access to electricity (% of population)"/>
    <m/>
    <x v="12"/>
  </r>
  <r>
    <x v="26"/>
    <s v="Access to electricity (% of population)"/>
    <m/>
    <x v="12"/>
  </r>
  <r>
    <x v="27"/>
    <s v="Access to electricity (% of population)"/>
    <m/>
    <x v="12"/>
  </r>
  <r>
    <x v="0"/>
    <s v="Access to electricity (% of population)"/>
    <m/>
    <x v="13"/>
  </r>
  <r>
    <x v="1"/>
    <s v="Access to electricity (% of population)"/>
    <m/>
    <x v="13"/>
  </r>
  <r>
    <x v="2"/>
    <s v="Access to electricity (% of population)"/>
    <m/>
    <x v="13"/>
  </r>
  <r>
    <x v="3"/>
    <s v="Access to electricity (% of population)"/>
    <m/>
    <x v="13"/>
  </r>
  <r>
    <x v="4"/>
    <s v="Access to electricity (% of population)"/>
    <m/>
    <x v="13"/>
  </r>
  <r>
    <x v="5"/>
    <s v="Access to electricity (% of population)"/>
    <m/>
    <x v="13"/>
  </r>
  <r>
    <x v="6"/>
    <s v="Access to electricity (% of population)"/>
    <m/>
    <x v="13"/>
  </r>
  <r>
    <x v="7"/>
    <s v="Access to electricity (% of population)"/>
    <m/>
    <x v="13"/>
  </r>
  <r>
    <x v="8"/>
    <s v="Access to electricity (% of population)"/>
    <m/>
    <x v="13"/>
  </r>
  <r>
    <x v="9"/>
    <s v="Access to electricity (% of population)"/>
    <m/>
    <x v="13"/>
  </r>
  <r>
    <x v="10"/>
    <s v="Access to electricity (% of population)"/>
    <m/>
    <x v="13"/>
  </r>
  <r>
    <x v="11"/>
    <s v="Access to electricity (% of population)"/>
    <m/>
    <x v="13"/>
  </r>
  <r>
    <x v="12"/>
    <s v="Access to electricity (% of population)"/>
    <m/>
    <x v="13"/>
  </r>
  <r>
    <x v="13"/>
    <s v="Access to electricity (% of population)"/>
    <m/>
    <x v="13"/>
  </r>
  <r>
    <x v="14"/>
    <s v="Access to electricity (% of population)"/>
    <m/>
    <x v="13"/>
  </r>
  <r>
    <x v="15"/>
    <s v="Access to electricity (% of population)"/>
    <m/>
    <x v="13"/>
  </r>
  <r>
    <x v="16"/>
    <s v="Access to electricity (% of population)"/>
    <m/>
    <x v="13"/>
  </r>
  <r>
    <x v="17"/>
    <s v="Access to electricity (% of population)"/>
    <m/>
    <x v="13"/>
  </r>
  <r>
    <x v="18"/>
    <s v="Access to electricity (% of population)"/>
    <m/>
    <x v="13"/>
  </r>
  <r>
    <x v="19"/>
    <s v="Access to electricity (% of population)"/>
    <m/>
    <x v="13"/>
  </r>
  <r>
    <x v="20"/>
    <s v="Access to electricity (% of population)"/>
    <m/>
    <x v="13"/>
  </r>
  <r>
    <x v="21"/>
    <s v="Access to electricity (% of population)"/>
    <m/>
    <x v="13"/>
  </r>
  <r>
    <x v="22"/>
    <s v="Access to electricity (% of population)"/>
    <m/>
    <x v="13"/>
  </r>
  <r>
    <x v="23"/>
    <s v="Access to electricity (% of population)"/>
    <m/>
    <x v="13"/>
  </r>
  <r>
    <x v="24"/>
    <s v="Access to electricity (% of population)"/>
    <m/>
    <x v="13"/>
  </r>
  <r>
    <x v="25"/>
    <s v="Access to electricity (% of population)"/>
    <m/>
    <x v="13"/>
  </r>
  <r>
    <x v="26"/>
    <s v="Access to electricity (% of population)"/>
    <m/>
    <x v="13"/>
  </r>
  <r>
    <x v="27"/>
    <s v="Access to electricity (% of population)"/>
    <m/>
    <x v="13"/>
  </r>
  <r>
    <x v="0"/>
    <s v="Access to electricity (% of population)"/>
    <m/>
    <x v="14"/>
  </r>
  <r>
    <x v="1"/>
    <s v="Access to electricity (% of population)"/>
    <m/>
    <x v="14"/>
  </r>
  <r>
    <x v="2"/>
    <s v="Access to electricity (% of population)"/>
    <m/>
    <x v="14"/>
  </r>
  <r>
    <x v="3"/>
    <s v="Access to electricity (% of population)"/>
    <m/>
    <x v="14"/>
  </r>
  <r>
    <x v="4"/>
    <s v="Access to electricity (% of population)"/>
    <m/>
    <x v="14"/>
  </r>
  <r>
    <x v="5"/>
    <s v="Access to electricity (% of population)"/>
    <m/>
    <x v="14"/>
  </r>
  <r>
    <x v="6"/>
    <s v="Access to electricity (% of population)"/>
    <m/>
    <x v="14"/>
  </r>
  <r>
    <x v="7"/>
    <s v="Access to electricity (% of population)"/>
    <m/>
    <x v="14"/>
  </r>
  <r>
    <x v="8"/>
    <s v="Access to electricity (% of population)"/>
    <m/>
    <x v="14"/>
  </r>
  <r>
    <x v="9"/>
    <s v="Access to electricity (% of population)"/>
    <m/>
    <x v="14"/>
  </r>
  <r>
    <x v="10"/>
    <s v="Access to electricity (% of population)"/>
    <m/>
    <x v="14"/>
  </r>
  <r>
    <x v="11"/>
    <s v="Access to electricity (% of population)"/>
    <m/>
    <x v="14"/>
  </r>
  <r>
    <x v="12"/>
    <s v="Access to electricity (% of population)"/>
    <m/>
    <x v="14"/>
  </r>
  <r>
    <x v="13"/>
    <s v="Access to electricity (% of population)"/>
    <m/>
    <x v="14"/>
  </r>
  <r>
    <x v="14"/>
    <s v="Access to electricity (% of population)"/>
    <m/>
    <x v="14"/>
  </r>
  <r>
    <x v="15"/>
    <s v="Access to electricity (% of population)"/>
    <m/>
    <x v="14"/>
  </r>
  <r>
    <x v="16"/>
    <s v="Access to electricity (% of population)"/>
    <m/>
    <x v="14"/>
  </r>
  <r>
    <x v="17"/>
    <s v="Access to electricity (% of population)"/>
    <m/>
    <x v="14"/>
  </r>
  <r>
    <x v="18"/>
    <s v="Access to electricity (% of population)"/>
    <m/>
    <x v="14"/>
  </r>
  <r>
    <x v="19"/>
    <s v="Access to electricity (% of population)"/>
    <m/>
    <x v="14"/>
  </r>
  <r>
    <x v="20"/>
    <s v="Access to electricity (% of population)"/>
    <m/>
    <x v="14"/>
  </r>
  <r>
    <x v="21"/>
    <s v="Access to electricity (% of population)"/>
    <m/>
    <x v="14"/>
  </r>
  <r>
    <x v="22"/>
    <s v="Access to electricity (% of population)"/>
    <m/>
    <x v="14"/>
  </r>
  <r>
    <x v="23"/>
    <s v="Access to electricity (% of population)"/>
    <m/>
    <x v="14"/>
  </r>
  <r>
    <x v="24"/>
    <s v="Access to electricity (% of population)"/>
    <m/>
    <x v="14"/>
  </r>
  <r>
    <x v="25"/>
    <s v="Access to electricity (% of population)"/>
    <m/>
    <x v="14"/>
  </r>
  <r>
    <x v="26"/>
    <s v="Access to electricity (% of population)"/>
    <m/>
    <x v="14"/>
  </r>
  <r>
    <x v="27"/>
    <s v="Access to electricity (% of population)"/>
    <m/>
    <x v="14"/>
  </r>
  <r>
    <x v="0"/>
    <s v="Access to electricity (% of population)"/>
    <m/>
    <x v="15"/>
  </r>
  <r>
    <x v="1"/>
    <s v="Access to electricity (% of population)"/>
    <m/>
    <x v="15"/>
  </r>
  <r>
    <x v="2"/>
    <s v="Access to electricity (% of population)"/>
    <m/>
    <x v="15"/>
  </r>
  <r>
    <x v="3"/>
    <s v="Access to electricity (% of population)"/>
    <m/>
    <x v="15"/>
  </r>
  <r>
    <x v="4"/>
    <s v="Access to electricity (% of population)"/>
    <m/>
    <x v="15"/>
  </r>
  <r>
    <x v="5"/>
    <s v="Access to electricity (% of population)"/>
    <m/>
    <x v="15"/>
  </r>
  <r>
    <x v="6"/>
    <s v="Access to electricity (% of population)"/>
    <m/>
    <x v="15"/>
  </r>
  <r>
    <x v="7"/>
    <s v="Access to electricity (% of population)"/>
    <m/>
    <x v="15"/>
  </r>
  <r>
    <x v="8"/>
    <s v="Access to electricity (% of population)"/>
    <m/>
    <x v="15"/>
  </r>
  <r>
    <x v="9"/>
    <s v="Access to electricity (% of population)"/>
    <m/>
    <x v="15"/>
  </r>
  <r>
    <x v="10"/>
    <s v="Access to electricity (% of population)"/>
    <m/>
    <x v="15"/>
  </r>
  <r>
    <x v="11"/>
    <s v="Access to electricity (% of population)"/>
    <m/>
    <x v="15"/>
  </r>
  <r>
    <x v="12"/>
    <s v="Access to electricity (% of population)"/>
    <m/>
    <x v="15"/>
  </r>
  <r>
    <x v="13"/>
    <s v="Access to electricity (% of population)"/>
    <m/>
    <x v="15"/>
  </r>
  <r>
    <x v="14"/>
    <s v="Access to electricity (% of population)"/>
    <m/>
    <x v="15"/>
  </r>
  <r>
    <x v="15"/>
    <s v="Access to electricity (% of population)"/>
    <m/>
    <x v="15"/>
  </r>
  <r>
    <x v="16"/>
    <s v="Access to electricity (% of population)"/>
    <m/>
    <x v="15"/>
  </r>
  <r>
    <x v="17"/>
    <s v="Access to electricity (% of population)"/>
    <m/>
    <x v="15"/>
  </r>
  <r>
    <x v="18"/>
    <s v="Access to electricity (% of population)"/>
    <m/>
    <x v="15"/>
  </r>
  <r>
    <x v="19"/>
    <s v="Access to electricity (% of population)"/>
    <m/>
    <x v="15"/>
  </r>
  <r>
    <x v="20"/>
    <s v="Access to electricity (% of population)"/>
    <m/>
    <x v="15"/>
  </r>
  <r>
    <x v="21"/>
    <s v="Access to electricity (% of population)"/>
    <m/>
    <x v="15"/>
  </r>
  <r>
    <x v="22"/>
    <s v="Access to electricity (% of population)"/>
    <m/>
    <x v="15"/>
  </r>
  <r>
    <x v="23"/>
    <s v="Access to electricity (% of population)"/>
    <m/>
    <x v="15"/>
  </r>
  <r>
    <x v="24"/>
    <s v="Access to electricity (% of population)"/>
    <m/>
    <x v="15"/>
  </r>
  <r>
    <x v="25"/>
    <s v="Access to electricity (% of population)"/>
    <m/>
    <x v="15"/>
  </r>
  <r>
    <x v="26"/>
    <s v="Access to electricity (% of population)"/>
    <m/>
    <x v="15"/>
  </r>
  <r>
    <x v="27"/>
    <s v="Access to electricity (% of population)"/>
    <m/>
    <x v="15"/>
  </r>
  <r>
    <x v="0"/>
    <s v="Access to electricity (% of population)"/>
    <m/>
    <x v="16"/>
  </r>
  <r>
    <x v="1"/>
    <s v="Access to electricity (% of population)"/>
    <m/>
    <x v="16"/>
  </r>
  <r>
    <x v="2"/>
    <s v="Access to electricity (% of population)"/>
    <m/>
    <x v="16"/>
  </r>
  <r>
    <x v="3"/>
    <s v="Access to electricity (% of population)"/>
    <m/>
    <x v="16"/>
  </r>
  <r>
    <x v="4"/>
    <s v="Access to electricity (% of population)"/>
    <m/>
    <x v="16"/>
  </r>
  <r>
    <x v="5"/>
    <s v="Access to electricity (% of population)"/>
    <m/>
    <x v="16"/>
  </r>
  <r>
    <x v="6"/>
    <s v="Access to electricity (% of population)"/>
    <m/>
    <x v="16"/>
  </r>
  <r>
    <x v="7"/>
    <s v="Access to electricity (% of population)"/>
    <m/>
    <x v="16"/>
  </r>
  <r>
    <x v="8"/>
    <s v="Access to electricity (% of population)"/>
    <m/>
    <x v="16"/>
  </r>
  <r>
    <x v="9"/>
    <s v="Access to electricity (% of population)"/>
    <m/>
    <x v="16"/>
  </r>
  <r>
    <x v="10"/>
    <s v="Access to electricity (% of population)"/>
    <m/>
    <x v="16"/>
  </r>
  <r>
    <x v="11"/>
    <s v="Access to electricity (% of population)"/>
    <m/>
    <x v="16"/>
  </r>
  <r>
    <x v="12"/>
    <s v="Access to electricity (% of population)"/>
    <m/>
    <x v="16"/>
  </r>
  <r>
    <x v="13"/>
    <s v="Access to electricity (% of population)"/>
    <m/>
    <x v="16"/>
  </r>
  <r>
    <x v="14"/>
    <s v="Access to electricity (% of population)"/>
    <m/>
    <x v="16"/>
  </r>
  <r>
    <x v="15"/>
    <s v="Access to electricity (% of population)"/>
    <m/>
    <x v="16"/>
  </r>
  <r>
    <x v="16"/>
    <s v="Access to electricity (% of population)"/>
    <m/>
    <x v="16"/>
  </r>
  <r>
    <x v="17"/>
    <s v="Access to electricity (% of population)"/>
    <m/>
    <x v="16"/>
  </r>
  <r>
    <x v="18"/>
    <s v="Access to electricity (% of population)"/>
    <m/>
    <x v="16"/>
  </r>
  <r>
    <x v="19"/>
    <s v="Access to electricity (% of population)"/>
    <m/>
    <x v="16"/>
  </r>
  <r>
    <x v="20"/>
    <s v="Access to electricity (% of population)"/>
    <m/>
    <x v="16"/>
  </r>
  <r>
    <x v="21"/>
    <s v="Access to electricity (% of population)"/>
    <m/>
    <x v="16"/>
  </r>
  <r>
    <x v="22"/>
    <s v="Access to electricity (% of population)"/>
    <m/>
    <x v="16"/>
  </r>
  <r>
    <x v="23"/>
    <s v="Access to electricity (% of population)"/>
    <m/>
    <x v="16"/>
  </r>
  <r>
    <x v="24"/>
    <s v="Access to electricity (% of population)"/>
    <m/>
    <x v="16"/>
  </r>
  <r>
    <x v="25"/>
    <s v="Access to electricity (% of population)"/>
    <m/>
    <x v="16"/>
  </r>
  <r>
    <x v="26"/>
    <s v="Access to electricity (% of population)"/>
    <m/>
    <x v="16"/>
  </r>
  <r>
    <x v="27"/>
    <s v="Access to electricity (% of population)"/>
    <m/>
    <x v="16"/>
  </r>
  <r>
    <x v="0"/>
    <s v="Access to electricity (% of population)"/>
    <m/>
    <x v="17"/>
  </r>
  <r>
    <x v="1"/>
    <s v="Access to electricity (% of population)"/>
    <m/>
    <x v="17"/>
  </r>
  <r>
    <x v="2"/>
    <s v="Access to electricity (% of population)"/>
    <m/>
    <x v="17"/>
  </r>
  <r>
    <x v="3"/>
    <s v="Access to electricity (% of population)"/>
    <m/>
    <x v="17"/>
  </r>
  <r>
    <x v="4"/>
    <s v="Access to electricity (% of population)"/>
    <m/>
    <x v="17"/>
  </r>
  <r>
    <x v="5"/>
    <s v="Access to electricity (% of population)"/>
    <m/>
    <x v="17"/>
  </r>
  <r>
    <x v="6"/>
    <s v="Access to electricity (% of population)"/>
    <m/>
    <x v="17"/>
  </r>
  <r>
    <x v="7"/>
    <s v="Access to electricity (% of population)"/>
    <m/>
    <x v="17"/>
  </r>
  <r>
    <x v="8"/>
    <s v="Access to electricity (% of population)"/>
    <m/>
    <x v="17"/>
  </r>
  <r>
    <x v="9"/>
    <s v="Access to electricity (% of population)"/>
    <m/>
    <x v="17"/>
  </r>
  <r>
    <x v="10"/>
    <s v="Access to electricity (% of population)"/>
    <m/>
    <x v="17"/>
  </r>
  <r>
    <x v="11"/>
    <s v="Access to electricity (% of population)"/>
    <m/>
    <x v="17"/>
  </r>
  <r>
    <x v="12"/>
    <s v="Access to electricity (% of population)"/>
    <m/>
    <x v="17"/>
  </r>
  <r>
    <x v="13"/>
    <s v="Access to electricity (% of population)"/>
    <m/>
    <x v="17"/>
  </r>
  <r>
    <x v="14"/>
    <s v="Access to electricity (% of population)"/>
    <m/>
    <x v="17"/>
  </r>
  <r>
    <x v="15"/>
    <s v="Access to electricity (% of population)"/>
    <m/>
    <x v="17"/>
  </r>
  <r>
    <x v="16"/>
    <s v="Access to electricity (% of population)"/>
    <m/>
    <x v="17"/>
  </r>
  <r>
    <x v="17"/>
    <s v="Access to electricity (% of population)"/>
    <m/>
    <x v="17"/>
  </r>
  <r>
    <x v="18"/>
    <s v="Access to electricity (% of population)"/>
    <m/>
    <x v="17"/>
  </r>
  <r>
    <x v="19"/>
    <s v="Access to electricity (% of population)"/>
    <m/>
    <x v="17"/>
  </r>
  <r>
    <x v="20"/>
    <s v="Access to electricity (% of population)"/>
    <m/>
    <x v="17"/>
  </r>
  <r>
    <x v="21"/>
    <s v="Access to electricity (% of population)"/>
    <m/>
    <x v="17"/>
  </r>
  <r>
    <x v="22"/>
    <s v="Access to electricity (% of population)"/>
    <m/>
    <x v="17"/>
  </r>
  <r>
    <x v="23"/>
    <s v="Access to electricity (% of population)"/>
    <m/>
    <x v="17"/>
  </r>
  <r>
    <x v="24"/>
    <s v="Access to electricity (% of population)"/>
    <m/>
    <x v="17"/>
  </r>
  <r>
    <x v="25"/>
    <s v="Access to electricity (% of population)"/>
    <m/>
    <x v="17"/>
  </r>
  <r>
    <x v="26"/>
    <s v="Access to electricity (% of population)"/>
    <m/>
    <x v="17"/>
  </r>
  <r>
    <x v="27"/>
    <s v="Access to electricity (% of population)"/>
    <m/>
    <x v="17"/>
  </r>
  <r>
    <x v="0"/>
    <s v="Access to electricity (% of population)"/>
    <m/>
    <x v="18"/>
  </r>
  <r>
    <x v="1"/>
    <s v="Access to electricity (% of population)"/>
    <m/>
    <x v="18"/>
  </r>
  <r>
    <x v="2"/>
    <s v="Access to electricity (% of population)"/>
    <m/>
    <x v="18"/>
  </r>
  <r>
    <x v="3"/>
    <s v="Access to electricity (% of population)"/>
    <m/>
    <x v="18"/>
  </r>
  <r>
    <x v="4"/>
    <s v="Access to electricity (% of population)"/>
    <m/>
    <x v="18"/>
  </r>
  <r>
    <x v="5"/>
    <s v="Access to electricity (% of population)"/>
    <m/>
    <x v="18"/>
  </r>
  <r>
    <x v="6"/>
    <s v="Access to electricity (% of population)"/>
    <m/>
    <x v="18"/>
  </r>
  <r>
    <x v="7"/>
    <s v="Access to electricity (% of population)"/>
    <m/>
    <x v="18"/>
  </r>
  <r>
    <x v="8"/>
    <s v="Access to electricity (% of population)"/>
    <m/>
    <x v="18"/>
  </r>
  <r>
    <x v="9"/>
    <s v="Access to electricity (% of population)"/>
    <m/>
    <x v="18"/>
  </r>
  <r>
    <x v="10"/>
    <s v="Access to electricity (% of population)"/>
    <m/>
    <x v="18"/>
  </r>
  <r>
    <x v="11"/>
    <s v="Access to electricity (% of population)"/>
    <m/>
    <x v="18"/>
  </r>
  <r>
    <x v="12"/>
    <s v="Access to electricity (% of population)"/>
    <m/>
    <x v="18"/>
  </r>
  <r>
    <x v="13"/>
    <s v="Access to electricity (% of population)"/>
    <m/>
    <x v="18"/>
  </r>
  <r>
    <x v="14"/>
    <s v="Access to electricity (% of population)"/>
    <m/>
    <x v="18"/>
  </r>
  <r>
    <x v="15"/>
    <s v="Access to electricity (% of population)"/>
    <m/>
    <x v="18"/>
  </r>
  <r>
    <x v="16"/>
    <s v="Access to electricity (% of population)"/>
    <m/>
    <x v="18"/>
  </r>
  <r>
    <x v="17"/>
    <s v="Access to electricity (% of population)"/>
    <m/>
    <x v="18"/>
  </r>
  <r>
    <x v="18"/>
    <s v="Access to electricity (% of population)"/>
    <m/>
    <x v="18"/>
  </r>
  <r>
    <x v="19"/>
    <s v="Access to electricity (% of population)"/>
    <m/>
    <x v="18"/>
  </r>
  <r>
    <x v="20"/>
    <s v="Access to electricity (% of population)"/>
    <m/>
    <x v="18"/>
  </r>
  <r>
    <x v="21"/>
    <s v="Access to electricity (% of population)"/>
    <m/>
    <x v="18"/>
  </r>
  <r>
    <x v="22"/>
    <s v="Access to electricity (% of population)"/>
    <m/>
    <x v="18"/>
  </r>
  <r>
    <x v="23"/>
    <s v="Access to electricity (% of population)"/>
    <m/>
    <x v="18"/>
  </r>
  <r>
    <x v="24"/>
    <s v="Access to electricity (% of population)"/>
    <m/>
    <x v="18"/>
  </r>
  <r>
    <x v="25"/>
    <s v="Access to electricity (% of population)"/>
    <m/>
    <x v="18"/>
  </r>
  <r>
    <x v="26"/>
    <s v="Access to electricity (% of population)"/>
    <m/>
    <x v="18"/>
  </r>
  <r>
    <x v="27"/>
    <s v="Access to electricity (% of population)"/>
    <m/>
    <x v="18"/>
  </r>
  <r>
    <x v="0"/>
    <s v="Access to electricity (% of population)"/>
    <m/>
    <x v="19"/>
  </r>
  <r>
    <x v="1"/>
    <s v="Access to electricity (% of population)"/>
    <m/>
    <x v="19"/>
  </r>
  <r>
    <x v="2"/>
    <s v="Access to electricity (% of population)"/>
    <m/>
    <x v="19"/>
  </r>
  <r>
    <x v="3"/>
    <s v="Access to electricity (% of population)"/>
    <m/>
    <x v="19"/>
  </r>
  <r>
    <x v="4"/>
    <s v="Access to electricity (% of population)"/>
    <m/>
    <x v="19"/>
  </r>
  <r>
    <x v="5"/>
    <s v="Access to electricity (% of population)"/>
    <m/>
    <x v="19"/>
  </r>
  <r>
    <x v="6"/>
    <s v="Access to electricity (% of population)"/>
    <m/>
    <x v="19"/>
  </r>
  <r>
    <x v="7"/>
    <s v="Access to electricity (% of population)"/>
    <m/>
    <x v="19"/>
  </r>
  <r>
    <x v="8"/>
    <s v="Access to electricity (% of population)"/>
    <m/>
    <x v="19"/>
  </r>
  <r>
    <x v="9"/>
    <s v="Access to electricity (% of population)"/>
    <m/>
    <x v="19"/>
  </r>
  <r>
    <x v="10"/>
    <s v="Access to electricity (% of population)"/>
    <m/>
    <x v="19"/>
  </r>
  <r>
    <x v="11"/>
    <s v="Access to electricity (% of population)"/>
    <m/>
    <x v="19"/>
  </r>
  <r>
    <x v="12"/>
    <s v="Access to electricity (% of population)"/>
    <m/>
    <x v="19"/>
  </r>
  <r>
    <x v="13"/>
    <s v="Access to electricity (% of population)"/>
    <m/>
    <x v="19"/>
  </r>
  <r>
    <x v="14"/>
    <s v="Access to electricity (% of population)"/>
    <m/>
    <x v="19"/>
  </r>
  <r>
    <x v="15"/>
    <s v="Access to electricity (% of population)"/>
    <m/>
    <x v="19"/>
  </r>
  <r>
    <x v="16"/>
    <s v="Access to electricity (% of population)"/>
    <m/>
    <x v="19"/>
  </r>
  <r>
    <x v="17"/>
    <s v="Access to electricity (% of population)"/>
    <m/>
    <x v="19"/>
  </r>
  <r>
    <x v="18"/>
    <s v="Access to electricity (% of population)"/>
    <m/>
    <x v="19"/>
  </r>
  <r>
    <x v="19"/>
    <s v="Access to electricity (% of population)"/>
    <m/>
    <x v="19"/>
  </r>
  <r>
    <x v="20"/>
    <s v="Access to electricity (% of population)"/>
    <m/>
    <x v="19"/>
  </r>
  <r>
    <x v="21"/>
    <s v="Access to electricity (% of population)"/>
    <m/>
    <x v="19"/>
  </r>
  <r>
    <x v="22"/>
    <s v="Access to electricity (% of population)"/>
    <m/>
    <x v="19"/>
  </r>
  <r>
    <x v="23"/>
    <s v="Access to electricity (% of population)"/>
    <m/>
    <x v="19"/>
  </r>
  <r>
    <x v="24"/>
    <s v="Access to electricity (% of population)"/>
    <m/>
    <x v="19"/>
  </r>
  <r>
    <x v="25"/>
    <s v="Access to electricity (% of population)"/>
    <m/>
    <x v="19"/>
  </r>
  <r>
    <x v="26"/>
    <s v="Access to electricity (% of population)"/>
    <m/>
    <x v="19"/>
  </r>
  <r>
    <x v="27"/>
    <s v="Access to electricity (% of population)"/>
    <m/>
    <x v="19"/>
  </r>
  <r>
    <x v="0"/>
    <s v="Access to electricity (% of population)"/>
    <m/>
    <x v="20"/>
  </r>
  <r>
    <x v="1"/>
    <s v="Access to electricity (% of population)"/>
    <m/>
    <x v="20"/>
  </r>
  <r>
    <x v="2"/>
    <s v="Access to electricity (% of population)"/>
    <m/>
    <x v="20"/>
  </r>
  <r>
    <x v="3"/>
    <s v="Access to electricity (% of population)"/>
    <m/>
    <x v="20"/>
  </r>
  <r>
    <x v="4"/>
    <s v="Access to electricity (% of population)"/>
    <m/>
    <x v="20"/>
  </r>
  <r>
    <x v="5"/>
    <s v="Access to electricity (% of population)"/>
    <m/>
    <x v="20"/>
  </r>
  <r>
    <x v="6"/>
    <s v="Access to electricity (% of population)"/>
    <m/>
    <x v="20"/>
  </r>
  <r>
    <x v="7"/>
    <s v="Access to electricity (% of population)"/>
    <m/>
    <x v="20"/>
  </r>
  <r>
    <x v="8"/>
    <s v="Access to electricity (% of population)"/>
    <m/>
    <x v="20"/>
  </r>
  <r>
    <x v="9"/>
    <s v="Access to electricity (% of population)"/>
    <m/>
    <x v="20"/>
  </r>
  <r>
    <x v="10"/>
    <s v="Access to electricity (% of population)"/>
    <m/>
    <x v="20"/>
  </r>
  <r>
    <x v="11"/>
    <s v="Access to electricity (% of population)"/>
    <m/>
    <x v="20"/>
  </r>
  <r>
    <x v="12"/>
    <s v="Access to electricity (% of population)"/>
    <m/>
    <x v="20"/>
  </r>
  <r>
    <x v="13"/>
    <s v="Access to electricity (% of population)"/>
    <m/>
    <x v="20"/>
  </r>
  <r>
    <x v="14"/>
    <s v="Access to electricity (% of population)"/>
    <m/>
    <x v="20"/>
  </r>
  <r>
    <x v="15"/>
    <s v="Access to electricity (% of population)"/>
    <m/>
    <x v="20"/>
  </r>
  <r>
    <x v="16"/>
    <s v="Access to electricity (% of population)"/>
    <m/>
    <x v="20"/>
  </r>
  <r>
    <x v="17"/>
    <s v="Access to electricity (% of population)"/>
    <m/>
    <x v="20"/>
  </r>
  <r>
    <x v="18"/>
    <s v="Access to electricity (% of population)"/>
    <m/>
    <x v="20"/>
  </r>
  <r>
    <x v="19"/>
    <s v="Access to electricity (% of population)"/>
    <m/>
    <x v="20"/>
  </r>
  <r>
    <x v="20"/>
    <s v="Access to electricity (% of population)"/>
    <m/>
    <x v="20"/>
  </r>
  <r>
    <x v="21"/>
    <s v="Access to electricity (% of population)"/>
    <m/>
    <x v="20"/>
  </r>
  <r>
    <x v="22"/>
    <s v="Access to electricity (% of population)"/>
    <m/>
    <x v="20"/>
  </r>
  <r>
    <x v="23"/>
    <s v="Access to electricity (% of population)"/>
    <m/>
    <x v="20"/>
  </r>
  <r>
    <x v="24"/>
    <s v="Access to electricity (% of population)"/>
    <m/>
    <x v="20"/>
  </r>
  <r>
    <x v="25"/>
    <s v="Access to electricity (% of population)"/>
    <m/>
    <x v="20"/>
  </r>
  <r>
    <x v="26"/>
    <s v="Access to electricity (% of population)"/>
    <m/>
    <x v="20"/>
  </r>
  <r>
    <x v="27"/>
    <s v="Access to electricity (% of population)"/>
    <m/>
    <x v="20"/>
  </r>
  <r>
    <x v="0"/>
    <s v="Access to electricity (% of population)"/>
    <m/>
    <x v="21"/>
  </r>
  <r>
    <x v="1"/>
    <s v="Access to electricity (% of population)"/>
    <m/>
    <x v="21"/>
  </r>
  <r>
    <x v="2"/>
    <s v="Access to electricity (% of population)"/>
    <m/>
    <x v="21"/>
  </r>
  <r>
    <x v="3"/>
    <s v="Access to electricity (% of population)"/>
    <m/>
    <x v="21"/>
  </r>
  <r>
    <x v="4"/>
    <s v="Access to electricity (% of population)"/>
    <m/>
    <x v="21"/>
  </r>
  <r>
    <x v="5"/>
    <s v="Access to electricity (% of population)"/>
    <m/>
    <x v="21"/>
  </r>
  <r>
    <x v="6"/>
    <s v="Access to electricity (% of population)"/>
    <m/>
    <x v="21"/>
  </r>
  <r>
    <x v="7"/>
    <s v="Access to electricity (% of population)"/>
    <m/>
    <x v="21"/>
  </r>
  <r>
    <x v="8"/>
    <s v="Access to electricity (% of population)"/>
    <m/>
    <x v="21"/>
  </r>
  <r>
    <x v="9"/>
    <s v="Access to electricity (% of population)"/>
    <m/>
    <x v="21"/>
  </r>
  <r>
    <x v="10"/>
    <s v="Access to electricity (% of population)"/>
    <m/>
    <x v="21"/>
  </r>
  <r>
    <x v="11"/>
    <s v="Access to electricity (% of population)"/>
    <m/>
    <x v="21"/>
  </r>
  <r>
    <x v="12"/>
    <s v="Access to electricity (% of population)"/>
    <m/>
    <x v="21"/>
  </r>
  <r>
    <x v="13"/>
    <s v="Access to electricity (% of population)"/>
    <m/>
    <x v="21"/>
  </r>
  <r>
    <x v="14"/>
    <s v="Access to electricity (% of population)"/>
    <m/>
    <x v="21"/>
  </r>
  <r>
    <x v="15"/>
    <s v="Access to electricity (% of population)"/>
    <m/>
    <x v="21"/>
  </r>
  <r>
    <x v="16"/>
    <s v="Access to electricity (% of population)"/>
    <m/>
    <x v="21"/>
  </r>
  <r>
    <x v="17"/>
    <s v="Access to electricity (% of population)"/>
    <m/>
    <x v="21"/>
  </r>
  <r>
    <x v="18"/>
    <s v="Access to electricity (% of population)"/>
    <m/>
    <x v="21"/>
  </r>
  <r>
    <x v="19"/>
    <s v="Access to electricity (% of population)"/>
    <m/>
    <x v="21"/>
  </r>
  <r>
    <x v="20"/>
    <s v="Access to electricity (% of population)"/>
    <m/>
    <x v="21"/>
  </r>
  <r>
    <x v="21"/>
    <s v="Access to electricity (% of population)"/>
    <m/>
    <x v="21"/>
  </r>
  <r>
    <x v="22"/>
    <s v="Access to electricity (% of population)"/>
    <m/>
    <x v="21"/>
  </r>
  <r>
    <x v="23"/>
    <s v="Access to electricity (% of population)"/>
    <m/>
    <x v="21"/>
  </r>
  <r>
    <x v="24"/>
    <s v="Access to electricity (% of population)"/>
    <m/>
    <x v="21"/>
  </r>
  <r>
    <x v="25"/>
    <s v="Access to electricity (% of population)"/>
    <m/>
    <x v="21"/>
  </r>
  <r>
    <x v="26"/>
    <s v="Access to electricity (% of population)"/>
    <m/>
    <x v="21"/>
  </r>
  <r>
    <x v="27"/>
    <s v="Access to electricity (% of population)"/>
    <m/>
    <x v="21"/>
  </r>
  <r>
    <x v="0"/>
    <s v="Access to electricity (% of population)"/>
    <m/>
    <x v="22"/>
  </r>
  <r>
    <x v="1"/>
    <s v="Access to electricity (% of population)"/>
    <m/>
    <x v="22"/>
  </r>
  <r>
    <x v="2"/>
    <s v="Access to electricity (% of population)"/>
    <m/>
    <x v="22"/>
  </r>
  <r>
    <x v="3"/>
    <s v="Access to electricity (% of population)"/>
    <m/>
    <x v="22"/>
  </r>
  <r>
    <x v="4"/>
    <s v="Access to electricity (% of population)"/>
    <m/>
    <x v="22"/>
  </r>
  <r>
    <x v="5"/>
    <s v="Access to electricity (% of population)"/>
    <m/>
    <x v="22"/>
  </r>
  <r>
    <x v="6"/>
    <s v="Access to electricity (% of population)"/>
    <m/>
    <x v="22"/>
  </r>
  <r>
    <x v="7"/>
    <s v="Access to electricity (% of population)"/>
    <m/>
    <x v="22"/>
  </r>
  <r>
    <x v="8"/>
    <s v="Access to electricity (% of population)"/>
    <m/>
    <x v="22"/>
  </r>
  <r>
    <x v="9"/>
    <s v="Access to electricity (% of population)"/>
    <m/>
    <x v="22"/>
  </r>
  <r>
    <x v="10"/>
    <s v="Access to electricity (% of population)"/>
    <m/>
    <x v="22"/>
  </r>
  <r>
    <x v="11"/>
    <s v="Access to electricity (% of population)"/>
    <m/>
    <x v="22"/>
  </r>
  <r>
    <x v="12"/>
    <s v="Access to electricity (% of population)"/>
    <m/>
    <x v="22"/>
  </r>
  <r>
    <x v="13"/>
    <s v="Access to electricity (% of population)"/>
    <m/>
    <x v="22"/>
  </r>
  <r>
    <x v="14"/>
    <s v="Access to electricity (% of population)"/>
    <m/>
    <x v="22"/>
  </r>
  <r>
    <x v="15"/>
    <s v="Access to electricity (% of population)"/>
    <m/>
    <x v="22"/>
  </r>
  <r>
    <x v="16"/>
    <s v="Access to electricity (% of population)"/>
    <m/>
    <x v="22"/>
  </r>
  <r>
    <x v="17"/>
    <s v="Access to electricity (% of population)"/>
    <m/>
    <x v="22"/>
  </r>
  <r>
    <x v="18"/>
    <s v="Access to electricity (% of population)"/>
    <m/>
    <x v="22"/>
  </r>
  <r>
    <x v="19"/>
    <s v="Access to electricity (% of population)"/>
    <m/>
    <x v="22"/>
  </r>
  <r>
    <x v="20"/>
    <s v="Access to electricity (% of population)"/>
    <m/>
    <x v="22"/>
  </r>
  <r>
    <x v="21"/>
    <s v="Access to electricity (% of population)"/>
    <m/>
    <x v="22"/>
  </r>
  <r>
    <x v="22"/>
    <s v="Access to electricity (% of population)"/>
    <m/>
    <x v="22"/>
  </r>
  <r>
    <x v="23"/>
    <s v="Access to electricity (% of population)"/>
    <m/>
    <x v="22"/>
  </r>
  <r>
    <x v="24"/>
    <s v="Access to electricity (% of population)"/>
    <m/>
    <x v="22"/>
  </r>
  <r>
    <x v="25"/>
    <s v="Access to electricity (% of population)"/>
    <m/>
    <x v="22"/>
  </r>
  <r>
    <x v="26"/>
    <s v="Access to electricity (% of population)"/>
    <m/>
    <x v="22"/>
  </r>
  <r>
    <x v="27"/>
    <s v="Access to electricity (% of population)"/>
    <m/>
    <x v="22"/>
  </r>
  <r>
    <x v="0"/>
    <s v="Access to electricity (% of population)"/>
    <m/>
    <x v="23"/>
  </r>
  <r>
    <x v="1"/>
    <s v="Access to electricity (% of population)"/>
    <m/>
    <x v="23"/>
  </r>
  <r>
    <x v="2"/>
    <s v="Access to electricity (% of population)"/>
    <m/>
    <x v="23"/>
  </r>
  <r>
    <x v="3"/>
    <s v="Access to electricity (% of population)"/>
    <m/>
    <x v="23"/>
  </r>
  <r>
    <x v="4"/>
    <s v="Access to electricity (% of population)"/>
    <m/>
    <x v="23"/>
  </r>
  <r>
    <x v="5"/>
    <s v="Access to electricity (% of population)"/>
    <m/>
    <x v="23"/>
  </r>
  <r>
    <x v="6"/>
    <s v="Access to electricity (% of population)"/>
    <m/>
    <x v="23"/>
  </r>
  <r>
    <x v="7"/>
    <s v="Access to electricity (% of population)"/>
    <m/>
    <x v="23"/>
  </r>
  <r>
    <x v="8"/>
    <s v="Access to electricity (% of population)"/>
    <m/>
    <x v="23"/>
  </r>
  <r>
    <x v="9"/>
    <s v="Access to electricity (% of population)"/>
    <m/>
    <x v="23"/>
  </r>
  <r>
    <x v="10"/>
    <s v="Access to electricity (% of population)"/>
    <m/>
    <x v="23"/>
  </r>
  <r>
    <x v="11"/>
    <s v="Access to electricity (% of population)"/>
    <m/>
    <x v="23"/>
  </r>
  <r>
    <x v="12"/>
    <s v="Access to electricity (% of population)"/>
    <m/>
    <x v="23"/>
  </r>
  <r>
    <x v="13"/>
    <s v="Access to electricity (% of population)"/>
    <m/>
    <x v="23"/>
  </r>
  <r>
    <x v="14"/>
    <s v="Access to electricity (% of population)"/>
    <m/>
    <x v="23"/>
  </r>
  <r>
    <x v="15"/>
    <s v="Access to electricity (% of population)"/>
    <m/>
    <x v="23"/>
  </r>
  <r>
    <x v="16"/>
    <s v="Access to electricity (% of population)"/>
    <m/>
    <x v="23"/>
  </r>
  <r>
    <x v="17"/>
    <s v="Access to electricity (% of population)"/>
    <m/>
    <x v="23"/>
  </r>
  <r>
    <x v="18"/>
    <s v="Access to electricity (% of population)"/>
    <m/>
    <x v="23"/>
  </r>
  <r>
    <x v="19"/>
    <s v="Access to electricity (% of population)"/>
    <m/>
    <x v="23"/>
  </r>
  <r>
    <x v="20"/>
    <s v="Access to electricity (% of population)"/>
    <m/>
    <x v="23"/>
  </r>
  <r>
    <x v="21"/>
    <s v="Access to electricity (% of population)"/>
    <m/>
    <x v="23"/>
  </r>
  <r>
    <x v="22"/>
    <s v="Access to electricity (% of population)"/>
    <m/>
    <x v="23"/>
  </r>
  <r>
    <x v="23"/>
    <s v="Access to electricity (% of population)"/>
    <m/>
    <x v="23"/>
  </r>
  <r>
    <x v="24"/>
    <s v="Access to electricity (% of population)"/>
    <m/>
    <x v="23"/>
  </r>
  <r>
    <x v="25"/>
    <s v="Access to electricity (% of population)"/>
    <m/>
    <x v="23"/>
  </r>
  <r>
    <x v="26"/>
    <s v="Access to electricity (% of population)"/>
    <m/>
    <x v="23"/>
  </r>
  <r>
    <x v="27"/>
    <s v="Access to electricity (% of population)"/>
    <m/>
    <x v="23"/>
  </r>
  <r>
    <x v="0"/>
    <s v="Access to electricity (% of population)"/>
    <m/>
    <x v="24"/>
  </r>
  <r>
    <x v="1"/>
    <s v="Access to electricity (% of population)"/>
    <m/>
    <x v="24"/>
  </r>
  <r>
    <x v="2"/>
    <s v="Access to electricity (% of population)"/>
    <m/>
    <x v="24"/>
  </r>
  <r>
    <x v="3"/>
    <s v="Access to electricity (% of population)"/>
    <m/>
    <x v="24"/>
  </r>
  <r>
    <x v="4"/>
    <s v="Access to electricity (% of population)"/>
    <m/>
    <x v="24"/>
  </r>
  <r>
    <x v="5"/>
    <s v="Access to electricity (% of population)"/>
    <m/>
    <x v="24"/>
  </r>
  <r>
    <x v="6"/>
    <s v="Access to electricity (% of population)"/>
    <m/>
    <x v="24"/>
  </r>
  <r>
    <x v="7"/>
    <s v="Access to electricity (% of population)"/>
    <m/>
    <x v="24"/>
  </r>
  <r>
    <x v="8"/>
    <s v="Access to electricity (% of population)"/>
    <m/>
    <x v="24"/>
  </r>
  <r>
    <x v="9"/>
    <s v="Access to electricity (% of population)"/>
    <m/>
    <x v="24"/>
  </r>
  <r>
    <x v="10"/>
    <s v="Access to electricity (% of population)"/>
    <m/>
    <x v="24"/>
  </r>
  <r>
    <x v="11"/>
    <s v="Access to electricity (% of population)"/>
    <m/>
    <x v="24"/>
  </r>
  <r>
    <x v="12"/>
    <s v="Access to electricity (% of population)"/>
    <m/>
    <x v="24"/>
  </r>
  <r>
    <x v="13"/>
    <s v="Access to electricity (% of population)"/>
    <m/>
    <x v="24"/>
  </r>
  <r>
    <x v="14"/>
    <s v="Access to electricity (% of population)"/>
    <m/>
    <x v="24"/>
  </r>
  <r>
    <x v="15"/>
    <s v="Access to electricity (% of population)"/>
    <m/>
    <x v="24"/>
  </r>
  <r>
    <x v="16"/>
    <s v="Access to electricity (% of population)"/>
    <m/>
    <x v="24"/>
  </r>
  <r>
    <x v="17"/>
    <s v="Access to electricity (% of population)"/>
    <m/>
    <x v="24"/>
  </r>
  <r>
    <x v="18"/>
    <s v="Access to electricity (% of population)"/>
    <m/>
    <x v="24"/>
  </r>
  <r>
    <x v="19"/>
    <s v="Access to electricity (% of population)"/>
    <m/>
    <x v="24"/>
  </r>
  <r>
    <x v="20"/>
    <s v="Access to electricity (% of population)"/>
    <m/>
    <x v="24"/>
  </r>
  <r>
    <x v="21"/>
    <s v="Access to electricity (% of population)"/>
    <m/>
    <x v="24"/>
  </r>
  <r>
    <x v="22"/>
    <s v="Access to electricity (% of population)"/>
    <m/>
    <x v="24"/>
  </r>
  <r>
    <x v="23"/>
    <s v="Access to electricity (% of population)"/>
    <m/>
    <x v="24"/>
  </r>
  <r>
    <x v="24"/>
    <s v="Access to electricity (% of population)"/>
    <m/>
    <x v="24"/>
  </r>
  <r>
    <x v="25"/>
    <s v="Access to electricity (% of population)"/>
    <m/>
    <x v="24"/>
  </r>
  <r>
    <x v="26"/>
    <s v="Access to electricity (% of population)"/>
    <m/>
    <x v="24"/>
  </r>
  <r>
    <x v="27"/>
    <s v="Access to electricity (% of population)"/>
    <m/>
    <x v="24"/>
  </r>
  <r>
    <x v="0"/>
    <s v="Access to electricity (% of population)"/>
    <m/>
    <x v="25"/>
  </r>
  <r>
    <x v="1"/>
    <s v="Access to electricity (% of population)"/>
    <m/>
    <x v="25"/>
  </r>
  <r>
    <x v="2"/>
    <s v="Access to electricity (% of population)"/>
    <m/>
    <x v="25"/>
  </r>
  <r>
    <x v="3"/>
    <s v="Access to electricity (% of population)"/>
    <m/>
    <x v="25"/>
  </r>
  <r>
    <x v="4"/>
    <s v="Access to electricity (% of population)"/>
    <m/>
    <x v="25"/>
  </r>
  <r>
    <x v="5"/>
    <s v="Access to electricity (% of population)"/>
    <m/>
    <x v="25"/>
  </r>
  <r>
    <x v="6"/>
    <s v="Access to electricity (% of population)"/>
    <m/>
    <x v="25"/>
  </r>
  <r>
    <x v="7"/>
    <s v="Access to electricity (% of population)"/>
    <m/>
    <x v="25"/>
  </r>
  <r>
    <x v="8"/>
    <s v="Access to electricity (% of population)"/>
    <m/>
    <x v="25"/>
  </r>
  <r>
    <x v="9"/>
    <s v="Access to electricity (% of population)"/>
    <m/>
    <x v="25"/>
  </r>
  <r>
    <x v="10"/>
    <s v="Access to electricity (% of population)"/>
    <m/>
    <x v="25"/>
  </r>
  <r>
    <x v="11"/>
    <s v="Access to electricity (% of population)"/>
    <m/>
    <x v="25"/>
  </r>
  <r>
    <x v="12"/>
    <s v="Access to electricity (% of population)"/>
    <m/>
    <x v="25"/>
  </r>
  <r>
    <x v="13"/>
    <s v="Access to electricity (% of population)"/>
    <m/>
    <x v="25"/>
  </r>
  <r>
    <x v="14"/>
    <s v="Access to electricity (% of population)"/>
    <m/>
    <x v="25"/>
  </r>
  <r>
    <x v="15"/>
    <s v="Access to electricity (% of population)"/>
    <m/>
    <x v="25"/>
  </r>
  <r>
    <x v="16"/>
    <s v="Access to electricity (% of population)"/>
    <m/>
    <x v="25"/>
  </r>
  <r>
    <x v="17"/>
    <s v="Access to electricity (% of population)"/>
    <m/>
    <x v="25"/>
  </r>
  <r>
    <x v="18"/>
    <s v="Access to electricity (% of population)"/>
    <m/>
    <x v="25"/>
  </r>
  <r>
    <x v="19"/>
    <s v="Access to electricity (% of population)"/>
    <m/>
    <x v="25"/>
  </r>
  <r>
    <x v="20"/>
    <s v="Access to electricity (% of population)"/>
    <m/>
    <x v="25"/>
  </r>
  <r>
    <x v="21"/>
    <s v="Access to electricity (% of population)"/>
    <m/>
    <x v="25"/>
  </r>
  <r>
    <x v="22"/>
    <s v="Access to electricity (% of population)"/>
    <m/>
    <x v="25"/>
  </r>
  <r>
    <x v="23"/>
    <s v="Access to electricity (% of population)"/>
    <m/>
    <x v="25"/>
  </r>
  <r>
    <x v="24"/>
    <s v="Access to electricity (% of population)"/>
    <m/>
    <x v="25"/>
  </r>
  <r>
    <x v="25"/>
    <s v="Access to electricity (% of population)"/>
    <m/>
    <x v="25"/>
  </r>
  <r>
    <x v="26"/>
    <s v="Access to electricity (% of population)"/>
    <m/>
    <x v="25"/>
  </r>
  <r>
    <x v="27"/>
    <s v="Access to electricity (% of population)"/>
    <m/>
    <x v="25"/>
  </r>
  <r>
    <x v="0"/>
    <s v="Access to electricity (% of population)"/>
    <m/>
    <x v="26"/>
  </r>
  <r>
    <x v="1"/>
    <s v="Access to electricity (% of population)"/>
    <m/>
    <x v="26"/>
  </r>
  <r>
    <x v="2"/>
    <s v="Access to electricity (% of population)"/>
    <m/>
    <x v="26"/>
  </r>
  <r>
    <x v="3"/>
    <s v="Access to electricity (% of population)"/>
    <m/>
    <x v="26"/>
  </r>
  <r>
    <x v="4"/>
    <s v="Access to electricity (% of population)"/>
    <m/>
    <x v="26"/>
  </r>
  <r>
    <x v="5"/>
    <s v="Access to electricity (% of population)"/>
    <m/>
    <x v="26"/>
  </r>
  <r>
    <x v="6"/>
    <s v="Access to electricity (% of population)"/>
    <m/>
    <x v="26"/>
  </r>
  <r>
    <x v="7"/>
    <s v="Access to electricity (% of population)"/>
    <m/>
    <x v="26"/>
  </r>
  <r>
    <x v="8"/>
    <s v="Access to electricity (% of population)"/>
    <m/>
    <x v="26"/>
  </r>
  <r>
    <x v="9"/>
    <s v="Access to electricity (% of population)"/>
    <m/>
    <x v="26"/>
  </r>
  <r>
    <x v="10"/>
    <s v="Access to electricity (% of population)"/>
    <m/>
    <x v="26"/>
  </r>
  <r>
    <x v="11"/>
    <s v="Access to electricity (% of population)"/>
    <m/>
    <x v="26"/>
  </r>
  <r>
    <x v="12"/>
    <s v="Access to electricity (% of population)"/>
    <m/>
    <x v="26"/>
  </r>
  <r>
    <x v="13"/>
    <s v="Access to electricity (% of population)"/>
    <m/>
    <x v="26"/>
  </r>
  <r>
    <x v="14"/>
    <s v="Access to electricity (% of population)"/>
    <m/>
    <x v="26"/>
  </r>
  <r>
    <x v="15"/>
    <s v="Access to electricity (% of population)"/>
    <m/>
    <x v="26"/>
  </r>
  <r>
    <x v="16"/>
    <s v="Access to electricity (% of population)"/>
    <m/>
    <x v="26"/>
  </r>
  <r>
    <x v="17"/>
    <s v="Access to electricity (% of population)"/>
    <m/>
    <x v="26"/>
  </r>
  <r>
    <x v="18"/>
    <s v="Access to electricity (% of population)"/>
    <m/>
    <x v="26"/>
  </r>
  <r>
    <x v="19"/>
    <s v="Access to electricity (% of population)"/>
    <m/>
    <x v="26"/>
  </r>
  <r>
    <x v="20"/>
    <s v="Access to electricity (% of population)"/>
    <m/>
    <x v="26"/>
  </r>
  <r>
    <x v="21"/>
    <s v="Access to electricity (% of population)"/>
    <m/>
    <x v="26"/>
  </r>
  <r>
    <x v="22"/>
    <s v="Access to electricity (% of population)"/>
    <m/>
    <x v="26"/>
  </r>
  <r>
    <x v="23"/>
    <s v="Access to electricity (% of population)"/>
    <m/>
    <x v="26"/>
  </r>
  <r>
    <x v="24"/>
    <s v="Access to electricity (% of population)"/>
    <m/>
    <x v="26"/>
  </r>
  <r>
    <x v="25"/>
    <s v="Access to electricity (% of population)"/>
    <m/>
    <x v="26"/>
  </r>
  <r>
    <x v="26"/>
    <s v="Access to electricity (% of population)"/>
    <m/>
    <x v="26"/>
  </r>
  <r>
    <x v="27"/>
    <s v="Access to electricity (% of population)"/>
    <m/>
    <x v="26"/>
  </r>
  <r>
    <x v="0"/>
    <s v="Access to electricity (% of population)"/>
    <m/>
    <x v="27"/>
  </r>
  <r>
    <x v="1"/>
    <s v="Access to electricity (% of population)"/>
    <m/>
    <x v="27"/>
  </r>
  <r>
    <x v="2"/>
    <s v="Access to electricity (% of population)"/>
    <m/>
    <x v="27"/>
  </r>
  <r>
    <x v="3"/>
    <s v="Access to electricity (% of population)"/>
    <m/>
    <x v="27"/>
  </r>
  <r>
    <x v="4"/>
    <s v="Access to electricity (% of population)"/>
    <m/>
    <x v="27"/>
  </r>
  <r>
    <x v="5"/>
    <s v="Access to electricity (% of population)"/>
    <m/>
    <x v="27"/>
  </r>
  <r>
    <x v="6"/>
    <s v="Access to electricity (% of population)"/>
    <m/>
    <x v="27"/>
  </r>
  <r>
    <x v="7"/>
    <s v="Access to electricity (% of population)"/>
    <m/>
    <x v="27"/>
  </r>
  <r>
    <x v="8"/>
    <s v="Access to electricity (% of population)"/>
    <m/>
    <x v="27"/>
  </r>
  <r>
    <x v="9"/>
    <s v="Access to electricity (% of population)"/>
    <m/>
    <x v="27"/>
  </r>
  <r>
    <x v="10"/>
    <s v="Access to electricity (% of population)"/>
    <m/>
    <x v="27"/>
  </r>
  <r>
    <x v="11"/>
    <s v="Access to electricity (% of population)"/>
    <m/>
    <x v="27"/>
  </r>
  <r>
    <x v="12"/>
    <s v="Access to electricity (% of population)"/>
    <m/>
    <x v="27"/>
  </r>
  <r>
    <x v="13"/>
    <s v="Access to electricity (% of population)"/>
    <m/>
    <x v="27"/>
  </r>
  <r>
    <x v="14"/>
    <s v="Access to electricity (% of population)"/>
    <m/>
    <x v="27"/>
  </r>
  <r>
    <x v="15"/>
    <s v="Access to electricity (% of population)"/>
    <m/>
    <x v="27"/>
  </r>
  <r>
    <x v="16"/>
    <s v="Access to electricity (% of population)"/>
    <m/>
    <x v="27"/>
  </r>
  <r>
    <x v="17"/>
    <s v="Access to electricity (% of population)"/>
    <m/>
    <x v="27"/>
  </r>
  <r>
    <x v="18"/>
    <s v="Access to electricity (% of population)"/>
    <m/>
    <x v="27"/>
  </r>
  <r>
    <x v="19"/>
    <s v="Access to electricity (% of population)"/>
    <m/>
    <x v="27"/>
  </r>
  <r>
    <x v="20"/>
    <s v="Access to electricity (% of population)"/>
    <m/>
    <x v="27"/>
  </r>
  <r>
    <x v="21"/>
    <s v="Access to electricity (% of population)"/>
    <m/>
    <x v="27"/>
  </r>
  <r>
    <x v="22"/>
    <s v="Access to electricity (% of population)"/>
    <m/>
    <x v="27"/>
  </r>
  <r>
    <x v="23"/>
    <s v="Access to electricity (% of population)"/>
    <m/>
    <x v="27"/>
  </r>
  <r>
    <x v="24"/>
    <s v="Access to electricity (% of population)"/>
    <m/>
    <x v="27"/>
  </r>
  <r>
    <x v="25"/>
    <s v="Access to electricity (% of population)"/>
    <m/>
    <x v="27"/>
  </r>
  <r>
    <x v="26"/>
    <s v="Access to electricity (% of population)"/>
    <m/>
    <x v="27"/>
  </r>
  <r>
    <x v="27"/>
    <s v="Access to electricity (% of population)"/>
    <m/>
    <x v="27"/>
  </r>
  <r>
    <x v="0"/>
    <s v="Access to electricity (% of population)"/>
    <m/>
    <x v="28"/>
  </r>
  <r>
    <x v="1"/>
    <s v="Access to electricity (% of population)"/>
    <m/>
    <x v="28"/>
  </r>
  <r>
    <x v="2"/>
    <s v="Access to electricity (% of population)"/>
    <m/>
    <x v="28"/>
  </r>
  <r>
    <x v="3"/>
    <s v="Access to electricity (% of population)"/>
    <m/>
    <x v="28"/>
  </r>
  <r>
    <x v="4"/>
    <s v="Access to electricity (% of population)"/>
    <m/>
    <x v="28"/>
  </r>
  <r>
    <x v="5"/>
    <s v="Access to electricity (% of population)"/>
    <m/>
    <x v="28"/>
  </r>
  <r>
    <x v="6"/>
    <s v="Access to electricity (% of population)"/>
    <m/>
    <x v="28"/>
  </r>
  <r>
    <x v="7"/>
    <s v="Access to electricity (% of population)"/>
    <m/>
    <x v="28"/>
  </r>
  <r>
    <x v="8"/>
    <s v="Access to electricity (% of population)"/>
    <m/>
    <x v="28"/>
  </r>
  <r>
    <x v="9"/>
    <s v="Access to electricity (% of population)"/>
    <m/>
    <x v="28"/>
  </r>
  <r>
    <x v="10"/>
    <s v="Access to electricity (% of population)"/>
    <m/>
    <x v="28"/>
  </r>
  <r>
    <x v="11"/>
    <s v="Access to electricity (% of population)"/>
    <m/>
    <x v="28"/>
  </r>
  <r>
    <x v="12"/>
    <s v="Access to electricity (% of population)"/>
    <m/>
    <x v="28"/>
  </r>
  <r>
    <x v="13"/>
    <s v="Access to electricity (% of population)"/>
    <m/>
    <x v="28"/>
  </r>
  <r>
    <x v="14"/>
    <s v="Access to electricity (% of population)"/>
    <m/>
    <x v="28"/>
  </r>
  <r>
    <x v="15"/>
    <s v="Access to electricity (% of population)"/>
    <m/>
    <x v="28"/>
  </r>
  <r>
    <x v="16"/>
    <s v="Access to electricity (% of population)"/>
    <m/>
    <x v="28"/>
  </r>
  <r>
    <x v="17"/>
    <s v="Access to electricity (% of population)"/>
    <m/>
    <x v="28"/>
  </r>
  <r>
    <x v="18"/>
    <s v="Access to electricity (% of population)"/>
    <m/>
    <x v="28"/>
  </r>
  <r>
    <x v="19"/>
    <s v="Access to electricity (% of population)"/>
    <m/>
    <x v="28"/>
  </r>
  <r>
    <x v="20"/>
    <s v="Access to electricity (% of population)"/>
    <m/>
    <x v="28"/>
  </r>
  <r>
    <x v="21"/>
    <s v="Access to electricity (% of population)"/>
    <m/>
    <x v="28"/>
  </r>
  <r>
    <x v="22"/>
    <s v="Access to electricity (% of population)"/>
    <m/>
    <x v="28"/>
  </r>
  <r>
    <x v="23"/>
    <s v="Access to electricity (% of population)"/>
    <m/>
    <x v="28"/>
  </r>
  <r>
    <x v="24"/>
    <s v="Access to electricity (% of population)"/>
    <m/>
    <x v="28"/>
  </r>
  <r>
    <x v="25"/>
    <s v="Access to electricity (% of population)"/>
    <m/>
    <x v="28"/>
  </r>
  <r>
    <x v="26"/>
    <s v="Access to electricity (% of population)"/>
    <m/>
    <x v="28"/>
  </r>
  <r>
    <x v="27"/>
    <s v="Access to electricity (% of population)"/>
    <m/>
    <x v="28"/>
  </r>
  <r>
    <x v="0"/>
    <s v="Access to electricity (% of population)"/>
    <m/>
    <x v="29"/>
  </r>
  <r>
    <x v="1"/>
    <s v="Access to electricity (% of population)"/>
    <m/>
    <x v="29"/>
  </r>
  <r>
    <x v="2"/>
    <s v="Access to electricity (% of population)"/>
    <m/>
    <x v="29"/>
  </r>
  <r>
    <x v="3"/>
    <s v="Access to electricity (% of population)"/>
    <m/>
    <x v="29"/>
  </r>
  <r>
    <x v="4"/>
    <s v="Access to electricity (% of population)"/>
    <m/>
    <x v="29"/>
  </r>
  <r>
    <x v="5"/>
    <s v="Access to electricity (% of population)"/>
    <m/>
    <x v="29"/>
  </r>
  <r>
    <x v="6"/>
    <s v="Access to electricity (% of population)"/>
    <m/>
    <x v="29"/>
  </r>
  <r>
    <x v="7"/>
    <s v="Access to electricity (% of population)"/>
    <m/>
    <x v="29"/>
  </r>
  <r>
    <x v="8"/>
    <s v="Access to electricity (% of population)"/>
    <m/>
    <x v="29"/>
  </r>
  <r>
    <x v="9"/>
    <s v="Access to electricity (% of population)"/>
    <m/>
    <x v="29"/>
  </r>
  <r>
    <x v="10"/>
    <s v="Access to electricity (% of population)"/>
    <m/>
    <x v="29"/>
  </r>
  <r>
    <x v="11"/>
    <s v="Access to electricity (% of population)"/>
    <m/>
    <x v="29"/>
  </r>
  <r>
    <x v="12"/>
    <s v="Access to electricity (% of population)"/>
    <m/>
    <x v="29"/>
  </r>
  <r>
    <x v="13"/>
    <s v="Access to electricity (% of population)"/>
    <m/>
    <x v="29"/>
  </r>
  <r>
    <x v="14"/>
    <s v="Access to electricity (% of population)"/>
    <m/>
    <x v="29"/>
  </r>
  <r>
    <x v="15"/>
    <s v="Access to electricity (% of population)"/>
    <m/>
    <x v="29"/>
  </r>
  <r>
    <x v="16"/>
    <s v="Access to electricity (% of population)"/>
    <m/>
    <x v="29"/>
  </r>
  <r>
    <x v="17"/>
    <s v="Access to electricity (% of population)"/>
    <m/>
    <x v="29"/>
  </r>
  <r>
    <x v="18"/>
    <s v="Access to electricity (% of population)"/>
    <m/>
    <x v="29"/>
  </r>
  <r>
    <x v="19"/>
    <s v="Access to electricity (% of population)"/>
    <m/>
    <x v="29"/>
  </r>
  <r>
    <x v="20"/>
    <s v="Access to electricity (% of population)"/>
    <m/>
    <x v="29"/>
  </r>
  <r>
    <x v="21"/>
    <s v="Access to electricity (% of population)"/>
    <m/>
    <x v="29"/>
  </r>
  <r>
    <x v="22"/>
    <s v="Access to electricity (% of population)"/>
    <m/>
    <x v="29"/>
  </r>
  <r>
    <x v="23"/>
    <s v="Access to electricity (% of population)"/>
    <m/>
    <x v="29"/>
  </r>
  <r>
    <x v="24"/>
    <s v="Access to electricity (% of population)"/>
    <m/>
    <x v="29"/>
  </r>
  <r>
    <x v="25"/>
    <s v="Access to electricity (% of population)"/>
    <m/>
    <x v="29"/>
  </r>
  <r>
    <x v="26"/>
    <s v="Access to electricity (% of population)"/>
    <m/>
    <x v="29"/>
  </r>
  <r>
    <x v="27"/>
    <s v="Access to electricity (% of population)"/>
    <m/>
    <x v="29"/>
  </r>
  <r>
    <x v="0"/>
    <s v="Access to electricity (% of population)"/>
    <n v="0.34862706065177901"/>
    <x v="30"/>
  </r>
  <r>
    <x v="1"/>
    <s v="Access to electricity (% of population)"/>
    <n v="30.129716873168899"/>
    <x v="30"/>
  </r>
  <r>
    <x v="2"/>
    <s v="Access to electricity (% of population)"/>
    <n v="9.9999997764825804E-3"/>
    <x v="30"/>
  </r>
  <r>
    <x v="3"/>
    <s v="Access to electricity (% of population)"/>
    <n v="15.2995491027832"/>
    <x v="30"/>
  </r>
  <r>
    <x v="4"/>
    <s v="Access to electricity (% of population)"/>
    <n v="59.609077453613303"/>
    <x v="30"/>
  </r>
  <r>
    <x v="5"/>
    <s v="Access to electricity (% of population)"/>
    <n v="9.9999997764825804E-3"/>
    <x v="30"/>
  </r>
  <r>
    <x v="6"/>
    <s v="Access to electricity (% of population)"/>
    <n v="6.4290671348571804"/>
    <x v="30"/>
  </r>
  <r>
    <x v="7"/>
    <s v="Access to electricity (% of population)"/>
    <n v="28.001398086547901"/>
    <x v="30"/>
  </r>
  <r>
    <x v="8"/>
    <s v="Access to electricity (% of population)"/>
    <n v="3.3183898925781201"/>
    <x v="30"/>
  </r>
  <r>
    <x v="9"/>
    <s v="Access to electricity (% of population)"/>
    <n v="87.694694519042997"/>
    <x v="30"/>
  </r>
  <r>
    <x v="10"/>
    <s v="Access to electricity (% of population)"/>
    <n v="9.9999997764825804E-3"/>
    <x v="30"/>
  </r>
  <r>
    <x v="11"/>
    <s v="Access to electricity (% of population)"/>
    <n v="9.5717821121215803"/>
    <x v="30"/>
  </r>
  <r>
    <x v="12"/>
    <s v="Access to electricity (% of population)"/>
    <n v="1.1207196712493901"/>
    <x v="30"/>
  </r>
  <r>
    <x v="13"/>
    <s v="Access to electricity (% of population)"/>
    <n v="9.9999997764825804E-3"/>
    <x v="30"/>
  </r>
  <r>
    <x v="14"/>
    <s v="Access to electricity (% of population)"/>
    <n v="94.91943359375"/>
    <x v="30"/>
  </r>
  <r>
    <x v="15"/>
    <s v="Access to electricity (% of population)"/>
    <n v="9.9999997764825804E-3"/>
    <x v="30"/>
  </r>
  <r>
    <x v="16"/>
    <s v="Access to electricity (% of population)"/>
    <n v="35.652030944824197"/>
    <x v="30"/>
  </r>
  <r>
    <x v="17"/>
    <s v="Access to electricity (% of population)"/>
    <n v="9.9999997764825804E-3"/>
    <x v="30"/>
  </r>
  <r>
    <x v="18"/>
    <s v="Access to electricity (% of population)"/>
    <n v="66.828041076660199"/>
    <x v="30"/>
  </r>
  <r>
    <x v="19"/>
    <s v="Access to electricity (% of population)"/>
    <n v="2.2900023460388201"/>
    <x v="30"/>
  </r>
  <r>
    <x v="20"/>
    <s v="Access to electricity (% of population)"/>
    <n v="9.9999997764825804E-3"/>
    <x v="30"/>
  </r>
  <r>
    <x v="21"/>
    <s v="Access to electricity (% of population)"/>
    <n v="42.757965087890597"/>
    <x v="30"/>
  </r>
  <r>
    <x v="22"/>
    <s v="Access to electricity (% of population)"/>
    <n v="52.9376411437988"/>
    <x v="30"/>
  </r>
  <r>
    <x v="23"/>
    <s v="Access to electricity (% of population)"/>
    <n v="96.603431701660199"/>
    <x v="30"/>
  </r>
  <r>
    <x v="24"/>
    <s v="Access to electricity (% of population)"/>
    <n v="2.4837088584899898"/>
    <x v="30"/>
  </r>
  <r>
    <x v="25"/>
    <s v="Access to electricity (% of population)"/>
    <n v="1.26645708084106"/>
    <x v="30"/>
  </r>
  <r>
    <x v="26"/>
    <s v="Access to electricity (% of population)"/>
    <n v="13.9"/>
    <x v="30"/>
  </r>
  <r>
    <x v="27"/>
    <s v="Access to electricity (% of population)"/>
    <n v="30.357831954956101"/>
    <x v="30"/>
  </r>
  <r>
    <x v="0"/>
    <s v="Access to electricity (% of population)"/>
    <n v="0.688546001911163"/>
    <x v="31"/>
  </r>
  <r>
    <x v="1"/>
    <s v="Access to electricity (% of population)"/>
    <n v="29"/>
    <x v="31"/>
  </r>
  <r>
    <x v="2"/>
    <s v="Access to electricity (% of population)"/>
    <n v="3.0787270516157199E-2"/>
    <x v="31"/>
  </r>
  <r>
    <x v="3"/>
    <s v="Access to electricity (% of population)"/>
    <n v="17.766576766967798"/>
    <x v="31"/>
  </r>
  <r>
    <x v="4"/>
    <s v="Access to electricity (% of population)"/>
    <n v="59.3695259094238"/>
    <x v="31"/>
  </r>
  <r>
    <x v="5"/>
    <s v="Access to electricity (% of population)"/>
    <n v="9.9999997764825804E-3"/>
    <x v="31"/>
  </r>
  <r>
    <x v="6"/>
    <s v="Access to electricity (% of population)"/>
    <n v="7.4742112159729004"/>
    <x v="31"/>
  </r>
  <r>
    <x v="7"/>
    <s v="Access to electricity (% of population)"/>
    <n v="28.4739665985107"/>
    <x v="31"/>
  </r>
  <r>
    <x v="8"/>
    <s v="Access to electricity (% of population)"/>
    <n v="4.61489009857178"/>
    <x v="31"/>
  </r>
  <r>
    <x v="9"/>
    <s v="Access to electricity (% of population)"/>
    <n v="88.333473205566406"/>
    <x v="31"/>
  </r>
  <r>
    <x v="10"/>
    <s v="Access to electricity (% of population)"/>
    <n v="9.9999997764825804E-3"/>
    <x v="31"/>
  </r>
  <r>
    <x v="11"/>
    <s v="Access to electricity (% of population)"/>
    <n v="10.0140933990479"/>
    <x v="31"/>
  </r>
  <r>
    <x v="12"/>
    <s v="Access to electricity (% of population)"/>
    <n v="1.5494590997695901"/>
    <x v="31"/>
  </r>
  <r>
    <x v="13"/>
    <s v="Access to electricity (% of population)"/>
    <n v="2.36798115074635E-2"/>
    <x v="31"/>
  </r>
  <r>
    <x v="14"/>
    <s v="Access to electricity (% of population)"/>
    <n v="95.274398803710895"/>
    <x v="31"/>
  </r>
  <r>
    <x v="15"/>
    <s v="Access to electricity (% of population)"/>
    <n v="1.0269812308251899E-2"/>
    <x v="31"/>
  </r>
  <r>
    <x v="16"/>
    <s v="Access to electricity (% of population)"/>
    <n v="36.5349311828613"/>
    <x v="31"/>
  </r>
  <r>
    <x v="17"/>
    <s v="Access to electricity (% of population)"/>
    <n v="6.5060190856456798E-2"/>
    <x v="31"/>
  </r>
  <r>
    <x v="18"/>
    <s v="Access to electricity (% of population)"/>
    <n v="67.465225219726506"/>
    <x v="31"/>
  </r>
  <r>
    <x v="19"/>
    <s v="Access to electricity (% of population)"/>
    <n v="2.88712811470032"/>
    <x v="31"/>
  </r>
  <r>
    <x v="20"/>
    <s v="Access to electricity (% of population)"/>
    <n v="9.9999997764825804E-3"/>
    <x v="31"/>
  </r>
  <r>
    <x v="21"/>
    <s v="Access to electricity (% of population)"/>
    <n v="43.6918334960938"/>
    <x v="31"/>
  </r>
  <r>
    <x v="22"/>
    <s v="Access to electricity (% of population)"/>
    <n v="54.639511108398402"/>
    <x v="31"/>
  </r>
  <r>
    <x v="23"/>
    <s v="Access to electricity (% of population)"/>
    <n v="96.821502685546903"/>
    <x v="31"/>
  </r>
  <r>
    <x v="24"/>
    <s v="Access to electricity (% of population)"/>
    <n v="3.2344152927398699"/>
    <x v="31"/>
  </r>
  <r>
    <x v="25"/>
    <s v="Access to electricity (% of population)"/>
    <n v="5.6"/>
    <x v="31"/>
  </r>
  <r>
    <x v="26"/>
    <s v="Access to electricity (% of population)"/>
    <n v="14.115426063537599"/>
    <x v="31"/>
  </r>
  <r>
    <x v="27"/>
    <s v="Access to electricity (% of population)"/>
    <n v="30.718805313110401"/>
    <x v="31"/>
  </r>
  <r>
    <x v="0"/>
    <s v="Access to electricity (% of population)"/>
    <n v="1.02795505523682"/>
    <x v="32"/>
  </r>
  <r>
    <x v="1"/>
    <s v="Access to electricity (% of population)"/>
    <n v="32.555599212646499"/>
    <x v="32"/>
  </r>
  <r>
    <x v="2"/>
    <s v="Access to electricity (% of population)"/>
    <n v="0.108397804200649"/>
    <x v="32"/>
  </r>
  <r>
    <x v="3"/>
    <s v="Access to electricity (% of population)"/>
    <n v="20.2330932617188"/>
    <x v="32"/>
  </r>
  <r>
    <x v="4"/>
    <s v="Access to electricity (% of population)"/>
    <n v="59.129463195800803"/>
    <x v="32"/>
  </r>
  <r>
    <x v="5"/>
    <s v="Access to electricity (% of population)"/>
    <n v="2.73247733712196E-2"/>
    <x v="32"/>
  </r>
  <r>
    <x v="6"/>
    <s v="Access to electricity (% of population)"/>
    <n v="8.5188455581665004"/>
    <x v="32"/>
  </r>
  <r>
    <x v="7"/>
    <s v="Access to electricity (% of population)"/>
    <n v="28.946027755737301"/>
    <x v="32"/>
  </r>
  <r>
    <x v="8"/>
    <s v="Access to electricity (% of population)"/>
    <n v="5.9108810424804696"/>
    <x v="32"/>
  </r>
  <r>
    <x v="9"/>
    <s v="Access to electricity (% of population)"/>
    <n v="88.971748352050795"/>
    <x v="32"/>
  </r>
  <r>
    <x v="10"/>
    <s v="Access to electricity (% of population)"/>
    <n v="9.9999997764825804E-3"/>
    <x v="32"/>
  </r>
  <r>
    <x v="11"/>
    <s v="Access to electricity (% of population)"/>
    <n v="9.1999999999999993"/>
    <x v="32"/>
  </r>
  <r>
    <x v="12"/>
    <s v="Access to electricity (% of population)"/>
    <n v="3.2"/>
    <x v="32"/>
  </r>
  <r>
    <x v="13"/>
    <s v="Access to electricity (% of population)"/>
    <n v="0.13086751103401201"/>
    <x v="32"/>
  </r>
  <r>
    <x v="14"/>
    <s v="Access to electricity (% of population)"/>
    <n v="95.628852844238295"/>
    <x v="32"/>
  </r>
  <r>
    <x v="15"/>
    <s v="Access to electricity (% of population)"/>
    <n v="2.9886074364185299E-2"/>
    <x v="32"/>
  </r>
  <r>
    <x v="16"/>
    <s v="Access to electricity (% of population)"/>
    <n v="37.417320251464801"/>
    <x v="32"/>
  </r>
  <r>
    <x v="17"/>
    <s v="Access to electricity (% of population)"/>
    <n v="0.45856440067291299"/>
    <x v="32"/>
  </r>
  <r>
    <x v="18"/>
    <s v="Access to electricity (% of population)"/>
    <n v="68.101898193359403"/>
    <x v="32"/>
  </r>
  <r>
    <x v="19"/>
    <s v="Access to electricity (% of population)"/>
    <n v="4.4000000000000004"/>
    <x v="32"/>
  </r>
  <r>
    <x v="20"/>
    <s v="Access to electricity (% of population)"/>
    <n v="2.2999999999999998"/>
    <x v="32"/>
  </r>
  <r>
    <x v="21"/>
    <s v="Access to electricity (% of population)"/>
    <n v="44.625190734863303"/>
    <x v="32"/>
  </r>
  <r>
    <x v="22"/>
    <s v="Access to electricity (% of population)"/>
    <n v="56.340873718261697"/>
    <x v="32"/>
  </r>
  <r>
    <x v="23"/>
    <s v="Access to electricity (% of population)"/>
    <n v="97.0390625"/>
    <x v="32"/>
  </r>
  <r>
    <x v="24"/>
    <s v="Access to electricity (% of population)"/>
    <n v="6.8"/>
    <x v="32"/>
  </r>
  <r>
    <x v="25"/>
    <s v="Access to electricity (% of population)"/>
    <n v="2.7676658630371098"/>
    <x v="32"/>
  </r>
  <r>
    <x v="26"/>
    <s v="Access to electricity (% of population)"/>
    <n v="19.2"/>
    <x v="32"/>
  </r>
  <r>
    <x v="27"/>
    <s v="Access to electricity (% of population)"/>
    <n v="28.2"/>
    <x v="32"/>
  </r>
  <r>
    <x v="0"/>
    <s v="Access to electricity (% of population)"/>
    <n v="1.3643051385879501"/>
    <x v="33"/>
  </r>
  <r>
    <x v="1"/>
    <s v="Access to electricity (% of population)"/>
    <n v="33.765224456787102"/>
    <x v="33"/>
  </r>
  <r>
    <x v="2"/>
    <s v="Access to electricity (% of population)"/>
    <n v="0.29748061299324002"/>
    <x v="33"/>
  </r>
  <r>
    <x v="3"/>
    <s v="Access to electricity (% of population)"/>
    <n v="22.6965522766113"/>
    <x v="33"/>
  </r>
  <r>
    <x v="4"/>
    <s v="Access to electricity (% of population)"/>
    <n v="58.886344909667997"/>
    <x v="33"/>
  </r>
  <r>
    <x v="5"/>
    <s v="Access to electricity (% of population)"/>
    <n v="0.15724191069603"/>
    <x v="33"/>
  </r>
  <r>
    <x v="6"/>
    <s v="Access to electricity (% of population)"/>
    <n v="9.5604200363159197"/>
    <x v="33"/>
  </r>
  <r>
    <x v="7"/>
    <s v="Access to electricity (% of population)"/>
    <n v="29.4150276184082"/>
    <x v="33"/>
  </r>
  <r>
    <x v="8"/>
    <s v="Access to electricity (% of population)"/>
    <n v="10.9"/>
    <x v="33"/>
  </r>
  <r>
    <x v="9"/>
    <s v="Access to electricity (% of population)"/>
    <n v="89.606956481933494"/>
    <x v="33"/>
  </r>
  <r>
    <x v="10"/>
    <s v="Access to electricity (% of population)"/>
    <n v="9.9999997764825804E-3"/>
    <x v="33"/>
  </r>
  <r>
    <x v="11"/>
    <s v="Access to electricity (% of population)"/>
    <n v="10.8946380615234"/>
    <x v="33"/>
  </r>
  <r>
    <x v="12"/>
    <s v="Access to electricity (% of population)"/>
    <n v="2.4028589725494398"/>
    <x v="33"/>
  </r>
  <r>
    <x v="13"/>
    <s v="Access to electricity (% of population)"/>
    <n v="0.51163536310195901"/>
    <x v="33"/>
  </r>
  <r>
    <x v="14"/>
    <s v="Access to electricity (% of population)"/>
    <n v="95.980247497558494"/>
    <x v="33"/>
  </r>
  <r>
    <x v="15"/>
    <s v="Access to electricity (% of population)"/>
    <n v="0.15972380340099299"/>
    <x v="33"/>
  </r>
  <r>
    <x v="16"/>
    <s v="Access to electricity (% of population)"/>
    <n v="38.2966499328613"/>
    <x v="33"/>
  </r>
  <r>
    <x v="17"/>
    <s v="Access to electricity (% of population)"/>
    <n v="1.7262779474258401"/>
    <x v="33"/>
  </r>
  <r>
    <x v="18"/>
    <s v="Access to electricity (% of population)"/>
    <n v="72.064173999999994"/>
    <x v="33"/>
  </r>
  <r>
    <x v="19"/>
    <s v="Access to electricity (% of population)"/>
    <n v="4.0773010253906303"/>
    <x v="33"/>
  </r>
  <r>
    <x v="20"/>
    <s v="Access to electricity (% of population)"/>
    <n v="4.27721999585629E-2"/>
    <x v="33"/>
  </r>
  <r>
    <x v="21"/>
    <s v="Access to electricity (% of population)"/>
    <n v="45.555488586425803"/>
    <x v="33"/>
  </r>
  <r>
    <x v="22"/>
    <s v="Access to electricity (% of population)"/>
    <n v="58.039173126220703"/>
    <x v="33"/>
  </r>
  <r>
    <x v="23"/>
    <s v="Access to electricity (% of population)"/>
    <n v="97.253562927245994"/>
    <x v="33"/>
  </r>
  <r>
    <x v="24"/>
    <s v="Access to electricity (% of population)"/>
    <n v="4.7317490577697798"/>
    <x v="33"/>
  </r>
  <r>
    <x v="25"/>
    <s v="Access to electricity (% of population)"/>
    <n v="3.5149564743042001"/>
    <x v="33"/>
  </r>
  <r>
    <x v="26"/>
    <s v="Access to electricity (% of population)"/>
    <n v="15.287503242492701"/>
    <x v="33"/>
  </r>
  <r>
    <x v="27"/>
    <s v="Access to electricity (% of population)"/>
    <n v="31.4366779327393"/>
    <x v="33"/>
  </r>
  <r>
    <x v="0"/>
    <s v="Access to electricity (% of population)"/>
    <n v="1.69453692436218"/>
    <x v="34"/>
  </r>
  <r>
    <x v="1"/>
    <s v="Access to electricity (% of population)"/>
    <n v="34.968734741210902"/>
    <x v="34"/>
  </r>
  <r>
    <x v="2"/>
    <s v="Access to electricity (% of population)"/>
    <n v="0.57513010501861594"/>
    <x v="34"/>
  </r>
  <r>
    <x v="3"/>
    <s v="Access to electricity (% of population)"/>
    <n v="25.153892517089801"/>
    <x v="34"/>
  </r>
  <r>
    <x v="4"/>
    <s v="Access to electricity (% of population)"/>
    <n v="58.6371040344238"/>
    <x v="34"/>
  </r>
  <r>
    <x v="5"/>
    <s v="Access to electricity (% of population)"/>
    <n v="0.59865397214889504"/>
    <x v="34"/>
  </r>
  <r>
    <x v="6"/>
    <s v="Access to electricity (% of population)"/>
    <n v="10.5958766937256"/>
    <x v="34"/>
  </r>
  <r>
    <x v="7"/>
    <s v="Access to electricity (% of population)"/>
    <n v="29.8779106140137"/>
    <x v="34"/>
  </r>
  <r>
    <x v="8"/>
    <s v="Access to electricity (% of population)"/>
    <n v="8.4906253814697301"/>
    <x v="34"/>
  </r>
  <r>
    <x v="9"/>
    <s v="Access to electricity (% of population)"/>
    <n v="90.236053466796903"/>
    <x v="34"/>
  </r>
  <r>
    <x v="10"/>
    <s v="Access to electricity (% of population)"/>
    <n v="9.9999997764825804E-3"/>
    <x v="34"/>
  </r>
  <r>
    <x v="11"/>
    <s v="Access to electricity (% of population)"/>
    <n v="11.327262878418001"/>
    <x v="34"/>
  </r>
  <r>
    <x v="12"/>
    <s v="Access to electricity (% of population)"/>
    <n v="2.82191109657288"/>
    <x v="34"/>
  </r>
  <r>
    <x v="13"/>
    <s v="Access to electricity (% of population)"/>
    <n v="0.88550788164138805"/>
    <x v="34"/>
  </r>
  <r>
    <x v="14"/>
    <s v="Access to electricity (% of population)"/>
    <n v="96.325523376464801"/>
    <x v="34"/>
  </r>
  <r>
    <x v="15"/>
    <s v="Access to electricity (% of population)"/>
    <n v="0.55948531627654996"/>
    <x v="34"/>
  </r>
  <r>
    <x v="16"/>
    <s v="Access to electricity (% of population)"/>
    <n v="39.169864654541001"/>
    <x v="34"/>
  </r>
  <r>
    <x v="17"/>
    <s v="Access to electricity (% of population)"/>
    <n v="3.53385210037231"/>
    <x v="34"/>
  </r>
  <r>
    <x v="18"/>
    <s v="Access to electricity (% of population)"/>
    <n v="69.363014221191406"/>
    <x v="34"/>
  </r>
  <r>
    <x v="19"/>
    <s v="Access to electricity (% of population)"/>
    <n v="4.6647400856018102"/>
    <x v="34"/>
  </r>
  <r>
    <x v="20"/>
    <s v="Access to electricity (% of population)"/>
    <n v="0.18825627863407099"/>
    <x v="34"/>
  </r>
  <r>
    <x v="21"/>
    <s v="Access to electricity (% of population)"/>
    <n v="46.479671478271499"/>
    <x v="34"/>
  </r>
  <r>
    <x v="22"/>
    <s v="Access to electricity (% of population)"/>
    <n v="59.731357574462898"/>
    <x v="34"/>
  </r>
  <r>
    <x v="23"/>
    <s v="Access to electricity (% of population)"/>
    <n v="97.461952209472699"/>
    <x v="34"/>
  </r>
  <r>
    <x v="24"/>
    <s v="Access to electricity (% of population)"/>
    <n v="5.4727678298950204"/>
    <x v="34"/>
  </r>
  <r>
    <x v="25"/>
    <s v="Access to electricity (% of population)"/>
    <n v="4.2561287879943803"/>
    <x v="34"/>
  </r>
  <r>
    <x v="26"/>
    <s v="Access to electricity (% of population)"/>
    <n v="15.865894317626999"/>
    <x v="34"/>
  </r>
  <r>
    <x v="27"/>
    <s v="Access to electricity (% of population)"/>
    <n v="28.1"/>
    <x v="34"/>
  </r>
  <r>
    <x v="0"/>
    <s v="Access to electricity (% of population)"/>
    <n v="2.0155913829803498"/>
    <x v="35"/>
  </r>
  <r>
    <x v="1"/>
    <s v="Access to electricity (% of population)"/>
    <n v="36.1630668640137"/>
    <x v="35"/>
  </r>
  <r>
    <x v="2"/>
    <s v="Access to electricity (% of population)"/>
    <n v="1.00354039669037"/>
    <x v="35"/>
  </r>
  <r>
    <x v="3"/>
    <s v="Access to electricity (% of population)"/>
    <n v="27.602054595947301"/>
    <x v="35"/>
  </r>
  <r>
    <x v="4"/>
    <s v="Access to electricity (% of population)"/>
    <n v="58.378688812255902"/>
    <x v="35"/>
  </r>
  <r>
    <x v="5"/>
    <s v="Access to electricity (% of population)"/>
    <n v="1.11878561973572"/>
    <x v="35"/>
  </r>
  <r>
    <x v="6"/>
    <s v="Access to electricity (% of population)"/>
    <n v="11.6221561431885"/>
    <x v="35"/>
  </r>
  <r>
    <x v="7"/>
    <s v="Access to electricity (% of population)"/>
    <n v="31.3"/>
    <x v="35"/>
  </r>
  <r>
    <x v="8"/>
    <s v="Access to electricity (% of population)"/>
    <n v="9.7682619094848597"/>
    <x v="35"/>
  </r>
  <r>
    <x v="9"/>
    <s v="Access to electricity (% of population)"/>
    <n v="90.855964660644503"/>
    <x v="35"/>
  </r>
  <r>
    <x v="10"/>
    <s v="Access to electricity (% of population)"/>
    <n v="9.9999997764825804E-3"/>
    <x v="35"/>
  </r>
  <r>
    <x v="11"/>
    <s v="Access to electricity (% of population)"/>
    <n v="11.750709533691399"/>
    <x v="35"/>
  </r>
  <r>
    <x v="12"/>
    <s v="Access to electricity (% of population)"/>
    <n v="3.2317860126495401"/>
    <x v="35"/>
  </r>
  <r>
    <x v="13"/>
    <s v="Access to electricity (% of population)"/>
    <n v="2.4924738407135001"/>
    <x v="35"/>
  </r>
  <r>
    <x v="14"/>
    <s v="Access to electricity (% of population)"/>
    <n v="96.661628723144503"/>
    <x v="35"/>
  </r>
  <r>
    <x v="15"/>
    <s v="Access to electricity (% of population)"/>
    <n v="1.1791011095046999"/>
    <x v="35"/>
  </r>
  <r>
    <x v="16"/>
    <s v="Access to electricity (% of population)"/>
    <n v="40.033897399902301"/>
    <x v="35"/>
  </r>
  <r>
    <x v="17"/>
    <s v="Access to electricity (% of population)"/>
    <n v="7.57501268386841"/>
    <x v="35"/>
  </r>
  <r>
    <x v="18"/>
    <s v="Access to electricity (% of population)"/>
    <n v="69.981330871582003"/>
    <x v="35"/>
  </r>
  <r>
    <x v="19"/>
    <s v="Access to electricity (% of population)"/>
    <n v="6.2"/>
    <x v="35"/>
  </r>
  <r>
    <x v="20"/>
    <s v="Access to electricity (% of population)"/>
    <n v="0.57747811079025302"/>
    <x v="35"/>
  </r>
  <r>
    <x v="21"/>
    <s v="Access to electricity (% of population)"/>
    <n v="47.3946723937988"/>
    <x v="35"/>
  </r>
  <r>
    <x v="22"/>
    <s v="Access to electricity (% of population)"/>
    <n v="61.414363861083999"/>
    <x v="35"/>
  </r>
  <r>
    <x v="23"/>
    <s v="Access to electricity (% of population)"/>
    <n v="97.661155700683494"/>
    <x v="35"/>
  </r>
  <r>
    <x v="24"/>
    <s v="Access to electricity (% of population)"/>
    <n v="6.2046098709106401"/>
    <x v="35"/>
  </r>
  <r>
    <x v="25"/>
    <s v="Access to electricity (% of population)"/>
    <n v="6.8"/>
    <x v="35"/>
  </r>
  <r>
    <x v="26"/>
    <s v="Access to electricity (% of population)"/>
    <n v="16.435108184814499"/>
    <x v="35"/>
  </r>
  <r>
    <x v="27"/>
    <s v="Access to electricity (% of population)"/>
    <n v="32.130077362060497"/>
    <x v="35"/>
  </r>
  <r>
    <x v="0"/>
    <s v="Access to electricity (% of population)"/>
    <n v="2.3244094848632799"/>
    <x v="36"/>
  </r>
  <r>
    <x v="1"/>
    <s v="Access to electricity (% of population)"/>
    <n v="37.345161437988303"/>
    <x v="36"/>
  </r>
  <r>
    <x v="2"/>
    <s v="Access to electricity (% of population)"/>
    <n v="1.4197142124176001"/>
    <x v="36"/>
  </r>
  <r>
    <x v="3"/>
    <s v="Access to electricity (% of population)"/>
    <n v="28.9"/>
    <x v="36"/>
  </r>
  <r>
    <x v="4"/>
    <s v="Access to electricity (% of population)"/>
    <n v="62"/>
    <x v="36"/>
  </r>
  <r>
    <x v="5"/>
    <s v="Access to electricity (% of population)"/>
    <n v="2.7807688713073699"/>
    <x v="36"/>
  </r>
  <r>
    <x v="6"/>
    <s v="Access to electricity (% of population)"/>
    <n v="12.636198997497599"/>
    <x v="36"/>
  </r>
  <r>
    <x v="7"/>
    <s v="Access to electricity (% of population)"/>
    <n v="30.773084640502901"/>
    <x v="36"/>
  </r>
  <r>
    <x v="8"/>
    <s v="Access to electricity (% of population)"/>
    <n v="11.0336608886719"/>
    <x v="36"/>
  </r>
  <r>
    <x v="9"/>
    <s v="Access to electricity (% of population)"/>
    <n v="91.463645935058494"/>
    <x v="36"/>
  </r>
  <r>
    <x v="10"/>
    <s v="Access to electricity (% of population)"/>
    <n v="9.9999997764825804E-3"/>
    <x v="36"/>
  </r>
  <r>
    <x v="11"/>
    <s v="Access to electricity (% of population)"/>
    <n v="12.1619205474854"/>
    <x v="36"/>
  </r>
  <r>
    <x v="12"/>
    <s v="Access to electricity (% of population)"/>
    <n v="3.6294245719909699"/>
    <x v="36"/>
  </r>
  <r>
    <x v="13"/>
    <s v="Access to electricity (% of population)"/>
    <n v="6.2"/>
    <x v="36"/>
  </r>
  <r>
    <x v="14"/>
    <s v="Access to electricity (% of population)"/>
    <n v="96.985488891601605"/>
    <x v="36"/>
  </r>
  <r>
    <x v="15"/>
    <s v="Access to electricity (% of population)"/>
    <n v="2.3186979293823198"/>
    <x v="36"/>
  </r>
  <r>
    <x v="16"/>
    <s v="Access to electricity (% of population)"/>
    <n v="40.885696411132798"/>
    <x v="36"/>
  </r>
  <r>
    <x v="17"/>
    <s v="Access to electricity (% of population)"/>
    <n v="17.899999999999999"/>
    <x v="36"/>
  </r>
  <r>
    <x v="18"/>
    <s v="Access to electricity (% of population)"/>
    <n v="70.587417602539105"/>
    <x v="36"/>
  </r>
  <r>
    <x v="19"/>
    <s v="Access to electricity (% of population)"/>
    <n v="7"/>
    <x v="36"/>
  </r>
  <r>
    <x v="20"/>
    <s v="Access to electricity (% of population)"/>
    <n v="1.16230273246765"/>
    <x v="36"/>
  </r>
  <r>
    <x v="21"/>
    <s v="Access to electricity (% of population)"/>
    <n v="48.297439575195298"/>
    <x v="36"/>
  </r>
  <r>
    <x v="22"/>
    <s v="Access to electricity (% of population)"/>
    <n v="63.085132598877003"/>
    <x v="36"/>
  </r>
  <r>
    <x v="23"/>
    <s v="Access to electricity (% of population)"/>
    <n v="97.848121643066406"/>
    <x v="36"/>
  </r>
  <r>
    <x v="24"/>
    <s v="Access to electricity (% of population)"/>
    <n v="9.4"/>
    <x v="36"/>
  </r>
  <r>
    <x v="25"/>
    <s v="Access to electricity (% of population)"/>
    <n v="5.7078819274902299"/>
    <x v="36"/>
  </r>
  <r>
    <x v="26"/>
    <s v="Access to electricity (% of population)"/>
    <n v="17.3"/>
    <x v="36"/>
  </r>
  <r>
    <x v="27"/>
    <s v="Access to electricity (% of population)"/>
    <n v="32.459949493408203"/>
    <x v="36"/>
  </r>
  <r>
    <x v="0"/>
    <s v="Access to electricity (% of population)"/>
    <n v="2.61793184280396"/>
    <x v="37"/>
  </r>
  <r>
    <x v="1"/>
    <s v="Access to electricity (% of population)"/>
    <n v="38.511959075927699"/>
    <x v="37"/>
  </r>
  <r>
    <x v="2"/>
    <s v="Access to electricity (% of population)"/>
    <n v="2.2999999999999998"/>
    <x v="37"/>
  </r>
  <r>
    <x v="3"/>
    <s v="Access to electricity (% of population)"/>
    <n v="32.458610534667997"/>
    <x v="37"/>
  </r>
  <r>
    <x v="4"/>
    <s v="Access to electricity (% of population)"/>
    <n v="57.822086334228501"/>
    <x v="37"/>
  </r>
  <r>
    <x v="5"/>
    <s v="Access to electricity (% of population)"/>
    <n v="4.4274568557739302"/>
    <x v="37"/>
  </r>
  <r>
    <x v="6"/>
    <s v="Access to electricity (% of population)"/>
    <n v="13.634946823120099"/>
    <x v="37"/>
  </r>
  <r>
    <x v="7"/>
    <s v="Access to electricity (% of population)"/>
    <n v="31.199256896972699"/>
    <x v="37"/>
  </r>
  <r>
    <x v="8"/>
    <s v="Access to electricity (% of population)"/>
    <n v="12.283764839172401"/>
    <x v="37"/>
  </r>
  <r>
    <x v="9"/>
    <s v="Access to electricity (% of population)"/>
    <n v="92.0560302734375"/>
    <x v="37"/>
  </r>
  <r>
    <x v="10"/>
    <s v="Access to electricity (% of population)"/>
    <n v="9.9999997764825804E-3"/>
    <x v="37"/>
  </r>
  <r>
    <x v="11"/>
    <s v="Access to electricity (% of population)"/>
    <n v="10.9"/>
    <x v="37"/>
  </r>
  <r>
    <x v="12"/>
    <s v="Access to electricity (% of population)"/>
    <n v="4.0117673873901403"/>
    <x v="37"/>
  </r>
  <r>
    <x v="13"/>
    <s v="Access to electricity (% of population)"/>
    <n v="5.6666369438171396"/>
    <x v="37"/>
  </r>
  <r>
    <x v="14"/>
    <s v="Access to electricity (% of population)"/>
    <n v="97.294052124023395"/>
    <x v="37"/>
  </r>
  <r>
    <x v="15"/>
    <s v="Access to electricity (% of population)"/>
    <n v="6.6"/>
    <x v="37"/>
  </r>
  <r>
    <x v="16"/>
    <s v="Access to electricity (% of population)"/>
    <n v="41.722202301025398"/>
    <x v="37"/>
  </r>
  <r>
    <x v="17"/>
    <s v="Access to electricity (% of population)"/>
    <n v="15.617564201355"/>
    <x v="37"/>
  </r>
  <r>
    <x v="18"/>
    <s v="Access to electricity (% of population)"/>
    <n v="71.178199768066406"/>
    <x v="37"/>
  </r>
  <r>
    <x v="19"/>
    <s v="Access to electricity (% of population)"/>
    <n v="6.3597555160522496"/>
    <x v="37"/>
  </r>
  <r>
    <x v="20"/>
    <s v="Access to electricity (% of population)"/>
    <n v="2.1417901515960698"/>
    <x v="37"/>
  </r>
  <r>
    <x v="21"/>
    <s v="Access to electricity (% of population)"/>
    <n v="49.184913635253899"/>
    <x v="37"/>
  </r>
  <r>
    <x v="22"/>
    <s v="Access to electricity (% of population)"/>
    <n v="64.740608215332003"/>
    <x v="37"/>
  </r>
  <r>
    <x v="23"/>
    <s v="Access to electricity (% of population)"/>
    <n v="98.006057739257798"/>
    <x v="37"/>
  </r>
  <r>
    <x v="24"/>
    <s v="Access to electricity (% of population)"/>
    <n v="7.6285247802734402"/>
    <x v="37"/>
  </r>
  <r>
    <x v="25"/>
    <s v="Access to electricity (% of population)"/>
    <n v="6.4123449325561497"/>
    <x v="37"/>
  </r>
  <r>
    <x v="26"/>
    <s v="Access to electricity (% of population)"/>
    <n v="17.533767700195298"/>
    <x v="37"/>
  </r>
  <r>
    <x v="27"/>
    <s v="Access to electricity (% of population)"/>
    <n v="32.774528503417997"/>
    <x v="37"/>
  </r>
  <r>
    <x v="0"/>
    <s v="Access to electricity (% of population)"/>
    <n v="3.9"/>
    <x v="38"/>
  </r>
  <r>
    <x v="1"/>
    <s v="Access to electricity (% of population)"/>
    <n v="40.700000000000003"/>
    <x v="38"/>
  </r>
  <r>
    <x v="2"/>
    <s v="Access to electricity (% of population)"/>
    <n v="2.2031161785125701"/>
    <x v="38"/>
  </r>
  <r>
    <x v="3"/>
    <s v="Access to electricity (% of population)"/>
    <n v="34.860885620117202"/>
    <x v="38"/>
  </r>
  <r>
    <x v="4"/>
    <s v="Access to electricity (% of population)"/>
    <n v="57.517784118652401"/>
    <x v="38"/>
  </r>
  <r>
    <x v="5"/>
    <s v="Access to electricity (% of population)"/>
    <n v="6.0557899475097701"/>
    <x v="38"/>
  </r>
  <r>
    <x v="6"/>
    <s v="Access to electricity (% of population)"/>
    <n v="14.615339279174799"/>
    <x v="38"/>
  </r>
  <r>
    <x v="7"/>
    <s v="Access to electricity (% of population)"/>
    <n v="31.6070766448975"/>
    <x v="38"/>
  </r>
  <r>
    <x v="8"/>
    <s v="Access to electricity (% of population)"/>
    <n v="14.5"/>
    <x v="38"/>
  </r>
  <r>
    <x v="9"/>
    <s v="Access to electricity (% of population)"/>
    <n v="92.630058288574205"/>
    <x v="38"/>
  </r>
  <r>
    <x v="10"/>
    <s v="Access to electricity (% of population)"/>
    <n v="9.9999997764825804E-3"/>
    <x v="38"/>
  </r>
  <r>
    <x v="11"/>
    <s v="Access to electricity (% of population)"/>
    <n v="12.935396194458001"/>
    <x v="38"/>
  </r>
  <r>
    <x v="12"/>
    <s v="Access to electricity (% of population)"/>
    <n v="4.3757557868957502"/>
    <x v="38"/>
  </r>
  <r>
    <x v="13"/>
    <s v="Access to electricity (% of population)"/>
    <n v="7.2277164459228498"/>
    <x v="38"/>
  </r>
  <r>
    <x v="14"/>
    <s v="Access to electricity (% of population)"/>
    <n v="97.584266662597699"/>
    <x v="38"/>
  </r>
  <r>
    <x v="15"/>
    <s v="Access to electricity (% of population)"/>
    <n v="4.5489459037780797"/>
    <x v="38"/>
  </r>
  <r>
    <x v="16"/>
    <s v="Access to electricity (% of population)"/>
    <n v="42.540348052978501"/>
    <x v="38"/>
  </r>
  <r>
    <x v="17"/>
    <s v="Access to electricity (% of population)"/>
    <n v="19.612838745117202"/>
    <x v="38"/>
  </r>
  <r>
    <x v="18"/>
    <s v="Access to electricity (% of population)"/>
    <n v="69.047103000000007"/>
    <x v="38"/>
  </r>
  <r>
    <x v="19"/>
    <s v="Access to electricity (% of population)"/>
    <n v="6.7"/>
    <x v="38"/>
  </r>
  <r>
    <x v="20"/>
    <s v="Access to electricity (% of population)"/>
    <n v="3.10292291641235"/>
    <x v="38"/>
  </r>
  <r>
    <x v="21"/>
    <s v="Access to electricity (% of population)"/>
    <n v="50.054027557372997"/>
    <x v="38"/>
  </r>
  <r>
    <x v="22"/>
    <s v="Access to electricity (% of population)"/>
    <n v="66.377731323242202"/>
    <x v="38"/>
  </r>
  <r>
    <x v="23"/>
    <s v="Access to electricity (% of population)"/>
    <n v="98.157394409179702"/>
    <x v="38"/>
  </r>
  <r>
    <x v="24"/>
    <s v="Access to electricity (% of population)"/>
    <n v="8.3144798278808505"/>
    <x v="38"/>
  </r>
  <r>
    <x v="25"/>
    <s v="Access to electricity (% of population)"/>
    <n v="7.0984530448913601"/>
    <x v="38"/>
  </r>
  <r>
    <x v="26"/>
    <s v="Access to electricity (% of population)"/>
    <n v="19"/>
    <x v="38"/>
  </r>
  <r>
    <x v="27"/>
    <s v="Access to electricity (% of population)"/>
    <n v="33.070751190185497"/>
    <x v="38"/>
  </r>
  <r>
    <x v="0"/>
    <s v="Access to electricity (% of population)"/>
    <n v="3.1468539237976101"/>
    <x v="39"/>
  </r>
  <r>
    <x v="1"/>
    <s v="Access to electricity (% of population)"/>
    <n v="40.787437438964801"/>
    <x v="39"/>
  </r>
  <r>
    <x v="2"/>
    <s v="Access to electricity (% of population)"/>
    <n v="2.5642261505127002"/>
    <x v="39"/>
  </r>
  <r>
    <x v="3"/>
    <s v="Access to electricity (% of population)"/>
    <n v="37.241748809814503"/>
    <x v="39"/>
  </r>
  <r>
    <x v="4"/>
    <s v="Access to electricity (% of population)"/>
    <n v="57.192070007324197"/>
    <x v="39"/>
  </r>
  <r>
    <x v="5"/>
    <s v="Access to electricity (% of population)"/>
    <n v="7.6627092361450204"/>
    <x v="39"/>
  </r>
  <r>
    <x v="6"/>
    <s v="Access to electricity (% of population)"/>
    <n v="16.399999999999999"/>
    <x v="39"/>
  </r>
  <r>
    <x v="7"/>
    <s v="Access to electricity (% of population)"/>
    <n v="31.993480682373001"/>
    <x v="39"/>
  </r>
  <r>
    <x v="8"/>
    <s v="Access to electricity (% of population)"/>
    <n v="14.7258501052856"/>
    <x v="39"/>
  </r>
  <r>
    <x v="9"/>
    <s v="Access to electricity (% of population)"/>
    <n v="93.182678222656307"/>
    <x v="39"/>
  </r>
  <r>
    <x v="10"/>
    <s v="Access to electricity (% of population)"/>
    <n v="9.9999997764825804E-3"/>
    <x v="39"/>
  </r>
  <r>
    <x v="11"/>
    <s v="Access to electricity (% of population)"/>
    <n v="13.291543006896999"/>
    <x v="39"/>
  </r>
  <r>
    <x v="12"/>
    <s v="Access to electricity (% of population)"/>
    <n v="4.7183303833007804"/>
    <x v="39"/>
  </r>
  <r>
    <x v="13"/>
    <s v="Access to electricity (% of population)"/>
    <n v="8.7673816680908203"/>
    <x v="39"/>
  </r>
  <r>
    <x v="14"/>
    <s v="Access to electricity (% of population)"/>
    <n v="97.853065490722699"/>
    <x v="39"/>
  </r>
  <r>
    <x v="15"/>
    <s v="Access to electricity (% of population)"/>
    <n v="5.63347864151"/>
    <x v="39"/>
  </r>
  <r>
    <x v="16"/>
    <s v="Access to electricity (% of population)"/>
    <n v="43.337085723877003"/>
    <x v="39"/>
  </r>
  <r>
    <x v="17"/>
    <s v="Access to electricity (% of population)"/>
    <n v="23.586698532104499"/>
    <x v="39"/>
  </r>
  <r>
    <x v="18"/>
    <s v="Access to electricity (% of population)"/>
    <n v="72.301658630370994"/>
    <x v="39"/>
  </r>
  <r>
    <x v="19"/>
    <s v="Access to electricity (% of population)"/>
    <n v="7.4030914306640598"/>
    <x v="39"/>
  </r>
  <r>
    <x v="20"/>
    <s v="Access to electricity (% of population)"/>
    <n v="4.04264211654663"/>
    <x v="39"/>
  </r>
  <r>
    <x v="21"/>
    <s v="Access to electricity (% of population)"/>
    <n v="50.9017333984375"/>
    <x v="39"/>
  </r>
  <r>
    <x v="22"/>
    <s v="Access to electricity (% of population)"/>
    <n v="67.993431091308494"/>
    <x v="39"/>
  </r>
  <r>
    <x v="23"/>
    <s v="Access to electricity (% of population)"/>
    <n v="97"/>
    <x v="39"/>
  </r>
  <r>
    <x v="24"/>
    <s v="Access to electricity (% of population)"/>
    <n v="8"/>
    <x v="39"/>
  </r>
  <r>
    <x v="25"/>
    <s v="Access to electricity (% of population)"/>
    <n v="7.7631478309631303"/>
    <x v="39"/>
  </r>
  <r>
    <x v="26"/>
    <s v="Access to electricity (% of population)"/>
    <n v="18.559007644653299"/>
    <x v="39"/>
  </r>
  <r>
    <x v="27"/>
    <s v="Access to electricity (% of population)"/>
    <n v="38.4"/>
    <x v="39"/>
  </r>
  <r>
    <x v="0"/>
    <s v="Access to electricity (% of population)"/>
    <n v="3.3776555061340301"/>
    <x v="40"/>
  </r>
  <r>
    <x v="1"/>
    <s v="Access to electricity (% of population)"/>
    <n v="41"/>
    <x v="40"/>
  </r>
  <r>
    <x v="2"/>
    <s v="Access to electricity (% of population)"/>
    <n v="2.9023835659027002"/>
    <x v="40"/>
  </r>
  <r>
    <x v="3"/>
    <s v="Access to electricity (% of population)"/>
    <n v="39.599658966064503"/>
    <x v="40"/>
  </r>
  <r>
    <x v="4"/>
    <s v="Access to electricity (% of population)"/>
    <n v="56.843399047851499"/>
    <x v="40"/>
  </r>
  <r>
    <x v="5"/>
    <s v="Access to electricity (% of population)"/>
    <n v="12.7"/>
    <x v="40"/>
  </r>
  <r>
    <x v="6"/>
    <s v="Access to electricity (% of population)"/>
    <n v="16.5103454589844"/>
    <x v="40"/>
  </r>
  <r>
    <x v="7"/>
    <s v="Access to electricity (% of population)"/>
    <n v="33.700000000000003"/>
    <x v="40"/>
  </r>
  <r>
    <x v="8"/>
    <s v="Access to electricity (% of population)"/>
    <n v="15.9132328033447"/>
    <x v="40"/>
  </r>
  <r>
    <x v="9"/>
    <s v="Access to electricity (% of population)"/>
    <n v="93.712341308593807"/>
    <x v="40"/>
  </r>
  <r>
    <x v="10"/>
    <s v="Access to electricity (% of population)"/>
    <n v="9.9999997764825804E-3"/>
    <x v="40"/>
  </r>
  <r>
    <x v="11"/>
    <s v="Access to electricity (% of population)"/>
    <n v="13.6247367858887"/>
    <x v="40"/>
  </r>
  <r>
    <x v="12"/>
    <s v="Access to electricity (% of population)"/>
    <n v="4.8"/>
    <x v="40"/>
  </r>
  <r>
    <x v="13"/>
    <s v="Access to electricity (% of population)"/>
    <n v="10.284094810485801"/>
    <x v="40"/>
  </r>
  <r>
    <x v="14"/>
    <s v="Access to electricity (% of population)"/>
    <n v="98.085433959960895"/>
    <x v="40"/>
  </r>
  <r>
    <x v="15"/>
    <s v="Access to electricity (% of population)"/>
    <n v="6.6950588226318404"/>
    <x v="40"/>
  </r>
  <r>
    <x v="16"/>
    <s v="Access to electricity (% of population)"/>
    <n v="44.110866546630902"/>
    <x v="40"/>
  </r>
  <r>
    <x v="17"/>
    <s v="Access to electricity (% of population)"/>
    <n v="27.537605285644499"/>
    <x v="40"/>
  </r>
  <r>
    <x v="18"/>
    <s v="Access to electricity (% of population)"/>
    <n v="72.829727172851605"/>
    <x v="40"/>
  </r>
  <r>
    <x v="19"/>
    <s v="Access to electricity (% of population)"/>
    <n v="6.4814814814814801"/>
    <x v="40"/>
  </r>
  <r>
    <x v="20"/>
    <s v="Access to electricity (% of population)"/>
    <n v="6.2"/>
    <x v="40"/>
  </r>
  <r>
    <x v="21"/>
    <s v="Access to electricity (% of population)"/>
    <n v="52.9"/>
    <x v="40"/>
  </r>
  <r>
    <x v="22"/>
    <s v="Access to electricity (% of population)"/>
    <n v="69.586189270019503"/>
    <x v="40"/>
  </r>
  <r>
    <x v="23"/>
    <s v="Access to electricity (% of population)"/>
    <n v="98.4677419354839"/>
    <x v="40"/>
  </r>
  <r>
    <x v="24"/>
    <s v="Access to electricity (% of population)"/>
    <n v="9.6206102371215803"/>
    <x v="40"/>
  </r>
  <r>
    <x v="25"/>
    <s v="Access to electricity (% of population)"/>
    <n v="8.4048900604247994"/>
    <x v="40"/>
  </r>
  <r>
    <x v="26"/>
    <s v="Access to electricity (% of population)"/>
    <n v="16.7"/>
    <x v="40"/>
  </r>
  <r>
    <x v="27"/>
    <s v="Access to electricity (% of population)"/>
    <n v="33.597419738769503"/>
    <x v="40"/>
  </r>
  <r>
    <x v="0"/>
    <s v="Access to electricity (% of population)"/>
    <n v="3.5900473594665501"/>
    <x v="41"/>
  </r>
  <r>
    <x v="1"/>
    <s v="Access to electricity (% of population)"/>
    <n v="46.2"/>
    <x v="41"/>
  </r>
  <r>
    <x v="2"/>
    <s v="Access to electricity (% of population)"/>
    <n v="3.2221312522888201"/>
    <x v="41"/>
  </r>
  <r>
    <x v="3"/>
    <s v="Access to electricity (% of population)"/>
    <n v="41.939159393310497"/>
    <x v="41"/>
  </r>
  <r>
    <x v="4"/>
    <s v="Access to electricity (% of population)"/>
    <n v="56.476322174072301"/>
    <x v="41"/>
  </r>
  <r>
    <x v="5"/>
    <s v="Access to electricity (% of population)"/>
    <n v="10.812232971191399"/>
    <x v="41"/>
  </r>
  <r>
    <x v="6"/>
    <s v="Access to electricity (% of population)"/>
    <n v="17.427961349487301"/>
    <x v="41"/>
  </r>
  <r>
    <x v="7"/>
    <s v="Access to electricity (% of population)"/>
    <n v="31.542382"/>
    <x v="41"/>
  </r>
  <r>
    <x v="8"/>
    <s v="Access to electricity (% of population)"/>
    <n v="17.082206726074201"/>
    <x v="41"/>
  </r>
  <r>
    <x v="9"/>
    <s v="Access to electricity (% of population)"/>
    <n v="94.223594665527301"/>
    <x v="41"/>
  </r>
  <r>
    <x v="10"/>
    <s v="Access to electricity (% of population)"/>
    <n v="9.9999997764825804E-3"/>
    <x v="41"/>
  </r>
  <r>
    <x v="11"/>
    <s v="Access to electricity (% of population)"/>
    <n v="14.8"/>
    <x v="41"/>
  </r>
  <r>
    <x v="12"/>
    <s v="Access to electricity (% of population)"/>
    <n v="5.3391642570495597"/>
    <x v="41"/>
  </r>
  <r>
    <x v="13"/>
    <s v="Access to electricity (% of population)"/>
    <n v="10.8"/>
    <x v="41"/>
  </r>
  <r>
    <x v="14"/>
    <s v="Access to electricity (% of population)"/>
    <n v="98.317108154296903"/>
    <x v="41"/>
  </r>
  <r>
    <x v="15"/>
    <s v="Access to electricity (% of population)"/>
    <n v="5.7"/>
    <x v="41"/>
  </r>
  <r>
    <x v="16"/>
    <s v="Access to electricity (% of population)"/>
    <n v="44.866241455078097"/>
    <x v="41"/>
  </r>
  <r>
    <x v="17"/>
    <s v="Access to electricity (% of population)"/>
    <n v="24.6"/>
    <x v="41"/>
  </r>
  <r>
    <x v="18"/>
    <s v="Access to electricity (% of population)"/>
    <n v="72.221580000000003"/>
    <x v="41"/>
  </r>
  <r>
    <x v="19"/>
    <s v="Access to electricity (% of population)"/>
    <n v="8.3606986999511701"/>
    <x v="41"/>
  </r>
  <r>
    <x v="20"/>
    <s v="Access to electricity (% of population)"/>
    <n v="5.85776567459106"/>
    <x v="41"/>
  </r>
  <r>
    <x v="21"/>
    <s v="Access to electricity (% of population)"/>
    <n v="52.532821655273402"/>
    <x v="41"/>
  </r>
  <r>
    <x v="22"/>
    <s v="Access to electricity (% of population)"/>
    <n v="63.6"/>
    <x v="41"/>
  </r>
  <r>
    <x v="23"/>
    <s v="Access to electricity (% of population)"/>
    <n v="98.495285034179702"/>
    <x v="41"/>
  </r>
  <r>
    <x v="24"/>
    <s v="Access to electricity (% of population)"/>
    <n v="10.2437896728516"/>
    <x v="41"/>
  </r>
  <r>
    <x v="25"/>
    <s v="Access to electricity (% of population)"/>
    <n v="8.6"/>
    <x v="41"/>
  </r>
  <r>
    <x v="26"/>
    <s v="Access to electricity (% of population)"/>
    <n v="19.498519897460898"/>
    <x v="41"/>
  </r>
  <r>
    <x v="27"/>
    <s v="Access to electricity (% of population)"/>
    <n v="33.830867767333999"/>
    <x v="41"/>
  </r>
  <r>
    <x v="0"/>
    <s v="Access to electricity (% of population)"/>
    <n v="3.7900922298431401"/>
    <x v="42"/>
  </r>
  <r>
    <x v="1"/>
    <s v="Access to electricity (% of population)"/>
    <n v="44.050506591796903"/>
    <x v="42"/>
  </r>
  <r>
    <x v="2"/>
    <s v="Access to electricity (% of population)"/>
    <n v="3.5295321941375701"/>
    <x v="42"/>
  </r>
  <r>
    <x v="3"/>
    <s v="Access to electricity (% of population)"/>
    <n v="44.8"/>
    <x v="42"/>
  </r>
  <r>
    <x v="4"/>
    <s v="Access to electricity (% of population)"/>
    <n v="49.7"/>
    <x v="42"/>
  </r>
  <r>
    <x v="5"/>
    <s v="Access to electricity (% of population)"/>
    <n v="12.3654432296753"/>
    <x v="42"/>
  </r>
  <r>
    <x v="6"/>
    <s v="Access to electricity (% of population)"/>
    <n v="18.33323097229"/>
    <x v="42"/>
  </r>
  <r>
    <x v="7"/>
    <s v="Access to electricity (% of population)"/>
    <n v="33.034671783447301"/>
    <x v="42"/>
  </r>
  <r>
    <x v="8"/>
    <s v="Access to electricity (% of population)"/>
    <n v="18.238832473754901"/>
    <x v="42"/>
  </r>
  <r>
    <x v="9"/>
    <s v="Access to electricity (% of population)"/>
    <n v="94.722496032714901"/>
    <x v="42"/>
  </r>
  <r>
    <x v="10"/>
    <s v="Access to electricity (% of population)"/>
    <n v="9.9999997764825804E-3"/>
    <x v="42"/>
  </r>
  <r>
    <x v="11"/>
    <s v="Access to electricity (% of population)"/>
    <n v="14.2419586181641"/>
    <x v="42"/>
  </r>
  <r>
    <x v="12"/>
    <s v="Access to electricity (% of population)"/>
    <n v="5.62802982330322"/>
    <x v="42"/>
  </r>
  <r>
    <x v="13"/>
    <s v="Access to electricity (% of population)"/>
    <n v="13.268354415893601"/>
    <x v="42"/>
  </r>
  <r>
    <x v="14"/>
    <s v="Access to electricity (% of population)"/>
    <n v="99"/>
    <x v="42"/>
  </r>
  <r>
    <x v="15"/>
    <s v="Access to electricity (% of population)"/>
    <n v="8.7690534591674805"/>
    <x v="42"/>
  </r>
  <r>
    <x v="16"/>
    <s v="Access to electricity (% of population)"/>
    <n v="47"/>
    <x v="42"/>
  </r>
  <r>
    <x v="17"/>
    <s v="Access to electricity (% of population)"/>
    <n v="35.390254974365199"/>
    <x v="42"/>
  </r>
  <r>
    <x v="18"/>
    <s v="Access to electricity (% of population)"/>
    <n v="73.836692810058494"/>
    <x v="42"/>
  </r>
  <r>
    <x v="19"/>
    <s v="Access to electricity (% of population)"/>
    <n v="8.8179512023925799"/>
    <x v="42"/>
  </r>
  <r>
    <x v="20"/>
    <s v="Access to electricity (% of population)"/>
    <n v="6.74377536773682"/>
    <x v="42"/>
  </r>
  <r>
    <x v="21"/>
    <s v="Access to electricity (% of population)"/>
    <n v="53.326816558837898"/>
    <x v="42"/>
  </r>
  <r>
    <x v="22"/>
    <s v="Access to electricity (% of population)"/>
    <n v="80.7"/>
    <x v="42"/>
  </r>
  <r>
    <x v="23"/>
    <s v="Access to electricity (% of population)"/>
    <n v="99"/>
    <x v="42"/>
  </r>
  <r>
    <x v="24"/>
    <s v="Access to electricity (% of population)"/>
    <n v="10.854621887206999"/>
    <x v="42"/>
  </r>
  <r>
    <x v="25"/>
    <s v="Access to electricity (% of population)"/>
    <n v="7.8"/>
    <x v="42"/>
  </r>
  <r>
    <x v="26"/>
    <s v="Access to electricity (% of population)"/>
    <n v="17.399999999999999"/>
    <x v="42"/>
  </r>
  <r>
    <x v="27"/>
    <s v="Access to electricity (% of population)"/>
    <n v="34.200000000000003"/>
    <x v="42"/>
  </r>
  <r>
    <x v="0"/>
    <s v="Access to electricity (% of population)"/>
    <n v="3.9838535785675"/>
    <x v="43"/>
  </r>
  <r>
    <x v="1"/>
    <s v="Access to electricity (% of population)"/>
    <n v="45.117542266845703"/>
    <x v="43"/>
  </r>
  <r>
    <x v="2"/>
    <s v="Access to electricity (% of population)"/>
    <n v="3.83064913749695"/>
    <x v="43"/>
  </r>
  <r>
    <x v="3"/>
    <s v="Access to electricity (% of population)"/>
    <n v="46.587181091308601"/>
    <x v="43"/>
  </r>
  <r>
    <x v="4"/>
    <s v="Access to electricity (% of population)"/>
    <n v="55.711185455322301"/>
    <x v="43"/>
  </r>
  <r>
    <x v="5"/>
    <s v="Access to electricity (% of population)"/>
    <n v="13.9123697280884"/>
    <x v="43"/>
  </r>
  <r>
    <x v="6"/>
    <s v="Access to electricity (% of population)"/>
    <n v="19.2322177886963"/>
    <x v="43"/>
  </r>
  <r>
    <x v="7"/>
    <s v="Access to electricity (% of population)"/>
    <n v="31.6"/>
    <x v="43"/>
  </r>
  <r>
    <x v="8"/>
    <s v="Access to electricity (% of population)"/>
    <n v="16"/>
    <x v="43"/>
  </r>
  <r>
    <x v="9"/>
    <s v="Access to electricity (% of population)"/>
    <n v="95.215118408203097"/>
    <x v="43"/>
  </r>
  <r>
    <x v="10"/>
    <s v="Access to electricity (% of population)"/>
    <n v="9.9999997764825804E-3"/>
    <x v="43"/>
  </r>
  <r>
    <x v="11"/>
    <s v="Access to electricity (% of population)"/>
    <n v="20.3"/>
    <x v="43"/>
  </r>
  <r>
    <x v="12"/>
    <s v="Access to electricity (% of population)"/>
    <n v="6.2"/>
    <x v="43"/>
  </r>
  <r>
    <x v="13"/>
    <s v="Access to electricity (% of population)"/>
    <n v="14.7480278015137"/>
    <x v="43"/>
  </r>
  <r>
    <x v="14"/>
    <s v="Access to electricity (% of population)"/>
    <n v="98.750076293945298"/>
    <x v="43"/>
  </r>
  <r>
    <x v="15"/>
    <s v="Access to electricity (% of population)"/>
    <n v="8.1"/>
    <x v="43"/>
  </r>
  <r>
    <x v="16"/>
    <s v="Access to electricity (% of population)"/>
    <n v="46.3460083007813"/>
    <x v="43"/>
  </r>
  <r>
    <x v="17"/>
    <s v="Access to electricity (% of population)"/>
    <n v="39.304122924804702"/>
    <x v="43"/>
  </r>
  <r>
    <x v="18"/>
    <s v="Access to electricity (% of population)"/>
    <n v="74.327720642089801"/>
    <x v="43"/>
  </r>
  <r>
    <x v="19"/>
    <s v="Access to electricity (% of population)"/>
    <n v="9.2689189910888707"/>
    <x v="43"/>
  </r>
  <r>
    <x v="20"/>
    <s v="Access to electricity (% of population)"/>
    <n v="7.6235017776489302"/>
    <x v="43"/>
  </r>
  <r>
    <x v="21"/>
    <s v="Access to electricity (% of population)"/>
    <n v="54.114528656005902"/>
    <x v="43"/>
  </r>
  <r>
    <x v="22"/>
    <s v="Access to electricity (% of population)"/>
    <n v="74.278244018554702"/>
    <x v="43"/>
  </r>
  <r>
    <x v="23"/>
    <s v="Access to electricity (% of population)"/>
    <n v="100"/>
    <x v="43"/>
  </r>
  <r>
    <x v="24"/>
    <s v="Access to electricity (% of population)"/>
    <n v="11.1"/>
    <x v="43"/>
  </r>
  <r>
    <x v="25"/>
    <s v="Access to electricity (% of population)"/>
    <n v="10.243908882141101"/>
    <x v="43"/>
  </r>
  <r>
    <x v="26"/>
    <s v="Access to electricity (% of population)"/>
    <n v="18.5"/>
    <x v="43"/>
  </r>
  <r>
    <x v="27"/>
    <s v="Access to electricity (% of population)"/>
    <n v="34.2667846679688"/>
    <x v="43"/>
  </r>
  <r>
    <x v="0"/>
    <s v="Access to electricity (% of population)"/>
    <n v="4.1773943901062003"/>
    <x v="44"/>
  </r>
  <r>
    <x v="1"/>
    <s v="Access to electricity (% of population)"/>
    <n v="47.1"/>
    <x v="44"/>
  </r>
  <r>
    <x v="2"/>
    <s v="Access to electricity (% of population)"/>
    <n v="3.5"/>
    <x v="44"/>
  </r>
  <r>
    <x v="3"/>
    <s v="Access to electricity (% of population)"/>
    <n v="48.907833099365199"/>
    <x v="44"/>
  </r>
  <r>
    <x v="4"/>
    <s v="Access to electricity (% of population)"/>
    <n v="55.3252563476563"/>
    <x v="44"/>
  </r>
  <r>
    <x v="5"/>
    <s v="Access to electricity (% of population)"/>
    <n v="15.4590759277344"/>
    <x v="44"/>
  </r>
  <r>
    <x v="6"/>
    <s v="Access to electricity (% of population)"/>
    <n v="20.130983352661101"/>
    <x v="44"/>
  </r>
  <r>
    <x v="7"/>
    <s v="Access to electricity (% of population)"/>
    <n v="33.6872749328613"/>
    <x v="44"/>
  </r>
  <r>
    <x v="8"/>
    <s v="Access to electricity (% of population)"/>
    <n v="20.5392971038818"/>
    <x v="44"/>
  </r>
  <r>
    <x v="9"/>
    <s v="Access to electricity (% of population)"/>
    <n v="95.70751953125"/>
    <x v="44"/>
  </r>
  <r>
    <x v="10"/>
    <s v="Access to electricity (% of population)"/>
    <n v="1.1186852119863E-2"/>
    <x v="44"/>
  </r>
  <r>
    <x v="11"/>
    <s v="Access to electricity (% of population)"/>
    <n v="14.8340463638306"/>
    <x v="44"/>
  </r>
  <r>
    <x v="12"/>
    <s v="Access to electricity (% of population)"/>
    <n v="6.9"/>
    <x v="44"/>
  </r>
  <r>
    <x v="13"/>
    <s v="Access to electricity (% of population)"/>
    <n v="16.227479934692401"/>
    <x v="44"/>
  </r>
  <r>
    <x v="14"/>
    <s v="Access to electricity (% of population)"/>
    <n v="99.1"/>
    <x v="44"/>
  </r>
  <r>
    <x v="15"/>
    <s v="Access to electricity (% of population)"/>
    <n v="10.8179121017456"/>
    <x v="44"/>
  </r>
  <r>
    <x v="16"/>
    <s v="Access to electricity (% of population)"/>
    <n v="47.082530975341697"/>
    <x v="44"/>
  </r>
  <r>
    <x v="17"/>
    <s v="Access to electricity (% of population)"/>
    <n v="37.200000000000003"/>
    <x v="44"/>
  </r>
  <r>
    <x v="18"/>
    <s v="Access to electricity (% of population)"/>
    <n v="74.818527221679702"/>
    <x v="44"/>
  </r>
  <r>
    <x v="19"/>
    <s v="Access to electricity (% of population)"/>
    <n v="9.71966648101807"/>
    <x v="44"/>
  </r>
  <r>
    <x v="20"/>
    <s v="Access to electricity (% of population)"/>
    <n v="8.5030069351196307"/>
    <x v="44"/>
  </r>
  <r>
    <x v="21"/>
    <s v="Access to electricity (% of population)"/>
    <n v="54.902015686035199"/>
    <x v="44"/>
  </r>
  <r>
    <x v="22"/>
    <s v="Access to electricity (% of population)"/>
    <n v="75.833732604980497"/>
    <x v="44"/>
  </r>
  <r>
    <x v="23"/>
    <s v="Access to electricity (% of population)"/>
    <n v="98.730705261230497"/>
    <x v="44"/>
  </r>
  <r>
    <x v="24"/>
    <s v="Access to electricity (% of population)"/>
    <n v="11.4"/>
    <x v="44"/>
  </r>
  <r>
    <x v="25"/>
    <s v="Access to electricity (% of population)"/>
    <n v="10.848390579223601"/>
    <x v="44"/>
  </r>
  <r>
    <x v="26"/>
    <s v="Access to electricity (% of population)"/>
    <n v="20.3"/>
    <x v="44"/>
  </r>
  <r>
    <x v="27"/>
    <s v="Access to electricity (% of population)"/>
    <n v="34.481380462646499"/>
    <x v="44"/>
  </r>
  <r>
    <x v="0"/>
    <s v="Access to electricity (% of population)"/>
    <n v="3.2073170731707301"/>
    <x v="45"/>
  </r>
  <r>
    <x v="1"/>
    <s v="Access to electricity (% of population)"/>
    <n v="47.257022857666001"/>
    <x v="45"/>
  </r>
  <r>
    <x v="2"/>
    <s v="Access to electricity (% of population)"/>
    <n v="4.4382843971252397"/>
    <x v="45"/>
  </r>
  <r>
    <x v="3"/>
    <s v="Access to electricity (% of population)"/>
    <n v="51.234321594238303"/>
    <x v="45"/>
  </r>
  <r>
    <x v="4"/>
    <s v="Access to electricity (% of population)"/>
    <n v="54.945167541503899"/>
    <x v="45"/>
  </r>
  <r>
    <x v="5"/>
    <s v="Access to electricity (% of population)"/>
    <n v="14"/>
    <x v="45"/>
  </r>
  <r>
    <x v="6"/>
    <s v="Access to electricity (% of population)"/>
    <n v="20.2"/>
    <x v="45"/>
  </r>
  <r>
    <x v="7"/>
    <s v="Access to electricity (% of population)"/>
    <n v="34.019309997558601"/>
    <x v="45"/>
  </r>
  <r>
    <x v="8"/>
    <s v="Access to electricity (% of population)"/>
    <n v="21.695262908935501"/>
    <x v="45"/>
  </r>
  <r>
    <x v="9"/>
    <s v="Access to electricity (% of population)"/>
    <n v="96.205764770507798"/>
    <x v="45"/>
  </r>
  <r>
    <x v="10"/>
    <s v="Access to electricity (% of population)"/>
    <n v="4.4350128620863002E-2"/>
    <x v="45"/>
  </r>
  <r>
    <x v="11"/>
    <s v="Access to electricity (% of population)"/>
    <n v="15.135821342468301"/>
    <x v="45"/>
  </r>
  <r>
    <x v="12"/>
    <s v="Access to electricity (% of population)"/>
    <n v="6.4811758995056197"/>
    <x v="45"/>
  </r>
  <r>
    <x v="13"/>
    <s v="Access to electricity (% of population)"/>
    <n v="17.712774276733299"/>
    <x v="45"/>
  </r>
  <r>
    <x v="14"/>
    <s v="Access to electricity (% of population)"/>
    <n v="98.6"/>
    <x v="45"/>
  </r>
  <r>
    <x v="15"/>
    <s v="Access to electricity (% of population)"/>
    <n v="11.8480739593506"/>
    <x v="45"/>
  </r>
  <r>
    <x v="16"/>
    <s v="Access to electricity (% of population)"/>
    <n v="47.824893951416001"/>
    <x v="45"/>
  </r>
  <r>
    <x v="17"/>
    <s v="Access to electricity (% of population)"/>
    <n v="47.137256622314503"/>
    <x v="45"/>
  </r>
  <r>
    <x v="18"/>
    <s v="Access to electricity (% of population)"/>
    <n v="73.821815000000001"/>
    <x v="45"/>
  </r>
  <r>
    <x v="19"/>
    <s v="Access to electricity (% of population)"/>
    <n v="7.1"/>
    <x v="45"/>
  </r>
  <r>
    <x v="20"/>
    <s v="Access to electricity (% of population)"/>
    <n v="4.8"/>
    <x v="45"/>
  </r>
  <r>
    <x v="21"/>
    <s v="Access to electricity (% of population)"/>
    <n v="55.695346832275398"/>
    <x v="45"/>
  </r>
  <r>
    <x v="22"/>
    <s v="Access to electricity (% of population)"/>
    <n v="77.395065307617202"/>
    <x v="45"/>
  </r>
  <r>
    <x v="23"/>
    <s v="Access to electricity (% of population)"/>
    <n v="99.3"/>
    <x v="45"/>
  </r>
  <r>
    <x v="24"/>
    <s v="Access to electricity (% of population)"/>
    <n v="12.673668861389199"/>
    <x v="45"/>
  </r>
  <r>
    <x v="25"/>
    <s v="Access to electricity (% of population)"/>
    <n v="8.9"/>
    <x v="45"/>
  </r>
  <r>
    <x v="26"/>
    <s v="Access to electricity (% of population)"/>
    <n v="21.277885437011701"/>
    <x v="45"/>
  </r>
  <r>
    <x v="27"/>
    <s v="Access to electricity (% of population)"/>
    <n v="34.701820373535199"/>
    <x v="45"/>
  </r>
  <r>
    <x v="0"/>
    <s v="Access to electricity (% of population)"/>
    <n v="4.5880656242370597"/>
    <x v="46"/>
  </r>
  <r>
    <x v="1"/>
    <s v="Access to electricity (% of population)"/>
    <n v="49"/>
    <x v="46"/>
  </r>
  <r>
    <x v="2"/>
    <s v="Access to electricity (% of population)"/>
    <n v="4.7569284439086896"/>
    <x v="46"/>
  </r>
  <r>
    <x v="3"/>
    <s v="Access to electricity (% of population)"/>
    <n v="53.572719573974602"/>
    <x v="46"/>
  </r>
  <r>
    <x v="4"/>
    <s v="Access to electricity (% of population)"/>
    <n v="55.5"/>
    <x v="46"/>
  </r>
  <r>
    <x v="5"/>
    <s v="Access to electricity (% of population)"/>
    <n v="18.576078414916999"/>
    <x v="46"/>
  </r>
  <r>
    <x v="6"/>
    <s v="Access to electricity (% of population)"/>
    <n v="21.952104568481399"/>
    <x v="46"/>
  </r>
  <r>
    <x v="7"/>
    <s v="Access to electricity (% of population)"/>
    <n v="33.9"/>
    <x v="46"/>
  </r>
  <r>
    <x v="8"/>
    <s v="Access to electricity (% of population)"/>
    <n v="22.863132476806602"/>
    <x v="46"/>
  </r>
  <r>
    <x v="9"/>
    <s v="Access to electricity (% of population)"/>
    <n v="96.715919494628906"/>
    <x v="46"/>
  </r>
  <r>
    <x v="10"/>
    <s v="Access to electricity (% of population)"/>
    <n v="0.244776546955109"/>
    <x v="46"/>
  </r>
  <r>
    <x v="11"/>
    <s v="Access to electricity (% of population)"/>
    <n v="15.4495029449463"/>
    <x v="46"/>
  </r>
  <r>
    <x v="12"/>
    <s v="Access to electricity (% of population)"/>
    <n v="3.65322733295476"/>
    <x v="46"/>
  </r>
  <r>
    <x v="13"/>
    <s v="Access to electricity (% of population)"/>
    <n v="16.600000000000001"/>
    <x v="46"/>
  </r>
  <r>
    <x v="14"/>
    <s v="Access to electricity (% of population)"/>
    <n v="99.409637451171903"/>
    <x v="46"/>
  </r>
  <r>
    <x v="15"/>
    <s v="Access to electricity (% of population)"/>
    <n v="12.8901414871216"/>
    <x v="46"/>
  </r>
  <r>
    <x v="16"/>
    <s v="Access to electricity (% of population)"/>
    <n v="48.5791625976563"/>
    <x v="46"/>
  </r>
  <r>
    <x v="17"/>
    <s v="Access to electricity (% of population)"/>
    <n v="51.2"/>
    <x v="46"/>
  </r>
  <r>
    <x v="18"/>
    <s v="Access to electricity (% of population)"/>
    <n v="75.82373046875"/>
    <x v="46"/>
  </r>
  <r>
    <x v="19"/>
    <s v="Access to electricity (% of population)"/>
    <n v="9.3000000000000007"/>
    <x v="46"/>
  </r>
  <r>
    <x v="20"/>
    <s v="Access to electricity (% of population)"/>
    <n v="10.285608291626"/>
    <x v="46"/>
  </r>
  <r>
    <x v="21"/>
    <s v="Access to electricity (% of population)"/>
    <n v="56.500587463378899"/>
    <x v="46"/>
  </r>
  <r>
    <x v="22"/>
    <s v="Access to electricity (% of population)"/>
    <n v="78.968307495117202"/>
    <x v="46"/>
  </r>
  <r>
    <x v="23"/>
    <s v="Access to electricity (% of population)"/>
    <n v="98.906448364257798"/>
    <x v="46"/>
  </r>
  <r>
    <x v="24"/>
    <s v="Access to electricity (% of population)"/>
    <n v="13.295744895935099"/>
    <x v="46"/>
  </r>
  <r>
    <x v="25"/>
    <s v="Access to electricity (% of population)"/>
    <n v="9"/>
    <x v="46"/>
  </r>
  <r>
    <x v="26"/>
    <s v="Access to electricity (% of population)"/>
    <n v="21.737333297729499"/>
    <x v="46"/>
  </r>
  <r>
    <x v="27"/>
    <s v="Access to electricity (% of population)"/>
    <n v="37.200000000000003"/>
    <x v="46"/>
  </r>
  <r>
    <x v="0"/>
    <s v="Access to electricity (% of population)"/>
    <n v="4.81732225418091"/>
    <x v="47"/>
  </r>
  <r>
    <x v="1"/>
    <s v="Access to electricity (% of population)"/>
    <n v="48.2"/>
    <x v="47"/>
  </r>
  <r>
    <x v="2"/>
    <s v="Access to electricity (% of population)"/>
    <n v="5.0935411453247097"/>
    <x v="47"/>
  </r>
  <r>
    <x v="3"/>
    <s v="Access to electricity (% of population)"/>
    <n v="55.929084777832003"/>
    <x v="47"/>
  </r>
  <r>
    <x v="4"/>
    <s v="Access to electricity (% of population)"/>
    <n v="54.226772308349602"/>
    <x v="47"/>
  </r>
  <r>
    <x v="5"/>
    <s v="Access to electricity (% of population)"/>
    <n v="20.158500671386701"/>
    <x v="47"/>
  </r>
  <r>
    <x v="6"/>
    <s v="Access to electricity (% of population)"/>
    <n v="22.8865871429443"/>
    <x v="47"/>
  </r>
  <r>
    <x v="7"/>
    <s v="Access to electricity (% of population)"/>
    <n v="34.725154876708999"/>
    <x v="47"/>
  </r>
  <r>
    <x v="8"/>
    <s v="Access to electricity (% of population)"/>
    <n v="24.0489711761475"/>
    <x v="47"/>
  </r>
  <r>
    <x v="9"/>
    <s v="Access to electricity (% of population)"/>
    <n v="97.244033813476605"/>
    <x v="47"/>
  </r>
  <r>
    <x v="10"/>
    <s v="Access to electricity (% of population)"/>
    <n v="3"/>
    <x v="47"/>
  </r>
  <r>
    <x v="11"/>
    <s v="Access to electricity (% of population)"/>
    <n v="15.781151771545399"/>
    <x v="47"/>
  </r>
  <r>
    <x v="12"/>
    <s v="Access to electricity (% of population)"/>
    <n v="7.0993618965148899"/>
    <x v="47"/>
  </r>
  <r>
    <x v="13"/>
    <s v="Access to electricity (% of population)"/>
    <n v="20.725141525268601"/>
    <x v="47"/>
  </r>
  <r>
    <x v="14"/>
    <s v="Access to electricity (% of population)"/>
    <n v="99.633293151855497"/>
    <x v="47"/>
  </r>
  <r>
    <x v="15"/>
    <s v="Access to electricity (% of population)"/>
    <n v="13.950177192688001"/>
    <x v="47"/>
  </r>
  <r>
    <x v="16"/>
    <s v="Access to electricity (% of population)"/>
    <n v="49.351398468017599"/>
    <x v="47"/>
  </r>
  <r>
    <x v="17"/>
    <s v="Access to electricity (% of population)"/>
    <n v="55.018013000488303"/>
    <x v="47"/>
  </r>
  <r>
    <x v="18"/>
    <s v="Access to electricity (% of population)"/>
    <n v="76.350250244140597"/>
    <x v="47"/>
  </r>
  <r>
    <x v="19"/>
    <s v="Access to electricity (% of population)"/>
    <n v="11.13121509552"/>
    <x v="47"/>
  </r>
  <r>
    <x v="20"/>
    <s v="Access to electricity (% of population)"/>
    <n v="11.2008304595947"/>
    <x v="47"/>
  </r>
  <r>
    <x v="21"/>
    <s v="Access to electricity (% of population)"/>
    <n v="57.3237915039063"/>
    <x v="47"/>
  </r>
  <r>
    <x v="22"/>
    <s v="Access to electricity (% of population)"/>
    <n v="80"/>
    <x v="47"/>
  </r>
  <r>
    <x v="23"/>
    <s v="Access to electricity (% of population)"/>
    <n v="99.016609191894503"/>
    <x v="47"/>
  </r>
  <r>
    <x v="24"/>
    <s v="Access to electricity (% of population)"/>
    <n v="13.935788154601999"/>
    <x v="47"/>
  </r>
  <r>
    <x v="25"/>
    <s v="Access to electricity (% of population)"/>
    <n v="12.7211399078369"/>
    <x v="47"/>
  </r>
  <r>
    <x v="26"/>
    <s v="Access to electricity (% of population)"/>
    <n v="18.5"/>
    <x v="47"/>
  </r>
  <r>
    <x v="27"/>
    <s v="Access to electricity (% of population)"/>
    <n v="35.184478759765597"/>
    <x v="47"/>
  </r>
  <r>
    <x v="0"/>
    <s v="Access to electricity (% of population)"/>
    <n v="4.8"/>
    <x v="48"/>
  </r>
  <r>
    <x v="1"/>
    <s v="Access to electricity (% of population)"/>
    <n v="50.569175720214801"/>
    <x v="48"/>
  </r>
  <r>
    <x v="2"/>
    <s v="Access to electricity (% of population)"/>
    <n v="5.4526739120483301"/>
    <x v="48"/>
  </r>
  <r>
    <x v="3"/>
    <s v="Access to electricity (% of population)"/>
    <n v="58.307968139648402"/>
    <x v="48"/>
  </r>
  <r>
    <x v="4"/>
    <s v="Access to electricity (% of population)"/>
    <n v="53.899078369140597"/>
    <x v="48"/>
  </r>
  <r>
    <x v="5"/>
    <s v="Access to electricity (% of population)"/>
    <n v="21.763442993164102"/>
    <x v="48"/>
  </r>
  <r>
    <x v="6"/>
    <s v="Access to electricity (% of population)"/>
    <n v="23.8435878753662"/>
    <x v="48"/>
  </r>
  <r>
    <x v="7"/>
    <s v="Access to electricity (% of population)"/>
    <n v="35.109580993652301"/>
    <x v="48"/>
  </r>
  <r>
    <x v="8"/>
    <s v="Access to electricity (% of population)"/>
    <n v="25.257329940795799"/>
    <x v="48"/>
  </r>
  <r>
    <x v="9"/>
    <s v="Access to electricity (% of population)"/>
    <n v="97.794670104980497"/>
    <x v="48"/>
  </r>
  <r>
    <x v="10"/>
    <s v="Access to electricity (% of population)"/>
    <n v="1.7526564598083501"/>
    <x v="48"/>
  </r>
  <r>
    <x v="11"/>
    <s v="Access to electricity (% of population)"/>
    <n v="16.135322570800799"/>
    <x v="48"/>
  </r>
  <r>
    <x v="12"/>
    <s v="Access to electricity (% of population)"/>
    <n v="7.4399595260620099"/>
    <x v="48"/>
  </r>
  <r>
    <x v="13"/>
    <s v="Access to electricity (% of population)"/>
    <n v="22.262830734252901"/>
    <x v="48"/>
  </r>
  <r>
    <x v="14"/>
    <s v="Access to electricity (% of population)"/>
    <n v="99.819427490234403"/>
    <x v="48"/>
  </r>
  <r>
    <x v="15"/>
    <s v="Access to electricity (% of population)"/>
    <n v="13.5712238463743"/>
    <x v="48"/>
  </r>
  <r>
    <x v="16"/>
    <s v="Access to electricity (% of population)"/>
    <n v="50.146156311035099"/>
    <x v="48"/>
  </r>
  <r>
    <x v="17"/>
    <s v="Access to electricity (% of population)"/>
    <n v="58.989894866943402"/>
    <x v="48"/>
  </r>
  <r>
    <x v="18"/>
    <s v="Access to electricity (% of population)"/>
    <n v="76.8992919921875"/>
    <x v="48"/>
  </r>
  <r>
    <x v="19"/>
    <s v="Access to electricity (% of population)"/>
    <n v="11.640199661254901"/>
    <x v="48"/>
  </r>
  <r>
    <x v="20"/>
    <s v="Access to electricity (% of population)"/>
    <n v="6"/>
    <x v="48"/>
  </r>
  <r>
    <x v="21"/>
    <s v="Access to electricity (% of population)"/>
    <n v="58.169517517089801"/>
    <x v="48"/>
  </r>
  <r>
    <x v="22"/>
    <s v="Access to electricity (% of population)"/>
    <n v="82.173248291015597"/>
    <x v="48"/>
  </r>
  <r>
    <x v="23"/>
    <s v="Access to electricity (% of population)"/>
    <n v="99.146080017089801"/>
    <x v="48"/>
  </r>
  <r>
    <x v="24"/>
    <s v="Access to electricity (% of population)"/>
    <n v="11.5"/>
    <x v="48"/>
  </r>
  <r>
    <x v="25"/>
    <s v="Access to electricity (% of population)"/>
    <n v="13.3838567733765"/>
    <x v="48"/>
  </r>
  <r>
    <x v="26"/>
    <s v="Access to electricity (% of population)"/>
    <n v="22.714685440063501"/>
    <x v="48"/>
  </r>
  <r>
    <x v="27"/>
    <s v="Access to electricity (% of population)"/>
    <n v="35.457309722900398"/>
    <x v="48"/>
  </r>
  <r>
    <x v="0"/>
    <s v="Access to electricity (% of population)"/>
    <n v="5.3419041633606001"/>
    <x v="49"/>
  </r>
  <r>
    <x v="1"/>
    <s v="Access to electricity (% of population)"/>
    <n v="51.715255737304702"/>
    <x v="49"/>
  </r>
  <r>
    <x v="2"/>
    <s v="Access to electricity (% of population)"/>
    <n v="5.8328347206115696"/>
    <x v="49"/>
  </r>
  <r>
    <x v="3"/>
    <s v="Access to electricity (% of population)"/>
    <n v="60.707881927490199"/>
    <x v="49"/>
  </r>
  <r>
    <x v="4"/>
    <s v="Access to electricity (% of population)"/>
    <n v="53.592414855957003"/>
    <x v="49"/>
  </r>
  <r>
    <x v="5"/>
    <s v="Access to electricity (% of population)"/>
    <n v="23.389411926269499"/>
    <x v="49"/>
  </r>
  <r>
    <x v="6"/>
    <s v="Access to electricity (% of population)"/>
    <n v="24.821617126464801"/>
    <x v="49"/>
  </r>
  <r>
    <x v="7"/>
    <s v="Access to electricity (% of population)"/>
    <n v="35.515037536621101"/>
    <x v="49"/>
  </r>
  <r>
    <x v="8"/>
    <s v="Access to electricity (% of population)"/>
    <n v="23"/>
    <x v="49"/>
  </r>
  <r>
    <x v="9"/>
    <s v="Access to electricity (% of population)"/>
    <n v="98.377059936523395"/>
    <x v="49"/>
  </r>
  <r>
    <x v="10"/>
    <s v="Access to electricity (% of population)"/>
    <n v="1.9"/>
    <x v="49"/>
  </r>
  <r>
    <x v="11"/>
    <s v="Access to electricity (% of population)"/>
    <n v="17.399999999999999"/>
    <x v="49"/>
  </r>
  <r>
    <x v="12"/>
    <s v="Access to electricity (% of population)"/>
    <n v="7.8015847206115696"/>
    <x v="49"/>
  </r>
  <r>
    <x v="13"/>
    <s v="Access to electricity (% of population)"/>
    <n v="24.030895834837199"/>
    <x v="49"/>
  </r>
  <r>
    <x v="14"/>
    <s v="Access to electricity (% of population)"/>
    <n v="99.936302185058494"/>
    <x v="49"/>
  </r>
  <r>
    <x v="15"/>
    <s v="Access to electricity (% of population)"/>
    <n v="15"/>
    <x v="49"/>
  </r>
  <r>
    <x v="16"/>
    <s v="Access to electricity (% of population)"/>
    <n v="50.961944580078097"/>
    <x v="49"/>
  </r>
  <r>
    <x v="17"/>
    <s v="Access to electricity (% of population)"/>
    <n v="62.9828071594238"/>
    <x v="49"/>
  </r>
  <r>
    <x v="18"/>
    <s v="Access to electricity (% of population)"/>
    <n v="77.916313000000002"/>
    <x v="49"/>
  </r>
  <r>
    <x v="19"/>
    <s v="Access to electricity (% of population)"/>
    <n v="12.1702108383179"/>
    <x v="49"/>
  </r>
  <r>
    <x v="20"/>
    <s v="Access to electricity (% of population)"/>
    <n v="13.097342491149901"/>
    <x v="49"/>
  </r>
  <r>
    <x v="21"/>
    <s v="Access to electricity (% of population)"/>
    <n v="56.9"/>
    <x v="49"/>
  </r>
  <r>
    <x v="22"/>
    <s v="Access to electricity (% of population)"/>
    <n v="83.807998657226605"/>
    <x v="49"/>
  </r>
  <r>
    <x v="23"/>
    <s v="Access to electricity (% of population)"/>
    <n v="99"/>
    <x v="49"/>
  </r>
  <r>
    <x v="24"/>
    <s v="Access to electricity (% of population)"/>
    <n v="11.2"/>
    <x v="49"/>
  </r>
  <r>
    <x v="25"/>
    <s v="Access to electricity (% of population)"/>
    <n v="10"/>
    <x v="49"/>
  </r>
  <r>
    <x v="26"/>
    <s v="Access to electricity (% of population)"/>
    <n v="23.235649108886701"/>
    <x v="49"/>
  </r>
  <r>
    <x v="27"/>
    <s v="Access to electricity (% of population)"/>
    <n v="43.369081872874702"/>
    <x v="49"/>
  </r>
  <r>
    <x v="0"/>
    <s v="Access to electricity (% of population)"/>
    <n v="5.3"/>
    <x v="50"/>
  </r>
  <r>
    <x v="1"/>
    <s v="Access to electricity (% of population)"/>
    <n v="52.879360198974602"/>
    <x v="50"/>
  </r>
  <r>
    <x v="2"/>
    <s v="Access to electricity (% of population)"/>
    <n v="6.4"/>
    <x v="50"/>
  </r>
  <r>
    <x v="3"/>
    <s v="Access to electricity (% of population)"/>
    <n v="63.125820159912102"/>
    <x v="50"/>
  </r>
  <r>
    <x v="4"/>
    <s v="Access to electricity (% of population)"/>
    <n v="53.3037719726563"/>
    <x v="50"/>
  </r>
  <r>
    <x v="5"/>
    <s v="Access to electricity (% of population)"/>
    <n v="25.033405303955099"/>
    <x v="50"/>
  </r>
  <r>
    <x v="6"/>
    <s v="Access to electricity (% of population)"/>
    <n v="25.817670822143601"/>
    <x v="50"/>
  </r>
  <r>
    <x v="7"/>
    <s v="Access to electricity (% of population)"/>
    <n v="35.938518524169901"/>
    <x v="50"/>
  </r>
  <r>
    <x v="8"/>
    <s v="Access to electricity (% of population)"/>
    <n v="19.2"/>
    <x v="50"/>
  </r>
  <r>
    <x v="9"/>
    <s v="Access to electricity (% of population)"/>
    <n v="0"/>
    <x v="50"/>
  </r>
  <r>
    <x v="10"/>
    <s v="Access to electricity (% of population)"/>
    <n v="5.1461310386657697"/>
    <x v="50"/>
  </r>
  <r>
    <x v="11"/>
    <s v="Access to electricity (% of population)"/>
    <n v="16.903739929199201"/>
    <x v="50"/>
  </r>
  <r>
    <x v="12"/>
    <s v="Access to electricity (% of population)"/>
    <n v="8.6999999999999993"/>
    <x v="50"/>
  </r>
  <r>
    <x v="13"/>
    <s v="Access to electricity (% of population)"/>
    <n v="25.398286819458001"/>
    <x v="50"/>
  </r>
  <r>
    <x v="14"/>
    <s v="Access to electricity (% of population)"/>
    <n v="99.986061096191406"/>
    <x v="50"/>
  </r>
  <r>
    <x v="15"/>
    <s v="Access to electricity (% of population)"/>
    <n v="17.2579231262207"/>
    <x v="50"/>
  </r>
  <r>
    <x v="16"/>
    <s v="Access to electricity (% of population)"/>
    <n v="48.8"/>
    <x v="50"/>
  </r>
  <r>
    <x v="17"/>
    <s v="Access to electricity (% of population)"/>
    <n v="66.993743896484403"/>
    <x v="50"/>
  </r>
  <r>
    <x v="18"/>
    <s v="Access to electricity (% of population)"/>
    <n v="78.057456970214801"/>
    <x v="50"/>
  </r>
  <r>
    <x v="19"/>
    <s v="Access to electricity (% of population)"/>
    <n v="12.7182464599609"/>
    <x v="50"/>
  </r>
  <r>
    <x v="20"/>
    <s v="Access to electricity (% of population)"/>
    <n v="9.6999999999999993"/>
    <x v="50"/>
  </r>
  <r>
    <x v="21"/>
    <s v="Access to electricity (% of population)"/>
    <n v="59.921047210693402"/>
    <x v="50"/>
  </r>
  <r>
    <x v="22"/>
    <s v="Access to electricity (% of population)"/>
    <n v="85.3"/>
    <x v="50"/>
  </r>
  <r>
    <x v="23"/>
    <s v="Access to electricity (% of population)"/>
    <n v="99.461280822753906"/>
    <x v="50"/>
  </r>
  <r>
    <x v="24"/>
    <s v="Access to electricity (% of population)"/>
    <n v="14.8"/>
    <x v="50"/>
  </r>
  <r>
    <x v="25"/>
    <s v="Access to electricity (% of population)"/>
    <n v="14.769371032714799"/>
    <x v="50"/>
  </r>
  <r>
    <x v="26"/>
    <s v="Access to electricity (% of population)"/>
    <n v="22"/>
    <x v="50"/>
  </r>
  <r>
    <x v="27"/>
    <s v="Access to electricity (% of population)"/>
    <n v="36.063056945800803"/>
    <x v="50"/>
  </r>
  <r>
    <x v="0"/>
    <s v="Access to electricity (% of population)"/>
    <n v="5.9385800361633301"/>
    <x v="51"/>
  </r>
  <r>
    <x v="1"/>
    <s v="Access to electricity (% of population)"/>
    <n v="53.7"/>
    <x v="51"/>
  </r>
  <r>
    <x v="2"/>
    <s v="Access to electricity (% of population)"/>
    <n v="6.6442222595214799"/>
    <x v="51"/>
  </r>
  <r>
    <x v="3"/>
    <s v="Access to electricity (% of population)"/>
    <n v="65.558776855468807"/>
    <x v="51"/>
  </r>
  <r>
    <x v="4"/>
    <s v="Access to electricity (% of population)"/>
    <n v="53.030147552490199"/>
    <x v="51"/>
  </r>
  <r>
    <x v="5"/>
    <s v="Access to electricity (% of population)"/>
    <n v="23"/>
    <x v="51"/>
  </r>
  <r>
    <x v="6"/>
    <s v="Access to electricity (% of population)"/>
    <n v="26.828742980956999"/>
    <x v="51"/>
  </r>
  <r>
    <x v="7"/>
    <s v="Access to electricity (% of population)"/>
    <n v="36.3770141601562"/>
    <x v="51"/>
  </r>
  <r>
    <x v="8"/>
    <s v="Access to electricity (% of population)"/>
    <n v="28.996553421020501"/>
    <x v="51"/>
  </r>
  <r>
    <x v="9"/>
    <s v="Access to electricity (% of population)"/>
    <n v="99.430435180664105"/>
    <x v="51"/>
  </r>
  <r>
    <x v="10"/>
    <s v="Access to electricity (% of population)"/>
    <n v="4.0999999999999996"/>
    <x v="51"/>
  </r>
  <r>
    <x v="11"/>
    <s v="Access to electricity (% of population)"/>
    <n v="14.3"/>
    <x v="51"/>
  </r>
  <r>
    <x v="12"/>
    <s v="Access to electricity (% of population)"/>
    <n v="7.6"/>
    <x v="51"/>
  </r>
  <r>
    <x v="13"/>
    <s v="Access to electricity (% of population)"/>
    <n v="26.990045547485298"/>
    <x v="51"/>
  </r>
  <r>
    <x v="14"/>
    <s v="Access to electricity (% of population)"/>
    <n v="99.998603820800795"/>
    <x v="51"/>
  </r>
  <r>
    <x v="15"/>
    <s v="Access to electricity (% of population)"/>
    <n v="20.2"/>
    <x v="51"/>
  </r>
  <r>
    <x v="16"/>
    <s v="Access to electricity (% of population)"/>
    <n v="52.644580841064403"/>
    <x v="51"/>
  </r>
  <r>
    <x v="17"/>
    <s v="Access to electricity (% of population)"/>
    <n v="76.3"/>
    <x v="51"/>
  </r>
  <r>
    <x v="18"/>
    <s v="Access to electricity (% of population)"/>
    <n v="78.660568237304702"/>
    <x v="51"/>
  </r>
  <r>
    <x v="19"/>
    <s v="Access to electricity (% of population)"/>
    <n v="14.3"/>
    <x v="51"/>
  </r>
  <r>
    <x v="20"/>
    <s v="Access to electricity (% of population)"/>
    <n v="10.8"/>
    <x v="51"/>
  </r>
  <r>
    <x v="21"/>
    <s v="Access to electricity (% of population)"/>
    <n v="60.820842742919901"/>
    <x v="51"/>
  </r>
  <r>
    <x v="22"/>
    <s v="Access to electricity (% of population)"/>
    <n v="87.76"/>
    <x v="51"/>
  </r>
  <r>
    <x v="23"/>
    <s v="Access to electricity (% of population)"/>
    <n v="99.636390686035199"/>
    <x v="51"/>
  </r>
  <r>
    <x v="24"/>
    <s v="Access to electricity (% of population)"/>
    <n v="14.2"/>
    <x v="51"/>
  </r>
  <r>
    <x v="25"/>
    <s v="Access to electricity (% of population)"/>
    <n v="14.6"/>
    <x v="51"/>
  </r>
  <r>
    <x v="26"/>
    <s v="Access to electricity (% of population)"/>
    <n v="24.3286437988281"/>
    <x v="51"/>
  </r>
  <r>
    <x v="27"/>
    <s v="Access to electricity (% of population)"/>
    <n v="36.9"/>
    <x v="51"/>
  </r>
  <r>
    <x v="0"/>
    <s v="Access to electricity (% of population)"/>
    <n v="6.5"/>
    <x v="52"/>
  </r>
  <r>
    <x v="1"/>
    <s v="Access to electricity (% of population)"/>
    <n v="55.249626159667997"/>
    <x v="52"/>
  </r>
  <r>
    <x v="2"/>
    <s v="Access to electricity (% of population)"/>
    <n v="7.0694417953491202"/>
    <x v="52"/>
  </r>
  <r>
    <x v="3"/>
    <s v="Access to electricity (% of population)"/>
    <n v="69.3"/>
    <x v="52"/>
  </r>
  <r>
    <x v="4"/>
    <s v="Access to electricity (% of population)"/>
    <n v="54.6"/>
    <x v="52"/>
  </r>
  <r>
    <x v="5"/>
    <s v="Access to electricity (% of population)"/>
    <n v="28.363447189331101"/>
    <x v="52"/>
  </r>
  <r>
    <x v="6"/>
    <s v="Access to electricity (% of population)"/>
    <n v="26.2"/>
    <x v="52"/>
  </r>
  <r>
    <x v="7"/>
    <s v="Access to electricity (% of population)"/>
    <n v="37.9"/>
    <x v="52"/>
  </r>
  <r>
    <x v="8"/>
    <s v="Access to electricity (% of population)"/>
    <n v="30.270999908447301"/>
    <x v="52"/>
  </r>
  <r>
    <x v="9"/>
    <s v="Access to electricity (% of population)"/>
    <n v="99.773651123046903"/>
    <x v="52"/>
  </r>
  <r>
    <x v="10"/>
    <s v="Access to electricity (% of population)"/>
    <n v="8.5996837615966708"/>
    <x v="52"/>
  </r>
  <r>
    <x v="11"/>
    <s v="Access to electricity (% of population)"/>
    <n v="17.732236862182599"/>
    <x v="52"/>
  </r>
  <r>
    <x v="12"/>
    <s v="Access to electricity (% of population)"/>
    <n v="7.4"/>
    <x v="52"/>
  </r>
  <r>
    <x v="13"/>
    <s v="Access to electricity (% of population)"/>
    <n v="25.6"/>
    <x v="52"/>
  </r>
  <r>
    <x v="14"/>
    <s v="Access to electricity (% of population)"/>
    <n v="100"/>
    <x v="52"/>
  </r>
  <r>
    <x v="15"/>
    <s v="Access to electricity (% of population)"/>
    <n v="19.54319190979"/>
    <x v="52"/>
  </r>
  <r>
    <x v="16"/>
    <s v="Access to electricity (% of population)"/>
    <n v="53.505424499511697"/>
    <x v="52"/>
  </r>
  <r>
    <x v="17"/>
    <s v="Access to electricity (% of population)"/>
    <n v="75.057662963867202"/>
    <x v="52"/>
  </r>
  <r>
    <x v="18"/>
    <s v="Access to electricity (% of population)"/>
    <n v="79.275695800781307"/>
    <x v="52"/>
  </r>
  <r>
    <x v="19"/>
    <s v="Access to electricity (% of population)"/>
    <n v="14.4"/>
    <x v="52"/>
  </r>
  <r>
    <x v="20"/>
    <s v="Access to electricity (% of population)"/>
    <n v="16.069776535034201"/>
    <x v="52"/>
  </r>
  <r>
    <x v="21"/>
    <s v="Access to electricity (% of population)"/>
    <n v="57.9"/>
    <x v="52"/>
  </r>
  <r>
    <x v="22"/>
    <s v="Access to electricity (% of population)"/>
    <n v="88.808395385742202"/>
    <x v="52"/>
  </r>
  <r>
    <x v="23"/>
    <s v="Access to electricity (% of population)"/>
    <n v="99.1"/>
    <x v="52"/>
  </r>
  <r>
    <x v="24"/>
    <s v="Access to electricity (% of population)"/>
    <n v="15.3"/>
    <x v="52"/>
  </r>
  <r>
    <x v="25"/>
    <s v="Access to electricity (% of population)"/>
    <n v="16.214963912963899"/>
    <x v="52"/>
  </r>
  <r>
    <x v="26"/>
    <s v="Access to electricity (% of population)"/>
    <n v="24.894666671752901"/>
    <x v="52"/>
  </r>
  <r>
    <x v="27"/>
    <s v="Access to electricity (% of population)"/>
    <n v="36.728878021240199"/>
    <x v="52"/>
  </r>
  <r>
    <x v="0"/>
    <s v="Access to electricity (% of population)"/>
    <n v="6.5833191871643102"/>
    <x v="53"/>
  </r>
  <r>
    <x v="1"/>
    <s v="Access to electricity (% of population)"/>
    <n v="56.449779510498097"/>
    <x v="53"/>
  </r>
  <r>
    <x v="2"/>
    <s v="Access to electricity (% of population)"/>
    <n v="7.5036730766296396"/>
    <x v="53"/>
  </r>
  <r>
    <x v="3"/>
    <s v="Access to electricity (% of population)"/>
    <n v="70.457733154296903"/>
    <x v="53"/>
  </r>
  <r>
    <x v="4"/>
    <s v="Access to electricity (% of population)"/>
    <n v="52.515945434570298"/>
    <x v="53"/>
  </r>
  <r>
    <x v="5"/>
    <s v="Access to electricity (% of population)"/>
    <n v="30.0434875488281"/>
    <x v="53"/>
  </r>
  <r>
    <x v="6"/>
    <s v="Access to electricity (% of population)"/>
    <n v="28.8839321136475"/>
    <x v="53"/>
  </r>
  <r>
    <x v="7"/>
    <s v="Access to electricity (% of population)"/>
    <n v="37.287055969238303"/>
    <x v="53"/>
  </r>
  <r>
    <x v="8"/>
    <s v="Access to electricity (% of population)"/>
    <n v="31.554456710815401"/>
    <x v="53"/>
  </r>
  <r>
    <x v="9"/>
    <s v="Access to electricity (% of population)"/>
    <n v="99.9425048828125"/>
    <x v="53"/>
  </r>
  <r>
    <x v="10"/>
    <s v="Access to electricity (% of population)"/>
    <n v="9.8000000000000007"/>
    <x v="53"/>
  </r>
  <r>
    <x v="11"/>
    <s v="Access to electricity (% of population)"/>
    <n v="12.9"/>
    <x v="53"/>
  </r>
  <r>
    <x v="12"/>
    <s v="Access to electricity (% of population)"/>
    <n v="9"/>
    <x v="53"/>
  </r>
  <r>
    <x v="13"/>
    <s v="Access to electricity (% of population)"/>
    <n v="30.206607818603501"/>
    <x v="53"/>
  </r>
  <r>
    <x v="14"/>
    <s v="Access to electricity (% of population)"/>
    <n v="100"/>
    <x v="53"/>
  </r>
  <r>
    <x v="15"/>
    <s v="Access to electricity (% of population)"/>
    <n v="20.7008457183838"/>
    <x v="53"/>
  </r>
  <r>
    <x v="16"/>
    <s v="Access to electricity (% of population)"/>
    <n v="54.375282287597699"/>
    <x v="53"/>
  </r>
  <r>
    <x v="17"/>
    <s v="Access to electricity (% of population)"/>
    <n v="79.104644775390597"/>
    <x v="53"/>
  </r>
  <r>
    <x v="18"/>
    <s v="Access to electricity (% of population)"/>
    <n v="79.899841308593807"/>
    <x v="53"/>
  </r>
  <r>
    <x v="19"/>
    <s v="Access to electricity (% of population)"/>
    <n v="14.4404544830322"/>
    <x v="53"/>
  </r>
  <r>
    <x v="20"/>
    <s v="Access to electricity (% of population)"/>
    <n v="15.2"/>
    <x v="53"/>
  </r>
  <r>
    <x v="21"/>
    <s v="Access to electricity (% of population)"/>
    <n v="62.653480529785199"/>
    <x v="53"/>
  </r>
  <r>
    <x v="22"/>
    <s v="Access to electricity (% of population)"/>
    <n v="90.2"/>
    <x v="53"/>
  </r>
  <r>
    <x v="23"/>
    <s v="Access to electricity (% of population)"/>
    <n v="99.917449951171903"/>
    <x v="53"/>
  </r>
  <r>
    <x v="24"/>
    <s v="Access to electricity (% of population)"/>
    <n v="16.399999999999999"/>
    <x v="53"/>
  </r>
  <r>
    <x v="25"/>
    <s v="Access to electricity (% of population)"/>
    <n v="13.9"/>
    <x v="53"/>
  </r>
  <r>
    <x v="26"/>
    <s v="Access to electricity (% of population)"/>
    <n v="25.469701766967798"/>
    <x v="53"/>
  </r>
  <r>
    <x v="27"/>
    <s v="Access to electricity (% of population)"/>
    <n v="37.076812744140597"/>
    <x v="53"/>
  </r>
  <r>
    <x v="0"/>
    <s v="Access to electricity (% of population)"/>
    <n v="7"/>
    <x v="54"/>
  </r>
  <r>
    <x v="1"/>
    <s v="Access to electricity (% of population)"/>
    <n v="56.8"/>
    <x v="54"/>
  </r>
  <r>
    <x v="2"/>
    <s v="Access to electricity (% of population)"/>
    <n v="7.9439120292663601"/>
    <x v="54"/>
  </r>
  <r>
    <x v="3"/>
    <s v="Access to electricity (% of population)"/>
    <n v="72.917724609375"/>
    <x v="54"/>
  </r>
  <r>
    <x v="4"/>
    <s v="Access to electricity (% of population)"/>
    <n v="52.269359588622997"/>
    <x v="54"/>
  </r>
  <r>
    <x v="5"/>
    <s v="Access to electricity (% of population)"/>
    <n v="27.2"/>
    <x v="54"/>
  </r>
  <r>
    <x v="6"/>
    <s v="Access to electricity (% of population)"/>
    <n v="29.922040939331101"/>
    <x v="54"/>
  </r>
  <r>
    <x v="7"/>
    <s v="Access to electricity (% of population)"/>
    <n v="37.752590179443402"/>
    <x v="54"/>
  </r>
  <r>
    <x v="8"/>
    <s v="Access to electricity (% of population)"/>
    <n v="36"/>
    <x v="54"/>
  </r>
  <r>
    <x v="9"/>
    <s v="Access to electricity (% of population)"/>
    <n v="99.993133544921903"/>
    <x v="54"/>
  </r>
  <r>
    <x v="10"/>
    <s v="Access to electricity (% of population)"/>
    <n v="9.4"/>
    <x v="54"/>
  </r>
  <r>
    <x v="11"/>
    <s v="Access to electricity (% of population)"/>
    <n v="18.5967807769775"/>
    <x v="54"/>
  </r>
  <r>
    <x v="12"/>
    <s v="Access to electricity (% of population)"/>
    <n v="11.9"/>
    <x v="54"/>
  </r>
  <r>
    <x v="13"/>
    <s v="Access to electricity (% of population)"/>
    <n v="31.825401306152301"/>
    <x v="54"/>
  </r>
  <r>
    <x v="14"/>
    <s v="Access to electricity (% of population)"/>
    <n v="100"/>
    <x v="54"/>
  </r>
  <r>
    <x v="15"/>
    <s v="Access to electricity (% of population)"/>
    <n v="21.864507675170799"/>
    <x v="54"/>
  </r>
  <r>
    <x v="16"/>
    <s v="Access to electricity (% of population)"/>
    <n v="52"/>
    <x v="54"/>
  </r>
  <r>
    <x v="17"/>
    <s v="Access to electricity (% of population)"/>
    <n v="84.9"/>
    <x v="54"/>
  </r>
  <r>
    <x v="18"/>
    <s v="Access to electricity (% of population)"/>
    <n v="81.853072999999995"/>
    <x v="54"/>
  </r>
  <r>
    <x v="19"/>
    <s v="Access to electricity (% of population)"/>
    <n v="15.0305442810059"/>
    <x v="54"/>
  </r>
  <r>
    <x v="20"/>
    <s v="Access to electricity (% of population)"/>
    <n v="19.8"/>
    <x v="54"/>
  </r>
  <r>
    <x v="21"/>
    <s v="Access to electricity (% of population)"/>
    <n v="68.599999999999994"/>
    <x v="54"/>
  </r>
  <r>
    <x v="22"/>
    <s v="Access to electricity (% of population)"/>
    <n v="92.192062377929702"/>
    <x v="54"/>
  </r>
  <r>
    <x v="23"/>
    <s v="Access to electricity (% of population)"/>
    <n v="99.978408813476605"/>
    <x v="54"/>
  </r>
  <r>
    <x v="24"/>
    <s v="Access to electricity (% of population)"/>
    <n v="18.910179138183601"/>
    <x v="54"/>
  </r>
  <r>
    <x v="25"/>
    <s v="Access to electricity (% of population)"/>
    <n v="20.399999999999999"/>
    <x v="54"/>
  </r>
  <r>
    <x v="26"/>
    <s v="Access to electricity (% of population)"/>
    <n v="27.9"/>
    <x v="54"/>
  </r>
  <r>
    <x v="27"/>
    <s v="Access to electricity (% of population)"/>
    <n v="32.299999999999997"/>
    <x v="54"/>
  </r>
  <r>
    <x v="0"/>
    <s v="Access to electricity (% of population)"/>
    <n v="7.2520895004272496"/>
    <x v="55"/>
  </r>
  <r>
    <x v="1"/>
    <s v="Access to electricity (% of population)"/>
    <n v="58.865100860595703"/>
    <x v="55"/>
  </r>
  <r>
    <x v="2"/>
    <s v="Access to electricity (% of population)"/>
    <n v="7.7"/>
    <x v="55"/>
  </r>
  <r>
    <x v="3"/>
    <s v="Access to electricity (% of population)"/>
    <n v="75.380714416503906"/>
    <x v="55"/>
  </r>
  <r>
    <x v="4"/>
    <s v="Access to electricity (% of population)"/>
    <n v="52.0257759094238"/>
    <x v="55"/>
  </r>
  <r>
    <x v="5"/>
    <s v="Access to electricity (% of population)"/>
    <n v="33.418590545654197"/>
    <x v="55"/>
  </r>
  <r>
    <x v="6"/>
    <s v="Access to electricity (% of population)"/>
    <n v="30.963151931762699"/>
    <x v="55"/>
  </r>
  <r>
    <x v="7"/>
    <s v="Access to electricity (% of population)"/>
    <n v="38.221126556396499"/>
    <x v="55"/>
  </r>
  <r>
    <x v="8"/>
    <s v="Access to electricity (% of population)"/>
    <n v="41.6"/>
    <x v="55"/>
  </r>
  <r>
    <x v="9"/>
    <s v="Access to electricity (% of population)"/>
    <n v="100"/>
    <x v="55"/>
  </r>
  <r>
    <x v="10"/>
    <s v="Access to electricity (% of population)"/>
    <n v="13.840091705322299"/>
    <x v="55"/>
  </r>
  <r>
    <x v="11"/>
    <s v="Access to electricity (% of population)"/>
    <n v="19.035060882568398"/>
    <x v="55"/>
  </r>
  <r>
    <x v="12"/>
    <s v="Access to electricity (% of population)"/>
    <n v="10.8"/>
    <x v="55"/>
  </r>
  <r>
    <x v="13"/>
    <s v="Access to electricity (% of population)"/>
    <n v="37.6"/>
    <x v="55"/>
  </r>
  <r>
    <x v="14"/>
    <s v="Access to electricity (% of population)"/>
    <n v="100"/>
    <x v="55"/>
  </r>
  <r>
    <x v="15"/>
    <s v="Access to electricity (% of population)"/>
    <n v="24"/>
    <x v="55"/>
  </r>
  <r>
    <x v="16"/>
    <s v="Access to electricity (% of population)"/>
    <n v="60.5"/>
    <x v="55"/>
  </r>
  <r>
    <x v="17"/>
    <s v="Access to electricity (% of population)"/>
    <n v="87.213623046875"/>
    <x v="55"/>
  </r>
  <r>
    <x v="18"/>
    <s v="Access to electricity (% of population)"/>
    <n v="81.163139343261705"/>
    <x v="55"/>
  </r>
  <r>
    <x v="19"/>
    <s v="Access to electricity (% of population)"/>
    <n v="16.600000000000001"/>
    <x v="55"/>
  </r>
  <r>
    <x v="20"/>
    <s v="Access to electricity (% of population)"/>
    <n v="22.8"/>
    <x v="55"/>
  </r>
  <r>
    <x v="21"/>
    <s v="Access to electricity (% of population)"/>
    <n v="64.510147094726605"/>
    <x v="55"/>
  </r>
  <r>
    <x v="22"/>
    <s v="Access to electricity (% of population)"/>
    <n v="93.889900207519503"/>
    <x v="55"/>
  </r>
  <r>
    <x v="23"/>
    <s v="Access to electricity (% of population)"/>
    <n v="99.997352600097599"/>
    <x v="55"/>
  </r>
  <r>
    <x v="24"/>
    <s v="Access to electricity (% of population)"/>
    <n v="18.5"/>
    <x v="55"/>
  </r>
  <r>
    <x v="25"/>
    <s v="Access to electricity (% of population)"/>
    <n v="18.5"/>
    <x v="55"/>
  </r>
  <r>
    <x v="26"/>
    <s v="Access to electricity (% of population)"/>
    <n v="31.1"/>
    <x v="55"/>
  </r>
  <r>
    <x v="27"/>
    <s v="Access to electricity (% of population)"/>
    <n v="33.700000000000003"/>
    <x v="55"/>
  </r>
  <r>
    <x v="0"/>
    <s v="Access to electricity (% of population)"/>
    <n v="7.5884771347045801"/>
    <x v="56"/>
  </r>
  <r>
    <x v="1"/>
    <s v="Access to electricity (% of population)"/>
    <n v="60.0747680664063"/>
    <x v="56"/>
  </r>
  <r>
    <x v="2"/>
    <s v="Access to electricity (% of population)"/>
    <n v="8.8308982849121005"/>
    <x v="56"/>
  </r>
  <r>
    <x v="3"/>
    <s v="Access to electricity (% of population)"/>
    <n v="77.844215393066406"/>
    <x v="56"/>
  </r>
  <r>
    <x v="4"/>
    <s v="Access to electricity (% of population)"/>
    <n v="51.782691955566399"/>
    <x v="56"/>
  </r>
  <r>
    <x v="5"/>
    <s v="Access to electricity (% of population)"/>
    <n v="42.9"/>
    <x v="56"/>
  </r>
  <r>
    <x v="6"/>
    <s v="Access to electricity (% of population)"/>
    <n v="33.5"/>
    <x v="56"/>
  </r>
  <r>
    <x v="7"/>
    <s v="Access to electricity (% of population)"/>
    <n v="38.6901664733887"/>
    <x v="56"/>
  </r>
  <r>
    <x v="8"/>
    <s v="Access to electricity (% of population)"/>
    <n v="56"/>
    <x v="56"/>
  </r>
  <r>
    <x v="9"/>
    <s v="Access to electricity (% of population)"/>
    <n v="100"/>
    <x v="56"/>
  </r>
  <r>
    <x v="10"/>
    <s v="Access to electricity (% of population)"/>
    <n v="19.8"/>
    <x v="56"/>
  </r>
  <r>
    <x v="11"/>
    <s v="Access to electricity (% of population)"/>
    <n v="22.9"/>
    <x v="56"/>
  </r>
  <r>
    <x v="12"/>
    <s v="Access to electricity (% of population)"/>
    <n v="11"/>
    <x v="56"/>
  </r>
  <r>
    <x v="13"/>
    <s v="Access to electricity (% of population)"/>
    <n v="35.069499969482401"/>
    <x v="56"/>
  </r>
  <r>
    <x v="14"/>
    <s v="Access to electricity (% of population)"/>
    <n v="100"/>
    <x v="56"/>
  </r>
  <r>
    <x v="15"/>
    <s v="Access to electricity (% of population)"/>
    <n v="24.198339462280298"/>
    <x v="56"/>
  </r>
  <r>
    <x v="16"/>
    <s v="Access to electricity (% of population)"/>
    <n v="57.009384155273402"/>
    <x v="56"/>
  </r>
  <r>
    <x v="17"/>
    <s v="Access to electricity (% of population)"/>
    <n v="90.7"/>
    <x v="56"/>
  </r>
  <r>
    <x v="18"/>
    <s v="Access to electricity (% of population)"/>
    <n v="81.796798706054702"/>
    <x v="56"/>
  </r>
  <r>
    <x v="19"/>
    <s v="Access to electricity (% of population)"/>
    <n v="16.2172336578369"/>
    <x v="56"/>
  </r>
  <r>
    <x v="20"/>
    <s v="Access to electricity (% of population)"/>
    <n v="29.37"/>
    <x v="56"/>
  </r>
  <r>
    <x v="21"/>
    <s v="Access to electricity (% of population)"/>
    <n v="65.440483093261705"/>
    <x v="56"/>
  </r>
  <r>
    <x v="22"/>
    <s v="Access to electricity (% of population)"/>
    <n v="95.588233947753906"/>
    <x v="56"/>
  </r>
  <r>
    <x v="23"/>
    <s v="Access to electricity (% of population)"/>
    <n v="100"/>
    <x v="56"/>
  </r>
  <r>
    <x v="24"/>
    <s v="Access to electricity (% of population)"/>
    <n v="32.799999999999997"/>
    <x v="56"/>
  </r>
  <r>
    <x v="25"/>
    <s v="Access to electricity (% of population)"/>
    <n v="26.7"/>
    <x v="56"/>
  </r>
  <r>
    <x v="26"/>
    <s v="Access to electricity (% of population)"/>
    <n v="27.219337463378899"/>
    <x v="56"/>
  </r>
  <r>
    <x v="27"/>
    <s v="Access to electricity (% of population)"/>
    <n v="38.145137786865199"/>
    <x v="56"/>
  </r>
  <r>
    <x v="0"/>
    <s v="Access to electricity (% of population)"/>
    <m/>
    <x v="57"/>
  </r>
  <r>
    <x v="1"/>
    <s v="Access to electricity (% of population)"/>
    <m/>
    <x v="57"/>
  </r>
  <r>
    <x v="2"/>
    <s v="Access to electricity (% of population)"/>
    <m/>
    <x v="57"/>
  </r>
  <r>
    <x v="3"/>
    <s v="Access to electricity (% of population)"/>
    <m/>
    <x v="57"/>
  </r>
  <r>
    <x v="4"/>
    <s v="Access to electricity (% of population)"/>
    <m/>
    <x v="57"/>
  </r>
  <r>
    <x v="5"/>
    <s v="Access to electricity (% of population)"/>
    <m/>
    <x v="57"/>
  </r>
  <r>
    <x v="6"/>
    <s v="Access to electricity (% of population)"/>
    <m/>
    <x v="57"/>
  </r>
  <r>
    <x v="7"/>
    <s v="Access to electricity (% of population)"/>
    <m/>
    <x v="57"/>
  </r>
  <r>
    <x v="8"/>
    <s v="Access to electricity (% of population)"/>
    <m/>
    <x v="57"/>
  </r>
  <r>
    <x v="9"/>
    <s v="Access to electricity (% of population)"/>
    <m/>
    <x v="57"/>
  </r>
  <r>
    <x v="10"/>
    <s v="Access to electricity (% of population)"/>
    <m/>
    <x v="57"/>
  </r>
  <r>
    <x v="11"/>
    <s v="Access to electricity (% of population)"/>
    <m/>
    <x v="57"/>
  </r>
  <r>
    <x v="12"/>
    <s v="Access to electricity (% of population)"/>
    <m/>
    <x v="57"/>
  </r>
  <r>
    <x v="13"/>
    <s v="Access to electricity (% of population)"/>
    <m/>
    <x v="57"/>
  </r>
  <r>
    <x v="14"/>
    <s v="Access to electricity (% of population)"/>
    <m/>
    <x v="57"/>
  </r>
  <r>
    <x v="15"/>
    <s v="Access to electricity (% of population)"/>
    <m/>
    <x v="57"/>
  </r>
  <r>
    <x v="16"/>
    <s v="Access to electricity (% of population)"/>
    <m/>
    <x v="57"/>
  </r>
  <r>
    <x v="17"/>
    <s v="Access to electricity (% of population)"/>
    <m/>
    <x v="57"/>
  </r>
  <r>
    <x v="18"/>
    <s v="Access to electricity (% of population)"/>
    <m/>
    <x v="57"/>
  </r>
  <r>
    <x v="19"/>
    <s v="Access to electricity (% of population)"/>
    <m/>
    <x v="57"/>
  </r>
  <r>
    <x v="20"/>
    <s v="Access to electricity (% of population)"/>
    <m/>
    <x v="57"/>
  </r>
  <r>
    <x v="21"/>
    <s v="Access to electricity (% of population)"/>
    <m/>
    <x v="57"/>
  </r>
  <r>
    <x v="22"/>
    <s v="Access to electricity (% of population)"/>
    <m/>
    <x v="57"/>
  </r>
  <r>
    <x v="23"/>
    <s v="Access to electricity (% of population)"/>
    <m/>
    <x v="57"/>
  </r>
  <r>
    <x v="24"/>
    <s v="Access to electricity (% of population)"/>
    <m/>
    <x v="57"/>
  </r>
  <r>
    <x v="25"/>
    <s v="Access to electricity (% of population)"/>
    <m/>
    <x v="57"/>
  </r>
  <r>
    <x v="26"/>
    <s v="Access to electricity (% of population)"/>
    <m/>
    <x v="57"/>
  </r>
  <r>
    <x v="27"/>
    <s v="Access to electricity (% of population)"/>
    <m/>
    <x v="5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24">
  <r>
    <x v="0"/>
    <s v="Access to electricity, rural (% of rural population)"/>
    <m/>
    <x v="0"/>
  </r>
  <r>
    <x v="1"/>
    <s v="Access to electricity, rural (% of rural population)"/>
    <m/>
    <x v="0"/>
  </r>
  <r>
    <x v="2"/>
    <s v="Access to electricity, rural (% of rural population)"/>
    <m/>
    <x v="0"/>
  </r>
  <r>
    <x v="3"/>
    <s v="Access to electricity, rural (% of rural population)"/>
    <m/>
    <x v="0"/>
  </r>
  <r>
    <x v="4"/>
    <s v="Access to electricity, rural (% of rural population)"/>
    <m/>
    <x v="0"/>
  </r>
  <r>
    <x v="5"/>
    <s v="Access to electricity, rural (% of rural population)"/>
    <m/>
    <x v="0"/>
  </r>
  <r>
    <x v="6"/>
    <s v="Access to electricity, rural (% of rural population)"/>
    <m/>
    <x v="0"/>
  </r>
  <r>
    <x v="7"/>
    <s v="Access to electricity, rural (% of rural population)"/>
    <m/>
    <x v="0"/>
  </r>
  <r>
    <x v="8"/>
    <s v="Access to electricity, rural (% of rural population)"/>
    <m/>
    <x v="0"/>
  </r>
  <r>
    <x v="9"/>
    <s v="Access to electricity, rural (% of rural population)"/>
    <m/>
    <x v="0"/>
  </r>
  <r>
    <x v="10"/>
    <s v="Access to electricity, rural (% of rural population)"/>
    <m/>
    <x v="0"/>
  </r>
  <r>
    <x v="11"/>
    <s v="Access to electricity, rural (% of rural population)"/>
    <m/>
    <x v="0"/>
  </r>
  <r>
    <x v="12"/>
    <s v="Access to electricity, rural (% of rural population)"/>
    <m/>
    <x v="0"/>
  </r>
  <r>
    <x v="13"/>
    <s v="Access to electricity, rural (% of rural population)"/>
    <m/>
    <x v="0"/>
  </r>
  <r>
    <x v="14"/>
    <s v="Access to electricity, rural (% of rural population)"/>
    <m/>
    <x v="0"/>
  </r>
  <r>
    <x v="15"/>
    <s v="Access to electricity, rural (% of rural population)"/>
    <m/>
    <x v="0"/>
  </r>
  <r>
    <x v="16"/>
    <s v="Access to electricity, rural (% of rural population)"/>
    <m/>
    <x v="0"/>
  </r>
  <r>
    <x v="17"/>
    <s v="Access to electricity, rural (% of rural population)"/>
    <m/>
    <x v="0"/>
  </r>
  <r>
    <x v="18"/>
    <s v="Access to electricity, rural (% of rural population)"/>
    <m/>
    <x v="0"/>
  </r>
  <r>
    <x v="19"/>
    <s v="Access to electricity, rural (% of rural population)"/>
    <m/>
    <x v="0"/>
  </r>
  <r>
    <x v="20"/>
    <s v="Access to electricity, rural (% of rural population)"/>
    <m/>
    <x v="0"/>
  </r>
  <r>
    <x v="21"/>
    <s v="Access to electricity, rural (% of rural population)"/>
    <m/>
    <x v="0"/>
  </r>
  <r>
    <x v="22"/>
    <s v="Access to electricity, rural (% of rural population)"/>
    <m/>
    <x v="0"/>
  </r>
  <r>
    <x v="23"/>
    <s v="Access to electricity, rural (% of rural population)"/>
    <m/>
    <x v="0"/>
  </r>
  <r>
    <x v="24"/>
    <s v="Access to electricity, rural (% of rural population)"/>
    <m/>
    <x v="0"/>
  </r>
  <r>
    <x v="25"/>
    <s v="Access to electricity, rural (% of rural population)"/>
    <m/>
    <x v="0"/>
  </r>
  <r>
    <x v="26"/>
    <s v="Access to electricity, rural (% of rural population)"/>
    <m/>
    <x v="0"/>
  </r>
  <r>
    <x v="27"/>
    <s v="Access to electricity, rural (% of rural population)"/>
    <m/>
    <x v="0"/>
  </r>
  <r>
    <x v="0"/>
    <s v="Access to electricity, rural (% of rural population)"/>
    <m/>
    <x v="1"/>
  </r>
  <r>
    <x v="1"/>
    <s v="Access to electricity, rural (% of rural population)"/>
    <m/>
    <x v="1"/>
  </r>
  <r>
    <x v="2"/>
    <s v="Access to electricity, rural (% of rural population)"/>
    <m/>
    <x v="1"/>
  </r>
  <r>
    <x v="3"/>
    <s v="Access to electricity, rural (% of rural population)"/>
    <m/>
    <x v="1"/>
  </r>
  <r>
    <x v="4"/>
    <s v="Access to electricity, rural (% of rural population)"/>
    <m/>
    <x v="1"/>
  </r>
  <r>
    <x v="5"/>
    <s v="Access to electricity, rural (% of rural population)"/>
    <m/>
    <x v="1"/>
  </r>
  <r>
    <x v="6"/>
    <s v="Access to electricity, rural (% of rural population)"/>
    <m/>
    <x v="1"/>
  </r>
  <r>
    <x v="7"/>
    <s v="Access to electricity, rural (% of rural population)"/>
    <m/>
    <x v="1"/>
  </r>
  <r>
    <x v="8"/>
    <s v="Access to electricity, rural (% of rural population)"/>
    <m/>
    <x v="1"/>
  </r>
  <r>
    <x v="9"/>
    <s v="Access to electricity, rural (% of rural population)"/>
    <m/>
    <x v="1"/>
  </r>
  <r>
    <x v="10"/>
    <s v="Access to electricity, rural (% of rural population)"/>
    <m/>
    <x v="1"/>
  </r>
  <r>
    <x v="11"/>
    <s v="Access to electricity, rural (% of rural population)"/>
    <m/>
    <x v="1"/>
  </r>
  <r>
    <x v="12"/>
    <s v="Access to electricity, rural (% of rural population)"/>
    <m/>
    <x v="1"/>
  </r>
  <r>
    <x v="13"/>
    <s v="Access to electricity, rural (% of rural population)"/>
    <m/>
    <x v="1"/>
  </r>
  <r>
    <x v="14"/>
    <s v="Access to electricity, rural (% of rural population)"/>
    <m/>
    <x v="1"/>
  </r>
  <r>
    <x v="15"/>
    <s v="Access to electricity, rural (% of rural population)"/>
    <m/>
    <x v="1"/>
  </r>
  <r>
    <x v="16"/>
    <s v="Access to electricity, rural (% of rural population)"/>
    <m/>
    <x v="1"/>
  </r>
  <r>
    <x v="17"/>
    <s v="Access to electricity, rural (% of rural population)"/>
    <m/>
    <x v="1"/>
  </r>
  <r>
    <x v="18"/>
    <s v="Access to electricity, rural (% of rural population)"/>
    <m/>
    <x v="1"/>
  </r>
  <r>
    <x v="19"/>
    <s v="Access to electricity, rural (% of rural population)"/>
    <m/>
    <x v="1"/>
  </r>
  <r>
    <x v="20"/>
    <s v="Access to electricity, rural (% of rural population)"/>
    <m/>
    <x v="1"/>
  </r>
  <r>
    <x v="21"/>
    <s v="Access to electricity, rural (% of rural population)"/>
    <m/>
    <x v="1"/>
  </r>
  <r>
    <x v="22"/>
    <s v="Access to electricity, rural (% of rural population)"/>
    <m/>
    <x v="1"/>
  </r>
  <r>
    <x v="23"/>
    <s v="Access to electricity, rural (% of rural population)"/>
    <m/>
    <x v="1"/>
  </r>
  <r>
    <x v="24"/>
    <s v="Access to electricity, rural (% of rural population)"/>
    <m/>
    <x v="1"/>
  </r>
  <r>
    <x v="25"/>
    <s v="Access to electricity, rural (% of rural population)"/>
    <m/>
    <x v="1"/>
  </r>
  <r>
    <x v="26"/>
    <s v="Access to electricity, rural (% of rural population)"/>
    <m/>
    <x v="1"/>
  </r>
  <r>
    <x v="27"/>
    <s v="Access to electricity, rural (% of rural population)"/>
    <m/>
    <x v="1"/>
  </r>
  <r>
    <x v="0"/>
    <s v="Access to electricity, rural (% of rural population)"/>
    <m/>
    <x v="2"/>
  </r>
  <r>
    <x v="1"/>
    <s v="Access to electricity, rural (% of rural population)"/>
    <m/>
    <x v="2"/>
  </r>
  <r>
    <x v="2"/>
    <s v="Access to electricity, rural (% of rural population)"/>
    <m/>
    <x v="2"/>
  </r>
  <r>
    <x v="3"/>
    <s v="Access to electricity, rural (% of rural population)"/>
    <m/>
    <x v="2"/>
  </r>
  <r>
    <x v="4"/>
    <s v="Access to electricity, rural (% of rural population)"/>
    <m/>
    <x v="2"/>
  </r>
  <r>
    <x v="5"/>
    <s v="Access to electricity, rural (% of rural population)"/>
    <m/>
    <x v="2"/>
  </r>
  <r>
    <x v="6"/>
    <s v="Access to electricity, rural (% of rural population)"/>
    <m/>
    <x v="2"/>
  </r>
  <r>
    <x v="7"/>
    <s v="Access to electricity, rural (% of rural population)"/>
    <m/>
    <x v="2"/>
  </r>
  <r>
    <x v="8"/>
    <s v="Access to electricity, rural (% of rural population)"/>
    <m/>
    <x v="2"/>
  </r>
  <r>
    <x v="9"/>
    <s v="Access to electricity, rural (% of rural population)"/>
    <m/>
    <x v="2"/>
  </r>
  <r>
    <x v="10"/>
    <s v="Access to electricity, rural (% of rural population)"/>
    <m/>
    <x v="2"/>
  </r>
  <r>
    <x v="11"/>
    <s v="Access to electricity, rural (% of rural population)"/>
    <m/>
    <x v="2"/>
  </r>
  <r>
    <x v="12"/>
    <s v="Access to electricity, rural (% of rural population)"/>
    <m/>
    <x v="2"/>
  </r>
  <r>
    <x v="13"/>
    <s v="Access to electricity, rural (% of rural population)"/>
    <m/>
    <x v="2"/>
  </r>
  <r>
    <x v="14"/>
    <s v="Access to electricity, rural (% of rural population)"/>
    <m/>
    <x v="2"/>
  </r>
  <r>
    <x v="15"/>
    <s v="Access to electricity, rural (% of rural population)"/>
    <m/>
    <x v="2"/>
  </r>
  <r>
    <x v="16"/>
    <s v="Access to electricity, rural (% of rural population)"/>
    <m/>
    <x v="2"/>
  </r>
  <r>
    <x v="17"/>
    <s v="Access to electricity, rural (% of rural population)"/>
    <m/>
    <x v="2"/>
  </r>
  <r>
    <x v="18"/>
    <s v="Access to electricity, rural (% of rural population)"/>
    <m/>
    <x v="2"/>
  </r>
  <r>
    <x v="19"/>
    <s v="Access to electricity, rural (% of rural population)"/>
    <m/>
    <x v="2"/>
  </r>
  <r>
    <x v="20"/>
    <s v="Access to electricity, rural (% of rural population)"/>
    <m/>
    <x v="2"/>
  </r>
  <r>
    <x v="21"/>
    <s v="Access to electricity, rural (% of rural population)"/>
    <m/>
    <x v="2"/>
  </r>
  <r>
    <x v="22"/>
    <s v="Access to electricity, rural (% of rural population)"/>
    <m/>
    <x v="2"/>
  </r>
  <r>
    <x v="23"/>
    <s v="Access to electricity, rural (% of rural population)"/>
    <m/>
    <x v="2"/>
  </r>
  <r>
    <x v="24"/>
    <s v="Access to electricity, rural (% of rural population)"/>
    <m/>
    <x v="2"/>
  </r>
  <r>
    <x v="25"/>
    <s v="Access to electricity, rural (% of rural population)"/>
    <m/>
    <x v="2"/>
  </r>
  <r>
    <x v="26"/>
    <s v="Access to electricity, rural (% of rural population)"/>
    <m/>
    <x v="2"/>
  </r>
  <r>
    <x v="27"/>
    <s v="Access to electricity, rural (% of rural population)"/>
    <m/>
    <x v="2"/>
  </r>
  <r>
    <x v="0"/>
    <s v="Access to electricity, rural (% of rural population)"/>
    <m/>
    <x v="3"/>
  </r>
  <r>
    <x v="1"/>
    <s v="Access to electricity, rural (% of rural population)"/>
    <m/>
    <x v="3"/>
  </r>
  <r>
    <x v="2"/>
    <s v="Access to electricity, rural (% of rural population)"/>
    <m/>
    <x v="3"/>
  </r>
  <r>
    <x v="3"/>
    <s v="Access to electricity, rural (% of rural population)"/>
    <m/>
    <x v="3"/>
  </r>
  <r>
    <x v="4"/>
    <s v="Access to electricity, rural (% of rural population)"/>
    <m/>
    <x v="3"/>
  </r>
  <r>
    <x v="5"/>
    <s v="Access to electricity, rural (% of rural population)"/>
    <m/>
    <x v="3"/>
  </r>
  <r>
    <x v="6"/>
    <s v="Access to electricity, rural (% of rural population)"/>
    <m/>
    <x v="3"/>
  </r>
  <r>
    <x v="7"/>
    <s v="Access to electricity, rural (% of rural population)"/>
    <m/>
    <x v="3"/>
  </r>
  <r>
    <x v="8"/>
    <s v="Access to electricity, rural (% of rural population)"/>
    <m/>
    <x v="3"/>
  </r>
  <r>
    <x v="9"/>
    <s v="Access to electricity, rural (% of rural population)"/>
    <m/>
    <x v="3"/>
  </r>
  <r>
    <x v="10"/>
    <s v="Access to electricity, rural (% of rural population)"/>
    <m/>
    <x v="3"/>
  </r>
  <r>
    <x v="11"/>
    <s v="Access to electricity, rural (% of rural population)"/>
    <m/>
    <x v="3"/>
  </r>
  <r>
    <x v="12"/>
    <s v="Access to electricity, rural (% of rural population)"/>
    <m/>
    <x v="3"/>
  </r>
  <r>
    <x v="13"/>
    <s v="Access to electricity, rural (% of rural population)"/>
    <m/>
    <x v="3"/>
  </r>
  <r>
    <x v="14"/>
    <s v="Access to electricity, rural (% of rural population)"/>
    <m/>
    <x v="3"/>
  </r>
  <r>
    <x v="15"/>
    <s v="Access to electricity, rural (% of rural population)"/>
    <m/>
    <x v="3"/>
  </r>
  <r>
    <x v="16"/>
    <s v="Access to electricity, rural (% of rural population)"/>
    <m/>
    <x v="3"/>
  </r>
  <r>
    <x v="17"/>
    <s v="Access to electricity, rural (% of rural population)"/>
    <m/>
    <x v="3"/>
  </r>
  <r>
    <x v="18"/>
    <s v="Access to electricity, rural (% of rural population)"/>
    <m/>
    <x v="3"/>
  </r>
  <r>
    <x v="19"/>
    <s v="Access to electricity, rural (% of rural population)"/>
    <m/>
    <x v="3"/>
  </r>
  <r>
    <x v="20"/>
    <s v="Access to electricity, rural (% of rural population)"/>
    <m/>
    <x v="3"/>
  </r>
  <r>
    <x v="21"/>
    <s v="Access to electricity, rural (% of rural population)"/>
    <m/>
    <x v="3"/>
  </r>
  <r>
    <x v="22"/>
    <s v="Access to electricity, rural (% of rural population)"/>
    <m/>
    <x v="3"/>
  </r>
  <r>
    <x v="23"/>
    <s v="Access to electricity, rural (% of rural population)"/>
    <m/>
    <x v="3"/>
  </r>
  <r>
    <x v="24"/>
    <s v="Access to electricity, rural (% of rural population)"/>
    <m/>
    <x v="3"/>
  </r>
  <r>
    <x v="25"/>
    <s v="Access to electricity, rural (% of rural population)"/>
    <m/>
    <x v="3"/>
  </r>
  <r>
    <x v="26"/>
    <s v="Access to electricity, rural (% of rural population)"/>
    <m/>
    <x v="3"/>
  </r>
  <r>
    <x v="27"/>
    <s v="Access to electricity, rural (% of rural population)"/>
    <m/>
    <x v="3"/>
  </r>
  <r>
    <x v="0"/>
    <s v="Access to electricity, rural (% of rural population)"/>
    <m/>
    <x v="4"/>
  </r>
  <r>
    <x v="1"/>
    <s v="Access to electricity, rural (% of rural population)"/>
    <m/>
    <x v="4"/>
  </r>
  <r>
    <x v="2"/>
    <s v="Access to electricity, rural (% of rural population)"/>
    <m/>
    <x v="4"/>
  </r>
  <r>
    <x v="3"/>
    <s v="Access to electricity, rural (% of rural population)"/>
    <m/>
    <x v="4"/>
  </r>
  <r>
    <x v="4"/>
    <s v="Access to electricity, rural (% of rural population)"/>
    <m/>
    <x v="4"/>
  </r>
  <r>
    <x v="5"/>
    <s v="Access to electricity, rural (% of rural population)"/>
    <m/>
    <x v="4"/>
  </r>
  <r>
    <x v="6"/>
    <s v="Access to electricity, rural (% of rural population)"/>
    <m/>
    <x v="4"/>
  </r>
  <r>
    <x v="7"/>
    <s v="Access to electricity, rural (% of rural population)"/>
    <m/>
    <x v="4"/>
  </r>
  <r>
    <x v="8"/>
    <s v="Access to electricity, rural (% of rural population)"/>
    <m/>
    <x v="4"/>
  </r>
  <r>
    <x v="9"/>
    <s v="Access to electricity, rural (% of rural population)"/>
    <m/>
    <x v="4"/>
  </r>
  <r>
    <x v="10"/>
    <s v="Access to electricity, rural (% of rural population)"/>
    <m/>
    <x v="4"/>
  </r>
  <r>
    <x v="11"/>
    <s v="Access to electricity, rural (% of rural population)"/>
    <m/>
    <x v="4"/>
  </r>
  <r>
    <x v="12"/>
    <s v="Access to electricity, rural (% of rural population)"/>
    <m/>
    <x v="4"/>
  </r>
  <r>
    <x v="13"/>
    <s v="Access to electricity, rural (% of rural population)"/>
    <m/>
    <x v="4"/>
  </r>
  <r>
    <x v="14"/>
    <s v="Access to electricity, rural (% of rural population)"/>
    <m/>
    <x v="4"/>
  </r>
  <r>
    <x v="15"/>
    <s v="Access to electricity, rural (% of rural population)"/>
    <m/>
    <x v="4"/>
  </r>
  <r>
    <x v="16"/>
    <s v="Access to electricity, rural (% of rural population)"/>
    <m/>
    <x v="4"/>
  </r>
  <r>
    <x v="17"/>
    <s v="Access to electricity, rural (% of rural population)"/>
    <m/>
    <x v="4"/>
  </r>
  <r>
    <x v="18"/>
    <s v="Access to electricity, rural (% of rural population)"/>
    <m/>
    <x v="4"/>
  </r>
  <r>
    <x v="19"/>
    <s v="Access to electricity, rural (% of rural population)"/>
    <m/>
    <x v="4"/>
  </r>
  <r>
    <x v="20"/>
    <s v="Access to electricity, rural (% of rural population)"/>
    <m/>
    <x v="4"/>
  </r>
  <r>
    <x v="21"/>
    <s v="Access to electricity, rural (% of rural population)"/>
    <m/>
    <x v="4"/>
  </r>
  <r>
    <x v="22"/>
    <s v="Access to electricity, rural (% of rural population)"/>
    <m/>
    <x v="4"/>
  </r>
  <r>
    <x v="23"/>
    <s v="Access to electricity, rural (% of rural population)"/>
    <m/>
    <x v="4"/>
  </r>
  <r>
    <x v="24"/>
    <s v="Access to electricity, rural (% of rural population)"/>
    <m/>
    <x v="4"/>
  </r>
  <r>
    <x v="25"/>
    <s v="Access to electricity, rural (% of rural population)"/>
    <m/>
    <x v="4"/>
  </r>
  <r>
    <x v="26"/>
    <s v="Access to electricity, rural (% of rural population)"/>
    <m/>
    <x v="4"/>
  </r>
  <r>
    <x v="27"/>
    <s v="Access to electricity, rural (% of rural population)"/>
    <m/>
    <x v="4"/>
  </r>
  <r>
    <x v="0"/>
    <s v="Access to electricity, rural (% of rural population)"/>
    <m/>
    <x v="5"/>
  </r>
  <r>
    <x v="1"/>
    <s v="Access to electricity, rural (% of rural population)"/>
    <m/>
    <x v="5"/>
  </r>
  <r>
    <x v="2"/>
    <s v="Access to electricity, rural (% of rural population)"/>
    <m/>
    <x v="5"/>
  </r>
  <r>
    <x v="3"/>
    <s v="Access to electricity, rural (% of rural population)"/>
    <m/>
    <x v="5"/>
  </r>
  <r>
    <x v="4"/>
    <s v="Access to electricity, rural (% of rural population)"/>
    <m/>
    <x v="5"/>
  </r>
  <r>
    <x v="5"/>
    <s v="Access to electricity, rural (% of rural population)"/>
    <m/>
    <x v="5"/>
  </r>
  <r>
    <x v="6"/>
    <s v="Access to electricity, rural (% of rural population)"/>
    <m/>
    <x v="5"/>
  </r>
  <r>
    <x v="7"/>
    <s v="Access to electricity, rural (% of rural population)"/>
    <m/>
    <x v="5"/>
  </r>
  <r>
    <x v="8"/>
    <s v="Access to electricity, rural (% of rural population)"/>
    <m/>
    <x v="5"/>
  </r>
  <r>
    <x v="9"/>
    <s v="Access to electricity, rural (% of rural population)"/>
    <m/>
    <x v="5"/>
  </r>
  <r>
    <x v="10"/>
    <s v="Access to electricity, rural (% of rural population)"/>
    <m/>
    <x v="5"/>
  </r>
  <r>
    <x v="11"/>
    <s v="Access to electricity, rural (% of rural population)"/>
    <m/>
    <x v="5"/>
  </r>
  <r>
    <x v="12"/>
    <s v="Access to electricity, rural (% of rural population)"/>
    <m/>
    <x v="5"/>
  </r>
  <r>
    <x v="13"/>
    <s v="Access to electricity, rural (% of rural population)"/>
    <m/>
    <x v="5"/>
  </r>
  <r>
    <x v="14"/>
    <s v="Access to electricity, rural (% of rural population)"/>
    <m/>
    <x v="5"/>
  </r>
  <r>
    <x v="15"/>
    <s v="Access to electricity, rural (% of rural population)"/>
    <m/>
    <x v="5"/>
  </r>
  <r>
    <x v="16"/>
    <s v="Access to electricity, rural (% of rural population)"/>
    <m/>
    <x v="5"/>
  </r>
  <r>
    <x v="17"/>
    <s v="Access to electricity, rural (% of rural population)"/>
    <m/>
    <x v="5"/>
  </r>
  <r>
    <x v="18"/>
    <s v="Access to electricity, rural (% of rural population)"/>
    <m/>
    <x v="5"/>
  </r>
  <r>
    <x v="19"/>
    <s v="Access to electricity, rural (% of rural population)"/>
    <m/>
    <x v="5"/>
  </r>
  <r>
    <x v="20"/>
    <s v="Access to electricity, rural (% of rural population)"/>
    <m/>
    <x v="5"/>
  </r>
  <r>
    <x v="21"/>
    <s v="Access to electricity, rural (% of rural population)"/>
    <m/>
    <x v="5"/>
  </r>
  <r>
    <x v="22"/>
    <s v="Access to electricity, rural (% of rural population)"/>
    <m/>
    <x v="5"/>
  </r>
  <r>
    <x v="23"/>
    <s v="Access to electricity, rural (% of rural population)"/>
    <m/>
    <x v="5"/>
  </r>
  <r>
    <x v="24"/>
    <s v="Access to electricity, rural (% of rural population)"/>
    <m/>
    <x v="5"/>
  </r>
  <r>
    <x v="25"/>
    <s v="Access to electricity, rural (% of rural population)"/>
    <m/>
    <x v="5"/>
  </r>
  <r>
    <x v="26"/>
    <s v="Access to electricity, rural (% of rural population)"/>
    <m/>
    <x v="5"/>
  </r>
  <r>
    <x v="27"/>
    <s v="Access to electricity, rural (% of rural population)"/>
    <m/>
    <x v="5"/>
  </r>
  <r>
    <x v="0"/>
    <s v="Access to electricity, rural (% of rural population)"/>
    <m/>
    <x v="6"/>
  </r>
  <r>
    <x v="1"/>
    <s v="Access to electricity, rural (% of rural population)"/>
    <m/>
    <x v="6"/>
  </r>
  <r>
    <x v="2"/>
    <s v="Access to electricity, rural (% of rural population)"/>
    <m/>
    <x v="6"/>
  </r>
  <r>
    <x v="3"/>
    <s v="Access to electricity, rural (% of rural population)"/>
    <m/>
    <x v="6"/>
  </r>
  <r>
    <x v="4"/>
    <s v="Access to electricity, rural (% of rural population)"/>
    <m/>
    <x v="6"/>
  </r>
  <r>
    <x v="5"/>
    <s v="Access to electricity, rural (% of rural population)"/>
    <m/>
    <x v="6"/>
  </r>
  <r>
    <x v="6"/>
    <s v="Access to electricity, rural (% of rural population)"/>
    <m/>
    <x v="6"/>
  </r>
  <r>
    <x v="7"/>
    <s v="Access to electricity, rural (% of rural population)"/>
    <m/>
    <x v="6"/>
  </r>
  <r>
    <x v="8"/>
    <s v="Access to electricity, rural (% of rural population)"/>
    <m/>
    <x v="6"/>
  </r>
  <r>
    <x v="9"/>
    <s v="Access to electricity, rural (% of rural population)"/>
    <m/>
    <x v="6"/>
  </r>
  <r>
    <x v="10"/>
    <s v="Access to electricity, rural (% of rural population)"/>
    <m/>
    <x v="6"/>
  </r>
  <r>
    <x v="11"/>
    <s v="Access to electricity, rural (% of rural population)"/>
    <m/>
    <x v="6"/>
  </r>
  <r>
    <x v="12"/>
    <s v="Access to electricity, rural (% of rural population)"/>
    <m/>
    <x v="6"/>
  </r>
  <r>
    <x v="13"/>
    <s v="Access to electricity, rural (% of rural population)"/>
    <m/>
    <x v="6"/>
  </r>
  <r>
    <x v="14"/>
    <s v="Access to electricity, rural (% of rural population)"/>
    <m/>
    <x v="6"/>
  </r>
  <r>
    <x v="15"/>
    <s v="Access to electricity, rural (% of rural population)"/>
    <m/>
    <x v="6"/>
  </r>
  <r>
    <x v="16"/>
    <s v="Access to electricity, rural (% of rural population)"/>
    <m/>
    <x v="6"/>
  </r>
  <r>
    <x v="17"/>
    <s v="Access to electricity, rural (% of rural population)"/>
    <m/>
    <x v="6"/>
  </r>
  <r>
    <x v="18"/>
    <s v="Access to electricity, rural (% of rural population)"/>
    <m/>
    <x v="6"/>
  </r>
  <r>
    <x v="19"/>
    <s v="Access to electricity, rural (% of rural population)"/>
    <m/>
    <x v="6"/>
  </r>
  <r>
    <x v="20"/>
    <s v="Access to electricity, rural (% of rural population)"/>
    <m/>
    <x v="6"/>
  </r>
  <r>
    <x v="21"/>
    <s v="Access to electricity, rural (% of rural population)"/>
    <m/>
    <x v="6"/>
  </r>
  <r>
    <x v="22"/>
    <s v="Access to electricity, rural (% of rural population)"/>
    <m/>
    <x v="6"/>
  </r>
  <r>
    <x v="23"/>
    <s v="Access to electricity, rural (% of rural population)"/>
    <m/>
    <x v="6"/>
  </r>
  <r>
    <x v="24"/>
    <s v="Access to electricity, rural (% of rural population)"/>
    <m/>
    <x v="6"/>
  </r>
  <r>
    <x v="25"/>
    <s v="Access to electricity, rural (% of rural population)"/>
    <m/>
    <x v="6"/>
  </r>
  <r>
    <x v="26"/>
    <s v="Access to electricity, rural (% of rural population)"/>
    <m/>
    <x v="6"/>
  </r>
  <r>
    <x v="27"/>
    <s v="Access to electricity, rural (% of rural population)"/>
    <m/>
    <x v="6"/>
  </r>
  <r>
    <x v="0"/>
    <s v="Access to electricity, rural (% of rural population)"/>
    <m/>
    <x v="7"/>
  </r>
  <r>
    <x v="1"/>
    <s v="Access to electricity, rural (% of rural population)"/>
    <m/>
    <x v="7"/>
  </r>
  <r>
    <x v="2"/>
    <s v="Access to electricity, rural (% of rural population)"/>
    <m/>
    <x v="7"/>
  </r>
  <r>
    <x v="3"/>
    <s v="Access to electricity, rural (% of rural population)"/>
    <m/>
    <x v="7"/>
  </r>
  <r>
    <x v="4"/>
    <s v="Access to electricity, rural (% of rural population)"/>
    <m/>
    <x v="7"/>
  </r>
  <r>
    <x v="5"/>
    <s v="Access to electricity, rural (% of rural population)"/>
    <m/>
    <x v="7"/>
  </r>
  <r>
    <x v="6"/>
    <s v="Access to electricity, rural (% of rural population)"/>
    <m/>
    <x v="7"/>
  </r>
  <r>
    <x v="7"/>
    <s v="Access to electricity, rural (% of rural population)"/>
    <m/>
    <x v="7"/>
  </r>
  <r>
    <x v="8"/>
    <s v="Access to electricity, rural (% of rural population)"/>
    <m/>
    <x v="7"/>
  </r>
  <r>
    <x v="9"/>
    <s v="Access to electricity, rural (% of rural population)"/>
    <m/>
    <x v="7"/>
  </r>
  <r>
    <x v="10"/>
    <s v="Access to electricity, rural (% of rural population)"/>
    <m/>
    <x v="7"/>
  </r>
  <r>
    <x v="11"/>
    <s v="Access to electricity, rural (% of rural population)"/>
    <m/>
    <x v="7"/>
  </r>
  <r>
    <x v="12"/>
    <s v="Access to electricity, rural (% of rural population)"/>
    <m/>
    <x v="7"/>
  </r>
  <r>
    <x v="13"/>
    <s v="Access to electricity, rural (% of rural population)"/>
    <m/>
    <x v="7"/>
  </r>
  <r>
    <x v="14"/>
    <s v="Access to electricity, rural (% of rural population)"/>
    <m/>
    <x v="7"/>
  </r>
  <r>
    <x v="15"/>
    <s v="Access to electricity, rural (% of rural population)"/>
    <m/>
    <x v="7"/>
  </r>
  <r>
    <x v="16"/>
    <s v="Access to electricity, rural (% of rural population)"/>
    <m/>
    <x v="7"/>
  </r>
  <r>
    <x v="17"/>
    <s v="Access to electricity, rural (% of rural population)"/>
    <m/>
    <x v="7"/>
  </r>
  <r>
    <x v="18"/>
    <s v="Access to electricity, rural (% of rural population)"/>
    <m/>
    <x v="7"/>
  </r>
  <r>
    <x v="19"/>
    <s v="Access to electricity, rural (% of rural population)"/>
    <m/>
    <x v="7"/>
  </r>
  <r>
    <x v="20"/>
    <s v="Access to electricity, rural (% of rural population)"/>
    <m/>
    <x v="7"/>
  </r>
  <r>
    <x v="21"/>
    <s v="Access to electricity, rural (% of rural population)"/>
    <m/>
    <x v="7"/>
  </r>
  <r>
    <x v="22"/>
    <s v="Access to electricity, rural (% of rural population)"/>
    <m/>
    <x v="7"/>
  </r>
  <r>
    <x v="23"/>
    <s v="Access to electricity, rural (% of rural population)"/>
    <m/>
    <x v="7"/>
  </r>
  <r>
    <x v="24"/>
    <s v="Access to electricity, rural (% of rural population)"/>
    <m/>
    <x v="7"/>
  </r>
  <r>
    <x v="25"/>
    <s v="Access to electricity, rural (% of rural population)"/>
    <m/>
    <x v="7"/>
  </r>
  <r>
    <x v="26"/>
    <s v="Access to electricity, rural (% of rural population)"/>
    <m/>
    <x v="7"/>
  </r>
  <r>
    <x v="27"/>
    <s v="Access to electricity, rural (% of rural population)"/>
    <m/>
    <x v="7"/>
  </r>
  <r>
    <x v="0"/>
    <s v="Access to electricity, rural (% of rural population)"/>
    <m/>
    <x v="8"/>
  </r>
  <r>
    <x v="1"/>
    <s v="Access to electricity, rural (% of rural population)"/>
    <m/>
    <x v="8"/>
  </r>
  <r>
    <x v="2"/>
    <s v="Access to electricity, rural (% of rural population)"/>
    <m/>
    <x v="8"/>
  </r>
  <r>
    <x v="3"/>
    <s v="Access to electricity, rural (% of rural population)"/>
    <m/>
    <x v="8"/>
  </r>
  <r>
    <x v="4"/>
    <s v="Access to electricity, rural (% of rural population)"/>
    <m/>
    <x v="8"/>
  </r>
  <r>
    <x v="5"/>
    <s v="Access to electricity, rural (% of rural population)"/>
    <m/>
    <x v="8"/>
  </r>
  <r>
    <x v="6"/>
    <s v="Access to electricity, rural (% of rural population)"/>
    <m/>
    <x v="8"/>
  </r>
  <r>
    <x v="7"/>
    <s v="Access to electricity, rural (% of rural population)"/>
    <m/>
    <x v="8"/>
  </r>
  <r>
    <x v="8"/>
    <s v="Access to electricity, rural (% of rural population)"/>
    <m/>
    <x v="8"/>
  </r>
  <r>
    <x v="9"/>
    <s v="Access to electricity, rural (% of rural population)"/>
    <m/>
    <x v="8"/>
  </r>
  <r>
    <x v="10"/>
    <s v="Access to electricity, rural (% of rural population)"/>
    <m/>
    <x v="8"/>
  </r>
  <r>
    <x v="11"/>
    <s v="Access to electricity, rural (% of rural population)"/>
    <m/>
    <x v="8"/>
  </r>
  <r>
    <x v="12"/>
    <s v="Access to electricity, rural (% of rural population)"/>
    <m/>
    <x v="8"/>
  </r>
  <r>
    <x v="13"/>
    <s v="Access to electricity, rural (% of rural population)"/>
    <m/>
    <x v="8"/>
  </r>
  <r>
    <x v="14"/>
    <s v="Access to electricity, rural (% of rural population)"/>
    <m/>
    <x v="8"/>
  </r>
  <r>
    <x v="15"/>
    <s v="Access to electricity, rural (% of rural population)"/>
    <m/>
    <x v="8"/>
  </r>
  <r>
    <x v="16"/>
    <s v="Access to electricity, rural (% of rural population)"/>
    <m/>
    <x v="8"/>
  </r>
  <r>
    <x v="17"/>
    <s v="Access to electricity, rural (% of rural population)"/>
    <m/>
    <x v="8"/>
  </r>
  <r>
    <x v="18"/>
    <s v="Access to electricity, rural (% of rural population)"/>
    <m/>
    <x v="8"/>
  </r>
  <r>
    <x v="19"/>
    <s v="Access to electricity, rural (% of rural population)"/>
    <m/>
    <x v="8"/>
  </r>
  <r>
    <x v="20"/>
    <s v="Access to electricity, rural (% of rural population)"/>
    <m/>
    <x v="8"/>
  </r>
  <r>
    <x v="21"/>
    <s v="Access to electricity, rural (% of rural population)"/>
    <m/>
    <x v="8"/>
  </r>
  <r>
    <x v="22"/>
    <s v="Access to electricity, rural (% of rural population)"/>
    <m/>
    <x v="8"/>
  </r>
  <r>
    <x v="23"/>
    <s v="Access to electricity, rural (% of rural population)"/>
    <m/>
    <x v="8"/>
  </r>
  <r>
    <x v="24"/>
    <s v="Access to electricity, rural (% of rural population)"/>
    <m/>
    <x v="8"/>
  </r>
  <r>
    <x v="25"/>
    <s v="Access to electricity, rural (% of rural population)"/>
    <m/>
    <x v="8"/>
  </r>
  <r>
    <x v="26"/>
    <s v="Access to electricity, rural (% of rural population)"/>
    <m/>
    <x v="8"/>
  </r>
  <r>
    <x v="27"/>
    <s v="Access to electricity, rural (% of rural population)"/>
    <m/>
    <x v="8"/>
  </r>
  <r>
    <x v="0"/>
    <s v="Access to electricity, rural (% of rural population)"/>
    <m/>
    <x v="9"/>
  </r>
  <r>
    <x v="1"/>
    <s v="Access to electricity, rural (% of rural population)"/>
    <m/>
    <x v="9"/>
  </r>
  <r>
    <x v="2"/>
    <s v="Access to electricity, rural (% of rural population)"/>
    <m/>
    <x v="9"/>
  </r>
  <r>
    <x v="3"/>
    <s v="Access to electricity, rural (% of rural population)"/>
    <m/>
    <x v="9"/>
  </r>
  <r>
    <x v="4"/>
    <s v="Access to electricity, rural (% of rural population)"/>
    <m/>
    <x v="9"/>
  </r>
  <r>
    <x v="5"/>
    <s v="Access to electricity, rural (% of rural population)"/>
    <m/>
    <x v="9"/>
  </r>
  <r>
    <x v="6"/>
    <s v="Access to electricity, rural (% of rural population)"/>
    <m/>
    <x v="9"/>
  </r>
  <r>
    <x v="7"/>
    <s v="Access to electricity, rural (% of rural population)"/>
    <m/>
    <x v="9"/>
  </r>
  <r>
    <x v="8"/>
    <s v="Access to electricity, rural (% of rural population)"/>
    <m/>
    <x v="9"/>
  </r>
  <r>
    <x v="9"/>
    <s v="Access to electricity, rural (% of rural population)"/>
    <m/>
    <x v="9"/>
  </r>
  <r>
    <x v="10"/>
    <s v="Access to electricity, rural (% of rural population)"/>
    <m/>
    <x v="9"/>
  </r>
  <r>
    <x v="11"/>
    <s v="Access to electricity, rural (% of rural population)"/>
    <m/>
    <x v="9"/>
  </r>
  <r>
    <x v="12"/>
    <s v="Access to electricity, rural (% of rural population)"/>
    <m/>
    <x v="9"/>
  </r>
  <r>
    <x v="13"/>
    <s v="Access to electricity, rural (% of rural population)"/>
    <m/>
    <x v="9"/>
  </r>
  <r>
    <x v="14"/>
    <s v="Access to electricity, rural (% of rural population)"/>
    <m/>
    <x v="9"/>
  </r>
  <r>
    <x v="15"/>
    <s v="Access to electricity, rural (% of rural population)"/>
    <m/>
    <x v="9"/>
  </r>
  <r>
    <x v="16"/>
    <s v="Access to electricity, rural (% of rural population)"/>
    <m/>
    <x v="9"/>
  </r>
  <r>
    <x v="17"/>
    <s v="Access to electricity, rural (% of rural population)"/>
    <m/>
    <x v="9"/>
  </r>
  <r>
    <x v="18"/>
    <s v="Access to electricity, rural (% of rural population)"/>
    <m/>
    <x v="9"/>
  </r>
  <r>
    <x v="19"/>
    <s v="Access to electricity, rural (% of rural population)"/>
    <m/>
    <x v="9"/>
  </r>
  <r>
    <x v="20"/>
    <s v="Access to electricity, rural (% of rural population)"/>
    <m/>
    <x v="9"/>
  </r>
  <r>
    <x v="21"/>
    <s v="Access to electricity, rural (% of rural population)"/>
    <m/>
    <x v="9"/>
  </r>
  <r>
    <x v="22"/>
    <s v="Access to electricity, rural (% of rural population)"/>
    <m/>
    <x v="9"/>
  </r>
  <r>
    <x v="23"/>
    <s v="Access to electricity, rural (% of rural population)"/>
    <m/>
    <x v="9"/>
  </r>
  <r>
    <x v="24"/>
    <s v="Access to electricity, rural (% of rural population)"/>
    <m/>
    <x v="9"/>
  </r>
  <r>
    <x v="25"/>
    <s v="Access to electricity, rural (% of rural population)"/>
    <m/>
    <x v="9"/>
  </r>
  <r>
    <x v="26"/>
    <s v="Access to electricity, rural (% of rural population)"/>
    <m/>
    <x v="9"/>
  </r>
  <r>
    <x v="27"/>
    <s v="Access to electricity, rural (% of rural population)"/>
    <m/>
    <x v="9"/>
  </r>
  <r>
    <x v="0"/>
    <s v="Access to electricity, rural (% of rural population)"/>
    <m/>
    <x v="10"/>
  </r>
  <r>
    <x v="1"/>
    <s v="Access to electricity, rural (% of rural population)"/>
    <m/>
    <x v="10"/>
  </r>
  <r>
    <x v="2"/>
    <s v="Access to electricity, rural (% of rural population)"/>
    <m/>
    <x v="10"/>
  </r>
  <r>
    <x v="3"/>
    <s v="Access to electricity, rural (% of rural population)"/>
    <m/>
    <x v="10"/>
  </r>
  <r>
    <x v="4"/>
    <s v="Access to electricity, rural (% of rural population)"/>
    <m/>
    <x v="10"/>
  </r>
  <r>
    <x v="5"/>
    <s v="Access to electricity, rural (% of rural population)"/>
    <m/>
    <x v="10"/>
  </r>
  <r>
    <x v="6"/>
    <s v="Access to electricity, rural (% of rural population)"/>
    <m/>
    <x v="10"/>
  </r>
  <r>
    <x v="7"/>
    <s v="Access to electricity, rural (% of rural population)"/>
    <m/>
    <x v="10"/>
  </r>
  <r>
    <x v="8"/>
    <s v="Access to electricity, rural (% of rural population)"/>
    <m/>
    <x v="10"/>
  </r>
  <r>
    <x v="9"/>
    <s v="Access to electricity, rural (% of rural population)"/>
    <m/>
    <x v="10"/>
  </r>
  <r>
    <x v="10"/>
    <s v="Access to electricity, rural (% of rural population)"/>
    <m/>
    <x v="10"/>
  </r>
  <r>
    <x v="11"/>
    <s v="Access to electricity, rural (% of rural population)"/>
    <m/>
    <x v="10"/>
  </r>
  <r>
    <x v="12"/>
    <s v="Access to electricity, rural (% of rural population)"/>
    <m/>
    <x v="10"/>
  </r>
  <r>
    <x v="13"/>
    <s v="Access to electricity, rural (% of rural population)"/>
    <m/>
    <x v="10"/>
  </r>
  <r>
    <x v="14"/>
    <s v="Access to electricity, rural (% of rural population)"/>
    <m/>
    <x v="10"/>
  </r>
  <r>
    <x v="15"/>
    <s v="Access to electricity, rural (% of rural population)"/>
    <m/>
    <x v="10"/>
  </r>
  <r>
    <x v="16"/>
    <s v="Access to electricity, rural (% of rural population)"/>
    <m/>
    <x v="10"/>
  </r>
  <r>
    <x v="17"/>
    <s v="Access to electricity, rural (% of rural population)"/>
    <m/>
    <x v="10"/>
  </r>
  <r>
    <x v="18"/>
    <s v="Access to electricity, rural (% of rural population)"/>
    <m/>
    <x v="10"/>
  </r>
  <r>
    <x v="19"/>
    <s v="Access to electricity, rural (% of rural population)"/>
    <m/>
    <x v="10"/>
  </r>
  <r>
    <x v="20"/>
    <s v="Access to electricity, rural (% of rural population)"/>
    <m/>
    <x v="10"/>
  </r>
  <r>
    <x v="21"/>
    <s v="Access to electricity, rural (% of rural population)"/>
    <m/>
    <x v="10"/>
  </r>
  <r>
    <x v="22"/>
    <s v="Access to electricity, rural (% of rural population)"/>
    <m/>
    <x v="10"/>
  </r>
  <r>
    <x v="23"/>
    <s v="Access to electricity, rural (% of rural population)"/>
    <m/>
    <x v="10"/>
  </r>
  <r>
    <x v="24"/>
    <s v="Access to electricity, rural (% of rural population)"/>
    <m/>
    <x v="10"/>
  </r>
  <r>
    <x v="25"/>
    <s v="Access to electricity, rural (% of rural population)"/>
    <m/>
    <x v="10"/>
  </r>
  <r>
    <x v="26"/>
    <s v="Access to electricity, rural (% of rural population)"/>
    <m/>
    <x v="10"/>
  </r>
  <r>
    <x v="27"/>
    <s v="Access to electricity, rural (% of rural population)"/>
    <m/>
    <x v="10"/>
  </r>
  <r>
    <x v="0"/>
    <s v="Access to electricity, rural (% of rural population)"/>
    <m/>
    <x v="11"/>
  </r>
  <r>
    <x v="1"/>
    <s v="Access to electricity, rural (% of rural population)"/>
    <m/>
    <x v="11"/>
  </r>
  <r>
    <x v="2"/>
    <s v="Access to electricity, rural (% of rural population)"/>
    <m/>
    <x v="11"/>
  </r>
  <r>
    <x v="3"/>
    <s v="Access to electricity, rural (% of rural population)"/>
    <m/>
    <x v="11"/>
  </r>
  <r>
    <x v="4"/>
    <s v="Access to electricity, rural (% of rural population)"/>
    <m/>
    <x v="11"/>
  </r>
  <r>
    <x v="5"/>
    <s v="Access to electricity, rural (% of rural population)"/>
    <m/>
    <x v="11"/>
  </r>
  <r>
    <x v="6"/>
    <s v="Access to electricity, rural (% of rural population)"/>
    <m/>
    <x v="11"/>
  </r>
  <r>
    <x v="7"/>
    <s v="Access to electricity, rural (% of rural population)"/>
    <m/>
    <x v="11"/>
  </r>
  <r>
    <x v="8"/>
    <s v="Access to electricity, rural (% of rural population)"/>
    <m/>
    <x v="11"/>
  </r>
  <r>
    <x v="9"/>
    <s v="Access to electricity, rural (% of rural population)"/>
    <m/>
    <x v="11"/>
  </r>
  <r>
    <x v="10"/>
    <s v="Access to electricity, rural (% of rural population)"/>
    <m/>
    <x v="11"/>
  </r>
  <r>
    <x v="11"/>
    <s v="Access to electricity, rural (% of rural population)"/>
    <m/>
    <x v="11"/>
  </r>
  <r>
    <x v="12"/>
    <s v="Access to electricity, rural (% of rural population)"/>
    <m/>
    <x v="11"/>
  </r>
  <r>
    <x v="13"/>
    <s v="Access to electricity, rural (% of rural population)"/>
    <m/>
    <x v="11"/>
  </r>
  <r>
    <x v="14"/>
    <s v="Access to electricity, rural (% of rural population)"/>
    <m/>
    <x v="11"/>
  </r>
  <r>
    <x v="15"/>
    <s v="Access to electricity, rural (% of rural population)"/>
    <m/>
    <x v="11"/>
  </r>
  <r>
    <x v="16"/>
    <s v="Access to electricity, rural (% of rural population)"/>
    <m/>
    <x v="11"/>
  </r>
  <r>
    <x v="17"/>
    <s v="Access to electricity, rural (% of rural population)"/>
    <m/>
    <x v="11"/>
  </r>
  <r>
    <x v="18"/>
    <s v="Access to electricity, rural (% of rural population)"/>
    <m/>
    <x v="11"/>
  </r>
  <r>
    <x v="19"/>
    <s v="Access to electricity, rural (% of rural population)"/>
    <m/>
    <x v="11"/>
  </r>
  <r>
    <x v="20"/>
    <s v="Access to electricity, rural (% of rural population)"/>
    <m/>
    <x v="11"/>
  </r>
  <r>
    <x v="21"/>
    <s v="Access to electricity, rural (% of rural population)"/>
    <m/>
    <x v="11"/>
  </r>
  <r>
    <x v="22"/>
    <s v="Access to electricity, rural (% of rural population)"/>
    <m/>
    <x v="11"/>
  </r>
  <r>
    <x v="23"/>
    <s v="Access to electricity, rural (% of rural population)"/>
    <m/>
    <x v="11"/>
  </r>
  <r>
    <x v="24"/>
    <s v="Access to electricity, rural (% of rural population)"/>
    <m/>
    <x v="11"/>
  </r>
  <r>
    <x v="25"/>
    <s v="Access to electricity, rural (% of rural population)"/>
    <m/>
    <x v="11"/>
  </r>
  <r>
    <x v="26"/>
    <s v="Access to electricity, rural (% of rural population)"/>
    <m/>
    <x v="11"/>
  </r>
  <r>
    <x v="27"/>
    <s v="Access to electricity, rural (% of rural population)"/>
    <m/>
    <x v="11"/>
  </r>
  <r>
    <x v="0"/>
    <s v="Access to electricity, rural (% of rural population)"/>
    <m/>
    <x v="12"/>
  </r>
  <r>
    <x v="1"/>
    <s v="Access to electricity, rural (% of rural population)"/>
    <m/>
    <x v="12"/>
  </r>
  <r>
    <x v="2"/>
    <s v="Access to electricity, rural (% of rural population)"/>
    <m/>
    <x v="12"/>
  </r>
  <r>
    <x v="3"/>
    <s v="Access to electricity, rural (% of rural population)"/>
    <m/>
    <x v="12"/>
  </r>
  <r>
    <x v="4"/>
    <s v="Access to electricity, rural (% of rural population)"/>
    <m/>
    <x v="12"/>
  </r>
  <r>
    <x v="5"/>
    <s v="Access to electricity, rural (% of rural population)"/>
    <m/>
    <x v="12"/>
  </r>
  <r>
    <x v="6"/>
    <s v="Access to electricity, rural (% of rural population)"/>
    <m/>
    <x v="12"/>
  </r>
  <r>
    <x v="7"/>
    <s v="Access to electricity, rural (% of rural population)"/>
    <m/>
    <x v="12"/>
  </r>
  <r>
    <x v="8"/>
    <s v="Access to electricity, rural (% of rural population)"/>
    <m/>
    <x v="12"/>
  </r>
  <r>
    <x v="9"/>
    <s v="Access to electricity, rural (% of rural population)"/>
    <m/>
    <x v="12"/>
  </r>
  <r>
    <x v="10"/>
    <s v="Access to electricity, rural (% of rural population)"/>
    <m/>
    <x v="12"/>
  </r>
  <r>
    <x v="11"/>
    <s v="Access to electricity, rural (% of rural population)"/>
    <m/>
    <x v="12"/>
  </r>
  <r>
    <x v="12"/>
    <s v="Access to electricity, rural (% of rural population)"/>
    <m/>
    <x v="12"/>
  </r>
  <r>
    <x v="13"/>
    <s v="Access to electricity, rural (% of rural population)"/>
    <m/>
    <x v="12"/>
  </r>
  <r>
    <x v="14"/>
    <s v="Access to electricity, rural (% of rural population)"/>
    <m/>
    <x v="12"/>
  </r>
  <r>
    <x v="15"/>
    <s v="Access to electricity, rural (% of rural population)"/>
    <m/>
    <x v="12"/>
  </r>
  <r>
    <x v="16"/>
    <s v="Access to electricity, rural (% of rural population)"/>
    <m/>
    <x v="12"/>
  </r>
  <r>
    <x v="17"/>
    <s v="Access to electricity, rural (% of rural population)"/>
    <m/>
    <x v="12"/>
  </r>
  <r>
    <x v="18"/>
    <s v="Access to electricity, rural (% of rural population)"/>
    <m/>
    <x v="12"/>
  </r>
  <r>
    <x v="19"/>
    <s v="Access to electricity, rural (% of rural population)"/>
    <m/>
    <x v="12"/>
  </r>
  <r>
    <x v="20"/>
    <s v="Access to electricity, rural (% of rural population)"/>
    <m/>
    <x v="12"/>
  </r>
  <r>
    <x v="21"/>
    <s v="Access to electricity, rural (% of rural population)"/>
    <m/>
    <x v="12"/>
  </r>
  <r>
    <x v="22"/>
    <s v="Access to electricity, rural (% of rural population)"/>
    <m/>
    <x v="12"/>
  </r>
  <r>
    <x v="23"/>
    <s v="Access to electricity, rural (% of rural population)"/>
    <m/>
    <x v="12"/>
  </r>
  <r>
    <x v="24"/>
    <s v="Access to electricity, rural (% of rural population)"/>
    <m/>
    <x v="12"/>
  </r>
  <r>
    <x v="25"/>
    <s v="Access to electricity, rural (% of rural population)"/>
    <m/>
    <x v="12"/>
  </r>
  <r>
    <x v="26"/>
    <s v="Access to electricity, rural (% of rural population)"/>
    <m/>
    <x v="12"/>
  </r>
  <r>
    <x v="27"/>
    <s v="Access to electricity, rural (% of rural population)"/>
    <m/>
    <x v="12"/>
  </r>
  <r>
    <x v="0"/>
    <s v="Access to electricity, rural (% of rural population)"/>
    <m/>
    <x v="13"/>
  </r>
  <r>
    <x v="1"/>
    <s v="Access to electricity, rural (% of rural population)"/>
    <m/>
    <x v="13"/>
  </r>
  <r>
    <x v="2"/>
    <s v="Access to electricity, rural (% of rural population)"/>
    <m/>
    <x v="13"/>
  </r>
  <r>
    <x v="3"/>
    <s v="Access to electricity, rural (% of rural population)"/>
    <m/>
    <x v="13"/>
  </r>
  <r>
    <x v="4"/>
    <s v="Access to electricity, rural (% of rural population)"/>
    <m/>
    <x v="13"/>
  </r>
  <r>
    <x v="5"/>
    <s v="Access to electricity, rural (% of rural population)"/>
    <m/>
    <x v="13"/>
  </r>
  <r>
    <x v="6"/>
    <s v="Access to electricity, rural (% of rural population)"/>
    <m/>
    <x v="13"/>
  </r>
  <r>
    <x v="7"/>
    <s v="Access to electricity, rural (% of rural population)"/>
    <m/>
    <x v="13"/>
  </r>
  <r>
    <x v="8"/>
    <s v="Access to electricity, rural (% of rural population)"/>
    <m/>
    <x v="13"/>
  </r>
  <r>
    <x v="9"/>
    <s v="Access to electricity, rural (% of rural population)"/>
    <m/>
    <x v="13"/>
  </r>
  <r>
    <x v="10"/>
    <s v="Access to electricity, rural (% of rural population)"/>
    <m/>
    <x v="13"/>
  </r>
  <r>
    <x v="11"/>
    <s v="Access to electricity, rural (% of rural population)"/>
    <m/>
    <x v="13"/>
  </r>
  <r>
    <x v="12"/>
    <s v="Access to electricity, rural (% of rural population)"/>
    <m/>
    <x v="13"/>
  </r>
  <r>
    <x v="13"/>
    <s v="Access to electricity, rural (% of rural population)"/>
    <m/>
    <x v="13"/>
  </r>
  <r>
    <x v="14"/>
    <s v="Access to electricity, rural (% of rural population)"/>
    <m/>
    <x v="13"/>
  </r>
  <r>
    <x v="15"/>
    <s v="Access to electricity, rural (% of rural population)"/>
    <m/>
    <x v="13"/>
  </r>
  <r>
    <x v="16"/>
    <s v="Access to electricity, rural (% of rural population)"/>
    <m/>
    <x v="13"/>
  </r>
  <r>
    <x v="17"/>
    <s v="Access to electricity, rural (% of rural population)"/>
    <m/>
    <x v="13"/>
  </r>
  <r>
    <x v="18"/>
    <s v="Access to electricity, rural (% of rural population)"/>
    <m/>
    <x v="13"/>
  </r>
  <r>
    <x v="19"/>
    <s v="Access to electricity, rural (% of rural population)"/>
    <m/>
    <x v="13"/>
  </r>
  <r>
    <x v="20"/>
    <s v="Access to electricity, rural (% of rural population)"/>
    <m/>
    <x v="13"/>
  </r>
  <r>
    <x v="21"/>
    <s v="Access to electricity, rural (% of rural population)"/>
    <m/>
    <x v="13"/>
  </r>
  <r>
    <x v="22"/>
    <s v="Access to electricity, rural (% of rural population)"/>
    <m/>
    <x v="13"/>
  </r>
  <r>
    <x v="23"/>
    <s v="Access to electricity, rural (% of rural population)"/>
    <m/>
    <x v="13"/>
  </r>
  <r>
    <x v="24"/>
    <s v="Access to electricity, rural (% of rural population)"/>
    <m/>
    <x v="13"/>
  </r>
  <r>
    <x v="25"/>
    <s v="Access to electricity, rural (% of rural population)"/>
    <m/>
    <x v="13"/>
  </r>
  <r>
    <x v="26"/>
    <s v="Access to electricity, rural (% of rural population)"/>
    <m/>
    <x v="13"/>
  </r>
  <r>
    <x v="27"/>
    <s v="Access to electricity, rural (% of rural population)"/>
    <m/>
    <x v="13"/>
  </r>
  <r>
    <x v="0"/>
    <s v="Access to electricity, rural (% of rural population)"/>
    <m/>
    <x v="14"/>
  </r>
  <r>
    <x v="1"/>
    <s v="Access to electricity, rural (% of rural population)"/>
    <m/>
    <x v="14"/>
  </r>
  <r>
    <x v="2"/>
    <s v="Access to electricity, rural (% of rural population)"/>
    <m/>
    <x v="14"/>
  </r>
  <r>
    <x v="3"/>
    <s v="Access to electricity, rural (% of rural population)"/>
    <m/>
    <x v="14"/>
  </r>
  <r>
    <x v="4"/>
    <s v="Access to electricity, rural (% of rural population)"/>
    <m/>
    <x v="14"/>
  </r>
  <r>
    <x v="5"/>
    <s v="Access to electricity, rural (% of rural population)"/>
    <m/>
    <x v="14"/>
  </r>
  <r>
    <x v="6"/>
    <s v="Access to electricity, rural (% of rural population)"/>
    <m/>
    <x v="14"/>
  </r>
  <r>
    <x v="7"/>
    <s v="Access to electricity, rural (% of rural population)"/>
    <m/>
    <x v="14"/>
  </r>
  <r>
    <x v="8"/>
    <s v="Access to electricity, rural (% of rural population)"/>
    <m/>
    <x v="14"/>
  </r>
  <r>
    <x v="9"/>
    <s v="Access to electricity, rural (% of rural population)"/>
    <m/>
    <x v="14"/>
  </r>
  <r>
    <x v="10"/>
    <s v="Access to electricity, rural (% of rural population)"/>
    <m/>
    <x v="14"/>
  </r>
  <r>
    <x v="11"/>
    <s v="Access to electricity, rural (% of rural population)"/>
    <m/>
    <x v="14"/>
  </r>
  <r>
    <x v="12"/>
    <s v="Access to electricity, rural (% of rural population)"/>
    <m/>
    <x v="14"/>
  </r>
  <r>
    <x v="13"/>
    <s v="Access to electricity, rural (% of rural population)"/>
    <m/>
    <x v="14"/>
  </r>
  <r>
    <x v="14"/>
    <s v="Access to electricity, rural (% of rural population)"/>
    <m/>
    <x v="14"/>
  </r>
  <r>
    <x v="15"/>
    <s v="Access to electricity, rural (% of rural population)"/>
    <m/>
    <x v="14"/>
  </r>
  <r>
    <x v="16"/>
    <s v="Access to electricity, rural (% of rural population)"/>
    <m/>
    <x v="14"/>
  </r>
  <r>
    <x v="17"/>
    <s v="Access to electricity, rural (% of rural population)"/>
    <m/>
    <x v="14"/>
  </r>
  <r>
    <x v="18"/>
    <s v="Access to electricity, rural (% of rural population)"/>
    <m/>
    <x v="14"/>
  </r>
  <r>
    <x v="19"/>
    <s v="Access to electricity, rural (% of rural population)"/>
    <m/>
    <x v="14"/>
  </r>
  <r>
    <x v="20"/>
    <s v="Access to electricity, rural (% of rural population)"/>
    <m/>
    <x v="14"/>
  </r>
  <r>
    <x v="21"/>
    <s v="Access to electricity, rural (% of rural population)"/>
    <m/>
    <x v="14"/>
  </r>
  <r>
    <x v="22"/>
    <s v="Access to electricity, rural (% of rural population)"/>
    <m/>
    <x v="14"/>
  </r>
  <r>
    <x v="23"/>
    <s v="Access to electricity, rural (% of rural population)"/>
    <m/>
    <x v="14"/>
  </r>
  <r>
    <x v="24"/>
    <s v="Access to electricity, rural (% of rural population)"/>
    <m/>
    <x v="14"/>
  </r>
  <r>
    <x v="25"/>
    <s v="Access to electricity, rural (% of rural population)"/>
    <m/>
    <x v="14"/>
  </r>
  <r>
    <x v="26"/>
    <s v="Access to electricity, rural (% of rural population)"/>
    <m/>
    <x v="14"/>
  </r>
  <r>
    <x v="27"/>
    <s v="Access to electricity, rural (% of rural population)"/>
    <m/>
    <x v="14"/>
  </r>
  <r>
    <x v="0"/>
    <s v="Access to electricity, rural (% of rural population)"/>
    <m/>
    <x v="15"/>
  </r>
  <r>
    <x v="1"/>
    <s v="Access to electricity, rural (% of rural population)"/>
    <m/>
    <x v="15"/>
  </r>
  <r>
    <x v="2"/>
    <s v="Access to electricity, rural (% of rural population)"/>
    <m/>
    <x v="15"/>
  </r>
  <r>
    <x v="3"/>
    <s v="Access to electricity, rural (% of rural population)"/>
    <m/>
    <x v="15"/>
  </r>
  <r>
    <x v="4"/>
    <s v="Access to electricity, rural (% of rural population)"/>
    <m/>
    <x v="15"/>
  </r>
  <r>
    <x v="5"/>
    <s v="Access to electricity, rural (% of rural population)"/>
    <m/>
    <x v="15"/>
  </r>
  <r>
    <x v="6"/>
    <s v="Access to electricity, rural (% of rural population)"/>
    <m/>
    <x v="15"/>
  </r>
  <r>
    <x v="7"/>
    <s v="Access to electricity, rural (% of rural population)"/>
    <m/>
    <x v="15"/>
  </r>
  <r>
    <x v="8"/>
    <s v="Access to electricity, rural (% of rural population)"/>
    <m/>
    <x v="15"/>
  </r>
  <r>
    <x v="9"/>
    <s v="Access to electricity, rural (% of rural population)"/>
    <m/>
    <x v="15"/>
  </r>
  <r>
    <x v="10"/>
    <s v="Access to electricity, rural (% of rural population)"/>
    <m/>
    <x v="15"/>
  </r>
  <r>
    <x v="11"/>
    <s v="Access to electricity, rural (% of rural population)"/>
    <m/>
    <x v="15"/>
  </r>
  <r>
    <x v="12"/>
    <s v="Access to electricity, rural (% of rural population)"/>
    <m/>
    <x v="15"/>
  </r>
  <r>
    <x v="13"/>
    <s v="Access to electricity, rural (% of rural population)"/>
    <m/>
    <x v="15"/>
  </r>
  <r>
    <x v="14"/>
    <s v="Access to electricity, rural (% of rural population)"/>
    <m/>
    <x v="15"/>
  </r>
  <r>
    <x v="15"/>
    <s v="Access to electricity, rural (% of rural population)"/>
    <m/>
    <x v="15"/>
  </r>
  <r>
    <x v="16"/>
    <s v="Access to electricity, rural (% of rural population)"/>
    <m/>
    <x v="15"/>
  </r>
  <r>
    <x v="17"/>
    <s v="Access to electricity, rural (% of rural population)"/>
    <m/>
    <x v="15"/>
  </r>
  <r>
    <x v="18"/>
    <s v="Access to electricity, rural (% of rural population)"/>
    <m/>
    <x v="15"/>
  </r>
  <r>
    <x v="19"/>
    <s v="Access to electricity, rural (% of rural population)"/>
    <m/>
    <x v="15"/>
  </r>
  <r>
    <x v="20"/>
    <s v="Access to electricity, rural (% of rural population)"/>
    <m/>
    <x v="15"/>
  </r>
  <r>
    <x v="21"/>
    <s v="Access to electricity, rural (% of rural population)"/>
    <m/>
    <x v="15"/>
  </r>
  <r>
    <x v="22"/>
    <s v="Access to electricity, rural (% of rural population)"/>
    <m/>
    <x v="15"/>
  </r>
  <r>
    <x v="23"/>
    <s v="Access to electricity, rural (% of rural population)"/>
    <m/>
    <x v="15"/>
  </r>
  <r>
    <x v="24"/>
    <s v="Access to electricity, rural (% of rural population)"/>
    <m/>
    <x v="15"/>
  </r>
  <r>
    <x v="25"/>
    <s v="Access to electricity, rural (% of rural population)"/>
    <m/>
    <x v="15"/>
  </r>
  <r>
    <x v="26"/>
    <s v="Access to electricity, rural (% of rural population)"/>
    <m/>
    <x v="15"/>
  </r>
  <r>
    <x v="27"/>
    <s v="Access to electricity, rural (% of rural population)"/>
    <m/>
    <x v="15"/>
  </r>
  <r>
    <x v="0"/>
    <s v="Access to electricity, rural (% of rural population)"/>
    <m/>
    <x v="16"/>
  </r>
  <r>
    <x v="1"/>
    <s v="Access to electricity, rural (% of rural population)"/>
    <m/>
    <x v="16"/>
  </r>
  <r>
    <x v="2"/>
    <s v="Access to electricity, rural (% of rural population)"/>
    <m/>
    <x v="16"/>
  </r>
  <r>
    <x v="3"/>
    <s v="Access to electricity, rural (% of rural population)"/>
    <m/>
    <x v="16"/>
  </r>
  <r>
    <x v="4"/>
    <s v="Access to electricity, rural (% of rural population)"/>
    <m/>
    <x v="16"/>
  </r>
  <r>
    <x v="5"/>
    <s v="Access to electricity, rural (% of rural population)"/>
    <m/>
    <x v="16"/>
  </r>
  <r>
    <x v="6"/>
    <s v="Access to electricity, rural (% of rural population)"/>
    <m/>
    <x v="16"/>
  </r>
  <r>
    <x v="7"/>
    <s v="Access to electricity, rural (% of rural population)"/>
    <m/>
    <x v="16"/>
  </r>
  <r>
    <x v="8"/>
    <s v="Access to electricity, rural (% of rural population)"/>
    <m/>
    <x v="16"/>
  </r>
  <r>
    <x v="9"/>
    <s v="Access to electricity, rural (% of rural population)"/>
    <m/>
    <x v="16"/>
  </r>
  <r>
    <x v="10"/>
    <s v="Access to electricity, rural (% of rural population)"/>
    <m/>
    <x v="16"/>
  </r>
  <r>
    <x v="11"/>
    <s v="Access to electricity, rural (% of rural population)"/>
    <m/>
    <x v="16"/>
  </r>
  <r>
    <x v="12"/>
    <s v="Access to electricity, rural (% of rural population)"/>
    <m/>
    <x v="16"/>
  </r>
  <r>
    <x v="13"/>
    <s v="Access to electricity, rural (% of rural population)"/>
    <m/>
    <x v="16"/>
  </r>
  <r>
    <x v="14"/>
    <s v="Access to electricity, rural (% of rural population)"/>
    <m/>
    <x v="16"/>
  </r>
  <r>
    <x v="15"/>
    <s v="Access to electricity, rural (% of rural population)"/>
    <m/>
    <x v="16"/>
  </r>
  <r>
    <x v="16"/>
    <s v="Access to electricity, rural (% of rural population)"/>
    <m/>
    <x v="16"/>
  </r>
  <r>
    <x v="17"/>
    <s v="Access to electricity, rural (% of rural population)"/>
    <m/>
    <x v="16"/>
  </r>
  <r>
    <x v="18"/>
    <s v="Access to electricity, rural (% of rural population)"/>
    <m/>
    <x v="16"/>
  </r>
  <r>
    <x v="19"/>
    <s v="Access to electricity, rural (% of rural population)"/>
    <m/>
    <x v="16"/>
  </r>
  <r>
    <x v="20"/>
    <s v="Access to electricity, rural (% of rural population)"/>
    <m/>
    <x v="16"/>
  </r>
  <r>
    <x v="21"/>
    <s v="Access to electricity, rural (% of rural population)"/>
    <m/>
    <x v="16"/>
  </r>
  <r>
    <x v="22"/>
    <s v="Access to electricity, rural (% of rural population)"/>
    <m/>
    <x v="16"/>
  </r>
  <r>
    <x v="23"/>
    <s v="Access to electricity, rural (% of rural population)"/>
    <m/>
    <x v="16"/>
  </r>
  <r>
    <x v="24"/>
    <s v="Access to electricity, rural (% of rural population)"/>
    <m/>
    <x v="16"/>
  </r>
  <r>
    <x v="25"/>
    <s v="Access to electricity, rural (% of rural population)"/>
    <m/>
    <x v="16"/>
  </r>
  <r>
    <x v="26"/>
    <s v="Access to electricity, rural (% of rural population)"/>
    <m/>
    <x v="16"/>
  </r>
  <r>
    <x v="27"/>
    <s v="Access to electricity, rural (% of rural population)"/>
    <m/>
    <x v="16"/>
  </r>
  <r>
    <x v="0"/>
    <s v="Access to electricity, rural (% of rural population)"/>
    <m/>
    <x v="17"/>
  </r>
  <r>
    <x v="1"/>
    <s v="Access to electricity, rural (% of rural population)"/>
    <m/>
    <x v="17"/>
  </r>
  <r>
    <x v="2"/>
    <s v="Access to electricity, rural (% of rural population)"/>
    <m/>
    <x v="17"/>
  </r>
  <r>
    <x v="3"/>
    <s v="Access to electricity, rural (% of rural population)"/>
    <m/>
    <x v="17"/>
  </r>
  <r>
    <x v="4"/>
    <s v="Access to electricity, rural (% of rural population)"/>
    <m/>
    <x v="17"/>
  </r>
  <r>
    <x v="5"/>
    <s v="Access to electricity, rural (% of rural population)"/>
    <m/>
    <x v="17"/>
  </r>
  <r>
    <x v="6"/>
    <s v="Access to electricity, rural (% of rural population)"/>
    <m/>
    <x v="17"/>
  </r>
  <r>
    <x v="7"/>
    <s v="Access to electricity, rural (% of rural population)"/>
    <m/>
    <x v="17"/>
  </r>
  <r>
    <x v="8"/>
    <s v="Access to electricity, rural (% of rural population)"/>
    <m/>
    <x v="17"/>
  </r>
  <r>
    <x v="9"/>
    <s v="Access to electricity, rural (% of rural population)"/>
    <m/>
    <x v="17"/>
  </r>
  <r>
    <x v="10"/>
    <s v="Access to electricity, rural (% of rural population)"/>
    <m/>
    <x v="17"/>
  </r>
  <r>
    <x v="11"/>
    <s v="Access to electricity, rural (% of rural population)"/>
    <m/>
    <x v="17"/>
  </r>
  <r>
    <x v="12"/>
    <s v="Access to electricity, rural (% of rural population)"/>
    <m/>
    <x v="17"/>
  </r>
  <r>
    <x v="13"/>
    <s v="Access to electricity, rural (% of rural population)"/>
    <m/>
    <x v="17"/>
  </r>
  <r>
    <x v="14"/>
    <s v="Access to electricity, rural (% of rural population)"/>
    <m/>
    <x v="17"/>
  </r>
  <r>
    <x v="15"/>
    <s v="Access to electricity, rural (% of rural population)"/>
    <m/>
    <x v="17"/>
  </r>
  <r>
    <x v="16"/>
    <s v="Access to electricity, rural (% of rural population)"/>
    <m/>
    <x v="17"/>
  </r>
  <r>
    <x v="17"/>
    <s v="Access to electricity, rural (% of rural population)"/>
    <m/>
    <x v="17"/>
  </r>
  <r>
    <x v="18"/>
    <s v="Access to electricity, rural (% of rural population)"/>
    <m/>
    <x v="17"/>
  </r>
  <r>
    <x v="19"/>
    <s v="Access to electricity, rural (% of rural population)"/>
    <m/>
    <x v="17"/>
  </r>
  <r>
    <x v="20"/>
    <s v="Access to electricity, rural (% of rural population)"/>
    <m/>
    <x v="17"/>
  </r>
  <r>
    <x v="21"/>
    <s v="Access to electricity, rural (% of rural population)"/>
    <m/>
    <x v="17"/>
  </r>
  <r>
    <x v="22"/>
    <s v="Access to electricity, rural (% of rural population)"/>
    <m/>
    <x v="17"/>
  </r>
  <r>
    <x v="23"/>
    <s v="Access to electricity, rural (% of rural population)"/>
    <m/>
    <x v="17"/>
  </r>
  <r>
    <x v="24"/>
    <s v="Access to electricity, rural (% of rural population)"/>
    <m/>
    <x v="17"/>
  </r>
  <r>
    <x v="25"/>
    <s v="Access to electricity, rural (% of rural population)"/>
    <m/>
    <x v="17"/>
  </r>
  <r>
    <x v="26"/>
    <s v="Access to electricity, rural (% of rural population)"/>
    <m/>
    <x v="17"/>
  </r>
  <r>
    <x v="27"/>
    <s v="Access to electricity, rural (% of rural population)"/>
    <m/>
    <x v="17"/>
  </r>
  <r>
    <x v="0"/>
    <s v="Access to electricity, rural (% of rural population)"/>
    <m/>
    <x v="18"/>
  </r>
  <r>
    <x v="1"/>
    <s v="Access to electricity, rural (% of rural population)"/>
    <m/>
    <x v="18"/>
  </r>
  <r>
    <x v="2"/>
    <s v="Access to electricity, rural (% of rural population)"/>
    <m/>
    <x v="18"/>
  </r>
  <r>
    <x v="3"/>
    <s v="Access to electricity, rural (% of rural population)"/>
    <m/>
    <x v="18"/>
  </r>
  <r>
    <x v="4"/>
    <s v="Access to electricity, rural (% of rural population)"/>
    <m/>
    <x v="18"/>
  </r>
  <r>
    <x v="5"/>
    <s v="Access to electricity, rural (% of rural population)"/>
    <m/>
    <x v="18"/>
  </r>
  <r>
    <x v="6"/>
    <s v="Access to electricity, rural (% of rural population)"/>
    <m/>
    <x v="18"/>
  </r>
  <r>
    <x v="7"/>
    <s v="Access to electricity, rural (% of rural population)"/>
    <m/>
    <x v="18"/>
  </r>
  <r>
    <x v="8"/>
    <s v="Access to electricity, rural (% of rural population)"/>
    <m/>
    <x v="18"/>
  </r>
  <r>
    <x v="9"/>
    <s v="Access to electricity, rural (% of rural population)"/>
    <m/>
    <x v="18"/>
  </r>
  <r>
    <x v="10"/>
    <s v="Access to electricity, rural (% of rural population)"/>
    <m/>
    <x v="18"/>
  </r>
  <r>
    <x v="11"/>
    <s v="Access to electricity, rural (% of rural population)"/>
    <m/>
    <x v="18"/>
  </r>
  <r>
    <x v="12"/>
    <s v="Access to electricity, rural (% of rural population)"/>
    <m/>
    <x v="18"/>
  </r>
  <r>
    <x v="13"/>
    <s v="Access to electricity, rural (% of rural population)"/>
    <m/>
    <x v="18"/>
  </r>
  <r>
    <x v="14"/>
    <s v="Access to electricity, rural (% of rural population)"/>
    <m/>
    <x v="18"/>
  </r>
  <r>
    <x v="15"/>
    <s v="Access to electricity, rural (% of rural population)"/>
    <m/>
    <x v="18"/>
  </r>
  <r>
    <x v="16"/>
    <s v="Access to electricity, rural (% of rural population)"/>
    <m/>
    <x v="18"/>
  </r>
  <r>
    <x v="17"/>
    <s v="Access to electricity, rural (% of rural population)"/>
    <m/>
    <x v="18"/>
  </r>
  <r>
    <x v="18"/>
    <s v="Access to electricity, rural (% of rural population)"/>
    <m/>
    <x v="18"/>
  </r>
  <r>
    <x v="19"/>
    <s v="Access to electricity, rural (% of rural population)"/>
    <m/>
    <x v="18"/>
  </r>
  <r>
    <x v="20"/>
    <s v="Access to electricity, rural (% of rural population)"/>
    <m/>
    <x v="18"/>
  </r>
  <r>
    <x v="21"/>
    <s v="Access to electricity, rural (% of rural population)"/>
    <m/>
    <x v="18"/>
  </r>
  <r>
    <x v="22"/>
    <s v="Access to electricity, rural (% of rural population)"/>
    <m/>
    <x v="18"/>
  </r>
  <r>
    <x v="23"/>
    <s v="Access to electricity, rural (% of rural population)"/>
    <m/>
    <x v="18"/>
  </r>
  <r>
    <x v="24"/>
    <s v="Access to electricity, rural (% of rural population)"/>
    <m/>
    <x v="18"/>
  </r>
  <r>
    <x v="25"/>
    <s v="Access to electricity, rural (% of rural population)"/>
    <m/>
    <x v="18"/>
  </r>
  <r>
    <x v="26"/>
    <s v="Access to electricity, rural (% of rural population)"/>
    <m/>
    <x v="18"/>
  </r>
  <r>
    <x v="27"/>
    <s v="Access to electricity, rural (% of rural population)"/>
    <m/>
    <x v="18"/>
  </r>
  <r>
    <x v="0"/>
    <s v="Access to electricity, rural (% of rural population)"/>
    <m/>
    <x v="19"/>
  </r>
  <r>
    <x v="1"/>
    <s v="Access to electricity, rural (% of rural population)"/>
    <m/>
    <x v="19"/>
  </r>
  <r>
    <x v="2"/>
    <s v="Access to electricity, rural (% of rural population)"/>
    <m/>
    <x v="19"/>
  </r>
  <r>
    <x v="3"/>
    <s v="Access to electricity, rural (% of rural population)"/>
    <m/>
    <x v="19"/>
  </r>
  <r>
    <x v="4"/>
    <s v="Access to electricity, rural (% of rural population)"/>
    <m/>
    <x v="19"/>
  </r>
  <r>
    <x v="5"/>
    <s v="Access to electricity, rural (% of rural population)"/>
    <m/>
    <x v="19"/>
  </r>
  <r>
    <x v="6"/>
    <s v="Access to electricity, rural (% of rural population)"/>
    <m/>
    <x v="19"/>
  </r>
  <r>
    <x v="7"/>
    <s v="Access to electricity, rural (% of rural population)"/>
    <m/>
    <x v="19"/>
  </r>
  <r>
    <x v="8"/>
    <s v="Access to electricity, rural (% of rural population)"/>
    <m/>
    <x v="19"/>
  </r>
  <r>
    <x v="9"/>
    <s v="Access to electricity, rural (% of rural population)"/>
    <m/>
    <x v="19"/>
  </r>
  <r>
    <x v="10"/>
    <s v="Access to electricity, rural (% of rural population)"/>
    <m/>
    <x v="19"/>
  </r>
  <r>
    <x v="11"/>
    <s v="Access to electricity, rural (% of rural population)"/>
    <m/>
    <x v="19"/>
  </r>
  <r>
    <x v="12"/>
    <s v="Access to electricity, rural (% of rural population)"/>
    <m/>
    <x v="19"/>
  </r>
  <r>
    <x v="13"/>
    <s v="Access to electricity, rural (% of rural population)"/>
    <m/>
    <x v="19"/>
  </r>
  <r>
    <x v="14"/>
    <s v="Access to electricity, rural (% of rural population)"/>
    <m/>
    <x v="19"/>
  </r>
  <r>
    <x v="15"/>
    <s v="Access to electricity, rural (% of rural population)"/>
    <m/>
    <x v="19"/>
  </r>
  <r>
    <x v="16"/>
    <s v="Access to electricity, rural (% of rural population)"/>
    <m/>
    <x v="19"/>
  </r>
  <r>
    <x v="17"/>
    <s v="Access to electricity, rural (% of rural population)"/>
    <m/>
    <x v="19"/>
  </r>
  <r>
    <x v="18"/>
    <s v="Access to electricity, rural (% of rural population)"/>
    <m/>
    <x v="19"/>
  </r>
  <r>
    <x v="19"/>
    <s v="Access to electricity, rural (% of rural population)"/>
    <m/>
    <x v="19"/>
  </r>
  <r>
    <x v="20"/>
    <s v="Access to electricity, rural (% of rural population)"/>
    <m/>
    <x v="19"/>
  </r>
  <r>
    <x v="21"/>
    <s v="Access to electricity, rural (% of rural population)"/>
    <m/>
    <x v="19"/>
  </r>
  <r>
    <x v="22"/>
    <s v="Access to electricity, rural (% of rural population)"/>
    <m/>
    <x v="19"/>
  </r>
  <r>
    <x v="23"/>
    <s v="Access to electricity, rural (% of rural population)"/>
    <m/>
    <x v="19"/>
  </r>
  <r>
    <x v="24"/>
    <s v="Access to electricity, rural (% of rural population)"/>
    <m/>
    <x v="19"/>
  </r>
  <r>
    <x v="25"/>
    <s v="Access to electricity, rural (% of rural population)"/>
    <m/>
    <x v="19"/>
  </r>
  <r>
    <x v="26"/>
    <s v="Access to electricity, rural (% of rural population)"/>
    <m/>
    <x v="19"/>
  </r>
  <r>
    <x v="27"/>
    <s v="Access to electricity, rural (% of rural population)"/>
    <m/>
    <x v="19"/>
  </r>
  <r>
    <x v="0"/>
    <s v="Access to electricity, rural (% of rural population)"/>
    <m/>
    <x v="20"/>
  </r>
  <r>
    <x v="1"/>
    <s v="Access to electricity, rural (% of rural population)"/>
    <m/>
    <x v="20"/>
  </r>
  <r>
    <x v="2"/>
    <s v="Access to electricity, rural (% of rural population)"/>
    <m/>
    <x v="20"/>
  </r>
  <r>
    <x v="3"/>
    <s v="Access to electricity, rural (% of rural population)"/>
    <m/>
    <x v="20"/>
  </r>
  <r>
    <x v="4"/>
    <s v="Access to electricity, rural (% of rural population)"/>
    <m/>
    <x v="20"/>
  </r>
  <r>
    <x v="5"/>
    <s v="Access to electricity, rural (% of rural population)"/>
    <m/>
    <x v="20"/>
  </r>
  <r>
    <x v="6"/>
    <s v="Access to electricity, rural (% of rural population)"/>
    <m/>
    <x v="20"/>
  </r>
  <r>
    <x v="7"/>
    <s v="Access to electricity, rural (% of rural population)"/>
    <m/>
    <x v="20"/>
  </r>
  <r>
    <x v="8"/>
    <s v="Access to electricity, rural (% of rural population)"/>
    <m/>
    <x v="20"/>
  </r>
  <r>
    <x v="9"/>
    <s v="Access to electricity, rural (% of rural population)"/>
    <m/>
    <x v="20"/>
  </r>
  <r>
    <x v="10"/>
    <s v="Access to electricity, rural (% of rural population)"/>
    <m/>
    <x v="20"/>
  </r>
  <r>
    <x v="11"/>
    <s v="Access to electricity, rural (% of rural population)"/>
    <m/>
    <x v="20"/>
  </r>
  <r>
    <x v="12"/>
    <s v="Access to electricity, rural (% of rural population)"/>
    <m/>
    <x v="20"/>
  </r>
  <r>
    <x v="13"/>
    <s v="Access to electricity, rural (% of rural population)"/>
    <m/>
    <x v="20"/>
  </r>
  <r>
    <x v="14"/>
    <s v="Access to electricity, rural (% of rural population)"/>
    <m/>
    <x v="20"/>
  </r>
  <r>
    <x v="15"/>
    <s v="Access to electricity, rural (% of rural population)"/>
    <m/>
    <x v="20"/>
  </r>
  <r>
    <x v="16"/>
    <s v="Access to electricity, rural (% of rural population)"/>
    <m/>
    <x v="20"/>
  </r>
  <r>
    <x v="17"/>
    <s v="Access to electricity, rural (% of rural population)"/>
    <m/>
    <x v="20"/>
  </r>
  <r>
    <x v="18"/>
    <s v="Access to electricity, rural (% of rural population)"/>
    <m/>
    <x v="20"/>
  </r>
  <r>
    <x v="19"/>
    <s v="Access to electricity, rural (% of rural population)"/>
    <m/>
    <x v="20"/>
  </r>
  <r>
    <x v="20"/>
    <s v="Access to electricity, rural (% of rural population)"/>
    <m/>
    <x v="20"/>
  </r>
  <r>
    <x v="21"/>
    <s v="Access to electricity, rural (% of rural population)"/>
    <m/>
    <x v="20"/>
  </r>
  <r>
    <x v="22"/>
    <s v="Access to electricity, rural (% of rural population)"/>
    <m/>
    <x v="20"/>
  </r>
  <r>
    <x v="23"/>
    <s v="Access to electricity, rural (% of rural population)"/>
    <m/>
    <x v="20"/>
  </r>
  <r>
    <x v="24"/>
    <s v="Access to electricity, rural (% of rural population)"/>
    <m/>
    <x v="20"/>
  </r>
  <r>
    <x v="25"/>
    <s v="Access to electricity, rural (% of rural population)"/>
    <m/>
    <x v="20"/>
  </r>
  <r>
    <x v="26"/>
    <s v="Access to electricity, rural (% of rural population)"/>
    <m/>
    <x v="20"/>
  </r>
  <r>
    <x v="27"/>
    <s v="Access to electricity, rural (% of rural population)"/>
    <m/>
    <x v="20"/>
  </r>
  <r>
    <x v="0"/>
    <s v="Access to electricity, rural (% of rural population)"/>
    <m/>
    <x v="21"/>
  </r>
  <r>
    <x v="1"/>
    <s v="Access to electricity, rural (% of rural population)"/>
    <m/>
    <x v="21"/>
  </r>
  <r>
    <x v="2"/>
    <s v="Access to electricity, rural (% of rural population)"/>
    <m/>
    <x v="21"/>
  </r>
  <r>
    <x v="3"/>
    <s v="Access to electricity, rural (% of rural population)"/>
    <m/>
    <x v="21"/>
  </r>
  <r>
    <x v="4"/>
    <s v="Access to electricity, rural (% of rural population)"/>
    <m/>
    <x v="21"/>
  </r>
  <r>
    <x v="5"/>
    <s v="Access to electricity, rural (% of rural population)"/>
    <m/>
    <x v="21"/>
  </r>
  <r>
    <x v="6"/>
    <s v="Access to electricity, rural (% of rural population)"/>
    <m/>
    <x v="21"/>
  </r>
  <r>
    <x v="7"/>
    <s v="Access to electricity, rural (% of rural population)"/>
    <m/>
    <x v="21"/>
  </r>
  <r>
    <x v="8"/>
    <s v="Access to electricity, rural (% of rural population)"/>
    <m/>
    <x v="21"/>
  </r>
  <r>
    <x v="9"/>
    <s v="Access to electricity, rural (% of rural population)"/>
    <m/>
    <x v="21"/>
  </r>
  <r>
    <x v="10"/>
    <s v="Access to electricity, rural (% of rural population)"/>
    <m/>
    <x v="21"/>
  </r>
  <r>
    <x v="11"/>
    <s v="Access to electricity, rural (% of rural population)"/>
    <m/>
    <x v="21"/>
  </r>
  <r>
    <x v="12"/>
    <s v="Access to electricity, rural (% of rural population)"/>
    <m/>
    <x v="21"/>
  </r>
  <r>
    <x v="13"/>
    <s v="Access to electricity, rural (% of rural population)"/>
    <m/>
    <x v="21"/>
  </r>
  <r>
    <x v="14"/>
    <s v="Access to electricity, rural (% of rural population)"/>
    <m/>
    <x v="21"/>
  </r>
  <r>
    <x v="15"/>
    <s v="Access to electricity, rural (% of rural population)"/>
    <m/>
    <x v="21"/>
  </r>
  <r>
    <x v="16"/>
    <s v="Access to electricity, rural (% of rural population)"/>
    <m/>
    <x v="21"/>
  </r>
  <r>
    <x v="17"/>
    <s v="Access to electricity, rural (% of rural population)"/>
    <m/>
    <x v="21"/>
  </r>
  <r>
    <x v="18"/>
    <s v="Access to electricity, rural (% of rural population)"/>
    <m/>
    <x v="21"/>
  </r>
  <r>
    <x v="19"/>
    <s v="Access to electricity, rural (% of rural population)"/>
    <m/>
    <x v="21"/>
  </r>
  <r>
    <x v="20"/>
    <s v="Access to electricity, rural (% of rural population)"/>
    <m/>
    <x v="21"/>
  </r>
  <r>
    <x v="21"/>
    <s v="Access to electricity, rural (% of rural population)"/>
    <m/>
    <x v="21"/>
  </r>
  <r>
    <x v="22"/>
    <s v="Access to electricity, rural (% of rural population)"/>
    <m/>
    <x v="21"/>
  </r>
  <r>
    <x v="23"/>
    <s v="Access to electricity, rural (% of rural population)"/>
    <m/>
    <x v="21"/>
  </r>
  <r>
    <x v="24"/>
    <s v="Access to electricity, rural (% of rural population)"/>
    <m/>
    <x v="21"/>
  </r>
  <r>
    <x v="25"/>
    <s v="Access to electricity, rural (% of rural population)"/>
    <m/>
    <x v="21"/>
  </r>
  <r>
    <x v="26"/>
    <s v="Access to electricity, rural (% of rural population)"/>
    <m/>
    <x v="21"/>
  </r>
  <r>
    <x v="27"/>
    <s v="Access to electricity, rural (% of rural population)"/>
    <m/>
    <x v="21"/>
  </r>
  <r>
    <x v="0"/>
    <s v="Access to electricity, rural (% of rural population)"/>
    <m/>
    <x v="22"/>
  </r>
  <r>
    <x v="1"/>
    <s v="Access to electricity, rural (% of rural population)"/>
    <m/>
    <x v="22"/>
  </r>
  <r>
    <x v="2"/>
    <s v="Access to electricity, rural (% of rural population)"/>
    <m/>
    <x v="22"/>
  </r>
  <r>
    <x v="3"/>
    <s v="Access to electricity, rural (% of rural population)"/>
    <m/>
    <x v="22"/>
  </r>
  <r>
    <x v="4"/>
    <s v="Access to electricity, rural (% of rural population)"/>
    <m/>
    <x v="22"/>
  </r>
  <r>
    <x v="5"/>
    <s v="Access to electricity, rural (% of rural population)"/>
    <m/>
    <x v="22"/>
  </r>
  <r>
    <x v="6"/>
    <s v="Access to electricity, rural (% of rural population)"/>
    <m/>
    <x v="22"/>
  </r>
  <r>
    <x v="7"/>
    <s v="Access to electricity, rural (% of rural population)"/>
    <m/>
    <x v="22"/>
  </r>
  <r>
    <x v="8"/>
    <s v="Access to electricity, rural (% of rural population)"/>
    <m/>
    <x v="22"/>
  </r>
  <r>
    <x v="9"/>
    <s v="Access to electricity, rural (% of rural population)"/>
    <m/>
    <x v="22"/>
  </r>
  <r>
    <x v="10"/>
    <s v="Access to electricity, rural (% of rural population)"/>
    <m/>
    <x v="22"/>
  </r>
  <r>
    <x v="11"/>
    <s v="Access to electricity, rural (% of rural population)"/>
    <m/>
    <x v="22"/>
  </r>
  <r>
    <x v="12"/>
    <s v="Access to electricity, rural (% of rural population)"/>
    <m/>
    <x v="22"/>
  </r>
  <r>
    <x v="13"/>
    <s v="Access to electricity, rural (% of rural population)"/>
    <m/>
    <x v="22"/>
  </r>
  <r>
    <x v="14"/>
    <s v="Access to electricity, rural (% of rural population)"/>
    <m/>
    <x v="22"/>
  </r>
  <r>
    <x v="15"/>
    <s v="Access to electricity, rural (% of rural population)"/>
    <m/>
    <x v="22"/>
  </r>
  <r>
    <x v="16"/>
    <s v="Access to electricity, rural (% of rural population)"/>
    <m/>
    <x v="22"/>
  </r>
  <r>
    <x v="17"/>
    <s v="Access to electricity, rural (% of rural population)"/>
    <m/>
    <x v="22"/>
  </r>
  <r>
    <x v="18"/>
    <s v="Access to electricity, rural (% of rural population)"/>
    <m/>
    <x v="22"/>
  </r>
  <r>
    <x v="19"/>
    <s v="Access to electricity, rural (% of rural population)"/>
    <m/>
    <x v="22"/>
  </r>
  <r>
    <x v="20"/>
    <s v="Access to electricity, rural (% of rural population)"/>
    <m/>
    <x v="22"/>
  </r>
  <r>
    <x v="21"/>
    <s v="Access to electricity, rural (% of rural population)"/>
    <m/>
    <x v="22"/>
  </r>
  <r>
    <x v="22"/>
    <s v="Access to electricity, rural (% of rural population)"/>
    <m/>
    <x v="22"/>
  </r>
  <r>
    <x v="23"/>
    <s v="Access to electricity, rural (% of rural population)"/>
    <m/>
    <x v="22"/>
  </r>
  <r>
    <x v="24"/>
    <s v="Access to electricity, rural (% of rural population)"/>
    <m/>
    <x v="22"/>
  </r>
  <r>
    <x v="25"/>
    <s v="Access to electricity, rural (% of rural population)"/>
    <m/>
    <x v="22"/>
  </r>
  <r>
    <x v="26"/>
    <s v="Access to electricity, rural (% of rural population)"/>
    <m/>
    <x v="22"/>
  </r>
  <r>
    <x v="27"/>
    <s v="Access to electricity, rural (% of rural population)"/>
    <m/>
    <x v="22"/>
  </r>
  <r>
    <x v="0"/>
    <s v="Access to electricity, rural (% of rural population)"/>
    <m/>
    <x v="23"/>
  </r>
  <r>
    <x v="1"/>
    <s v="Access to electricity, rural (% of rural population)"/>
    <m/>
    <x v="23"/>
  </r>
  <r>
    <x v="2"/>
    <s v="Access to electricity, rural (% of rural population)"/>
    <m/>
    <x v="23"/>
  </r>
  <r>
    <x v="3"/>
    <s v="Access to electricity, rural (% of rural population)"/>
    <m/>
    <x v="23"/>
  </r>
  <r>
    <x v="4"/>
    <s v="Access to electricity, rural (% of rural population)"/>
    <m/>
    <x v="23"/>
  </r>
  <r>
    <x v="5"/>
    <s v="Access to electricity, rural (% of rural population)"/>
    <m/>
    <x v="23"/>
  </r>
  <r>
    <x v="6"/>
    <s v="Access to electricity, rural (% of rural population)"/>
    <m/>
    <x v="23"/>
  </r>
  <r>
    <x v="7"/>
    <s v="Access to electricity, rural (% of rural population)"/>
    <m/>
    <x v="23"/>
  </r>
  <r>
    <x v="8"/>
    <s v="Access to electricity, rural (% of rural population)"/>
    <m/>
    <x v="23"/>
  </r>
  <r>
    <x v="9"/>
    <s v="Access to electricity, rural (% of rural population)"/>
    <m/>
    <x v="23"/>
  </r>
  <r>
    <x v="10"/>
    <s v="Access to electricity, rural (% of rural population)"/>
    <m/>
    <x v="23"/>
  </r>
  <r>
    <x v="11"/>
    <s v="Access to electricity, rural (% of rural population)"/>
    <m/>
    <x v="23"/>
  </r>
  <r>
    <x v="12"/>
    <s v="Access to electricity, rural (% of rural population)"/>
    <m/>
    <x v="23"/>
  </r>
  <r>
    <x v="13"/>
    <s v="Access to electricity, rural (% of rural population)"/>
    <m/>
    <x v="23"/>
  </r>
  <r>
    <x v="14"/>
    <s v="Access to electricity, rural (% of rural population)"/>
    <m/>
    <x v="23"/>
  </r>
  <r>
    <x v="15"/>
    <s v="Access to electricity, rural (% of rural population)"/>
    <m/>
    <x v="23"/>
  </r>
  <r>
    <x v="16"/>
    <s v="Access to electricity, rural (% of rural population)"/>
    <m/>
    <x v="23"/>
  </r>
  <r>
    <x v="17"/>
    <s v="Access to electricity, rural (% of rural population)"/>
    <m/>
    <x v="23"/>
  </r>
  <r>
    <x v="18"/>
    <s v="Access to electricity, rural (% of rural population)"/>
    <m/>
    <x v="23"/>
  </r>
  <r>
    <x v="19"/>
    <s v="Access to electricity, rural (% of rural population)"/>
    <m/>
    <x v="23"/>
  </r>
  <r>
    <x v="20"/>
    <s v="Access to electricity, rural (% of rural population)"/>
    <m/>
    <x v="23"/>
  </r>
  <r>
    <x v="21"/>
    <s v="Access to electricity, rural (% of rural population)"/>
    <m/>
    <x v="23"/>
  </r>
  <r>
    <x v="22"/>
    <s v="Access to electricity, rural (% of rural population)"/>
    <m/>
    <x v="23"/>
  </r>
  <r>
    <x v="23"/>
    <s v="Access to electricity, rural (% of rural population)"/>
    <m/>
    <x v="23"/>
  </r>
  <r>
    <x v="24"/>
    <s v="Access to electricity, rural (% of rural population)"/>
    <m/>
    <x v="23"/>
  </r>
  <r>
    <x v="25"/>
    <s v="Access to electricity, rural (% of rural population)"/>
    <m/>
    <x v="23"/>
  </r>
  <r>
    <x v="26"/>
    <s v="Access to electricity, rural (% of rural population)"/>
    <m/>
    <x v="23"/>
  </r>
  <r>
    <x v="27"/>
    <s v="Access to electricity, rural (% of rural population)"/>
    <m/>
    <x v="23"/>
  </r>
  <r>
    <x v="0"/>
    <s v="Access to electricity, rural (% of rural population)"/>
    <m/>
    <x v="24"/>
  </r>
  <r>
    <x v="1"/>
    <s v="Access to electricity, rural (% of rural population)"/>
    <m/>
    <x v="24"/>
  </r>
  <r>
    <x v="2"/>
    <s v="Access to electricity, rural (% of rural population)"/>
    <m/>
    <x v="24"/>
  </r>
  <r>
    <x v="3"/>
    <s v="Access to electricity, rural (% of rural population)"/>
    <m/>
    <x v="24"/>
  </r>
  <r>
    <x v="4"/>
    <s v="Access to electricity, rural (% of rural population)"/>
    <m/>
    <x v="24"/>
  </r>
  <r>
    <x v="5"/>
    <s v="Access to electricity, rural (% of rural population)"/>
    <m/>
    <x v="24"/>
  </r>
  <r>
    <x v="6"/>
    <s v="Access to electricity, rural (% of rural population)"/>
    <m/>
    <x v="24"/>
  </r>
  <r>
    <x v="7"/>
    <s v="Access to electricity, rural (% of rural population)"/>
    <m/>
    <x v="24"/>
  </r>
  <r>
    <x v="8"/>
    <s v="Access to electricity, rural (% of rural population)"/>
    <m/>
    <x v="24"/>
  </r>
  <r>
    <x v="9"/>
    <s v="Access to electricity, rural (% of rural population)"/>
    <m/>
    <x v="24"/>
  </r>
  <r>
    <x v="10"/>
    <s v="Access to electricity, rural (% of rural population)"/>
    <m/>
    <x v="24"/>
  </r>
  <r>
    <x v="11"/>
    <s v="Access to electricity, rural (% of rural population)"/>
    <m/>
    <x v="24"/>
  </r>
  <r>
    <x v="12"/>
    <s v="Access to electricity, rural (% of rural population)"/>
    <m/>
    <x v="24"/>
  </r>
  <r>
    <x v="13"/>
    <s v="Access to electricity, rural (% of rural population)"/>
    <m/>
    <x v="24"/>
  </r>
  <r>
    <x v="14"/>
    <s v="Access to electricity, rural (% of rural population)"/>
    <m/>
    <x v="24"/>
  </r>
  <r>
    <x v="15"/>
    <s v="Access to electricity, rural (% of rural population)"/>
    <m/>
    <x v="24"/>
  </r>
  <r>
    <x v="16"/>
    <s v="Access to electricity, rural (% of rural population)"/>
    <m/>
    <x v="24"/>
  </r>
  <r>
    <x v="17"/>
    <s v="Access to electricity, rural (% of rural population)"/>
    <m/>
    <x v="24"/>
  </r>
  <r>
    <x v="18"/>
    <s v="Access to electricity, rural (% of rural population)"/>
    <m/>
    <x v="24"/>
  </r>
  <r>
    <x v="19"/>
    <s v="Access to electricity, rural (% of rural population)"/>
    <m/>
    <x v="24"/>
  </r>
  <r>
    <x v="20"/>
    <s v="Access to electricity, rural (% of rural population)"/>
    <m/>
    <x v="24"/>
  </r>
  <r>
    <x v="21"/>
    <s v="Access to electricity, rural (% of rural population)"/>
    <m/>
    <x v="24"/>
  </r>
  <r>
    <x v="22"/>
    <s v="Access to electricity, rural (% of rural population)"/>
    <m/>
    <x v="24"/>
  </r>
  <r>
    <x v="23"/>
    <s v="Access to electricity, rural (% of rural population)"/>
    <m/>
    <x v="24"/>
  </r>
  <r>
    <x v="24"/>
    <s v="Access to electricity, rural (% of rural population)"/>
    <m/>
    <x v="24"/>
  </r>
  <r>
    <x v="25"/>
    <s v="Access to electricity, rural (% of rural population)"/>
    <m/>
    <x v="24"/>
  </r>
  <r>
    <x v="26"/>
    <s v="Access to electricity, rural (% of rural population)"/>
    <m/>
    <x v="24"/>
  </r>
  <r>
    <x v="27"/>
    <s v="Access to electricity, rural (% of rural population)"/>
    <m/>
    <x v="24"/>
  </r>
  <r>
    <x v="0"/>
    <s v="Access to electricity, rural (% of rural population)"/>
    <m/>
    <x v="25"/>
  </r>
  <r>
    <x v="1"/>
    <s v="Access to electricity, rural (% of rural population)"/>
    <m/>
    <x v="25"/>
  </r>
  <r>
    <x v="2"/>
    <s v="Access to electricity, rural (% of rural population)"/>
    <m/>
    <x v="25"/>
  </r>
  <r>
    <x v="3"/>
    <s v="Access to electricity, rural (% of rural population)"/>
    <m/>
    <x v="25"/>
  </r>
  <r>
    <x v="4"/>
    <s v="Access to electricity, rural (% of rural population)"/>
    <m/>
    <x v="25"/>
  </r>
  <r>
    <x v="5"/>
    <s v="Access to electricity, rural (% of rural population)"/>
    <m/>
    <x v="25"/>
  </r>
  <r>
    <x v="6"/>
    <s v="Access to electricity, rural (% of rural population)"/>
    <m/>
    <x v="25"/>
  </r>
  <r>
    <x v="7"/>
    <s v="Access to electricity, rural (% of rural population)"/>
    <m/>
    <x v="25"/>
  </r>
  <r>
    <x v="8"/>
    <s v="Access to electricity, rural (% of rural population)"/>
    <m/>
    <x v="25"/>
  </r>
  <r>
    <x v="9"/>
    <s v="Access to electricity, rural (% of rural population)"/>
    <m/>
    <x v="25"/>
  </r>
  <r>
    <x v="10"/>
    <s v="Access to electricity, rural (% of rural population)"/>
    <m/>
    <x v="25"/>
  </r>
  <r>
    <x v="11"/>
    <s v="Access to electricity, rural (% of rural population)"/>
    <m/>
    <x v="25"/>
  </r>
  <r>
    <x v="12"/>
    <s v="Access to electricity, rural (% of rural population)"/>
    <m/>
    <x v="25"/>
  </r>
  <r>
    <x v="13"/>
    <s v="Access to electricity, rural (% of rural population)"/>
    <m/>
    <x v="25"/>
  </r>
  <r>
    <x v="14"/>
    <s v="Access to electricity, rural (% of rural population)"/>
    <m/>
    <x v="25"/>
  </r>
  <r>
    <x v="15"/>
    <s v="Access to electricity, rural (% of rural population)"/>
    <m/>
    <x v="25"/>
  </r>
  <r>
    <x v="16"/>
    <s v="Access to electricity, rural (% of rural population)"/>
    <m/>
    <x v="25"/>
  </r>
  <r>
    <x v="17"/>
    <s v="Access to electricity, rural (% of rural population)"/>
    <m/>
    <x v="25"/>
  </r>
  <r>
    <x v="18"/>
    <s v="Access to electricity, rural (% of rural population)"/>
    <m/>
    <x v="25"/>
  </r>
  <r>
    <x v="19"/>
    <s v="Access to electricity, rural (% of rural population)"/>
    <m/>
    <x v="25"/>
  </r>
  <r>
    <x v="20"/>
    <s v="Access to electricity, rural (% of rural population)"/>
    <m/>
    <x v="25"/>
  </r>
  <r>
    <x v="21"/>
    <s v="Access to electricity, rural (% of rural population)"/>
    <m/>
    <x v="25"/>
  </r>
  <r>
    <x v="22"/>
    <s v="Access to electricity, rural (% of rural population)"/>
    <m/>
    <x v="25"/>
  </r>
  <r>
    <x v="23"/>
    <s v="Access to electricity, rural (% of rural population)"/>
    <m/>
    <x v="25"/>
  </r>
  <r>
    <x v="24"/>
    <s v="Access to electricity, rural (% of rural population)"/>
    <m/>
    <x v="25"/>
  </r>
  <r>
    <x v="25"/>
    <s v="Access to electricity, rural (% of rural population)"/>
    <m/>
    <x v="25"/>
  </r>
  <r>
    <x v="26"/>
    <s v="Access to electricity, rural (% of rural population)"/>
    <m/>
    <x v="25"/>
  </r>
  <r>
    <x v="27"/>
    <s v="Access to electricity, rural (% of rural population)"/>
    <m/>
    <x v="25"/>
  </r>
  <r>
    <x v="0"/>
    <s v="Access to electricity, rural (% of rural population)"/>
    <m/>
    <x v="26"/>
  </r>
  <r>
    <x v="1"/>
    <s v="Access to electricity, rural (% of rural population)"/>
    <m/>
    <x v="26"/>
  </r>
  <r>
    <x v="2"/>
    <s v="Access to electricity, rural (% of rural population)"/>
    <m/>
    <x v="26"/>
  </r>
  <r>
    <x v="3"/>
    <s v="Access to electricity, rural (% of rural population)"/>
    <m/>
    <x v="26"/>
  </r>
  <r>
    <x v="4"/>
    <s v="Access to electricity, rural (% of rural population)"/>
    <m/>
    <x v="26"/>
  </r>
  <r>
    <x v="5"/>
    <s v="Access to electricity, rural (% of rural population)"/>
    <m/>
    <x v="26"/>
  </r>
  <r>
    <x v="6"/>
    <s v="Access to electricity, rural (% of rural population)"/>
    <m/>
    <x v="26"/>
  </r>
  <r>
    <x v="7"/>
    <s v="Access to electricity, rural (% of rural population)"/>
    <m/>
    <x v="26"/>
  </r>
  <r>
    <x v="8"/>
    <s v="Access to electricity, rural (% of rural population)"/>
    <m/>
    <x v="26"/>
  </r>
  <r>
    <x v="9"/>
    <s v="Access to electricity, rural (% of rural population)"/>
    <m/>
    <x v="26"/>
  </r>
  <r>
    <x v="10"/>
    <s v="Access to electricity, rural (% of rural population)"/>
    <m/>
    <x v="26"/>
  </r>
  <r>
    <x v="11"/>
    <s v="Access to electricity, rural (% of rural population)"/>
    <m/>
    <x v="26"/>
  </r>
  <r>
    <x v="12"/>
    <s v="Access to electricity, rural (% of rural population)"/>
    <m/>
    <x v="26"/>
  </r>
  <r>
    <x v="13"/>
    <s v="Access to electricity, rural (% of rural population)"/>
    <m/>
    <x v="26"/>
  </r>
  <r>
    <x v="14"/>
    <s v="Access to electricity, rural (% of rural population)"/>
    <m/>
    <x v="26"/>
  </r>
  <r>
    <x v="15"/>
    <s v="Access to electricity, rural (% of rural population)"/>
    <m/>
    <x v="26"/>
  </r>
  <r>
    <x v="16"/>
    <s v="Access to electricity, rural (% of rural population)"/>
    <m/>
    <x v="26"/>
  </r>
  <r>
    <x v="17"/>
    <s v="Access to electricity, rural (% of rural population)"/>
    <m/>
    <x v="26"/>
  </r>
  <r>
    <x v="18"/>
    <s v="Access to electricity, rural (% of rural population)"/>
    <m/>
    <x v="26"/>
  </r>
  <r>
    <x v="19"/>
    <s v="Access to electricity, rural (% of rural population)"/>
    <m/>
    <x v="26"/>
  </r>
  <r>
    <x v="20"/>
    <s v="Access to electricity, rural (% of rural population)"/>
    <m/>
    <x v="26"/>
  </r>
  <r>
    <x v="21"/>
    <s v="Access to electricity, rural (% of rural population)"/>
    <m/>
    <x v="26"/>
  </r>
  <r>
    <x v="22"/>
    <s v="Access to electricity, rural (% of rural population)"/>
    <m/>
    <x v="26"/>
  </r>
  <r>
    <x v="23"/>
    <s v="Access to electricity, rural (% of rural population)"/>
    <m/>
    <x v="26"/>
  </r>
  <r>
    <x v="24"/>
    <s v="Access to electricity, rural (% of rural population)"/>
    <m/>
    <x v="26"/>
  </r>
  <r>
    <x v="25"/>
    <s v="Access to electricity, rural (% of rural population)"/>
    <m/>
    <x v="26"/>
  </r>
  <r>
    <x v="26"/>
    <s v="Access to electricity, rural (% of rural population)"/>
    <m/>
    <x v="26"/>
  </r>
  <r>
    <x v="27"/>
    <s v="Access to electricity, rural (% of rural population)"/>
    <m/>
    <x v="26"/>
  </r>
  <r>
    <x v="0"/>
    <s v="Access to electricity, rural (% of rural population)"/>
    <m/>
    <x v="27"/>
  </r>
  <r>
    <x v="1"/>
    <s v="Access to electricity, rural (% of rural population)"/>
    <m/>
    <x v="27"/>
  </r>
  <r>
    <x v="2"/>
    <s v="Access to electricity, rural (% of rural population)"/>
    <m/>
    <x v="27"/>
  </r>
  <r>
    <x v="3"/>
    <s v="Access to electricity, rural (% of rural population)"/>
    <m/>
    <x v="27"/>
  </r>
  <r>
    <x v="4"/>
    <s v="Access to electricity, rural (% of rural population)"/>
    <m/>
    <x v="27"/>
  </r>
  <r>
    <x v="5"/>
    <s v="Access to electricity, rural (% of rural population)"/>
    <m/>
    <x v="27"/>
  </r>
  <r>
    <x v="6"/>
    <s v="Access to electricity, rural (% of rural population)"/>
    <m/>
    <x v="27"/>
  </r>
  <r>
    <x v="7"/>
    <s v="Access to electricity, rural (% of rural population)"/>
    <m/>
    <x v="27"/>
  </r>
  <r>
    <x v="8"/>
    <s v="Access to electricity, rural (% of rural population)"/>
    <m/>
    <x v="27"/>
  </r>
  <r>
    <x v="9"/>
    <s v="Access to electricity, rural (% of rural population)"/>
    <m/>
    <x v="27"/>
  </r>
  <r>
    <x v="10"/>
    <s v="Access to electricity, rural (% of rural population)"/>
    <m/>
    <x v="27"/>
  </r>
  <r>
    <x v="11"/>
    <s v="Access to electricity, rural (% of rural population)"/>
    <m/>
    <x v="27"/>
  </r>
  <r>
    <x v="12"/>
    <s v="Access to electricity, rural (% of rural population)"/>
    <m/>
    <x v="27"/>
  </r>
  <r>
    <x v="13"/>
    <s v="Access to electricity, rural (% of rural population)"/>
    <m/>
    <x v="27"/>
  </r>
  <r>
    <x v="14"/>
    <s v="Access to electricity, rural (% of rural population)"/>
    <m/>
    <x v="27"/>
  </r>
  <r>
    <x v="15"/>
    <s v="Access to electricity, rural (% of rural population)"/>
    <m/>
    <x v="27"/>
  </r>
  <r>
    <x v="16"/>
    <s v="Access to electricity, rural (% of rural population)"/>
    <m/>
    <x v="27"/>
  </r>
  <r>
    <x v="17"/>
    <s v="Access to electricity, rural (% of rural population)"/>
    <m/>
    <x v="27"/>
  </r>
  <r>
    <x v="18"/>
    <s v="Access to electricity, rural (% of rural population)"/>
    <m/>
    <x v="27"/>
  </r>
  <r>
    <x v="19"/>
    <s v="Access to electricity, rural (% of rural population)"/>
    <m/>
    <x v="27"/>
  </r>
  <r>
    <x v="20"/>
    <s v="Access to electricity, rural (% of rural population)"/>
    <m/>
    <x v="27"/>
  </r>
  <r>
    <x v="21"/>
    <s v="Access to electricity, rural (% of rural population)"/>
    <m/>
    <x v="27"/>
  </r>
  <r>
    <x v="22"/>
    <s v="Access to electricity, rural (% of rural population)"/>
    <m/>
    <x v="27"/>
  </r>
  <r>
    <x v="23"/>
    <s v="Access to electricity, rural (% of rural population)"/>
    <m/>
    <x v="27"/>
  </r>
  <r>
    <x v="24"/>
    <s v="Access to electricity, rural (% of rural population)"/>
    <m/>
    <x v="27"/>
  </r>
  <r>
    <x v="25"/>
    <s v="Access to electricity, rural (% of rural population)"/>
    <m/>
    <x v="27"/>
  </r>
  <r>
    <x v="26"/>
    <s v="Access to electricity, rural (% of rural population)"/>
    <m/>
    <x v="27"/>
  </r>
  <r>
    <x v="27"/>
    <s v="Access to electricity, rural (% of rural population)"/>
    <m/>
    <x v="27"/>
  </r>
  <r>
    <x v="0"/>
    <s v="Access to electricity, rural (% of rural population)"/>
    <m/>
    <x v="28"/>
  </r>
  <r>
    <x v="1"/>
    <s v="Access to electricity, rural (% of rural population)"/>
    <m/>
    <x v="28"/>
  </r>
  <r>
    <x v="2"/>
    <s v="Access to electricity, rural (% of rural population)"/>
    <m/>
    <x v="28"/>
  </r>
  <r>
    <x v="3"/>
    <s v="Access to electricity, rural (% of rural population)"/>
    <m/>
    <x v="28"/>
  </r>
  <r>
    <x v="4"/>
    <s v="Access to electricity, rural (% of rural population)"/>
    <m/>
    <x v="28"/>
  </r>
  <r>
    <x v="5"/>
    <s v="Access to electricity, rural (% of rural population)"/>
    <m/>
    <x v="28"/>
  </r>
  <r>
    <x v="6"/>
    <s v="Access to electricity, rural (% of rural population)"/>
    <m/>
    <x v="28"/>
  </r>
  <r>
    <x v="7"/>
    <s v="Access to electricity, rural (% of rural population)"/>
    <m/>
    <x v="28"/>
  </r>
  <r>
    <x v="8"/>
    <s v="Access to electricity, rural (% of rural population)"/>
    <m/>
    <x v="28"/>
  </r>
  <r>
    <x v="9"/>
    <s v="Access to electricity, rural (% of rural population)"/>
    <m/>
    <x v="28"/>
  </r>
  <r>
    <x v="10"/>
    <s v="Access to electricity, rural (% of rural population)"/>
    <m/>
    <x v="28"/>
  </r>
  <r>
    <x v="11"/>
    <s v="Access to electricity, rural (% of rural population)"/>
    <m/>
    <x v="28"/>
  </r>
  <r>
    <x v="12"/>
    <s v="Access to electricity, rural (% of rural population)"/>
    <m/>
    <x v="28"/>
  </r>
  <r>
    <x v="13"/>
    <s v="Access to electricity, rural (% of rural population)"/>
    <m/>
    <x v="28"/>
  </r>
  <r>
    <x v="14"/>
    <s v="Access to electricity, rural (% of rural population)"/>
    <m/>
    <x v="28"/>
  </r>
  <r>
    <x v="15"/>
    <s v="Access to electricity, rural (% of rural population)"/>
    <m/>
    <x v="28"/>
  </r>
  <r>
    <x v="16"/>
    <s v="Access to electricity, rural (% of rural population)"/>
    <m/>
    <x v="28"/>
  </r>
  <r>
    <x v="17"/>
    <s v="Access to electricity, rural (% of rural population)"/>
    <m/>
    <x v="28"/>
  </r>
  <r>
    <x v="18"/>
    <s v="Access to electricity, rural (% of rural population)"/>
    <m/>
    <x v="28"/>
  </r>
  <r>
    <x v="19"/>
    <s v="Access to electricity, rural (% of rural population)"/>
    <m/>
    <x v="28"/>
  </r>
  <r>
    <x v="20"/>
    <s v="Access to electricity, rural (% of rural population)"/>
    <m/>
    <x v="28"/>
  </r>
  <r>
    <x v="21"/>
    <s v="Access to electricity, rural (% of rural population)"/>
    <m/>
    <x v="28"/>
  </r>
  <r>
    <x v="22"/>
    <s v="Access to electricity, rural (% of rural population)"/>
    <m/>
    <x v="28"/>
  </r>
  <r>
    <x v="23"/>
    <s v="Access to electricity, rural (% of rural population)"/>
    <m/>
    <x v="28"/>
  </r>
  <r>
    <x v="24"/>
    <s v="Access to electricity, rural (% of rural population)"/>
    <m/>
    <x v="28"/>
  </r>
  <r>
    <x v="25"/>
    <s v="Access to electricity, rural (% of rural population)"/>
    <m/>
    <x v="28"/>
  </r>
  <r>
    <x v="26"/>
    <s v="Access to electricity, rural (% of rural population)"/>
    <m/>
    <x v="28"/>
  </r>
  <r>
    <x v="27"/>
    <s v="Access to electricity, rural (% of rural population)"/>
    <m/>
    <x v="28"/>
  </r>
  <r>
    <x v="0"/>
    <s v="Access to electricity, rural (% of rural population)"/>
    <m/>
    <x v="29"/>
  </r>
  <r>
    <x v="1"/>
    <s v="Access to electricity, rural (% of rural population)"/>
    <m/>
    <x v="29"/>
  </r>
  <r>
    <x v="2"/>
    <s v="Access to electricity, rural (% of rural population)"/>
    <m/>
    <x v="29"/>
  </r>
  <r>
    <x v="3"/>
    <s v="Access to electricity, rural (% of rural population)"/>
    <m/>
    <x v="29"/>
  </r>
  <r>
    <x v="4"/>
    <s v="Access to electricity, rural (% of rural population)"/>
    <m/>
    <x v="29"/>
  </r>
  <r>
    <x v="5"/>
    <s v="Access to electricity, rural (% of rural population)"/>
    <m/>
    <x v="29"/>
  </r>
  <r>
    <x v="6"/>
    <s v="Access to electricity, rural (% of rural population)"/>
    <m/>
    <x v="29"/>
  </r>
  <r>
    <x v="7"/>
    <s v="Access to electricity, rural (% of rural population)"/>
    <m/>
    <x v="29"/>
  </r>
  <r>
    <x v="8"/>
    <s v="Access to electricity, rural (% of rural population)"/>
    <m/>
    <x v="29"/>
  </r>
  <r>
    <x v="9"/>
    <s v="Access to electricity, rural (% of rural population)"/>
    <m/>
    <x v="29"/>
  </r>
  <r>
    <x v="10"/>
    <s v="Access to electricity, rural (% of rural population)"/>
    <m/>
    <x v="29"/>
  </r>
  <r>
    <x v="11"/>
    <s v="Access to electricity, rural (% of rural population)"/>
    <m/>
    <x v="29"/>
  </r>
  <r>
    <x v="12"/>
    <s v="Access to electricity, rural (% of rural population)"/>
    <m/>
    <x v="29"/>
  </r>
  <r>
    <x v="13"/>
    <s v="Access to electricity, rural (% of rural population)"/>
    <m/>
    <x v="29"/>
  </r>
  <r>
    <x v="14"/>
    <s v="Access to electricity, rural (% of rural population)"/>
    <m/>
    <x v="29"/>
  </r>
  <r>
    <x v="15"/>
    <s v="Access to electricity, rural (% of rural population)"/>
    <m/>
    <x v="29"/>
  </r>
  <r>
    <x v="16"/>
    <s v="Access to electricity, rural (% of rural population)"/>
    <m/>
    <x v="29"/>
  </r>
  <r>
    <x v="17"/>
    <s v="Access to electricity, rural (% of rural population)"/>
    <m/>
    <x v="29"/>
  </r>
  <r>
    <x v="18"/>
    <s v="Access to electricity, rural (% of rural population)"/>
    <m/>
    <x v="29"/>
  </r>
  <r>
    <x v="19"/>
    <s v="Access to electricity, rural (% of rural population)"/>
    <m/>
    <x v="29"/>
  </r>
  <r>
    <x v="20"/>
    <s v="Access to electricity, rural (% of rural population)"/>
    <m/>
    <x v="29"/>
  </r>
  <r>
    <x v="21"/>
    <s v="Access to electricity, rural (% of rural population)"/>
    <m/>
    <x v="29"/>
  </r>
  <r>
    <x v="22"/>
    <s v="Access to electricity, rural (% of rural population)"/>
    <m/>
    <x v="29"/>
  </r>
  <r>
    <x v="23"/>
    <s v="Access to electricity, rural (% of rural population)"/>
    <m/>
    <x v="29"/>
  </r>
  <r>
    <x v="24"/>
    <s v="Access to electricity, rural (% of rural population)"/>
    <m/>
    <x v="29"/>
  </r>
  <r>
    <x v="25"/>
    <s v="Access to electricity, rural (% of rural population)"/>
    <m/>
    <x v="29"/>
  </r>
  <r>
    <x v="26"/>
    <s v="Access to electricity, rural (% of rural population)"/>
    <m/>
    <x v="29"/>
  </r>
  <r>
    <x v="27"/>
    <s v="Access to electricity, rural (% of rural population)"/>
    <m/>
    <x v="29"/>
  </r>
  <r>
    <x v="0"/>
    <s v="Access to electricity, rural (% of rural population)"/>
    <m/>
    <x v="30"/>
  </r>
  <r>
    <x v="1"/>
    <s v="Access to electricity, rural (% of rural population)"/>
    <n v="5.4870045558104401"/>
    <x v="30"/>
  </r>
  <r>
    <x v="2"/>
    <s v="Access to electricity, rural (% of rural population)"/>
    <n v="9.9999997764825804E-3"/>
    <x v="30"/>
  </r>
  <r>
    <x v="3"/>
    <s v="Access to electricity, rural (% of rural population)"/>
    <n v="3.0089544334496798"/>
    <x v="30"/>
  </r>
  <r>
    <x v="4"/>
    <s v="Access to electricity, rural (% of rural population)"/>
    <n v="87.781186418693395"/>
    <x v="30"/>
  </r>
  <r>
    <x v="5"/>
    <s v="Access to electricity, rural (% of rural population)"/>
    <m/>
    <x v="30"/>
  </r>
  <r>
    <x v="6"/>
    <s v="Access to electricity, rural (% of rural population)"/>
    <m/>
    <x v="30"/>
  </r>
  <r>
    <x v="7"/>
    <s v="Access to electricity, rural (% of rural population)"/>
    <n v="10.2807451611761"/>
    <x v="30"/>
  </r>
  <r>
    <x v="8"/>
    <s v="Access to electricity, rural (% of rural population)"/>
    <m/>
    <x v="30"/>
  </r>
  <r>
    <x v="9"/>
    <s v="Access to electricity, rural (% of rural population)"/>
    <m/>
    <x v="30"/>
  </r>
  <r>
    <x v="10"/>
    <s v="Access to electricity, rural (% of rural population)"/>
    <n v="9.9999997764825804E-3"/>
    <x v="30"/>
  </r>
  <r>
    <x v="11"/>
    <s v="Access to electricity, rural (% of rural population)"/>
    <n v="1.0436780208184699"/>
    <x v="30"/>
  </r>
  <r>
    <x v="12"/>
    <s v="Access to electricity, rural (% of rural population)"/>
    <m/>
    <x v="30"/>
  </r>
  <r>
    <x v="13"/>
    <s v="Access to electricity, rural (% of rural population)"/>
    <m/>
    <x v="30"/>
  </r>
  <r>
    <x v="14"/>
    <s v="Access to electricity, rural (% of rural population)"/>
    <n v="94.001993357141103"/>
    <x v="30"/>
  </r>
  <r>
    <x v="15"/>
    <s v="Access to electricity, rural (% of rural population)"/>
    <n v="9.9999997764825804E-3"/>
    <x v="30"/>
  </r>
  <r>
    <x v="16"/>
    <s v="Access to electricity, rural (% of rural population)"/>
    <n v="20.2573439855332"/>
    <x v="30"/>
  </r>
  <r>
    <x v="17"/>
    <s v="Access to electricity, rural (% of rural population)"/>
    <m/>
    <x v="30"/>
  </r>
  <r>
    <x v="18"/>
    <s v="Access to electricity, rural (% of rural population)"/>
    <n v="41.265643444704203"/>
    <x v="30"/>
  </r>
  <r>
    <x v="19"/>
    <s v="Access to electricity, rural (% of rural population)"/>
    <m/>
    <x v="30"/>
  </r>
  <r>
    <x v="20"/>
    <s v="Access to electricity, rural (% of rural population)"/>
    <m/>
    <x v="30"/>
  </r>
  <r>
    <x v="21"/>
    <s v="Access to electricity, rural (% of rural population)"/>
    <n v="30.662198615890301"/>
    <x v="30"/>
  </r>
  <r>
    <x v="22"/>
    <s v="Access to electricity, rural (% of rural population)"/>
    <n v="46.9035124200065"/>
    <x v="30"/>
  </r>
  <r>
    <x v="23"/>
    <s v="Access to electricity, rural (% of rural population)"/>
    <n v="95.406868152828395"/>
    <x v="30"/>
  </r>
  <r>
    <x v="24"/>
    <s v="Access to electricity, rural (% of rural population)"/>
    <m/>
    <x v="30"/>
  </r>
  <r>
    <x v="25"/>
    <s v="Access to electricity, rural (% of rural population)"/>
    <m/>
    <x v="30"/>
  </r>
  <r>
    <x v="26"/>
    <s v="Access to electricity, rural (% of rural population)"/>
    <n v="1.8"/>
    <x v="30"/>
  </r>
  <r>
    <x v="27"/>
    <s v="Access to electricity, rural (% of rural population)"/>
    <n v="7.8318144965853698"/>
    <x v="30"/>
  </r>
  <r>
    <x v="0"/>
    <s v="Access to electricity, rural (% of rural population)"/>
    <m/>
    <x v="31"/>
  </r>
  <r>
    <x v="1"/>
    <s v="Access to electricity, rural (% of rural population)"/>
    <n v="8.6999999999999993"/>
    <x v="31"/>
  </r>
  <r>
    <x v="2"/>
    <s v="Access to electricity, rural (% of rural population)"/>
    <m/>
    <x v="31"/>
  </r>
  <r>
    <x v="3"/>
    <s v="Access to electricity, rural (% of rural population)"/>
    <n v="5.4604591669441698"/>
    <x v="31"/>
  </r>
  <r>
    <x v="4"/>
    <s v="Access to electricity, rural (% of rural population)"/>
    <n v="84.966455691593595"/>
    <x v="31"/>
  </r>
  <r>
    <x v="5"/>
    <s v="Access to electricity, rural (% of rural population)"/>
    <m/>
    <x v="31"/>
  </r>
  <r>
    <x v="6"/>
    <s v="Access to electricity, rural (% of rural population)"/>
    <m/>
    <x v="31"/>
  </r>
  <r>
    <x v="7"/>
    <s v="Access to electricity, rural (% of rural population)"/>
    <n v="10.066361943880599"/>
    <x v="31"/>
  </r>
  <r>
    <x v="8"/>
    <s v="Access to electricity, rural (% of rural population)"/>
    <m/>
    <x v="31"/>
  </r>
  <r>
    <x v="9"/>
    <s v="Access to electricity, rural (% of rural population)"/>
    <m/>
    <x v="31"/>
  </r>
  <r>
    <x v="10"/>
    <s v="Access to electricity, rural (% of rural population)"/>
    <n v="9.9999997764825804E-3"/>
    <x v="31"/>
  </r>
  <r>
    <x v="11"/>
    <s v="Access to electricity, rural (% of rural population)"/>
    <n v="0.99455125361452401"/>
    <x v="31"/>
  </r>
  <r>
    <x v="12"/>
    <s v="Access to electricity, rural (% of rural population)"/>
    <m/>
    <x v="31"/>
  </r>
  <r>
    <x v="13"/>
    <s v="Access to electricity, rural (% of rural population)"/>
    <m/>
    <x v="31"/>
  </r>
  <r>
    <x v="14"/>
    <s v="Access to electricity, rural (% of rural population)"/>
    <n v="94.456572900039902"/>
    <x v="31"/>
  </r>
  <r>
    <x v="15"/>
    <s v="Access to electricity, rural (% of rural population)"/>
    <m/>
    <x v="31"/>
  </r>
  <r>
    <x v="16"/>
    <s v="Access to electricity, rural (% of rural population)"/>
    <n v="21.2179255170396"/>
    <x v="31"/>
  </r>
  <r>
    <x v="17"/>
    <s v="Access to electricity, rural (% of rural population)"/>
    <m/>
    <x v="31"/>
  </r>
  <r>
    <x v="18"/>
    <s v="Access to electricity, rural (% of rural population)"/>
    <n v="41.9692958748442"/>
    <x v="31"/>
  </r>
  <r>
    <x v="19"/>
    <s v="Access to electricity, rural (% of rural population)"/>
    <m/>
    <x v="31"/>
  </r>
  <r>
    <x v="20"/>
    <s v="Access to electricity, rural (% of rural population)"/>
    <m/>
    <x v="31"/>
  </r>
  <r>
    <x v="21"/>
    <s v="Access to electricity, rural (% of rural population)"/>
    <n v="31.321005387869299"/>
    <x v="31"/>
  </r>
  <r>
    <x v="22"/>
    <s v="Access to electricity, rural (% of rural population)"/>
    <n v="48.806741010354898"/>
    <x v="31"/>
  </r>
  <r>
    <x v="23"/>
    <s v="Access to electricity, rural (% of rural population)"/>
    <n v="95.729380450434604"/>
    <x v="31"/>
  </r>
  <r>
    <x v="24"/>
    <s v="Access to electricity, rural (% of rural population)"/>
    <m/>
    <x v="31"/>
  </r>
  <r>
    <x v="25"/>
    <s v="Access to electricity, rural (% of rural population)"/>
    <n v="1.5"/>
    <x v="31"/>
  </r>
  <r>
    <x v="26"/>
    <s v="Access to electricity, rural (% of rural population)"/>
    <m/>
    <x v="31"/>
  </r>
  <r>
    <x v="27"/>
    <s v="Access to electricity, rural (% of rural population)"/>
    <n v="7.5152241303487104"/>
    <x v="31"/>
  </r>
  <r>
    <x v="0"/>
    <s v="Access to electricity, rural (% of rural population)"/>
    <m/>
    <x v="32"/>
  </r>
  <r>
    <x v="1"/>
    <s v="Access to electricity, rural (% of rural population)"/>
    <n v="7.0752687610139002"/>
    <x v="32"/>
  </r>
  <r>
    <x v="2"/>
    <s v="Access to electricity, rural (% of rural population)"/>
    <m/>
    <x v="32"/>
  </r>
  <r>
    <x v="3"/>
    <s v="Access to electricity, rural (% of rural population)"/>
    <n v="8.1766050466885201"/>
    <x v="32"/>
  </r>
  <r>
    <x v="4"/>
    <s v="Access to electricity, rural (% of rural population)"/>
    <n v="81.965504170846302"/>
    <x v="32"/>
  </r>
  <r>
    <x v="5"/>
    <s v="Access to electricity, rural (% of rural population)"/>
    <m/>
    <x v="32"/>
  </r>
  <r>
    <x v="6"/>
    <s v="Access to electricity, rural (% of rural population)"/>
    <m/>
    <x v="32"/>
  </r>
  <r>
    <x v="7"/>
    <s v="Access to electricity, rural (% of rural population)"/>
    <n v="9.8279924824115898"/>
    <x v="32"/>
  </r>
  <r>
    <x v="8"/>
    <s v="Access to electricity, rural (% of rural population)"/>
    <m/>
    <x v="32"/>
  </r>
  <r>
    <x v="9"/>
    <s v="Access to electricity, rural (% of rural population)"/>
    <m/>
    <x v="32"/>
  </r>
  <r>
    <x v="10"/>
    <s v="Access to electricity, rural (% of rural population)"/>
    <n v="9.9999997764825804E-3"/>
    <x v="32"/>
  </r>
  <r>
    <x v="11"/>
    <s v="Access to electricity, rural (% of rural population)"/>
    <n v="1.9"/>
    <x v="32"/>
  </r>
  <r>
    <x v="12"/>
    <s v="Access to electricity, rural (% of rural population)"/>
    <n v="1.1000000000000001"/>
    <x v="32"/>
  </r>
  <r>
    <x v="13"/>
    <s v="Access to electricity, rural (% of rural population)"/>
    <m/>
    <x v="32"/>
  </r>
  <r>
    <x v="14"/>
    <s v="Access to electricity, rural (% of rural population)"/>
    <n v="94.909647546720507"/>
    <x v="32"/>
  </r>
  <r>
    <x v="15"/>
    <s v="Access to electricity, rural (% of rural population)"/>
    <m/>
    <x v="32"/>
  </r>
  <r>
    <x v="16"/>
    <s v="Access to electricity, rural (% of rural population)"/>
    <n v="22.166091201676799"/>
    <x v="32"/>
  </r>
  <r>
    <x v="17"/>
    <s v="Access to electricity, rural (% of rural population)"/>
    <m/>
    <x v="32"/>
  </r>
  <r>
    <x v="18"/>
    <s v="Access to electricity, rural (% of rural population)"/>
    <n v="42.675611844115302"/>
    <x v="32"/>
  </r>
  <r>
    <x v="19"/>
    <s v="Access to electricity, rural (% of rural population)"/>
    <n v="0.2"/>
    <x v="32"/>
  </r>
  <r>
    <x v="20"/>
    <s v="Access to electricity, rural (% of rural population)"/>
    <n v="0.5"/>
    <x v="32"/>
  </r>
  <r>
    <x v="21"/>
    <s v="Access to electricity, rural (% of rural population)"/>
    <n v="32.071668928290798"/>
    <x v="32"/>
  </r>
  <r>
    <x v="22"/>
    <s v="Access to electricity, rural (% of rural population)"/>
    <n v="50.708674644724297"/>
    <x v="32"/>
  </r>
  <r>
    <x v="23"/>
    <s v="Access to electricity, rural (% of rural population)"/>
    <n v="96.046780745025899"/>
    <x v="32"/>
  </r>
  <r>
    <x v="24"/>
    <s v="Access to electricity, rural (% of rural population)"/>
    <n v="1.3"/>
    <x v="32"/>
  </r>
  <r>
    <x v="25"/>
    <s v="Access to electricity, rural (% of rural population)"/>
    <m/>
    <x v="32"/>
  </r>
  <r>
    <x v="26"/>
    <s v="Access to electricity, rural (% of rural population)"/>
    <n v="3.1"/>
    <x v="32"/>
  </r>
  <r>
    <x v="27"/>
    <s v="Access to electricity, rural (% of rural population)"/>
    <n v="3.0359212746906699"/>
    <x v="32"/>
  </r>
  <r>
    <x v="0"/>
    <s v="Access to electricity, rural (% of rural population)"/>
    <m/>
    <x v="33"/>
  </r>
  <r>
    <x v="1"/>
    <s v="Access to electricity, rural (% of rural population)"/>
    <n v="7.8581474600762498"/>
    <x v="33"/>
  </r>
  <r>
    <x v="2"/>
    <s v="Access to electricity, rural (% of rural population)"/>
    <m/>
    <x v="33"/>
  </r>
  <r>
    <x v="3"/>
    <s v="Access to electricity, rural (% of rural population)"/>
    <n v="10.956640064281901"/>
    <x v="33"/>
  </r>
  <r>
    <x v="4"/>
    <s v="Access to electricity, rural (% of rural population)"/>
    <n v="78.939468985548999"/>
    <x v="33"/>
  </r>
  <r>
    <x v="5"/>
    <s v="Access to electricity, rural (% of rural population)"/>
    <m/>
    <x v="33"/>
  </r>
  <r>
    <x v="6"/>
    <s v="Access to electricity, rural (% of rural population)"/>
    <m/>
    <x v="33"/>
  </r>
  <r>
    <x v="7"/>
    <s v="Access to electricity, rural (% of rural population)"/>
    <n v="10.1011727741234"/>
    <x v="33"/>
  </r>
  <r>
    <x v="8"/>
    <s v="Access to electricity, rural (% of rural population)"/>
    <n v="3.4"/>
    <x v="33"/>
  </r>
  <r>
    <x v="9"/>
    <s v="Access to electricity, rural (% of rural population)"/>
    <m/>
    <x v="33"/>
  </r>
  <r>
    <x v="10"/>
    <s v="Access to electricity, rural (% of rural population)"/>
    <n v="9.9999997764825804E-3"/>
    <x v="33"/>
  </r>
  <r>
    <x v="11"/>
    <s v="Access to electricity, rural (% of rural population)"/>
    <n v="0.82384991611640501"/>
    <x v="33"/>
  </r>
  <r>
    <x v="12"/>
    <s v="Access to electricity, rural (% of rural population)"/>
    <m/>
    <x v="33"/>
  </r>
  <r>
    <x v="13"/>
    <s v="Access to electricity, rural (% of rural population)"/>
    <m/>
    <x v="33"/>
  </r>
  <r>
    <x v="14"/>
    <s v="Access to electricity, rural (% of rural population)"/>
    <n v="95.357175937898305"/>
    <x v="33"/>
  </r>
  <r>
    <x v="15"/>
    <s v="Access to electricity, rural (% of rural population)"/>
    <m/>
    <x v="33"/>
  </r>
  <r>
    <x v="16"/>
    <s v="Access to electricity, rural (% of rural population)"/>
    <n v="23.0991450661034"/>
    <x v="33"/>
  </r>
  <r>
    <x v="17"/>
    <s v="Access to electricity, rural (% of rural population)"/>
    <m/>
    <x v="33"/>
  </r>
  <r>
    <x v="18"/>
    <s v="Access to electricity, rural (% of rural population)"/>
    <n v="42.469211999999999"/>
    <x v="33"/>
  </r>
  <r>
    <x v="19"/>
    <s v="Access to electricity, rural (% of rural population)"/>
    <m/>
    <x v="33"/>
  </r>
  <r>
    <x v="20"/>
    <s v="Access to electricity, rural (% of rural population)"/>
    <m/>
    <x v="33"/>
  </r>
  <r>
    <x v="21"/>
    <s v="Access to electricity, rural (% of rural population)"/>
    <n v="32.8332230730202"/>
    <x v="33"/>
  </r>
  <r>
    <x v="22"/>
    <s v="Access to electricity, rural (% of rural population)"/>
    <n v="52.606769569791702"/>
    <x v="33"/>
  </r>
  <r>
    <x v="23"/>
    <s v="Access to electricity, rural (% of rural population)"/>
    <n v="96.355758926042697"/>
    <x v="33"/>
  </r>
  <r>
    <x v="24"/>
    <s v="Access to electricity, rural (% of rural population)"/>
    <m/>
    <x v="33"/>
  </r>
  <r>
    <x v="25"/>
    <s v="Access to electricity, rural (% of rural population)"/>
    <m/>
    <x v="33"/>
  </r>
  <r>
    <x v="26"/>
    <s v="Access to electricity, rural (% of rural population)"/>
    <n v="1.0205309731263099"/>
    <x v="33"/>
  </r>
  <r>
    <x v="27"/>
    <s v="Access to electricity, rural (% of rural population)"/>
    <n v="7.1954292085439402"/>
    <x v="33"/>
  </r>
  <r>
    <x v="0"/>
    <s v="Access to electricity, rural (% of rural population)"/>
    <m/>
    <x v="34"/>
  </r>
  <r>
    <x v="1"/>
    <s v="Access to electricity, rural (% of rural population)"/>
    <n v="8.6245705477437191"/>
    <x v="34"/>
  </r>
  <r>
    <x v="2"/>
    <s v="Access to electricity, rural (% of rural population)"/>
    <m/>
    <x v="34"/>
  </r>
  <r>
    <x v="3"/>
    <s v="Access to electricity, rural (% of rural population)"/>
    <n v="13.727105222107101"/>
    <x v="34"/>
  </r>
  <r>
    <x v="4"/>
    <s v="Access to electricity, rural (% of rural population)"/>
    <n v="75.881134048664606"/>
    <x v="34"/>
  </r>
  <r>
    <x v="5"/>
    <s v="Access to electricity, rural (% of rural population)"/>
    <m/>
    <x v="34"/>
  </r>
  <r>
    <x v="6"/>
    <s v="Access to electricity, rural (% of rural population)"/>
    <m/>
    <x v="34"/>
  </r>
  <r>
    <x v="7"/>
    <s v="Access to electricity, rural (% of rural population)"/>
    <n v="10.3694637562847"/>
    <x v="34"/>
  </r>
  <r>
    <x v="8"/>
    <s v="Access to electricity, rural (% of rural population)"/>
    <n v="1.23974584995807"/>
    <x v="34"/>
  </r>
  <r>
    <x v="9"/>
    <s v="Access to electricity, rural (% of rural population)"/>
    <m/>
    <x v="34"/>
  </r>
  <r>
    <x v="10"/>
    <s v="Access to electricity, rural (% of rural population)"/>
    <n v="9.9999997764825804E-3"/>
    <x v="34"/>
  </r>
  <r>
    <x v="11"/>
    <s v="Access to electricity, rural (% of rural population)"/>
    <n v="0.85595476733712095"/>
    <x v="34"/>
  </r>
  <r>
    <x v="12"/>
    <s v="Access to electricity, rural (% of rural population)"/>
    <n v="0.10477120273962"/>
    <x v="34"/>
  </r>
  <r>
    <x v="13"/>
    <s v="Access to electricity, rural (% of rural population)"/>
    <m/>
    <x v="34"/>
  </r>
  <r>
    <x v="14"/>
    <s v="Access to electricity, rural (% of rural population)"/>
    <n v="95.794352836449903"/>
    <x v="34"/>
  </r>
  <r>
    <x v="15"/>
    <s v="Access to electricity, rural (% of rural population)"/>
    <m/>
    <x v="34"/>
  </r>
  <r>
    <x v="16"/>
    <s v="Access to electricity, rural (% of rural population)"/>
    <n v="24.0121211203186"/>
    <x v="34"/>
  </r>
  <r>
    <x v="17"/>
    <s v="Access to electricity, rural (% of rural population)"/>
    <m/>
    <x v="34"/>
  </r>
  <r>
    <x v="18"/>
    <s v="Access to electricity, rural (% of rural population)"/>
    <n v="44.079682602228701"/>
    <x v="34"/>
  </r>
  <r>
    <x v="19"/>
    <s v="Access to electricity, rural (% of rural population)"/>
    <m/>
    <x v="34"/>
  </r>
  <r>
    <x v="20"/>
    <s v="Access to electricity, rural (% of rural population)"/>
    <m/>
    <x v="34"/>
  </r>
  <r>
    <x v="21"/>
    <s v="Access to electricity, rural (% of rural population)"/>
    <n v="33.590731333338198"/>
    <x v="34"/>
  </r>
  <r>
    <x v="22"/>
    <s v="Access to electricity, rural (% of rural population)"/>
    <n v="54.497863858796002"/>
    <x v="34"/>
  </r>
  <r>
    <x v="23"/>
    <s v="Access to electricity, rural (% of rural population)"/>
    <n v="96.652787804843001"/>
    <x v="34"/>
  </r>
  <r>
    <x v="24"/>
    <s v="Access to electricity, rural (% of rural population)"/>
    <n v="0.32398655086985401"/>
    <x v="34"/>
  </r>
  <r>
    <x v="25"/>
    <s v="Access to electricity, rural (% of rural population)"/>
    <n v="6.1321236309726202E-4"/>
    <x v="34"/>
  </r>
  <r>
    <x v="26"/>
    <s v="Access to electricity, rural (% of rural population)"/>
    <n v="1.6142340542440901"/>
    <x v="34"/>
  </r>
  <r>
    <x v="27"/>
    <s v="Access to electricity, rural (% of rural population)"/>
    <n v="3.4"/>
    <x v="34"/>
  </r>
  <r>
    <x v="0"/>
    <s v="Access to electricity, rural (% of rural population)"/>
    <m/>
    <x v="35"/>
  </r>
  <r>
    <x v="1"/>
    <s v="Access to electricity, rural (% of rural population)"/>
    <n v="9.3717010075413398"/>
    <x v="35"/>
  </r>
  <r>
    <x v="2"/>
    <s v="Access to electricity, rural (% of rural population)"/>
    <m/>
    <x v="35"/>
  </r>
  <r>
    <x v="3"/>
    <s v="Access to electricity, rural (% of rural population)"/>
    <n v="16.4852656809176"/>
    <x v="35"/>
  </r>
  <r>
    <x v="4"/>
    <s v="Access to electricity, rural (% of rural population)"/>
    <n v="72.778448703379993"/>
    <x v="35"/>
  </r>
  <r>
    <x v="5"/>
    <s v="Access to electricity, rural (% of rural population)"/>
    <m/>
    <x v="35"/>
  </r>
  <r>
    <x v="6"/>
    <s v="Access to electricity, rural (% of rural population)"/>
    <m/>
    <x v="35"/>
  </r>
  <r>
    <x v="7"/>
    <s v="Access to electricity, rural (% of rural population)"/>
    <n v="3.9"/>
    <x v="35"/>
  </r>
  <r>
    <x v="8"/>
    <s v="Access to electricity, rural (% of rural population)"/>
    <n v="2.3305036305809401"/>
    <x v="35"/>
  </r>
  <r>
    <x v="9"/>
    <s v="Access to electricity, rural (% of rural population)"/>
    <m/>
    <x v="35"/>
  </r>
  <r>
    <x v="10"/>
    <s v="Access to electricity, rural (% of rural population)"/>
    <n v="9.9999997764825804E-3"/>
    <x v="35"/>
  </r>
  <r>
    <x v="11"/>
    <s v="Access to electricity, rural (% of rural population)"/>
    <n v="0.88232743366460298"/>
    <x v="35"/>
  </r>
  <r>
    <x v="12"/>
    <s v="Access to electricity, rural (% of rural population)"/>
    <n v="0.33954709153049301"/>
    <x v="35"/>
  </r>
  <r>
    <x v="13"/>
    <s v="Access to electricity, rural (% of rural population)"/>
    <m/>
    <x v="35"/>
  </r>
  <r>
    <x v="14"/>
    <s v="Access to electricity, rural (% of rural population)"/>
    <n v="96.2164224865341"/>
    <x v="35"/>
  </r>
  <r>
    <x v="15"/>
    <s v="Access to electricity, rural (% of rural population)"/>
    <m/>
    <x v="35"/>
  </r>
  <r>
    <x v="16"/>
    <s v="Access to electricity, rural (% of rural population)"/>
    <n v="24.902434688796099"/>
    <x v="35"/>
  </r>
  <r>
    <x v="17"/>
    <s v="Access to electricity, rural (% of rural population)"/>
    <m/>
    <x v="35"/>
  </r>
  <r>
    <x v="18"/>
    <s v="Access to electricity, rural (% of rural population)"/>
    <n v="44.765505107886099"/>
    <x v="35"/>
  </r>
  <r>
    <x v="19"/>
    <s v="Access to electricity, rural (% of rural population)"/>
    <n v="1.34317042757614"/>
    <x v="35"/>
  </r>
  <r>
    <x v="20"/>
    <s v="Access to electricity, rural (% of rural population)"/>
    <m/>
    <x v="35"/>
  </r>
  <r>
    <x v="21"/>
    <s v="Access to electricity, rural (% of rural population)"/>
    <n v="34.339669982253398"/>
    <x v="35"/>
  </r>
  <r>
    <x v="22"/>
    <s v="Access to electricity, rural (% of rural population)"/>
    <n v="56.377729781413798"/>
    <x v="35"/>
  </r>
  <r>
    <x v="23"/>
    <s v="Access to electricity, rural (% of rural population)"/>
    <n v="96.934115936785503"/>
    <x v="35"/>
  </r>
  <r>
    <x v="24"/>
    <s v="Access to electricity, rural (% of rural population)"/>
    <n v="0.80066097719542795"/>
    <x v="35"/>
  </r>
  <r>
    <x v="25"/>
    <s v="Access to electricity, rural (% of rural population)"/>
    <n v="1.5"/>
    <x v="35"/>
  </r>
  <r>
    <x v="26"/>
    <s v="Access to electricity, rural (% of rural population)"/>
    <n v="2.2003500493855102"/>
    <x v="35"/>
  </r>
  <r>
    <x v="27"/>
    <s v="Access to electricity, rural (% of rural population)"/>
    <n v="7.3047495674736096"/>
    <x v="35"/>
  </r>
  <r>
    <x v="0"/>
    <s v="Access to electricity, rural (% of rural population)"/>
    <m/>
    <x v="36"/>
  </r>
  <r>
    <x v="1"/>
    <s v="Access to electricity, rural (% of rural population)"/>
    <n v="10.0932960148248"/>
    <x v="36"/>
  </r>
  <r>
    <x v="2"/>
    <s v="Access to electricity, rural (% of rural population)"/>
    <m/>
    <x v="36"/>
  </r>
  <r>
    <x v="3"/>
    <s v="Access to electricity, rural (% of rural population)"/>
    <n v="19.600000000000001"/>
    <x v="36"/>
  </r>
  <r>
    <x v="4"/>
    <s v="Access to electricity, rural (% of rural population)"/>
    <n v="11.1"/>
    <x v="36"/>
  </r>
  <r>
    <x v="5"/>
    <s v="Access to electricity, rural (% of rural population)"/>
    <m/>
    <x v="36"/>
  </r>
  <r>
    <x v="6"/>
    <s v="Access to electricity, rural (% of rural population)"/>
    <m/>
    <x v="36"/>
  </r>
  <r>
    <x v="7"/>
    <s v="Access to electricity, rural (% of rural population)"/>
    <n v="10.877300600740799"/>
    <x v="36"/>
  </r>
  <r>
    <x v="8"/>
    <s v="Access to electricity, rural (% of rural population)"/>
    <n v="3.4020885287640401"/>
    <x v="36"/>
  </r>
  <r>
    <x v="9"/>
    <s v="Access to electricity, rural (% of rural population)"/>
    <m/>
    <x v="36"/>
  </r>
  <r>
    <x v="10"/>
    <s v="Access to electricity, rural (% of rural population)"/>
    <n v="9.9999997764825804E-3"/>
    <x v="36"/>
  </r>
  <r>
    <x v="11"/>
    <s v="Access to electricity, rural (% of rural population)"/>
    <n v="0.88452059305937303"/>
    <x v="36"/>
  </r>
  <r>
    <x v="12"/>
    <s v="Access to electricity, rural (% of rural population)"/>
    <n v="0.55196697933278704"/>
    <x v="36"/>
  </r>
  <r>
    <x v="13"/>
    <s v="Access to electricity, rural (% of rural population)"/>
    <n v="0.4"/>
    <x v="36"/>
  </r>
  <r>
    <x v="14"/>
    <s v="Access to electricity, rural (% of rural population)"/>
    <n v="96.618649507100898"/>
    <x v="36"/>
  </r>
  <r>
    <x v="15"/>
    <s v="Access to electricity, rural (% of rural population)"/>
    <m/>
    <x v="36"/>
  </r>
  <r>
    <x v="16"/>
    <s v="Access to electricity, rural (% of rural population)"/>
    <n v="25.766637300917299"/>
    <x v="36"/>
  </r>
  <r>
    <x v="17"/>
    <s v="Access to electricity, rural (% of rural population)"/>
    <n v="12.1"/>
    <x v="36"/>
  </r>
  <r>
    <x v="18"/>
    <s v="Access to electricity, rural (% of rural population)"/>
    <n v="45.431143427273597"/>
    <x v="36"/>
  </r>
  <r>
    <x v="19"/>
    <s v="Access to electricity, rural (% of rural population)"/>
    <n v="1.9669363358109799"/>
    <x v="36"/>
  </r>
  <r>
    <x v="20"/>
    <s v="Access to electricity, rural (% of rural population)"/>
    <m/>
    <x v="36"/>
  </r>
  <r>
    <x v="21"/>
    <s v="Access to electricity, rural (% of rural population)"/>
    <n v="35.074012566129802"/>
    <x v="36"/>
  </r>
  <r>
    <x v="22"/>
    <s v="Access to electricity, rural (% of rural population)"/>
    <n v="58.2432072244723"/>
    <x v="36"/>
  </r>
  <r>
    <x v="23"/>
    <s v="Access to electricity, rural (% of rural population)"/>
    <n v="97.196309067369597"/>
    <x v="36"/>
  </r>
  <r>
    <x v="24"/>
    <s v="Access to electricity, rural (% of rural population)"/>
    <n v="1.8"/>
    <x v="36"/>
  </r>
  <r>
    <x v="25"/>
    <s v="Access to electricity, rural (% of rural population)"/>
    <n v="1.36087599395184"/>
    <x v="36"/>
  </r>
  <r>
    <x v="26"/>
    <s v="Access to electricity, rural (% of rural population)"/>
    <n v="1.5"/>
    <x v="36"/>
  </r>
  <r>
    <x v="27"/>
    <s v="Access to electricity, rural (% of rural population)"/>
    <n v="7.3336908189721299"/>
    <x v="36"/>
  </r>
  <r>
    <x v="0"/>
    <s v="Access to electricity, rural (% of rural population)"/>
    <m/>
    <x v="37"/>
  </r>
  <r>
    <x v="1"/>
    <s v="Access to electricity, rural (% of rural population)"/>
    <n v="10.787385156614601"/>
    <x v="37"/>
  </r>
  <r>
    <x v="2"/>
    <s v="Access to electricity, rural (% of rural population)"/>
    <n v="0.1"/>
    <x v="37"/>
  </r>
  <r>
    <x v="3"/>
    <s v="Access to electricity, rural (% of rural population)"/>
    <n v="21.946461374828498"/>
    <x v="37"/>
  </r>
  <r>
    <x v="4"/>
    <s v="Access to electricity, rural (% of rural population)"/>
    <n v="66.404772306574898"/>
    <x v="37"/>
  </r>
  <r>
    <x v="5"/>
    <s v="Access to electricity, rural (% of rural population)"/>
    <m/>
    <x v="37"/>
  </r>
  <r>
    <x v="6"/>
    <s v="Access to electricity, rural (% of rural population)"/>
    <m/>
    <x v="37"/>
  </r>
  <r>
    <x v="7"/>
    <s v="Access to electricity, rural (% of rural population)"/>
    <n v="11.1301626412323"/>
    <x v="37"/>
  </r>
  <r>
    <x v="8"/>
    <s v="Access to electricity, rural (% of rural population)"/>
    <n v="4.4517510170762202"/>
    <x v="37"/>
  </r>
  <r>
    <x v="9"/>
    <s v="Access to electricity, rural (% of rural population)"/>
    <m/>
    <x v="37"/>
  </r>
  <r>
    <x v="10"/>
    <s v="Access to electricity, rural (% of rural population)"/>
    <n v="9.9999997764825804E-3"/>
    <x v="37"/>
  </r>
  <r>
    <x v="11"/>
    <s v="Access to electricity, rural (% of rural population)"/>
    <n v="2.1"/>
    <x v="37"/>
  </r>
  <r>
    <x v="12"/>
    <s v="Access to electricity, rural (% of rural population)"/>
    <n v="0.73895658783227403"/>
    <x v="37"/>
  </r>
  <r>
    <x v="13"/>
    <s v="Access to electricity, rural (% of rural population)"/>
    <m/>
    <x v="37"/>
  </r>
  <r>
    <x v="14"/>
    <s v="Access to electricity, rural (% of rural population)"/>
    <n v="96.996381000770199"/>
    <x v="37"/>
  </r>
  <r>
    <x v="15"/>
    <s v="Access to electricity, rural (% of rural population)"/>
    <n v="2.1"/>
    <x v="37"/>
  </r>
  <r>
    <x v="16"/>
    <s v="Access to electricity, rural (% of rural population)"/>
    <n v="26.5996429879409"/>
    <x v="37"/>
  </r>
  <r>
    <x v="17"/>
    <s v="Access to electricity, rural (% of rural population)"/>
    <n v="6.7628283202200299"/>
    <x v="37"/>
  </r>
  <r>
    <x v="18"/>
    <s v="Access to electricity, rural (% of rural population)"/>
    <n v="46.072939093117803"/>
    <x v="37"/>
  </r>
  <r>
    <x v="19"/>
    <s v="Access to electricity, rural (% of rural population)"/>
    <n v="0.87652694173586299"/>
    <x v="37"/>
  </r>
  <r>
    <x v="20"/>
    <s v="Access to electricity, rural (% of rural population)"/>
    <m/>
    <x v="37"/>
  </r>
  <r>
    <x v="21"/>
    <s v="Access to electricity, rural (% of rural population)"/>
    <n v="35.791161711394899"/>
    <x v="37"/>
  </r>
  <r>
    <x v="22"/>
    <s v="Access to electricity, rural (% of rural population)"/>
    <n v="60.090788971297798"/>
    <x v="37"/>
  </r>
  <r>
    <x v="23"/>
    <s v="Access to electricity, rural (% of rural population)"/>
    <n v="97.416821635002293"/>
    <x v="37"/>
  </r>
  <r>
    <x v="24"/>
    <s v="Access to electricity, rural (% of rural population)"/>
    <n v="1.6809168066809399"/>
    <x v="37"/>
  </r>
  <r>
    <x v="25"/>
    <s v="Access to electricity, rural (% of rural population)"/>
    <n v="2.0171101133576599"/>
    <x v="37"/>
  </r>
  <r>
    <x v="26"/>
    <s v="Access to electricity, rural (% of rural population)"/>
    <n v="3.33200036126778"/>
    <x v="37"/>
  </r>
  <r>
    <x v="27"/>
    <s v="Access to electricity, rural (% of rural population)"/>
    <n v="7.3405846530346404"/>
    <x v="37"/>
  </r>
  <r>
    <x v="0"/>
    <s v="Access to electricity, rural (% of rural population)"/>
    <n v="0.9"/>
    <x v="38"/>
  </r>
  <r>
    <x v="1"/>
    <s v="Access to electricity, rural (% of rural population)"/>
    <n v="22"/>
    <x v="38"/>
  </r>
  <r>
    <x v="2"/>
    <s v="Access to electricity, rural (% of rural population)"/>
    <n v="0.2896629965982"/>
    <x v="38"/>
  </r>
  <r>
    <x v="3"/>
    <s v="Access to electricity, rural (% of rural population)"/>
    <n v="24.6429230917757"/>
    <x v="38"/>
  </r>
  <r>
    <x v="4"/>
    <s v="Access to electricity, rural (% of rural population)"/>
    <n v="63.113197397192998"/>
    <x v="38"/>
  </r>
  <r>
    <x v="5"/>
    <s v="Access to electricity, rural (% of rural population)"/>
    <m/>
    <x v="38"/>
  </r>
  <r>
    <x v="6"/>
    <s v="Access to electricity, rural (% of rural population)"/>
    <m/>
    <x v="38"/>
  </r>
  <r>
    <x v="7"/>
    <s v="Access to electricity, rural (% of rural population)"/>
    <n v="11.3634785401056"/>
    <x v="38"/>
  </r>
  <r>
    <x v="8"/>
    <s v="Access to electricity, rural (% of rural population)"/>
    <n v="4.3"/>
    <x v="38"/>
  </r>
  <r>
    <x v="9"/>
    <s v="Access to electricity, rural (% of rural population)"/>
    <m/>
    <x v="38"/>
  </r>
  <r>
    <x v="10"/>
    <s v="Access to electricity, rural (% of rural population)"/>
    <n v="9.9999997764825804E-3"/>
    <x v="38"/>
  </r>
  <r>
    <x v="11"/>
    <s v="Access to electricity, rural (% of rural population)"/>
    <n v="0.80117986762345905"/>
    <x v="38"/>
  </r>
  <r>
    <x v="12"/>
    <s v="Access to electricity, rural (% of rural population)"/>
    <n v="0.89609104126198702"/>
    <x v="38"/>
  </r>
  <r>
    <x v="13"/>
    <s v="Access to electricity, rural (% of rural population)"/>
    <m/>
    <x v="38"/>
  </r>
  <r>
    <x v="14"/>
    <s v="Access to electricity, rural (% of rural population)"/>
    <n v="97.344852468439896"/>
    <x v="38"/>
  </r>
  <r>
    <x v="15"/>
    <s v="Access to electricity, rural (% of rural population)"/>
    <m/>
    <x v="38"/>
  </r>
  <r>
    <x v="16"/>
    <s v="Access to electricity, rural (% of rural population)"/>
    <n v="27.399444938452401"/>
    <x v="38"/>
  </r>
  <r>
    <x v="17"/>
    <s v="Access to electricity, rural (% of rural population)"/>
    <n v="10.7671299579705"/>
    <x v="38"/>
  </r>
  <r>
    <x v="18"/>
    <s v="Access to electricity, rural (% of rural population)"/>
    <n v="40.683522000000004"/>
    <x v="38"/>
  </r>
  <r>
    <x v="19"/>
    <s v="Access to electricity, rural (% of rural population)"/>
    <n v="0.2"/>
    <x v="38"/>
  </r>
  <r>
    <x v="20"/>
    <s v="Access to electricity, rural (% of rural population)"/>
    <m/>
    <x v="38"/>
  </r>
  <r>
    <x v="21"/>
    <s v="Access to electricity, rural (% of rural population)"/>
    <n v="36.4835496668735"/>
    <x v="38"/>
  </r>
  <r>
    <x v="22"/>
    <s v="Access to electricity, rural (% of rural population)"/>
    <n v="61.917256528607901"/>
    <x v="38"/>
  </r>
  <r>
    <x v="23"/>
    <s v="Access to electricity, rural (% of rural population)"/>
    <n v="97.627719447758594"/>
    <x v="38"/>
  </r>
  <r>
    <x v="24"/>
    <s v="Access to electricity, rural (% of rural population)"/>
    <n v="2.0767988475124799"/>
    <x v="38"/>
  </r>
  <r>
    <x v="25"/>
    <s v="Access to electricity, rural (% of rural population)"/>
    <n v="2.6526402530360902"/>
    <x v="38"/>
  </r>
  <r>
    <x v="26"/>
    <s v="Access to electricity, rural (% of rural population)"/>
    <n v="2"/>
    <x v="38"/>
  </r>
  <r>
    <x v="27"/>
    <s v="Access to electricity, rural (% of rural population)"/>
    <n v="7.3198802030122501"/>
    <x v="38"/>
  </r>
  <r>
    <x v="0"/>
    <s v="Access to electricity, rural (% of rural population)"/>
    <m/>
    <x v="39"/>
  </r>
  <r>
    <x v="1"/>
    <s v="Access to electricity, rural (% of rural population)"/>
    <n v="12.063228571409599"/>
    <x v="39"/>
  </r>
  <r>
    <x v="2"/>
    <s v="Access to electricity, rural (% of rural population)"/>
    <n v="0.41347042138624301"/>
    <x v="39"/>
  </r>
  <r>
    <x v="3"/>
    <s v="Access to electricity, rural (% of rural population)"/>
    <n v="27.3107818289199"/>
    <x v="39"/>
  </r>
  <r>
    <x v="4"/>
    <s v="Access to electricity, rural (% of rural population)"/>
    <n v="59.738744163494701"/>
    <x v="39"/>
  </r>
  <r>
    <x v="5"/>
    <s v="Access to electricity, rural (% of rural population)"/>
    <m/>
    <x v="39"/>
  </r>
  <r>
    <x v="6"/>
    <s v="Access to electricity, rural (% of rural population)"/>
    <n v="1.5"/>
    <x v="39"/>
  </r>
  <r>
    <x v="7"/>
    <s v="Access to electricity, rural (% of rural population)"/>
    <n v="11.5719793097752"/>
    <x v="39"/>
  </r>
  <r>
    <x v="8"/>
    <s v="Access to electricity, rural (% of rural population)"/>
    <n v="6.4675082396284997"/>
    <x v="39"/>
  </r>
  <r>
    <x v="9"/>
    <s v="Access to electricity, rural (% of rural population)"/>
    <m/>
    <x v="39"/>
  </r>
  <r>
    <x v="10"/>
    <s v="Access to electricity, rural (% of rural population)"/>
    <n v="9.9999997764825804E-3"/>
    <x v="39"/>
  </r>
  <r>
    <x v="11"/>
    <s v="Access to electricity, rural (% of rural population)"/>
    <n v="0.70675879325867497"/>
    <x v="39"/>
  </r>
  <r>
    <x v="12"/>
    <s v="Access to electricity, rural (% of rural population)"/>
    <n v="1.0934815258816299"/>
    <x v="39"/>
  </r>
  <r>
    <x v="13"/>
    <s v="Access to electricity, rural (% of rural population)"/>
    <n v="0.55269824166953296"/>
    <x v="39"/>
  </r>
  <r>
    <x v="14"/>
    <s v="Access to electricity, rural (% of rural population)"/>
    <n v="97.663889908397707"/>
    <x v="39"/>
  </r>
  <r>
    <x v="15"/>
    <s v="Access to electricity, rural (% of rural population)"/>
    <m/>
    <x v="39"/>
  </r>
  <r>
    <x v="16"/>
    <s v="Access to electricity, rural (% of rural population)"/>
    <n v="28.160821073824099"/>
    <x v="39"/>
  </r>
  <r>
    <x v="17"/>
    <s v="Access to electricity, rural (% of rural population)"/>
    <n v="14.769361058864099"/>
    <x v="39"/>
  </r>
  <r>
    <x v="18"/>
    <s v="Access to electricity, rural (% of rural population)"/>
    <n v="47.263902039664202"/>
    <x v="39"/>
  </r>
  <r>
    <x v="19"/>
    <s v="Access to electricity, rural (% of rural population)"/>
    <n v="1.4527657832305501"/>
    <x v="39"/>
  </r>
  <r>
    <x v="20"/>
    <s v="Access to electricity, rural (% of rural population)"/>
    <m/>
    <x v="39"/>
  </r>
  <r>
    <x v="21"/>
    <s v="Access to electricity, rural (% of rural population)"/>
    <n v="37.145182141498601"/>
    <x v="39"/>
  </r>
  <r>
    <x v="22"/>
    <s v="Access to electricity, rural (% of rural population)"/>
    <n v="63.718479730874499"/>
    <x v="39"/>
  </r>
  <r>
    <x v="23"/>
    <s v="Access to electricity, rural (% of rural population)"/>
    <n v="96.051422047310695"/>
    <x v="39"/>
  </r>
  <r>
    <x v="24"/>
    <s v="Access to electricity, rural (% of rural population)"/>
    <n v="1.1000000000000001"/>
    <x v="39"/>
  </r>
  <r>
    <x v="25"/>
    <s v="Access to electricity, rural (% of rural population)"/>
    <n v="3.2645121925228202"/>
    <x v="39"/>
  </r>
  <r>
    <x v="26"/>
    <s v="Access to electricity, rural (% of rural population)"/>
    <n v="4.3831118750320703"/>
    <x v="39"/>
  </r>
  <r>
    <x v="27"/>
    <s v="Access to electricity, rural (% of rural population)"/>
    <n v="8.3000000000000007"/>
    <x v="39"/>
  </r>
  <r>
    <x v="0"/>
    <s v="Access to electricity, rural (% of rural population)"/>
    <m/>
    <x v="40"/>
  </r>
  <r>
    <x v="1"/>
    <s v="Access to electricity, rural (% of rural population)"/>
    <n v="21"/>
    <x v="40"/>
  </r>
  <r>
    <x v="2"/>
    <s v="Access to electricity, rural (% of rural population)"/>
    <n v="0.50917267792802001"/>
    <x v="40"/>
  </r>
  <r>
    <x v="3"/>
    <s v="Access to electricity, rural (% of rural population)"/>
    <n v="29.948429272101802"/>
    <x v="40"/>
  </r>
  <r>
    <x v="4"/>
    <s v="Access to electricity, rural (% of rural population)"/>
    <n v="56.275580657328099"/>
    <x v="40"/>
  </r>
  <r>
    <x v="5"/>
    <s v="Access to electricity, rural (% of rural population)"/>
    <n v="0.4"/>
    <x v="40"/>
  </r>
  <r>
    <x v="6"/>
    <s v="Access to electricity, rural (% of rural population)"/>
    <m/>
    <x v="40"/>
  </r>
  <r>
    <x v="7"/>
    <s v="Access to electricity, rural (% of rural population)"/>
    <n v="5.2"/>
    <x v="40"/>
  </r>
  <r>
    <x v="8"/>
    <s v="Access to electricity, rural (% of rural population)"/>
    <n v="7.4227633520682197"/>
    <x v="40"/>
  </r>
  <r>
    <x v="9"/>
    <s v="Access to electricity, rural (% of rural population)"/>
    <m/>
    <x v="40"/>
  </r>
  <r>
    <x v="10"/>
    <s v="Access to electricity, rural (% of rural population)"/>
    <n v="9.9999997764825804E-3"/>
    <x v="40"/>
  </r>
  <r>
    <x v="11"/>
    <s v="Access to electricity, rural (% of rural population)"/>
    <n v="0.57404277911095303"/>
    <x v="40"/>
  </r>
  <r>
    <x v="12"/>
    <s v="Access to electricity, rural (% of rural population)"/>
    <n v="1"/>
    <x v="40"/>
  </r>
  <r>
    <x v="13"/>
    <s v="Access to electricity, rural (% of rural population)"/>
    <n v="1.14740485953544"/>
    <x v="40"/>
  </r>
  <r>
    <x v="14"/>
    <s v="Access to electricity, rural (% of rural population)"/>
    <n v="97.916128782641806"/>
    <x v="40"/>
  </r>
  <r>
    <x v="15"/>
    <s v="Access to electricity, rural (% of rural population)"/>
    <m/>
    <x v="40"/>
  </r>
  <r>
    <x v="16"/>
    <s v="Access to electricity, rural (% of rural population)"/>
    <n v="28.882640686668999"/>
    <x v="40"/>
  </r>
  <r>
    <x v="17"/>
    <s v="Access to electricity, rural (% of rural population)"/>
    <n v="18.769202296814001"/>
    <x v="40"/>
  </r>
  <r>
    <x v="18"/>
    <s v="Access to electricity, rural (% of rural population)"/>
    <n v="47.801826656881197"/>
    <x v="40"/>
  </r>
  <r>
    <x v="19"/>
    <s v="Access to electricity, rural (% of rural population)"/>
    <n v="0.38188761593016901"/>
    <x v="40"/>
  </r>
  <r>
    <x v="20"/>
    <s v="Access to electricity, rural (% of rural population)"/>
    <n v="0.9"/>
    <x v="40"/>
  </r>
  <r>
    <x v="21"/>
    <s v="Access to electricity, rural (% of rural population)"/>
    <n v="38.967640000000003"/>
    <x v="40"/>
  </r>
  <r>
    <x v="22"/>
    <s v="Access to electricity, rural (% of rural population)"/>
    <n v="65.493002634744101"/>
    <x v="40"/>
  </r>
  <r>
    <x v="23"/>
    <s v="Access to electricity, rural (% of rural population)"/>
    <n v="98.026315789473699"/>
    <x v="40"/>
  </r>
  <r>
    <x v="24"/>
    <s v="Access to electricity, rural (% of rural population)"/>
    <n v="2.7609479009594802"/>
    <x v="40"/>
  </r>
  <r>
    <x v="25"/>
    <s v="Access to electricity, rural (% of rural population)"/>
    <n v="3.8505507268894799"/>
    <x v="40"/>
  </r>
  <r>
    <x v="26"/>
    <s v="Access to electricity, rural (% of rural population)"/>
    <n v="2.2000000000000002"/>
    <x v="40"/>
  </r>
  <r>
    <x v="27"/>
    <s v="Access to electricity, rural (% of rural population)"/>
    <n v="7.1797672764034504"/>
    <x v="40"/>
  </r>
  <r>
    <x v="0"/>
    <s v="Access to electricity, rural (% of rural population)"/>
    <m/>
    <x v="41"/>
  </r>
  <r>
    <x v="1"/>
    <s v="Access to electricity, rural (% of rural population)"/>
    <n v="18.512730000000001"/>
    <x v="41"/>
  </r>
  <r>
    <x v="2"/>
    <s v="Access to electricity, rural (% of rural population)"/>
    <n v="0.58194096734145795"/>
    <x v="41"/>
  </r>
  <r>
    <x v="3"/>
    <s v="Access to electricity, rural (% of rural population)"/>
    <n v="32.561484228695498"/>
    <x v="41"/>
  </r>
  <r>
    <x v="4"/>
    <s v="Access to electricity, rural (% of rural population)"/>
    <n v="52.735473049235999"/>
    <x v="41"/>
  </r>
  <r>
    <x v="5"/>
    <s v="Access to electricity, rural (% of rural population)"/>
    <m/>
    <x v="41"/>
  </r>
  <r>
    <x v="6"/>
    <s v="Access to electricity, rural (% of rural population)"/>
    <m/>
    <x v="41"/>
  </r>
  <r>
    <x v="7"/>
    <s v="Access to electricity, rural (% of rural population)"/>
    <n v="10.435460000000001"/>
    <x v="41"/>
  </r>
  <r>
    <x v="8"/>
    <s v="Access to electricity, rural (% of rural population)"/>
    <n v="8.3498312199594498"/>
    <x v="41"/>
  </r>
  <r>
    <x v="9"/>
    <s v="Access to electricity, rural (% of rural population)"/>
    <m/>
    <x v="41"/>
  </r>
  <r>
    <x v="10"/>
    <s v="Access to electricity, rural (% of rural population)"/>
    <n v="9.9999997764825804E-3"/>
    <x v="41"/>
  </r>
  <r>
    <x v="11"/>
    <s v="Access to electricity, rural (% of rural population)"/>
    <n v="5.9"/>
    <x v="41"/>
  </r>
  <r>
    <x v="12"/>
    <s v="Access to electricity, rural (% of rural population)"/>
    <n v="1.4400139591885399"/>
    <x v="41"/>
  </r>
  <r>
    <x v="13"/>
    <s v="Access to electricity, rural (% of rural population)"/>
    <n v="2.2000000000000002"/>
    <x v="41"/>
  </r>
  <r>
    <x v="14"/>
    <s v="Access to electricity, rural (% of rural population)"/>
    <n v="98.170967117361897"/>
    <x v="41"/>
  </r>
  <r>
    <x v="15"/>
    <s v="Access to electricity, rural (% of rural population)"/>
    <n v="0.4"/>
    <x v="41"/>
  </r>
  <r>
    <x v="16"/>
    <s v="Access to electricity, rural (% of rural population)"/>
    <n v="29.569553049794798"/>
    <x v="41"/>
  </r>
  <r>
    <x v="17"/>
    <s v="Access to electricity, rural (% of rural population)"/>
    <n v="17.399999999999999"/>
    <x v="41"/>
  </r>
  <r>
    <x v="18"/>
    <s v="Access to electricity, rural (% of rural population)"/>
    <n v="41.209826999999997"/>
    <x v="41"/>
  </r>
  <r>
    <x v="19"/>
    <s v="Access to electricity, rural (% of rural population)"/>
    <n v="1.92146736970192"/>
    <x v="41"/>
  </r>
  <r>
    <x v="20"/>
    <s v="Access to electricity, rural (% of rural population)"/>
    <n v="0.161099726406955"/>
    <x v="41"/>
  </r>
  <r>
    <x v="21"/>
    <s v="Access to electricity, rural (% of rural population)"/>
    <n v="38.371162287496603"/>
    <x v="41"/>
  </r>
  <r>
    <x v="22"/>
    <s v="Access to electricity, rural (% of rural population)"/>
    <n v="62"/>
    <x v="41"/>
  </r>
  <r>
    <x v="23"/>
    <s v="Access to electricity, rural (% of rural population)"/>
    <n v="98.0861434794041"/>
    <x v="41"/>
  </r>
  <r>
    <x v="24"/>
    <s v="Access to electricity, rural (% of rural population)"/>
    <n v="3.0518769330906199"/>
    <x v="41"/>
  </r>
  <r>
    <x v="25"/>
    <s v="Access to electricity, rural (% of rural population)"/>
    <n v="2.4"/>
    <x v="41"/>
  </r>
  <r>
    <x v="26"/>
    <s v="Access to electricity, rural (% of rural population)"/>
    <n v="4.9531314261336803"/>
    <x v="41"/>
  </r>
  <r>
    <x v="27"/>
    <s v="Access to electricity, rural (% of rural population)"/>
    <n v="7.0653833839624003"/>
    <x v="41"/>
  </r>
  <r>
    <x v="0"/>
    <s v="Access to electricity, rural (% of rural population)"/>
    <m/>
    <x v="42"/>
  </r>
  <r>
    <x v="1"/>
    <s v="Access to electricity, rural (% of rural population)"/>
    <n v="13.6777825402544"/>
    <x v="42"/>
  </r>
  <r>
    <x v="2"/>
    <s v="Access to electricity, rural (% of rural population)"/>
    <n v="0.63888935946549497"/>
    <x v="42"/>
  </r>
  <r>
    <x v="3"/>
    <s v="Access to electricity, rural (% of rural population)"/>
    <n v="32.5"/>
    <x v="42"/>
  </r>
  <r>
    <x v="4"/>
    <s v="Access to electricity, rural (% of rural population)"/>
    <n v="10.199999999999999"/>
    <x v="42"/>
  </r>
  <r>
    <x v="5"/>
    <s v="Access to electricity, rural (% of rural population)"/>
    <n v="0.23235654726431301"/>
    <x v="42"/>
  </r>
  <r>
    <x v="6"/>
    <s v="Access to electricity, rural (% of rural population)"/>
    <m/>
    <x v="42"/>
  </r>
  <r>
    <x v="7"/>
    <s v="Access to electricity, rural (% of rural population)"/>
    <n v="10.100867809399199"/>
    <x v="42"/>
  </r>
  <r>
    <x v="8"/>
    <s v="Access to electricity, rural (% of rural population)"/>
    <n v="9.2552317072402506"/>
    <x v="42"/>
  </r>
  <r>
    <x v="9"/>
    <s v="Access to electricity, rural (% of rural population)"/>
    <m/>
    <x v="42"/>
  </r>
  <r>
    <x v="10"/>
    <s v="Access to electricity, rural (% of rural population)"/>
    <n v="9.9999997764825804E-3"/>
    <x v="42"/>
  </r>
  <r>
    <x v="11"/>
    <s v="Access to electricity, rural (% of rural population)"/>
    <n v="0.213700348364319"/>
    <x v="42"/>
  </r>
  <r>
    <x v="12"/>
    <s v="Access to electricity, rural (% of rural population)"/>
    <n v="1.5864874822332899"/>
    <x v="42"/>
  </r>
  <r>
    <x v="13"/>
    <s v="Access to electricity, rural (% of rural population)"/>
    <n v="2.10439815371311"/>
    <x v="42"/>
  </r>
  <r>
    <x v="14"/>
    <s v="Access to electricity, rural (% of rural population)"/>
    <n v="99.257235806073595"/>
    <x v="42"/>
  </r>
  <r>
    <x v="15"/>
    <s v="Access to electricity, rural (% of rural population)"/>
    <n v="0.51297926785605796"/>
    <x v="42"/>
  </r>
  <r>
    <x v="16"/>
    <s v="Access to electricity, rural (% of rural population)"/>
    <n v="32.1521039521514"/>
    <x v="42"/>
  </r>
  <r>
    <x v="17"/>
    <s v="Access to electricity, rural (% of rural population)"/>
    <n v="27.011136979054999"/>
    <x v="42"/>
  </r>
  <r>
    <x v="18"/>
    <s v="Access to electricity, rural (% of rural population)"/>
    <n v="48.794598305485799"/>
    <x v="42"/>
  </r>
  <r>
    <x v="19"/>
    <s v="Access to electricity, rural (% of rural population)"/>
    <n v="2.12153517322366"/>
    <x v="42"/>
  </r>
  <r>
    <x v="20"/>
    <s v="Access to electricity, rural (% of rural population)"/>
    <n v="0.413949816400207"/>
    <x v="42"/>
  </r>
  <r>
    <x v="21"/>
    <s v="Access to electricity, rural (% of rural population)"/>
    <n v="38.9511508601"/>
    <x v="42"/>
  </r>
  <r>
    <x v="22"/>
    <s v="Access to electricity, rural (% of rural population)"/>
    <n v="78.3"/>
    <x v="42"/>
  </r>
  <r>
    <x v="23"/>
    <s v="Access to electricity, rural (% of rural population)"/>
    <n v="98.767979232051403"/>
    <x v="42"/>
  </r>
  <r>
    <x v="24"/>
    <s v="Access to electricity, rural (% of rural population)"/>
    <n v="3.31621648403154"/>
    <x v="42"/>
  </r>
  <r>
    <x v="25"/>
    <s v="Access to electricity, rural (% of rural population)"/>
    <n v="2.7"/>
    <x v="42"/>
  </r>
  <r>
    <x v="26"/>
    <s v="Access to electricity, rural (% of rural population)"/>
    <n v="2.9"/>
    <x v="42"/>
  </r>
  <r>
    <x v="27"/>
    <s v="Access to electricity, rural (% of rural population)"/>
    <n v="7.1552800196138202"/>
    <x v="42"/>
  </r>
  <r>
    <x v="0"/>
    <s v="Access to electricity, rural (% of rural population)"/>
    <m/>
    <x v="43"/>
  </r>
  <r>
    <x v="1"/>
    <s v="Access to electricity, rural (% of rural population)"/>
    <n v="14.161017471496001"/>
    <x v="43"/>
  </r>
  <r>
    <x v="2"/>
    <s v="Access to electricity, rural (% of rural population)"/>
    <n v="0.68663986863154103"/>
    <x v="43"/>
  </r>
  <r>
    <x v="3"/>
    <s v="Access to electricity, rural (% of rural population)"/>
    <n v="37.743641880436698"/>
    <x v="43"/>
  </r>
  <r>
    <x v="4"/>
    <s v="Access to electricity, rural (% of rural population)"/>
    <n v="45.489901881839401"/>
    <x v="43"/>
  </r>
  <r>
    <x v="5"/>
    <s v="Access to electricity, rural (% of rural population)"/>
    <n v="1.77947772608405"/>
    <x v="43"/>
  </r>
  <r>
    <x v="6"/>
    <s v="Access to electricity, rural (% of rural population)"/>
    <m/>
    <x v="43"/>
  </r>
  <r>
    <x v="7"/>
    <s v="Access to electricity, rural (% of rural population)"/>
    <n v="10.5"/>
    <x v="43"/>
  </r>
  <r>
    <x v="8"/>
    <s v="Access to electricity, rural (% of rural population)"/>
    <n v="4.5999999999999996"/>
    <x v="43"/>
  </r>
  <r>
    <x v="9"/>
    <s v="Access to electricity, rural (% of rural population)"/>
    <m/>
    <x v="43"/>
  </r>
  <r>
    <x v="10"/>
    <s v="Access to electricity, rural (% of rural population)"/>
    <n v="9.9999997764825804E-3"/>
    <x v="43"/>
  </r>
  <r>
    <x v="11"/>
    <s v="Access to electricity, rural (% of rural population)"/>
    <n v="10.8"/>
    <x v="43"/>
  </r>
  <r>
    <x v="12"/>
    <s v="Access to electricity, rural (% of rural population)"/>
    <n v="2.2717040000000002"/>
    <x v="43"/>
  </r>
  <r>
    <x v="13"/>
    <s v="Access to electricity, rural (% of rural population)"/>
    <n v="2.4742603531677401"/>
    <x v="43"/>
  </r>
  <r>
    <x v="14"/>
    <s v="Access to electricity, rural (% of rural population)"/>
    <n v="98.628338601067"/>
    <x v="43"/>
  </r>
  <r>
    <x v="15"/>
    <s v="Access to electricity, rural (% of rural population)"/>
    <n v="1.1000000000000001"/>
    <x v="43"/>
  </r>
  <r>
    <x v="16"/>
    <s v="Access to electricity, rural (% of rural population)"/>
    <n v="30.867841783499799"/>
    <x v="43"/>
  </r>
  <r>
    <x v="17"/>
    <s v="Access to electricity, rural (% of rural population)"/>
    <n v="31.2401351273909"/>
    <x v="43"/>
  </r>
  <r>
    <x v="18"/>
    <s v="Access to electricity, rural (% of rural population)"/>
    <n v="49.2679126255032"/>
    <x v="43"/>
  </r>
  <r>
    <x v="19"/>
    <s v="Access to electricity, rural (% of rural population)"/>
    <n v="2.3054220083329602"/>
    <x v="43"/>
  </r>
  <r>
    <x v="20"/>
    <s v="Access to electricity, rural (% of rural population)"/>
    <n v="0.679915701883406"/>
    <x v="43"/>
  </r>
  <r>
    <x v="21"/>
    <s v="Access to electricity, rural (% of rural population)"/>
    <n v="39.535373781476402"/>
    <x v="43"/>
  </r>
  <r>
    <x v="22"/>
    <s v="Access to electricity, rural (% of rural population)"/>
    <n v="70.714232707066799"/>
    <x v="43"/>
  </r>
  <r>
    <x v="23"/>
    <s v="Access to electricity, rural (% of rural population)"/>
    <n v="99"/>
    <x v="43"/>
  </r>
  <r>
    <x v="24"/>
    <s v="Access to electricity, rural (% of rural population)"/>
    <n v="1.8"/>
    <x v="43"/>
  </r>
  <r>
    <x v="25"/>
    <s v="Access to electricity, rural (% of rural population)"/>
    <n v="5.4470317207930501"/>
    <x v="43"/>
  </r>
  <r>
    <x v="26"/>
    <s v="Access to electricity, rural (% of rural population)"/>
    <n v="3"/>
    <x v="43"/>
  </r>
  <r>
    <x v="27"/>
    <s v="Access to electricity, rural (% of rural population)"/>
    <n v="7.4060509290247296"/>
    <x v="43"/>
  </r>
  <r>
    <x v="0"/>
    <s v="Access to electricity, rural (% of rural population)"/>
    <m/>
    <x v="44"/>
  </r>
  <r>
    <x v="1"/>
    <s v="Access to electricity, rural (% of rural population)"/>
    <n v="15.5"/>
    <x v="44"/>
  </r>
  <r>
    <x v="2"/>
    <s v="Access to electricity, rural (% of rural population)"/>
    <n v="0.3"/>
    <x v="44"/>
  </r>
  <r>
    <x v="3"/>
    <s v="Access to electricity, rural (% of rural population)"/>
    <n v="40.326927535836802"/>
    <x v="44"/>
  </r>
  <r>
    <x v="4"/>
    <s v="Access to electricity, rural (% of rural population)"/>
    <n v="41.817379991491997"/>
    <x v="44"/>
  </r>
  <r>
    <x v="5"/>
    <s v="Access to electricity, rural (% of rural population)"/>
    <n v="3.3285146413179598"/>
    <x v="44"/>
  </r>
  <r>
    <x v="6"/>
    <s v="Access to electricity, rural (% of rural population)"/>
    <m/>
    <x v="44"/>
  </r>
  <r>
    <x v="7"/>
    <s v="Access to electricity, rural (% of rural population)"/>
    <n v="8.1688408694146997"/>
    <x v="44"/>
  </r>
  <r>
    <x v="8"/>
    <s v="Access to electricity, rural (% of rural population)"/>
    <n v="11.027404726396"/>
    <x v="44"/>
  </r>
  <r>
    <x v="9"/>
    <s v="Access to electricity, rural (% of rural population)"/>
    <m/>
    <x v="44"/>
  </r>
  <r>
    <x v="10"/>
    <s v="Access to electricity, rural (% of rural population)"/>
    <m/>
    <x v="44"/>
  </r>
  <r>
    <x v="11"/>
    <s v="Access to electricity, rural (% of rural population)"/>
    <m/>
    <x v="44"/>
  </r>
  <r>
    <x v="12"/>
    <s v="Access to electricity, rural (% of rural population)"/>
    <n v="2.2000000000000002"/>
    <x v="44"/>
  </r>
  <r>
    <x v="13"/>
    <s v="Access to electricity, rural (% of rural population)"/>
    <n v="2.7761500015707901"/>
    <x v="44"/>
  </r>
  <r>
    <x v="14"/>
    <s v="Access to electricity, rural (% of rural population)"/>
    <n v="99.098700411899202"/>
    <x v="44"/>
  </r>
  <r>
    <x v="15"/>
    <s v="Access to electricity, rural (% of rural population)"/>
    <n v="1.1704850721678399"/>
    <x v="44"/>
  </r>
  <r>
    <x v="16"/>
    <s v="Access to electricity, rural (% of rural population)"/>
    <n v="31.493191834827801"/>
    <x v="44"/>
  </r>
  <r>
    <x v="17"/>
    <s v="Access to electricity, rural (% of rural population)"/>
    <n v="27.3"/>
    <x v="44"/>
  </r>
  <r>
    <x v="18"/>
    <s v="Access to electricity, rural (% of rural population)"/>
    <n v="49.737664122899602"/>
    <x v="44"/>
  </r>
  <r>
    <x v="19"/>
    <s v="Access to electricity, rural (% of rural population)"/>
    <n v="2.47819326219475"/>
    <x v="44"/>
  </r>
  <r>
    <x v="20"/>
    <s v="Access to electricity, rural (% of rural population)"/>
    <n v="0.90662160141925996"/>
    <x v="44"/>
  </r>
  <r>
    <x v="21"/>
    <s v="Access to electricity, rural (% of rural population)"/>
    <n v="40.135065280341202"/>
    <x v="44"/>
  </r>
  <r>
    <x v="22"/>
    <s v="Access to electricity, rural (% of rural population)"/>
    <n v="72.443029227040697"/>
    <x v="44"/>
  </r>
  <r>
    <x v="23"/>
    <s v="Access to electricity, rural (% of rural population)"/>
    <n v="98.391359225474403"/>
    <x v="44"/>
  </r>
  <r>
    <x v="24"/>
    <s v="Access to electricity, rural (% of rural population)"/>
    <n v="1.6"/>
    <x v="44"/>
  </r>
  <r>
    <x v="25"/>
    <s v="Access to electricity, rural (% of rural population)"/>
    <n v="5.90627503611252"/>
    <x v="44"/>
  </r>
  <r>
    <x v="26"/>
    <s v="Access to electricity, rural (% of rural population)"/>
    <n v="3.1"/>
    <x v="44"/>
  </r>
  <r>
    <x v="27"/>
    <s v="Access to electricity, rural (% of rural population)"/>
    <n v="7.9725574320202304"/>
    <x v="44"/>
  </r>
  <r>
    <x v="0"/>
    <s v="Access to electricity, rural (% of rural population)"/>
    <n v="1.0389943560800401"/>
    <x v="45"/>
  </r>
  <r>
    <x v="1"/>
    <s v="Access to electricity, rural (% of rural population)"/>
    <n v="15.094279058769599"/>
    <x v="45"/>
  </r>
  <r>
    <x v="2"/>
    <s v="Access to electricity, rural (% of rural population)"/>
    <n v="0.78283368844607804"/>
    <x v="45"/>
  </r>
  <r>
    <x v="3"/>
    <s v="Access to electricity, rural (% of rural population)"/>
    <n v="42.909220588555598"/>
    <x v="45"/>
  </r>
  <r>
    <x v="4"/>
    <s v="Access to electricity, rural (% of rural population)"/>
    <n v="38.134664984727003"/>
    <x v="45"/>
  </r>
  <r>
    <x v="5"/>
    <s v="Access to electricity, rural (% of rural population)"/>
    <n v="1.9"/>
    <x v="45"/>
  </r>
  <r>
    <x v="6"/>
    <s v="Access to electricity, rural (% of rural population)"/>
    <n v="2.8"/>
    <x v="45"/>
  </r>
  <r>
    <x v="7"/>
    <s v="Access to electricity, rural (% of rural population)"/>
    <n v="7.1685594788182403"/>
    <x v="45"/>
  </r>
  <r>
    <x v="8"/>
    <s v="Access to electricity, rural (% of rural population)"/>
    <n v="11.908677640062299"/>
    <x v="45"/>
  </r>
  <r>
    <x v="9"/>
    <s v="Access to electricity, rural (% of rural population)"/>
    <m/>
    <x v="45"/>
  </r>
  <r>
    <x v="10"/>
    <s v="Access to electricity, rural (% of rural population)"/>
    <m/>
    <x v="45"/>
  </r>
  <r>
    <x v="11"/>
    <s v="Access to electricity, rural (% of rural population)"/>
    <m/>
    <x v="45"/>
  </r>
  <r>
    <x v="12"/>
    <s v="Access to electricity, rural (% of rural population)"/>
    <n v="1.99644803463496"/>
    <x v="45"/>
  </r>
  <r>
    <x v="13"/>
    <s v="Access to electricity, rural (% of rural population)"/>
    <n v="3.0172097021118498"/>
    <x v="45"/>
  </r>
  <r>
    <x v="14"/>
    <s v="Access to electricity, rural (% of rural population)"/>
    <n v="98"/>
    <x v="45"/>
  </r>
  <r>
    <x v="15"/>
    <s v="Access to electricity, rural (% of rural population)"/>
    <n v="1.48729617007341"/>
    <x v="45"/>
  </r>
  <r>
    <x v="16"/>
    <s v="Access to electricity, rural (% of rural population)"/>
    <n v="32.113125886018402"/>
    <x v="45"/>
  </r>
  <r>
    <x v="17"/>
    <s v="Access to electricity, rural (% of rural population)"/>
    <n v="39.764552046199398"/>
    <x v="45"/>
  </r>
  <r>
    <x v="18"/>
    <s v="Access to electricity, rural (% of rural population)"/>
    <n v="43.590788000000003"/>
    <x v="45"/>
  </r>
  <r>
    <x v="19"/>
    <s v="Access to electricity, rural (% of rural population)"/>
    <m/>
    <x v="45"/>
  </r>
  <r>
    <x v="20"/>
    <s v="Access to electricity, rural (% of rural population)"/>
    <n v="1.3"/>
    <x v="45"/>
  </r>
  <r>
    <x v="21"/>
    <s v="Access to electricity, rural (% of rural population)"/>
    <n v="40.761021222135497"/>
    <x v="45"/>
  </r>
  <r>
    <x v="22"/>
    <s v="Access to electricity, rural (% of rural population)"/>
    <n v="74.177399027316397"/>
    <x v="45"/>
  </r>
  <r>
    <x v="23"/>
    <s v="Access to electricity, rural (% of rural population)"/>
    <n v="99.1"/>
    <x v="45"/>
  </r>
  <r>
    <x v="24"/>
    <s v="Access to electricity, rural (% of rural population)"/>
    <n v="3.7002658682190801"/>
    <x v="45"/>
  </r>
  <r>
    <x v="25"/>
    <s v="Access to electricity, rural (% of rural population)"/>
    <n v="2.5"/>
    <x v="45"/>
  </r>
  <r>
    <x v="26"/>
    <s v="Access to electricity, rural (% of rural population)"/>
    <n v="4.40162919874565"/>
    <x v="45"/>
  </r>
  <r>
    <x v="27"/>
    <s v="Access to electricity, rural (% of rural population)"/>
    <n v="8.5403550127651808"/>
    <x v="45"/>
  </r>
  <r>
    <x v="0"/>
    <s v="Access to electricity, rural (% of rural population)"/>
    <m/>
    <x v="46"/>
  </r>
  <r>
    <x v="1"/>
    <s v="Access to electricity, rural (% of rural population)"/>
    <n v="14"/>
    <x v="46"/>
  </r>
  <r>
    <x v="2"/>
    <s v="Access to electricity, rural (% of rural population)"/>
    <n v="0.84521150262783695"/>
    <x v="46"/>
  </r>
  <r>
    <x v="3"/>
    <s v="Access to electricity, rural (% of rural population)"/>
    <n v="45.499098418617997"/>
    <x v="46"/>
  </r>
  <r>
    <x v="4"/>
    <s v="Access to electricity, rural (% of rural population)"/>
    <n v="9.9"/>
    <x v="46"/>
  </r>
  <r>
    <x v="5"/>
    <s v="Access to electricity, rural (% of rural population)"/>
    <n v="6.4583821279032003"/>
    <x v="46"/>
  </r>
  <r>
    <x v="6"/>
    <s v="Access to electricity, rural (% of rural population)"/>
    <n v="0.49771616415601999"/>
    <x v="46"/>
  </r>
  <r>
    <x v="7"/>
    <s v="Access to electricity, rural (% of rural population)"/>
    <n v="11.7"/>
    <x v="46"/>
  </r>
  <r>
    <x v="8"/>
    <s v="Access to electricity, rural (% of rural population)"/>
    <n v="12.795013791410801"/>
    <x v="46"/>
  </r>
  <r>
    <x v="9"/>
    <s v="Access to electricity, rural (% of rural population)"/>
    <m/>
    <x v="46"/>
  </r>
  <r>
    <x v="10"/>
    <s v="Access to electricity, rural (% of rural population)"/>
    <m/>
    <x v="46"/>
  </r>
  <r>
    <x v="11"/>
    <s v="Access to electricity, rural (% of rural population)"/>
    <m/>
    <x v="46"/>
  </r>
  <r>
    <x v="12"/>
    <s v="Access to electricity, rural (% of rural population)"/>
    <n v="1.0488013698630101"/>
    <x v="46"/>
  </r>
  <r>
    <x v="13"/>
    <s v="Access to electricity, rural (% of rural population)"/>
    <n v="3.2"/>
    <x v="46"/>
  </r>
  <r>
    <x v="14"/>
    <s v="Access to electricity, rural (% of rural population)"/>
    <n v="99.311024017746107"/>
    <x v="46"/>
  </r>
  <r>
    <x v="15"/>
    <s v="Access to electricity, rural (% of rural population)"/>
    <n v="1.8050532646500399"/>
    <x v="46"/>
  </r>
  <r>
    <x v="16"/>
    <s v="Access to electricity, rural (% of rural population)"/>
    <n v="32.735207205011299"/>
    <x v="46"/>
  </r>
  <r>
    <x v="17"/>
    <s v="Access to electricity, rural (% of rural population)"/>
    <n v="43.2"/>
    <x v="46"/>
  </r>
  <r>
    <x v="18"/>
    <s v="Access to electricity, rural (% of rural population)"/>
    <n v="50.7039912399309"/>
    <x v="46"/>
  </r>
  <r>
    <x v="19"/>
    <s v="Access to electricity, rural (% of rural population)"/>
    <n v="1.5"/>
    <x v="46"/>
  </r>
  <r>
    <x v="20"/>
    <s v="Access to electricity, rural (% of rural population)"/>
    <n v="1.2260885068524101"/>
    <x v="46"/>
  </r>
  <r>
    <x v="21"/>
    <s v="Access to electricity, rural (% of rural population)"/>
    <n v="41.425713315249801"/>
    <x v="46"/>
  </r>
  <r>
    <x v="22"/>
    <s v="Access to electricity, rural (% of rural population)"/>
    <n v="75.924138896418299"/>
    <x v="46"/>
  </r>
  <r>
    <x v="23"/>
    <s v="Access to electricity, rural (% of rural population)"/>
    <n v="98.610586707990095"/>
    <x v="46"/>
  </r>
  <r>
    <x v="24"/>
    <s v="Access to electricity, rural (% of rural population)"/>
    <n v="3.7918568324398301"/>
    <x v="46"/>
  </r>
  <r>
    <x v="25"/>
    <s v="Access to electricity, rural (% of rural population)"/>
    <n v="2.9"/>
    <x v="46"/>
  </r>
  <r>
    <x v="26"/>
    <s v="Access to electricity, rural (% of rural population)"/>
    <n v="4.2374151687303101"/>
    <x v="46"/>
  </r>
  <r>
    <x v="27"/>
    <s v="Access to electricity, rural (% of rural population)"/>
    <n v="8.6999999999999993"/>
    <x v="46"/>
  </r>
  <r>
    <x v="0"/>
    <s v="Access to electricity, rural (% of rural population)"/>
    <m/>
    <x v="47"/>
  </r>
  <r>
    <x v="1"/>
    <s v="Access to electricity, rural (% of rural population)"/>
    <n v="23.4"/>
    <x v="47"/>
  </r>
  <r>
    <x v="2"/>
    <s v="Access to electricity, rural (% of rural population)"/>
    <n v="0.92615977776889502"/>
    <x v="47"/>
  </r>
  <r>
    <x v="3"/>
    <s v="Access to electricity, rural (% of rural population)"/>
    <n v="48.103557610748602"/>
    <x v="47"/>
  </r>
  <r>
    <x v="4"/>
    <s v="Access to electricity, rural (% of rural population)"/>
    <n v="30.801625907113198"/>
    <x v="47"/>
  </r>
  <r>
    <x v="5"/>
    <s v="Access to electricity, rural (% of rural population)"/>
    <n v="8.0384659507971001"/>
    <x v="47"/>
  </r>
  <r>
    <x v="6"/>
    <s v="Access to electricity, rural (% of rural population)"/>
    <n v="0.73976878344035402"/>
    <x v="47"/>
  </r>
  <r>
    <x v="7"/>
    <s v="Access to electricity, rural (% of rural population)"/>
    <n v="5.2046743938692401"/>
    <x v="47"/>
  </r>
  <r>
    <x v="8"/>
    <s v="Access to electricity, rural (% of rural population)"/>
    <n v="13.6932671708282"/>
    <x v="47"/>
  </r>
  <r>
    <x v="9"/>
    <s v="Access to electricity, rural (% of rural population)"/>
    <m/>
    <x v="47"/>
  </r>
  <r>
    <x v="10"/>
    <s v="Access to electricity, rural (% of rural population)"/>
    <n v="0.8"/>
    <x v="47"/>
  </r>
  <r>
    <x v="11"/>
    <s v="Access to electricity, rural (% of rural population)"/>
    <m/>
    <x v="47"/>
  </r>
  <r>
    <x v="12"/>
    <s v="Access to electricity, rural (% of rural population)"/>
    <n v="2.3116298486334701"/>
    <x v="47"/>
  </r>
  <r>
    <x v="13"/>
    <s v="Access to electricity, rural (% of rural population)"/>
    <n v="3.3262321126743801"/>
    <x v="47"/>
  </r>
  <r>
    <x v="14"/>
    <s v="Access to electricity, rural (% of rural population)"/>
    <n v="99.552152693305402"/>
    <x v="47"/>
  </r>
  <r>
    <x v="15"/>
    <s v="Access to electricity, rural (% of rural population)"/>
    <n v="2.1326572641541199"/>
    <x v="47"/>
  </r>
  <r>
    <x v="16"/>
    <s v="Access to electricity, rural (% of rural population)"/>
    <n v="33.365584899333498"/>
    <x v="47"/>
  </r>
  <r>
    <x v="17"/>
    <s v="Access to electricity, rural (% of rural population)"/>
    <n v="48.429280573395097"/>
    <x v="47"/>
  </r>
  <r>
    <x v="18"/>
    <s v="Access to electricity, rural (% of rural population)"/>
    <n v="51.210983861893297"/>
    <x v="47"/>
  </r>
  <r>
    <x v="19"/>
    <s v="Access to electricity, rural (% of rural population)"/>
    <n v="2.9939939347657401"/>
    <x v="47"/>
  </r>
  <r>
    <x v="20"/>
    <s v="Access to electricity, rural (% of rural population)"/>
    <n v="1.3234988076595999"/>
    <x v="47"/>
  </r>
  <r>
    <x v="21"/>
    <s v="Access to electricity, rural (% of rural population)"/>
    <n v="42.141718478684197"/>
    <x v="47"/>
  </r>
  <r>
    <x v="22"/>
    <s v="Access to electricity, rural (% of rural population)"/>
    <n v="78.5"/>
    <x v="47"/>
  </r>
  <r>
    <x v="23"/>
    <s v="Access to electricity, rural (% of rural population)"/>
    <n v="98.745187327046594"/>
    <x v="47"/>
  </r>
  <r>
    <x v="24"/>
    <s v="Access to electricity, rural (% of rural population)"/>
    <n v="3.8782016578663701"/>
    <x v="47"/>
  </r>
  <r>
    <x v="25"/>
    <s v="Access to electricity, rural (% of rural population)"/>
    <n v="7.3199763958404498"/>
    <x v="47"/>
  </r>
  <r>
    <x v="26"/>
    <s v="Access to electricity, rural (% of rural population)"/>
    <n v="3"/>
    <x v="47"/>
  </r>
  <r>
    <x v="27"/>
    <s v="Access to electricity, rural (% of rural population)"/>
    <n v="9.7131947317414706"/>
    <x v="47"/>
  </r>
  <r>
    <x v="0"/>
    <s v="Access to electricity, rural (% of rural population)"/>
    <n v="1.2"/>
    <x v="48"/>
  </r>
  <r>
    <x v="1"/>
    <s v="Access to electricity, rural (% of rural population)"/>
    <n v="16.562362271096902"/>
    <x v="48"/>
  </r>
  <r>
    <x v="2"/>
    <s v="Access to electricity, rural (% of rural population)"/>
    <n v="1.03141927111932"/>
    <x v="48"/>
  </r>
  <r>
    <x v="3"/>
    <s v="Access to electricity, rural (% of rural population)"/>
    <n v="50.729041223495301"/>
    <x v="48"/>
  </r>
  <r>
    <x v="4"/>
    <s v="Access to electricity, rural (% of rural population)"/>
    <n v="27.181828368560801"/>
    <x v="48"/>
  </r>
  <r>
    <x v="5"/>
    <s v="Access to electricity, rural (% of rural population)"/>
    <n v="9.4908196393377295"/>
    <x v="48"/>
  </r>
  <r>
    <x v="6"/>
    <s v="Access to electricity, rural (% of rural population)"/>
    <n v="0.98415242363916799"/>
    <x v="48"/>
  </r>
  <r>
    <x v="7"/>
    <s v="Access to electricity, rural (% of rural population)"/>
    <n v="4.2764994204726401"/>
    <x v="48"/>
  </r>
  <r>
    <x v="8"/>
    <s v="Access to electricity, rural (% of rural population)"/>
    <n v="14.608634456887"/>
    <x v="48"/>
  </r>
  <r>
    <x v="9"/>
    <s v="Access to electricity, rural (% of rural population)"/>
    <m/>
    <x v="48"/>
  </r>
  <r>
    <x v="10"/>
    <s v="Access to electricity, rural (% of rural population)"/>
    <m/>
    <x v="48"/>
  </r>
  <r>
    <x v="11"/>
    <s v="Access to electricity, rural (% of rural population)"/>
    <m/>
    <x v="48"/>
  </r>
  <r>
    <x v="12"/>
    <s v="Access to electricity, rural (% of rural population)"/>
    <n v="2.5001339322067002"/>
    <x v="48"/>
  </r>
  <r>
    <x v="13"/>
    <s v="Access to electricity, rural (% of rural population)"/>
    <n v="3.40100797743137"/>
    <x v="48"/>
  </r>
  <r>
    <x v="14"/>
    <s v="Access to electricity, rural (% of rural population)"/>
    <n v="99.7648211703154"/>
    <x v="48"/>
  </r>
  <r>
    <x v="15"/>
    <s v="Access to electricity, rural (% of rural population)"/>
    <n v="2.15221459762944"/>
    <x v="48"/>
  </r>
  <r>
    <x v="16"/>
    <s v="Access to electricity, rural (% of rural population)"/>
    <n v="34.013269843051802"/>
    <x v="48"/>
  </r>
  <r>
    <x v="17"/>
    <s v="Access to electricity, rural (% of rural population)"/>
    <n v="52.8311672007193"/>
    <x v="48"/>
  </r>
  <r>
    <x v="18"/>
    <s v="Access to electricity, rural (% of rural population)"/>
    <n v="51.746077222654598"/>
    <x v="48"/>
  </r>
  <r>
    <x v="19"/>
    <s v="Access to electricity, rural (% of rural population)"/>
    <n v="3.18336426059982"/>
    <x v="48"/>
  </r>
  <r>
    <x v="20"/>
    <s v="Access to electricity, rural (% of rural population)"/>
    <n v="2"/>
    <x v="48"/>
  </r>
  <r>
    <x v="21"/>
    <s v="Access to electricity, rural (% of rural population)"/>
    <n v="42.919433600566002"/>
    <x v="48"/>
  </r>
  <r>
    <x v="22"/>
    <s v="Access to electricity, rural (% of rural population)"/>
    <n v="79.480373438571306"/>
    <x v="48"/>
  </r>
  <r>
    <x v="23"/>
    <s v="Access to electricity, rural (% of rural population)"/>
    <n v="98.902050008701195"/>
    <x v="48"/>
  </r>
  <r>
    <x v="24"/>
    <s v="Access to electricity, rural (% of rural population)"/>
    <n v="2.1"/>
    <x v="48"/>
  </r>
  <r>
    <x v="25"/>
    <s v="Access to electricity, rural (% of rural population)"/>
    <n v="7.8229776793980603"/>
    <x v="48"/>
  </r>
  <r>
    <x v="26"/>
    <s v="Access to electricity, rural (% of rural population)"/>
    <n v="3.9290285663661302"/>
    <x v="48"/>
  </r>
  <r>
    <x v="27"/>
    <s v="Access to electricity, rural (% of rural population)"/>
    <n v="10.3317228560259"/>
    <x v="48"/>
  </r>
  <r>
    <x v="0"/>
    <s v="Access to electricity, rural (% of rural population)"/>
    <n v="9.7272528114010506E-2"/>
    <x v="49"/>
  </r>
  <r>
    <x v="1"/>
    <s v="Access to electricity, rural (% of rural population)"/>
    <n v="17.1005802277678"/>
    <x v="49"/>
  </r>
  <r>
    <x v="2"/>
    <s v="Access to electricity, rural (% of rural population)"/>
    <n v="1.15914829411466"/>
    <x v="49"/>
  </r>
  <r>
    <x v="3"/>
    <s v="Access to electricity, rural (% of rural population)"/>
    <n v="53.374313705874002"/>
    <x v="49"/>
  </r>
  <r>
    <x v="4"/>
    <s v="Access to electricity, rural (% of rural population)"/>
    <n v="23.596191080104099"/>
    <x v="49"/>
  </r>
  <r>
    <x v="5"/>
    <s v="Access to electricity, rural (% of rural population)"/>
    <n v="10.9688874961178"/>
    <x v="49"/>
  </r>
  <r>
    <x v="6"/>
    <s v="Access to electricity, rural (% of rural population)"/>
    <n v="1.22524304912551"/>
    <x v="49"/>
  </r>
  <r>
    <x v="7"/>
    <s v="Access to electricity, rural (% of rural population)"/>
    <n v="3.3962034395924299"/>
    <x v="49"/>
  </r>
  <r>
    <x v="8"/>
    <s v="Access to electricity, rural (% of rural population)"/>
    <n v="8.1"/>
    <x v="49"/>
  </r>
  <r>
    <x v="9"/>
    <s v="Access to electricity, rural (% of rural population)"/>
    <m/>
    <x v="49"/>
  </r>
  <r>
    <x v="10"/>
    <s v="Access to electricity, rural (% of rural population)"/>
    <n v="0.5"/>
    <x v="49"/>
  </r>
  <r>
    <x v="11"/>
    <s v="Access to electricity, rural (% of rural population)"/>
    <n v="8.1999999999999993"/>
    <x v="49"/>
  </r>
  <r>
    <x v="12"/>
    <s v="Access to electricity, rural (% of rural population)"/>
    <n v="2.7055775350818299"/>
    <x v="49"/>
  </r>
  <r>
    <x v="13"/>
    <s v="Access to electricity, rural (% of rural population)"/>
    <n v="8.0097861929582006"/>
    <x v="49"/>
  </r>
  <r>
    <x v="14"/>
    <s v="Access to electricity, rural (% of rural population)"/>
    <n v="99.909710467378403"/>
    <x v="49"/>
  </r>
  <r>
    <x v="15"/>
    <s v="Access to electricity, rural (% of rural population)"/>
    <n v="3.8"/>
    <x v="49"/>
  </r>
  <r>
    <x v="16"/>
    <s v="Access to electricity, rural (% of rural population)"/>
    <n v="34.676208189360999"/>
    <x v="49"/>
  </r>
  <r>
    <x v="17"/>
    <s v="Access to electricity, rural (% of rural population)"/>
    <n v="57.281251558453903"/>
    <x v="49"/>
  </r>
  <r>
    <x v="18"/>
    <s v="Access to electricity, rural (% of rural population)"/>
    <n v="47.234363999999999"/>
    <x v="49"/>
  </r>
  <r>
    <x v="19"/>
    <s v="Access to electricity, rural (% of rural population)"/>
    <n v="3.38134019068369"/>
    <x v="49"/>
  </r>
  <r>
    <x v="20"/>
    <s v="Access to electricity, rural (% of rural population)"/>
    <n v="1.40936473120301"/>
    <x v="49"/>
  </r>
  <r>
    <x v="21"/>
    <s v="Access to electricity, rural (% of rural population)"/>
    <n v="44.2"/>
    <x v="49"/>
  </r>
  <r>
    <x v="22"/>
    <s v="Access to electricity, rural (% of rural population)"/>
    <n v="81.293177386234902"/>
    <x v="49"/>
  </r>
  <r>
    <x v="23"/>
    <s v="Access to electricity, rural (% of rural population)"/>
    <n v="98.681608039052307"/>
    <x v="49"/>
  </r>
  <r>
    <x v="24"/>
    <s v="Access to electricity, rural (% of rural population)"/>
    <n v="2"/>
    <x v="49"/>
  </r>
  <r>
    <x v="25"/>
    <s v="Access to electricity, rural (% of rural population)"/>
    <n v="3.3"/>
    <x v="49"/>
  </r>
  <r>
    <x v="26"/>
    <s v="Access to electricity, rural (% of rural population)"/>
    <n v="3.7895392594729902"/>
    <x v="49"/>
  </r>
  <r>
    <x v="27"/>
    <s v="Access to electricity, rural (% of rural population)"/>
    <n v="17.452830188679201"/>
    <x v="49"/>
  </r>
  <r>
    <x v="0"/>
    <s v="Access to electricity, rural (% of rural population)"/>
    <n v="1"/>
    <x v="50"/>
  </r>
  <r>
    <x v="1"/>
    <s v="Access to electricity, rural (% of rural population)"/>
    <n v="17.658821774237602"/>
    <x v="50"/>
  </r>
  <r>
    <x v="2"/>
    <s v="Access to electricity, rural (% of rural population)"/>
    <n v="3.1"/>
    <x v="50"/>
  </r>
  <r>
    <x v="3"/>
    <s v="Access to electricity, rural (% of rural population)"/>
    <n v="56.036060257471199"/>
    <x v="50"/>
  </r>
  <r>
    <x v="4"/>
    <s v="Access to electricity, rural (% of rural population)"/>
    <n v="20.0232957588969"/>
    <x v="50"/>
  </r>
  <r>
    <x v="5"/>
    <s v="Access to electricity, rural (% of rural population)"/>
    <n v="12.467160778147401"/>
    <x v="50"/>
  </r>
  <r>
    <x v="6"/>
    <s v="Access to electricity, rural (% of rural population)"/>
    <n v="1.46158100234327"/>
    <x v="50"/>
  </r>
  <r>
    <x v="7"/>
    <s v="Access to electricity, rural (% of rural population)"/>
    <n v="2.5687314600850399"/>
    <x v="50"/>
  </r>
  <r>
    <x v="8"/>
    <s v="Access to electricity, rural (% of rural population)"/>
    <n v="6.7"/>
    <x v="50"/>
  </r>
  <r>
    <x v="9"/>
    <s v="Access to electricity, rural (% of rural population)"/>
    <m/>
    <x v="50"/>
  </r>
  <r>
    <x v="10"/>
    <s v="Access to electricity, rural (% of rural population)"/>
    <n v="1.1319190805250801"/>
    <x v="50"/>
  </r>
  <r>
    <x v="11"/>
    <s v="Access to electricity, rural (% of rural population)"/>
    <m/>
    <x v="50"/>
  </r>
  <r>
    <x v="12"/>
    <s v="Access to electricity, rural (% of rural population)"/>
    <n v="3.5"/>
    <x v="50"/>
  </r>
  <r>
    <x v="13"/>
    <s v="Access to electricity, rural (% of rural population)"/>
    <n v="3.3867888068602099"/>
    <x v="50"/>
  </r>
  <r>
    <x v="14"/>
    <s v="Access to electricity, rural (% of rural population)"/>
    <n v="99.978045626164402"/>
    <x v="50"/>
  </r>
  <r>
    <x v="15"/>
    <s v="Access to electricity, rural (% of rural population)"/>
    <n v="3.1671542693374599"/>
    <x v="50"/>
  </r>
  <r>
    <x v="16"/>
    <s v="Access to electricity, rural (% of rural population)"/>
    <n v="34.299999999999997"/>
    <x v="50"/>
  </r>
  <r>
    <x v="17"/>
    <s v="Access to electricity, rural (% of rural population)"/>
    <n v="61.7769754382714"/>
    <x v="50"/>
  </r>
  <r>
    <x v="18"/>
    <s v="Access to electricity, rural (% of rural population)"/>
    <n v="52.889011510594301"/>
    <x v="50"/>
  </r>
  <r>
    <x v="19"/>
    <s v="Access to electricity, rural (% of rural population)"/>
    <n v="3.5851835658035598"/>
    <x v="50"/>
  </r>
  <r>
    <x v="20"/>
    <s v="Access to electricity, rural (% of rural population)"/>
    <n v="4"/>
    <x v="50"/>
  </r>
  <r>
    <x v="21"/>
    <s v="Access to electricity, rural (% of rural population)"/>
    <n v="44.6558272412191"/>
    <x v="50"/>
  </r>
  <r>
    <x v="22"/>
    <s v="Access to electricity, rural (% of rural population)"/>
    <n v="84.1"/>
    <x v="50"/>
  </r>
  <r>
    <x v="23"/>
    <s v="Access to electricity, rural (% of rural population)"/>
    <n v="99.289204875646305"/>
    <x v="50"/>
  </r>
  <r>
    <x v="24"/>
    <s v="Access to electricity, rural (% of rural population)"/>
    <n v="3.7"/>
    <x v="50"/>
  </r>
  <r>
    <x v="25"/>
    <s v="Access to electricity, rural (% of rural population)"/>
    <n v="8.8791294486068804"/>
    <x v="50"/>
  </r>
  <r>
    <x v="26"/>
    <s v="Access to electricity, rural (% of rural population)"/>
    <n v="3.1"/>
    <x v="50"/>
  </r>
  <r>
    <x v="27"/>
    <s v="Access to electricity, rural (% of rural population)"/>
    <n v="11.6285986963923"/>
    <x v="50"/>
  </r>
  <r>
    <x v="0"/>
    <s v="Access to electricity, rural (% of rural population)"/>
    <n v="0.49977704418741897"/>
    <x v="51"/>
  </r>
  <r>
    <x v="1"/>
    <s v="Access to electricity, rural (% of rural population)"/>
    <n v="18.5"/>
    <x v="51"/>
  </r>
  <r>
    <x v="2"/>
    <s v="Access to electricity, rural (% of rural population)"/>
    <n v="1.4541817298166599"/>
    <x v="51"/>
  </r>
  <r>
    <x v="3"/>
    <s v="Access to electricity, rural (% of rural population)"/>
    <n v="58.712003950609201"/>
    <x v="51"/>
  </r>
  <r>
    <x v="4"/>
    <s v="Access to electricity, rural (% of rural population)"/>
    <n v="16.456293857770699"/>
    <x v="51"/>
  </r>
  <r>
    <x v="5"/>
    <s v="Access to electricity, rural (% of rural population)"/>
    <n v="4.8"/>
    <x v="51"/>
  </r>
  <r>
    <x v="6"/>
    <s v="Access to electricity, rural (% of rural population)"/>
    <n v="1.68642462742461"/>
    <x v="51"/>
  </r>
  <r>
    <x v="7"/>
    <s v="Access to electricity, rural (% of rural population)"/>
    <n v="1.79975434498142"/>
    <x v="51"/>
  </r>
  <r>
    <x v="8"/>
    <s v="Access to electricity, rural (% of rural population)"/>
    <n v="17.435444319551902"/>
    <x v="51"/>
  </r>
  <r>
    <x v="9"/>
    <s v="Access to electricity, rural (% of rural population)"/>
    <m/>
    <x v="51"/>
  </r>
  <r>
    <x v="10"/>
    <s v="Access to electricity, rural (% of rural population)"/>
    <n v="1"/>
    <x v="51"/>
  </r>
  <r>
    <x v="11"/>
    <s v="Access to electricity, rural (% of rural population)"/>
    <n v="9.4"/>
    <x v="51"/>
  </r>
  <r>
    <x v="12"/>
    <s v="Access to electricity, rural (% of rural population)"/>
    <n v="2.9"/>
    <x v="51"/>
  </r>
  <r>
    <x v="13"/>
    <s v="Access to electricity, rural (% of rural population)"/>
    <n v="3.2934256131958199"/>
    <x v="51"/>
  </r>
  <r>
    <x v="14"/>
    <s v="Access to electricity, rural (% of rural population)"/>
    <n v="99.997505224250006"/>
    <x v="51"/>
  </r>
  <r>
    <x v="15"/>
    <s v="Access to electricity, rural (% of rural population)"/>
    <n v="5.4"/>
    <x v="51"/>
  </r>
  <r>
    <x v="16"/>
    <s v="Access to electricity, rural (% of rural population)"/>
    <n v="36.067221027023002"/>
    <x v="51"/>
  </r>
  <r>
    <x v="17"/>
    <s v="Access to electricity, rural (% of rural population)"/>
    <n v="72.900000000000006"/>
    <x v="51"/>
  </r>
  <r>
    <x v="18"/>
    <s v="Access to electricity, rural (% of rural population)"/>
    <n v="53.489284797119502"/>
    <x v="51"/>
  </r>
  <r>
    <x v="19"/>
    <s v="Access to electricity, rural (% of rural population)"/>
    <n v="4.8"/>
    <x v="51"/>
  </r>
  <r>
    <x v="20"/>
    <s v="Access to electricity, rural (% of rural population)"/>
    <n v="2.5"/>
    <x v="51"/>
  </r>
  <r>
    <x v="21"/>
    <s v="Access to electricity, rural (% of rural population)"/>
    <n v="45.609928468071999"/>
    <x v="51"/>
  </r>
  <r>
    <x v="22"/>
    <s v="Access to electricity, rural (% of rural population)"/>
    <n v="86.15"/>
    <x v="51"/>
  </r>
  <r>
    <x v="23"/>
    <s v="Access to electricity, rural (% of rural population)"/>
    <n v="99.513646011535599"/>
    <x v="51"/>
  </r>
  <r>
    <x v="24"/>
    <s v="Access to electricity, rural (% of rural population)"/>
    <n v="4.0999999999999996"/>
    <x v="51"/>
  </r>
  <r>
    <x v="25"/>
    <s v="Access to electricity, rural (% of rural population)"/>
    <n v="5.3"/>
    <x v="51"/>
  </r>
  <r>
    <x v="26"/>
    <s v="Access to electricity, rural (% of rural population)"/>
    <n v="3.5205795286763899"/>
    <x v="51"/>
  </r>
  <r>
    <x v="27"/>
    <s v="Access to electricity, rural (% of rural population)"/>
    <n v="13.3"/>
    <x v="51"/>
  </r>
  <r>
    <x v="0"/>
    <s v="Access to electricity, rural (% of rural population)"/>
    <n v="1.2"/>
    <x v="52"/>
  </r>
  <r>
    <x v="1"/>
    <s v="Access to electricity, rural (% of rural population)"/>
    <n v="18.828431566730298"/>
    <x v="52"/>
  </r>
  <r>
    <x v="2"/>
    <s v="Access to electricity, rural (% of rural population)"/>
    <n v="1.61342743078011"/>
    <x v="52"/>
  </r>
  <r>
    <x v="3"/>
    <s v="Access to electricity, rural (% of rural population)"/>
    <n v="61.4"/>
    <x v="52"/>
  </r>
  <r>
    <x v="4"/>
    <s v="Access to electricity, rural (% of rural population)"/>
    <n v="4.3721990589999997"/>
    <x v="52"/>
  </r>
  <r>
    <x v="5"/>
    <s v="Access to electricity, rural (% of rural population)"/>
    <n v="15.5164428700546"/>
    <x v="52"/>
  </r>
  <r>
    <x v="6"/>
    <s v="Access to electricity, rural (% of rural population)"/>
    <n v="2.9"/>
    <x v="52"/>
  </r>
  <r>
    <x v="7"/>
    <s v="Access to electricity, rural (% of rural population)"/>
    <n v="15.2"/>
    <x v="52"/>
  </r>
  <r>
    <x v="8"/>
    <s v="Access to electricity, rural (% of rural population)"/>
    <n v="18.389883163635599"/>
    <x v="52"/>
  </r>
  <r>
    <x v="9"/>
    <s v="Access to electricity, rural (% of rural population)"/>
    <m/>
    <x v="52"/>
  </r>
  <r>
    <x v="10"/>
    <s v="Access to electricity, rural (% of rural population)"/>
    <n v="2.56964228564786"/>
    <x v="52"/>
  </r>
  <r>
    <x v="11"/>
    <s v="Access to electricity, rural (% of rural population)"/>
    <m/>
    <x v="52"/>
  </r>
  <r>
    <x v="12"/>
    <s v="Access to electricity, rural (% of rural population)"/>
    <n v="2.2999999999999998"/>
    <x v="52"/>
  </r>
  <r>
    <x v="13"/>
    <s v="Access to electricity, rural (% of rural population)"/>
    <n v="11.9"/>
    <x v="52"/>
  </r>
  <r>
    <x v="14"/>
    <s v="Access to electricity, rural (% of rural population)"/>
    <n v="100"/>
    <x v="52"/>
  </r>
  <r>
    <x v="15"/>
    <s v="Access to electricity, rural (% of rural population)"/>
    <n v="3.8391146977443902"/>
    <x v="52"/>
  </r>
  <r>
    <x v="16"/>
    <s v="Access to electricity, rural (% of rural population)"/>
    <n v="36.790408147502298"/>
    <x v="52"/>
  </r>
  <r>
    <x v="17"/>
    <s v="Access to electricity, rural (% of rural population)"/>
    <n v="70.8971405211242"/>
    <x v="52"/>
  </r>
  <r>
    <x v="18"/>
    <s v="Access to electricity, rural (% of rural population)"/>
    <n v="54.102960493659602"/>
    <x v="52"/>
  </r>
  <r>
    <x v="19"/>
    <s v="Access to electricity, rural (% of rural population)"/>
    <n v="5.2"/>
    <x v="52"/>
  </r>
  <r>
    <x v="20"/>
    <s v="Access to electricity, rural (% of rural population)"/>
    <n v="1.25936141377667"/>
    <x v="52"/>
  </r>
  <r>
    <x v="21"/>
    <s v="Access to electricity, rural (% of rural population)"/>
    <n v="43.3"/>
    <x v="52"/>
  </r>
  <r>
    <x v="22"/>
    <s v="Access to electricity, rural (% of rural population)"/>
    <n v="86.834771966904697"/>
    <x v="52"/>
  </r>
  <r>
    <x v="23"/>
    <s v="Access to electricity, rural (% of rural population)"/>
    <n v="98.8"/>
    <x v="52"/>
  </r>
  <r>
    <x v="24"/>
    <s v="Access to electricity, rural (% of rural population)"/>
    <n v="3.6"/>
    <x v="52"/>
  </r>
  <r>
    <x v="25"/>
    <s v="Access to electricity, rural (% of rural population)"/>
    <n v="9.9798195562755208"/>
    <x v="52"/>
  </r>
  <r>
    <x v="26"/>
    <s v="Access to electricity, rural (% of rural population)"/>
    <n v="3.3793840667491302"/>
    <x v="52"/>
  </r>
  <r>
    <x v="27"/>
    <s v="Access to electricity, rural (% of rural population)"/>
    <n v="12.981644179651999"/>
    <x v="52"/>
  </r>
  <r>
    <x v="0"/>
    <s v="Access to electricity, rural (% of rural population)"/>
    <n v="0.94807270761520601"/>
    <x v="53"/>
  </r>
  <r>
    <x v="1"/>
    <s v="Access to electricity, rural (% of rural population)"/>
    <n v="19.4319726861006"/>
    <x v="53"/>
  </r>
  <r>
    <x v="2"/>
    <s v="Access to electricity, rural (% of rural population)"/>
    <n v="1.7747697669675899"/>
    <x v="53"/>
  </r>
  <r>
    <x v="3"/>
    <s v="Access to electricity, rural (% of rural population)"/>
    <n v="64.092609360916896"/>
    <x v="53"/>
  </r>
  <r>
    <x v="4"/>
    <s v="Access to electricity, rural (% of rural population)"/>
    <n v="9.2902535985232806"/>
    <x v="53"/>
  </r>
  <r>
    <x v="5"/>
    <s v="Access to electricity, rural (% of rural population)"/>
    <n v="17.063400727245401"/>
    <x v="53"/>
  </r>
  <r>
    <x v="6"/>
    <s v="Access to electricity, rural (% of rural population)"/>
    <n v="2.08581154305609"/>
    <x v="53"/>
  </r>
  <r>
    <x v="7"/>
    <s v="Access to electricity, rural (% of rural population)"/>
    <n v="0.459422941986105"/>
    <x v="53"/>
  </r>
  <r>
    <x v="8"/>
    <s v="Access to electricity, rural (% of rural population)"/>
    <n v="19.3444291910799"/>
    <x v="53"/>
  </r>
  <r>
    <x v="9"/>
    <s v="Access to electricity, rural (% of rural population)"/>
    <m/>
    <x v="53"/>
  </r>
  <r>
    <x v="10"/>
    <s v="Access to electricity, rural (% of rural population)"/>
    <n v="1.2"/>
    <x v="53"/>
  </r>
  <r>
    <x v="11"/>
    <s v="Access to electricity, rural (% of rural population)"/>
    <n v="8.1"/>
    <x v="53"/>
  </r>
  <r>
    <x v="12"/>
    <s v="Access to electricity, rural (% of rural population)"/>
    <n v="3.4"/>
    <x v="53"/>
  </r>
  <r>
    <x v="13"/>
    <s v="Access to electricity, rural (% of rural population)"/>
    <n v="2.9100538303189998"/>
    <x v="53"/>
  </r>
  <r>
    <x v="14"/>
    <s v="Access to electricity, rural (% of rural population)"/>
    <n v="100"/>
    <x v="53"/>
  </r>
  <r>
    <x v="15"/>
    <s v="Access to electricity, rural (% of rural population)"/>
    <n v="4.1542430077370804"/>
    <x v="53"/>
  </r>
  <r>
    <x v="16"/>
    <s v="Access to electricity, rural (% of rural population)"/>
    <n v="37.528215149387698"/>
    <x v="53"/>
  </r>
  <r>
    <x v="17"/>
    <s v="Access to electricity, rural (% of rural population)"/>
    <n v="75.517034671166698"/>
    <x v="53"/>
  </r>
  <r>
    <x v="18"/>
    <s v="Access to electricity, rural (% of rural population)"/>
    <n v="54.725616154903697"/>
    <x v="53"/>
  </r>
  <r>
    <x v="19"/>
    <s v="Access to electricity, rural (% of rural population)"/>
    <n v="4.1857357967609703"/>
    <x v="53"/>
  </r>
  <r>
    <x v="20"/>
    <s v="Access to electricity, rural (% of rural population)"/>
    <n v="7.7"/>
    <x v="53"/>
  </r>
  <r>
    <x v="21"/>
    <s v="Access to electricity, rural (% of rural population)"/>
    <n v="47.671294236635099"/>
    <x v="53"/>
  </r>
  <r>
    <x v="22"/>
    <s v="Access to electricity, rural (% of rural population)"/>
    <n v="88.8"/>
    <x v="53"/>
  </r>
  <r>
    <x v="23"/>
    <s v="Access to electricity, rural (% of rural population)"/>
    <n v="99.887737065925194"/>
    <x v="53"/>
  </r>
  <r>
    <x v="24"/>
    <s v="Access to electricity, rural (% of rural population)"/>
    <n v="4.2"/>
    <x v="53"/>
  </r>
  <r>
    <x v="25"/>
    <s v="Access to electricity, rural (% of rural population)"/>
    <n v="6.9277187918011798"/>
    <x v="53"/>
  </r>
  <r>
    <x v="26"/>
    <s v="Access to electricity, rural (% of rural population)"/>
    <n v="3.2266582674742201"/>
    <x v="53"/>
  </r>
  <r>
    <x v="27"/>
    <s v="Access to electricity, rural (% of rural population)"/>
    <n v="13.6699177131116"/>
    <x v="53"/>
  </r>
  <r>
    <x v="0"/>
    <s v="Access to electricity, rural (% of rural population)"/>
    <n v="2"/>
    <x v="54"/>
  </r>
  <r>
    <x v="1"/>
    <s v="Access to electricity, rural (% of rural population)"/>
    <n v="22.2"/>
    <x v="54"/>
  </r>
  <r>
    <x v="2"/>
    <s v="Access to electricity, rural (% of rural population)"/>
    <n v="1.93445728423813"/>
    <x v="54"/>
  </r>
  <r>
    <x v="3"/>
    <s v="Access to electricity, rural (% of rural population)"/>
    <n v="66.791698922759295"/>
    <x v="54"/>
  </r>
  <r>
    <x v="4"/>
    <s v="Access to electricity, rural (% of rural population)"/>
    <n v="5.6698796669476303"/>
    <x v="54"/>
  </r>
  <r>
    <x v="5"/>
    <s v="Access to electricity, rural (% of rural population)"/>
    <n v="12.2"/>
    <x v="54"/>
  </r>
  <r>
    <x v="6"/>
    <s v="Access to electricity, rural (% of rural population)"/>
    <n v="2.2506049889412698"/>
    <x v="54"/>
  </r>
  <r>
    <x v="7"/>
    <s v="Access to electricity, rural (% of rural population)"/>
    <m/>
    <x v="54"/>
  </r>
  <r>
    <x v="8"/>
    <s v="Access to electricity, rural (% of rural population)"/>
    <n v="12.6"/>
    <x v="54"/>
  </r>
  <r>
    <x v="9"/>
    <s v="Access to electricity, rural (% of rural population)"/>
    <m/>
    <x v="54"/>
  </r>
  <r>
    <x v="10"/>
    <s v="Access to electricity, rural (% of rural population)"/>
    <n v="1.4"/>
    <x v="54"/>
  </r>
  <r>
    <x v="11"/>
    <s v="Access to electricity, rural (% of rural population)"/>
    <m/>
    <x v="54"/>
  </r>
  <r>
    <x v="12"/>
    <s v="Access to electricity, rural (% of rural population)"/>
    <n v="4.7"/>
    <x v="54"/>
  </r>
  <r>
    <x v="13"/>
    <s v="Access to electricity, rural (% of rural population)"/>
    <n v="2.60942586463405"/>
    <x v="54"/>
  </r>
  <r>
    <x v="14"/>
    <s v="Access to electricity, rural (% of rural population)"/>
    <n v="100"/>
    <x v="54"/>
  </r>
  <r>
    <x v="15"/>
    <s v="Access to electricity, rural (% of rural population)"/>
    <n v="4.4493556371414398"/>
    <x v="54"/>
  </r>
  <r>
    <x v="16"/>
    <s v="Access to electricity, rural (% of rural population)"/>
    <n v="49"/>
    <x v="54"/>
  </r>
  <r>
    <x v="17"/>
    <s v="Access to electricity, rural (% of rural population)"/>
    <n v="81.7"/>
    <x v="54"/>
  </r>
  <r>
    <x v="18"/>
    <s v="Access to electricity, rural (% of rural population)"/>
    <n v="57.143279999999997"/>
    <x v="54"/>
  </r>
  <r>
    <x v="19"/>
    <s v="Access to electricity, rural (% of rural population)"/>
    <n v="4.3677387203137297"/>
    <x v="54"/>
  </r>
  <r>
    <x v="20"/>
    <s v="Access to electricity, rural (% of rural population)"/>
    <n v="9.1"/>
    <x v="54"/>
  </r>
  <r>
    <x v="21"/>
    <s v="Access to electricity, rural (% of rural population)"/>
    <n v="54.8"/>
    <x v="54"/>
  </r>
  <r>
    <x v="22"/>
    <s v="Access to electricity, rural (% of rural population)"/>
    <n v="90.623496168679097"/>
    <x v="54"/>
  </r>
  <r>
    <x v="23"/>
    <s v="Access to electricity, rural (% of rural population)"/>
    <n v="99.970547297850402"/>
    <x v="54"/>
  </r>
  <r>
    <x v="24"/>
    <s v="Access to electricity, rural (% of rural population)"/>
    <n v="4.2503770905173299"/>
    <x v="54"/>
  </r>
  <r>
    <x v="25"/>
    <s v="Access to electricity, rural (% of rural population)"/>
    <n v="10.3"/>
    <x v="54"/>
  </r>
  <r>
    <x v="26"/>
    <s v="Access to electricity, rural (% of rural population)"/>
    <n v="3.8"/>
    <x v="54"/>
  </r>
  <r>
    <x v="27"/>
    <s v="Access to electricity, rural (% of rural population)"/>
    <n v="9.8000000000000007"/>
    <x v="54"/>
  </r>
  <r>
    <x v="0"/>
    <s v="Access to electricity, rural (% of rural population)"/>
    <n v="1.4171483431170599"/>
    <x v="55"/>
  </r>
  <r>
    <x v="1"/>
    <s v="Access to electricity, rural (% of rural population)"/>
    <n v="20.656061422560299"/>
    <x v="55"/>
  </r>
  <r>
    <x v="2"/>
    <s v="Access to electricity, rural (% of rural population)"/>
    <n v="0.7"/>
    <x v="55"/>
  </r>
  <r>
    <x v="3"/>
    <s v="Access to electricity, rural (% of rural population)"/>
    <n v="69.4924552148251"/>
    <x v="55"/>
  </r>
  <r>
    <x v="4"/>
    <s v="Access to electricity, rural (% of rural population)"/>
    <n v="2.0132183976431599"/>
    <x v="55"/>
  </r>
  <r>
    <x v="5"/>
    <s v="Access to electricity, rural (% of rural population)"/>
    <n v="20.1847301175609"/>
    <x v="55"/>
  </r>
  <r>
    <x v="6"/>
    <s v="Access to electricity, rural (% of rural population)"/>
    <n v="2.3854477686861499"/>
    <x v="55"/>
  </r>
  <r>
    <x v="7"/>
    <s v="Access to electricity, rural (% of rural population)"/>
    <m/>
    <x v="55"/>
  </r>
  <r>
    <x v="8"/>
    <s v="Access to electricity, rural (% of rural population)"/>
    <n v="16"/>
    <x v="55"/>
  </r>
  <r>
    <x v="9"/>
    <s v="Access to electricity, rural (% of rural population)"/>
    <m/>
    <x v="55"/>
  </r>
  <r>
    <x v="10"/>
    <s v="Access to electricity, rural (% of rural population)"/>
    <n v="4.5699771930700601"/>
    <x v="55"/>
  </r>
  <r>
    <x v="11"/>
    <s v="Access to electricity, rural (% of rural population)"/>
    <m/>
    <x v="55"/>
  </r>
  <r>
    <x v="12"/>
    <s v="Access to electricity, rural (% of rural population)"/>
    <n v="3.9"/>
    <x v="55"/>
  </r>
  <r>
    <x v="13"/>
    <s v="Access to electricity, rural (% of rural population)"/>
    <n v="23.4"/>
    <x v="55"/>
  </r>
  <r>
    <x v="14"/>
    <s v="Access to electricity, rural (% of rural population)"/>
    <n v="100"/>
    <x v="55"/>
  </r>
  <r>
    <x v="15"/>
    <s v="Access to electricity, rural (% of rural population)"/>
    <n v="5"/>
    <x v="55"/>
  </r>
  <r>
    <x v="16"/>
    <s v="Access to electricity, rural (% of rural population)"/>
    <n v="48.9"/>
    <x v="55"/>
  </r>
  <r>
    <x v="17"/>
    <s v="Access to electricity, rural (% of rural population)"/>
    <n v="84.867550376979096"/>
    <x v="55"/>
  </r>
  <r>
    <x v="18"/>
    <s v="Access to electricity, rural (% of rural population)"/>
    <n v="55.980736355286702"/>
    <x v="55"/>
  </r>
  <r>
    <x v="19"/>
    <s v="Access to electricity, rural (% of rural population)"/>
    <n v="7.1"/>
    <x v="55"/>
  </r>
  <r>
    <x v="20"/>
    <s v="Access to electricity, rural (% of rural population)"/>
    <n v="12.4"/>
    <x v="55"/>
  </r>
  <r>
    <x v="21"/>
    <s v="Access to electricity, rural (% of rural population)"/>
    <n v="49.9106555547773"/>
    <x v="55"/>
  </r>
  <r>
    <x v="22"/>
    <s v="Access to electricity, rural (% of rural population)"/>
    <n v="92.585962436390901"/>
    <x v="55"/>
  </r>
  <r>
    <x v="23"/>
    <s v="Access to electricity, rural (% of rural population)"/>
    <n v="99.996384222425306"/>
    <x v="55"/>
  </r>
  <r>
    <x v="24"/>
    <s v="Access to electricity, rural (% of rural population)"/>
    <n v="9"/>
    <x v="55"/>
  </r>
  <r>
    <x v="25"/>
    <s v="Access to electricity, rural (% of rural population)"/>
    <n v="9"/>
    <x v="55"/>
  </r>
  <r>
    <x v="26"/>
    <s v="Access to electricity, rural (% of rural population)"/>
    <n v="3.7"/>
    <x v="55"/>
  </r>
  <r>
    <x v="27"/>
    <s v="Access to electricity, rural (% of rural population)"/>
    <n v="9.6999999999999993"/>
    <x v="55"/>
  </r>
  <r>
    <x v="0"/>
    <s v="Access to electricity, rural (% of rural population)"/>
    <n v="1.6522355197668499"/>
    <x v="56"/>
  </r>
  <r>
    <x v="1"/>
    <s v="Access to electricity, rural (% of rural population)"/>
    <n v="21.2703972709478"/>
    <x v="56"/>
  </r>
  <r>
    <x v="2"/>
    <s v="Access to electricity, rural (% of rural population)"/>
    <n v="2.23271715979023"/>
    <x v="56"/>
  </r>
  <r>
    <x v="3"/>
    <s v="Access to electricity, rural (% of rural population)"/>
    <n v="72.192871070214295"/>
    <x v="56"/>
  </r>
  <r>
    <x v="4"/>
    <s v="Access to electricity, rural (% of rural population)"/>
    <m/>
    <x v="56"/>
  </r>
  <r>
    <x v="5"/>
    <s v="Access to electricity, rural (% of rural population)"/>
    <n v="26.5"/>
    <x v="56"/>
  </r>
  <r>
    <x v="6"/>
    <s v="Access to electricity, rural (% of rural population)"/>
    <n v="6.9"/>
    <x v="56"/>
  </r>
  <r>
    <x v="7"/>
    <s v="Access to electricity, rural (% of rural population)"/>
    <m/>
    <x v="56"/>
  </r>
  <r>
    <x v="8"/>
    <s v="Access to electricity, rural (% of rural population)"/>
    <n v="39.299999999999997"/>
    <x v="56"/>
  </r>
  <r>
    <x v="9"/>
    <s v="Access to electricity, rural (% of rural population)"/>
    <m/>
    <x v="56"/>
  </r>
  <r>
    <x v="10"/>
    <s v="Access to electricity, rural (% of rural population)"/>
    <n v="1.3"/>
    <x v="56"/>
  </r>
  <r>
    <x v="11"/>
    <s v="Access to electricity, rural (% of rural population)"/>
    <n v="17.3"/>
    <x v="56"/>
  </r>
  <r>
    <x v="12"/>
    <s v="Access to electricity, rural (% of rural population)"/>
    <n v="4"/>
    <x v="56"/>
  </r>
  <r>
    <x v="13"/>
    <s v="Access to electricity, rural (% of rural population)"/>
    <n v="1.7689984828541001"/>
    <x v="56"/>
  </r>
  <r>
    <x v="14"/>
    <s v="Access to electricity, rural (% of rural population)"/>
    <n v="100"/>
    <x v="56"/>
  </r>
  <r>
    <x v="15"/>
    <s v="Access to electricity, rural (% of rural population)"/>
    <n v="4.9549710619721798"/>
    <x v="56"/>
  </r>
  <r>
    <x v="16"/>
    <s v="Access to electricity, rural (% of rural population)"/>
    <n v="39.792742904917802"/>
    <x v="56"/>
  </r>
  <r>
    <x v="17"/>
    <s v="Access to electricity, rural (% of rural population)"/>
    <n v="85.2"/>
    <x v="56"/>
  </r>
  <r>
    <x v="18"/>
    <s v="Access to electricity, rural (% of rural population)"/>
    <n v="56.604743861928"/>
    <x v="56"/>
  </r>
  <r>
    <x v="19"/>
    <s v="Access to electricity, rural (% of rural population)"/>
    <n v="4.6799227713917499"/>
    <x v="56"/>
  </r>
  <r>
    <x v="20"/>
    <s v="Access to electricity, rural (% of rural population)"/>
    <n v="17.760000000000002"/>
    <x v="56"/>
  </r>
  <r>
    <x v="21"/>
    <s v="Access to electricity, rural (% of rural population)"/>
    <n v="51.085718967700203"/>
    <x v="56"/>
  </r>
  <r>
    <x v="22"/>
    <s v="Access to electricity, rural (% of rural population)"/>
    <n v="94.592960182009094"/>
    <x v="56"/>
  </r>
  <r>
    <x v="23"/>
    <s v="Access to electricity, rural (% of rural population)"/>
    <n v="100"/>
    <x v="56"/>
  </r>
  <r>
    <x v="24"/>
    <s v="Access to electricity, rural (% of rural population)"/>
    <n v="16.899999999999999"/>
    <x v="56"/>
  </r>
  <r>
    <x v="25"/>
    <s v="Access to electricity, rural (% of rural population)"/>
    <n v="18"/>
    <x v="56"/>
  </r>
  <r>
    <x v="26"/>
    <s v="Access to electricity, rural (% of rural population)"/>
    <n v="2.6577457459003102"/>
    <x v="56"/>
  </r>
  <r>
    <x v="27"/>
    <s v="Access to electricity, rural (% of rural population)"/>
    <n v="15.575583712266999"/>
    <x v="56"/>
  </r>
  <r>
    <x v="0"/>
    <s v="Access to electricity, rural (% of rural population)"/>
    <m/>
    <x v="57"/>
  </r>
  <r>
    <x v="1"/>
    <s v="Access to electricity, rural (% of rural population)"/>
    <m/>
    <x v="57"/>
  </r>
  <r>
    <x v="2"/>
    <s v="Access to electricity, rural (% of rural population)"/>
    <m/>
    <x v="57"/>
  </r>
  <r>
    <x v="3"/>
    <s v="Access to electricity, rural (% of rural population)"/>
    <m/>
    <x v="57"/>
  </r>
  <r>
    <x v="4"/>
    <s v="Access to electricity, rural (% of rural population)"/>
    <m/>
    <x v="57"/>
  </r>
  <r>
    <x v="5"/>
    <s v="Access to electricity, rural (% of rural population)"/>
    <m/>
    <x v="57"/>
  </r>
  <r>
    <x v="6"/>
    <s v="Access to electricity, rural (% of rural population)"/>
    <m/>
    <x v="57"/>
  </r>
  <r>
    <x v="7"/>
    <s v="Access to electricity, rural (% of rural population)"/>
    <m/>
    <x v="57"/>
  </r>
  <r>
    <x v="8"/>
    <s v="Access to electricity, rural (% of rural population)"/>
    <m/>
    <x v="57"/>
  </r>
  <r>
    <x v="9"/>
    <s v="Access to electricity, rural (% of rural population)"/>
    <m/>
    <x v="57"/>
  </r>
  <r>
    <x v="10"/>
    <s v="Access to electricity, rural (% of rural population)"/>
    <m/>
    <x v="57"/>
  </r>
  <r>
    <x v="11"/>
    <s v="Access to electricity, rural (% of rural population)"/>
    <m/>
    <x v="57"/>
  </r>
  <r>
    <x v="12"/>
    <s v="Access to electricity, rural (% of rural population)"/>
    <m/>
    <x v="57"/>
  </r>
  <r>
    <x v="13"/>
    <s v="Access to electricity, rural (% of rural population)"/>
    <m/>
    <x v="57"/>
  </r>
  <r>
    <x v="14"/>
    <s v="Access to electricity, rural (% of rural population)"/>
    <m/>
    <x v="57"/>
  </r>
  <r>
    <x v="15"/>
    <s v="Access to electricity, rural (% of rural population)"/>
    <m/>
    <x v="57"/>
  </r>
  <r>
    <x v="16"/>
    <s v="Access to electricity, rural (% of rural population)"/>
    <m/>
    <x v="57"/>
  </r>
  <r>
    <x v="17"/>
    <s v="Access to electricity, rural (% of rural population)"/>
    <m/>
    <x v="57"/>
  </r>
  <r>
    <x v="18"/>
    <s v="Access to electricity, rural (% of rural population)"/>
    <m/>
    <x v="57"/>
  </r>
  <r>
    <x v="19"/>
    <s v="Access to electricity, rural (% of rural population)"/>
    <m/>
    <x v="57"/>
  </r>
  <r>
    <x v="20"/>
    <s v="Access to electricity, rural (% of rural population)"/>
    <m/>
    <x v="57"/>
  </r>
  <r>
    <x v="21"/>
    <s v="Access to electricity, rural (% of rural population)"/>
    <m/>
    <x v="57"/>
  </r>
  <r>
    <x v="22"/>
    <s v="Access to electricity, rural (% of rural population)"/>
    <m/>
    <x v="57"/>
  </r>
  <r>
    <x v="23"/>
    <s v="Access to electricity, rural (% of rural population)"/>
    <m/>
    <x v="57"/>
  </r>
  <r>
    <x v="24"/>
    <s v="Access to electricity, rural (% of rural population)"/>
    <m/>
    <x v="57"/>
  </r>
  <r>
    <x v="25"/>
    <s v="Access to electricity, rural (% of rural population)"/>
    <m/>
    <x v="57"/>
  </r>
  <r>
    <x v="26"/>
    <s v="Access to electricity, rural (% of rural population)"/>
    <m/>
    <x v="57"/>
  </r>
  <r>
    <x v="27"/>
    <s v="Access to electricity, rural (% of rural population)"/>
    <m/>
    <x v="5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24">
  <r>
    <x v="0"/>
    <s v="Mobile cellular subscriptions (per 100 people)"/>
    <m/>
    <x v="0"/>
  </r>
  <r>
    <x v="1"/>
    <s v="Mobile cellular subscriptions (per 100 people)"/>
    <m/>
    <x v="0"/>
  </r>
  <r>
    <x v="2"/>
    <s v="Mobile cellular subscriptions (per 100 people)"/>
    <m/>
    <x v="0"/>
  </r>
  <r>
    <x v="3"/>
    <s v="Mobile cellular subscriptions (per 100 people)"/>
    <m/>
    <x v="0"/>
  </r>
  <r>
    <x v="4"/>
    <s v="Mobile cellular subscriptions (per 100 people)"/>
    <m/>
    <x v="0"/>
  </r>
  <r>
    <x v="5"/>
    <s v="Mobile cellular subscriptions (per 100 people)"/>
    <m/>
    <x v="0"/>
  </r>
  <r>
    <x v="6"/>
    <s v="Mobile cellular subscriptions (per 100 people)"/>
    <m/>
    <x v="0"/>
  </r>
  <r>
    <x v="7"/>
    <s v="Mobile cellular subscriptions (per 100 people)"/>
    <m/>
    <x v="0"/>
  </r>
  <r>
    <x v="8"/>
    <s v="Mobile cellular subscriptions (per 100 people)"/>
    <m/>
    <x v="0"/>
  </r>
  <r>
    <x v="9"/>
    <s v="Mobile cellular subscriptions (per 100 people)"/>
    <m/>
    <x v="0"/>
  </r>
  <r>
    <x v="10"/>
    <s v="Mobile cellular subscriptions (per 100 people)"/>
    <m/>
    <x v="0"/>
  </r>
  <r>
    <x v="11"/>
    <s v="Mobile cellular subscriptions (per 100 people)"/>
    <m/>
    <x v="0"/>
  </r>
  <r>
    <x v="12"/>
    <s v="Mobile cellular subscriptions (per 100 people)"/>
    <m/>
    <x v="0"/>
  </r>
  <r>
    <x v="13"/>
    <s v="Mobile cellular subscriptions (per 100 people)"/>
    <m/>
    <x v="0"/>
  </r>
  <r>
    <x v="14"/>
    <s v="Mobile cellular subscriptions (per 100 people)"/>
    <m/>
    <x v="0"/>
  </r>
  <r>
    <x v="15"/>
    <s v="Mobile cellular subscriptions (per 100 people)"/>
    <m/>
    <x v="0"/>
  </r>
  <r>
    <x v="16"/>
    <s v="Mobile cellular subscriptions (per 100 people)"/>
    <m/>
    <x v="0"/>
  </r>
  <r>
    <x v="17"/>
    <s v="Mobile cellular subscriptions (per 100 people)"/>
    <m/>
    <x v="0"/>
  </r>
  <r>
    <x v="18"/>
    <s v="Mobile cellular subscriptions (per 100 people)"/>
    <m/>
    <x v="0"/>
  </r>
  <r>
    <x v="19"/>
    <s v="Mobile cellular subscriptions (per 100 people)"/>
    <m/>
    <x v="0"/>
  </r>
  <r>
    <x v="20"/>
    <s v="Mobile cellular subscriptions (per 100 people)"/>
    <m/>
    <x v="0"/>
  </r>
  <r>
    <x v="21"/>
    <s v="Mobile cellular subscriptions (per 100 people)"/>
    <m/>
    <x v="0"/>
  </r>
  <r>
    <x v="22"/>
    <s v="Mobile cellular subscriptions (per 100 people)"/>
    <m/>
    <x v="0"/>
  </r>
  <r>
    <x v="23"/>
    <s v="Mobile cellular subscriptions (per 100 people)"/>
    <m/>
    <x v="0"/>
  </r>
  <r>
    <x v="24"/>
    <s v="Mobile cellular subscriptions (per 100 people)"/>
    <m/>
    <x v="0"/>
  </r>
  <r>
    <x v="25"/>
    <s v="Mobile cellular subscriptions (per 100 people)"/>
    <m/>
    <x v="0"/>
  </r>
  <r>
    <x v="26"/>
    <s v="Mobile cellular subscriptions (per 100 people)"/>
    <m/>
    <x v="0"/>
  </r>
  <r>
    <x v="27"/>
    <s v="Mobile cellular subscriptions (per 100 people)"/>
    <m/>
    <x v="0"/>
  </r>
  <r>
    <x v="0"/>
    <s v="Mobile cellular subscriptions (per 100 people)"/>
    <m/>
    <x v="1"/>
  </r>
  <r>
    <x v="1"/>
    <s v="Mobile cellular subscriptions (per 100 people)"/>
    <m/>
    <x v="1"/>
  </r>
  <r>
    <x v="2"/>
    <s v="Mobile cellular subscriptions (per 100 people)"/>
    <m/>
    <x v="1"/>
  </r>
  <r>
    <x v="3"/>
    <s v="Mobile cellular subscriptions (per 100 people)"/>
    <m/>
    <x v="1"/>
  </r>
  <r>
    <x v="4"/>
    <s v="Mobile cellular subscriptions (per 100 people)"/>
    <m/>
    <x v="1"/>
  </r>
  <r>
    <x v="5"/>
    <s v="Mobile cellular subscriptions (per 100 people)"/>
    <m/>
    <x v="1"/>
  </r>
  <r>
    <x v="6"/>
    <s v="Mobile cellular subscriptions (per 100 people)"/>
    <m/>
    <x v="1"/>
  </r>
  <r>
    <x v="7"/>
    <s v="Mobile cellular subscriptions (per 100 people)"/>
    <m/>
    <x v="1"/>
  </r>
  <r>
    <x v="8"/>
    <s v="Mobile cellular subscriptions (per 100 people)"/>
    <m/>
    <x v="1"/>
  </r>
  <r>
    <x v="9"/>
    <s v="Mobile cellular subscriptions (per 100 people)"/>
    <m/>
    <x v="1"/>
  </r>
  <r>
    <x v="10"/>
    <s v="Mobile cellular subscriptions (per 100 people)"/>
    <m/>
    <x v="1"/>
  </r>
  <r>
    <x v="11"/>
    <s v="Mobile cellular subscriptions (per 100 people)"/>
    <m/>
    <x v="1"/>
  </r>
  <r>
    <x v="12"/>
    <s v="Mobile cellular subscriptions (per 100 people)"/>
    <m/>
    <x v="1"/>
  </r>
  <r>
    <x v="13"/>
    <s v="Mobile cellular subscriptions (per 100 people)"/>
    <m/>
    <x v="1"/>
  </r>
  <r>
    <x v="14"/>
    <s v="Mobile cellular subscriptions (per 100 people)"/>
    <m/>
    <x v="1"/>
  </r>
  <r>
    <x v="15"/>
    <s v="Mobile cellular subscriptions (per 100 people)"/>
    <m/>
    <x v="1"/>
  </r>
  <r>
    <x v="16"/>
    <s v="Mobile cellular subscriptions (per 100 people)"/>
    <m/>
    <x v="1"/>
  </r>
  <r>
    <x v="17"/>
    <s v="Mobile cellular subscriptions (per 100 people)"/>
    <m/>
    <x v="1"/>
  </r>
  <r>
    <x v="18"/>
    <s v="Mobile cellular subscriptions (per 100 people)"/>
    <m/>
    <x v="1"/>
  </r>
  <r>
    <x v="19"/>
    <s v="Mobile cellular subscriptions (per 100 people)"/>
    <m/>
    <x v="1"/>
  </r>
  <r>
    <x v="20"/>
    <s v="Mobile cellular subscriptions (per 100 people)"/>
    <m/>
    <x v="1"/>
  </r>
  <r>
    <x v="21"/>
    <s v="Mobile cellular subscriptions (per 100 people)"/>
    <m/>
    <x v="1"/>
  </r>
  <r>
    <x v="22"/>
    <s v="Mobile cellular subscriptions (per 100 people)"/>
    <m/>
    <x v="1"/>
  </r>
  <r>
    <x v="23"/>
    <s v="Mobile cellular subscriptions (per 100 people)"/>
    <m/>
    <x v="1"/>
  </r>
  <r>
    <x v="24"/>
    <s v="Mobile cellular subscriptions (per 100 people)"/>
    <m/>
    <x v="1"/>
  </r>
  <r>
    <x v="25"/>
    <s v="Mobile cellular subscriptions (per 100 people)"/>
    <m/>
    <x v="1"/>
  </r>
  <r>
    <x v="26"/>
    <s v="Mobile cellular subscriptions (per 100 people)"/>
    <m/>
    <x v="1"/>
  </r>
  <r>
    <x v="27"/>
    <s v="Mobile cellular subscriptions (per 100 people)"/>
    <m/>
    <x v="1"/>
  </r>
  <r>
    <x v="0"/>
    <s v="Mobile cellular subscriptions (per 100 people)"/>
    <m/>
    <x v="2"/>
  </r>
  <r>
    <x v="1"/>
    <s v="Mobile cellular subscriptions (per 100 people)"/>
    <m/>
    <x v="2"/>
  </r>
  <r>
    <x v="2"/>
    <s v="Mobile cellular subscriptions (per 100 people)"/>
    <m/>
    <x v="2"/>
  </r>
  <r>
    <x v="3"/>
    <s v="Mobile cellular subscriptions (per 100 people)"/>
    <m/>
    <x v="2"/>
  </r>
  <r>
    <x v="4"/>
    <s v="Mobile cellular subscriptions (per 100 people)"/>
    <m/>
    <x v="2"/>
  </r>
  <r>
    <x v="5"/>
    <s v="Mobile cellular subscriptions (per 100 people)"/>
    <m/>
    <x v="2"/>
  </r>
  <r>
    <x v="6"/>
    <s v="Mobile cellular subscriptions (per 100 people)"/>
    <m/>
    <x v="2"/>
  </r>
  <r>
    <x v="7"/>
    <s v="Mobile cellular subscriptions (per 100 people)"/>
    <m/>
    <x v="2"/>
  </r>
  <r>
    <x v="8"/>
    <s v="Mobile cellular subscriptions (per 100 people)"/>
    <m/>
    <x v="2"/>
  </r>
  <r>
    <x v="9"/>
    <s v="Mobile cellular subscriptions (per 100 people)"/>
    <m/>
    <x v="2"/>
  </r>
  <r>
    <x v="10"/>
    <s v="Mobile cellular subscriptions (per 100 people)"/>
    <m/>
    <x v="2"/>
  </r>
  <r>
    <x v="11"/>
    <s v="Mobile cellular subscriptions (per 100 people)"/>
    <m/>
    <x v="2"/>
  </r>
  <r>
    <x v="12"/>
    <s v="Mobile cellular subscriptions (per 100 people)"/>
    <m/>
    <x v="2"/>
  </r>
  <r>
    <x v="13"/>
    <s v="Mobile cellular subscriptions (per 100 people)"/>
    <m/>
    <x v="2"/>
  </r>
  <r>
    <x v="14"/>
    <s v="Mobile cellular subscriptions (per 100 people)"/>
    <m/>
    <x v="2"/>
  </r>
  <r>
    <x v="15"/>
    <s v="Mobile cellular subscriptions (per 100 people)"/>
    <m/>
    <x v="2"/>
  </r>
  <r>
    <x v="16"/>
    <s v="Mobile cellular subscriptions (per 100 people)"/>
    <m/>
    <x v="2"/>
  </r>
  <r>
    <x v="17"/>
    <s v="Mobile cellular subscriptions (per 100 people)"/>
    <m/>
    <x v="2"/>
  </r>
  <r>
    <x v="18"/>
    <s v="Mobile cellular subscriptions (per 100 people)"/>
    <m/>
    <x v="2"/>
  </r>
  <r>
    <x v="19"/>
    <s v="Mobile cellular subscriptions (per 100 people)"/>
    <m/>
    <x v="2"/>
  </r>
  <r>
    <x v="20"/>
    <s v="Mobile cellular subscriptions (per 100 people)"/>
    <m/>
    <x v="2"/>
  </r>
  <r>
    <x v="21"/>
    <s v="Mobile cellular subscriptions (per 100 people)"/>
    <m/>
    <x v="2"/>
  </r>
  <r>
    <x v="22"/>
    <s v="Mobile cellular subscriptions (per 100 people)"/>
    <m/>
    <x v="2"/>
  </r>
  <r>
    <x v="23"/>
    <s v="Mobile cellular subscriptions (per 100 people)"/>
    <m/>
    <x v="2"/>
  </r>
  <r>
    <x v="24"/>
    <s v="Mobile cellular subscriptions (per 100 people)"/>
    <m/>
    <x v="2"/>
  </r>
  <r>
    <x v="25"/>
    <s v="Mobile cellular subscriptions (per 100 people)"/>
    <m/>
    <x v="2"/>
  </r>
  <r>
    <x v="26"/>
    <s v="Mobile cellular subscriptions (per 100 people)"/>
    <m/>
    <x v="2"/>
  </r>
  <r>
    <x v="27"/>
    <s v="Mobile cellular subscriptions (per 100 people)"/>
    <m/>
    <x v="2"/>
  </r>
  <r>
    <x v="0"/>
    <s v="Mobile cellular subscriptions (per 100 people)"/>
    <m/>
    <x v="3"/>
  </r>
  <r>
    <x v="1"/>
    <s v="Mobile cellular subscriptions (per 100 people)"/>
    <m/>
    <x v="3"/>
  </r>
  <r>
    <x v="2"/>
    <s v="Mobile cellular subscriptions (per 100 people)"/>
    <m/>
    <x v="3"/>
  </r>
  <r>
    <x v="3"/>
    <s v="Mobile cellular subscriptions (per 100 people)"/>
    <m/>
    <x v="3"/>
  </r>
  <r>
    <x v="4"/>
    <s v="Mobile cellular subscriptions (per 100 people)"/>
    <m/>
    <x v="3"/>
  </r>
  <r>
    <x v="5"/>
    <s v="Mobile cellular subscriptions (per 100 people)"/>
    <m/>
    <x v="3"/>
  </r>
  <r>
    <x v="6"/>
    <s v="Mobile cellular subscriptions (per 100 people)"/>
    <m/>
    <x v="3"/>
  </r>
  <r>
    <x v="7"/>
    <s v="Mobile cellular subscriptions (per 100 people)"/>
    <m/>
    <x v="3"/>
  </r>
  <r>
    <x v="8"/>
    <s v="Mobile cellular subscriptions (per 100 people)"/>
    <m/>
    <x v="3"/>
  </r>
  <r>
    <x v="9"/>
    <s v="Mobile cellular subscriptions (per 100 people)"/>
    <m/>
    <x v="3"/>
  </r>
  <r>
    <x v="10"/>
    <s v="Mobile cellular subscriptions (per 100 people)"/>
    <m/>
    <x v="3"/>
  </r>
  <r>
    <x v="11"/>
    <s v="Mobile cellular subscriptions (per 100 people)"/>
    <m/>
    <x v="3"/>
  </r>
  <r>
    <x v="12"/>
    <s v="Mobile cellular subscriptions (per 100 people)"/>
    <m/>
    <x v="3"/>
  </r>
  <r>
    <x v="13"/>
    <s v="Mobile cellular subscriptions (per 100 people)"/>
    <m/>
    <x v="3"/>
  </r>
  <r>
    <x v="14"/>
    <s v="Mobile cellular subscriptions (per 100 people)"/>
    <m/>
    <x v="3"/>
  </r>
  <r>
    <x v="15"/>
    <s v="Mobile cellular subscriptions (per 100 people)"/>
    <m/>
    <x v="3"/>
  </r>
  <r>
    <x v="16"/>
    <s v="Mobile cellular subscriptions (per 100 people)"/>
    <m/>
    <x v="3"/>
  </r>
  <r>
    <x v="17"/>
    <s v="Mobile cellular subscriptions (per 100 people)"/>
    <m/>
    <x v="3"/>
  </r>
  <r>
    <x v="18"/>
    <s v="Mobile cellular subscriptions (per 100 people)"/>
    <m/>
    <x v="3"/>
  </r>
  <r>
    <x v="19"/>
    <s v="Mobile cellular subscriptions (per 100 people)"/>
    <m/>
    <x v="3"/>
  </r>
  <r>
    <x v="20"/>
    <s v="Mobile cellular subscriptions (per 100 people)"/>
    <m/>
    <x v="3"/>
  </r>
  <r>
    <x v="21"/>
    <s v="Mobile cellular subscriptions (per 100 people)"/>
    <m/>
    <x v="3"/>
  </r>
  <r>
    <x v="22"/>
    <s v="Mobile cellular subscriptions (per 100 people)"/>
    <m/>
    <x v="3"/>
  </r>
  <r>
    <x v="23"/>
    <s v="Mobile cellular subscriptions (per 100 people)"/>
    <m/>
    <x v="3"/>
  </r>
  <r>
    <x v="24"/>
    <s v="Mobile cellular subscriptions (per 100 people)"/>
    <m/>
    <x v="3"/>
  </r>
  <r>
    <x v="25"/>
    <s v="Mobile cellular subscriptions (per 100 people)"/>
    <m/>
    <x v="3"/>
  </r>
  <r>
    <x v="26"/>
    <s v="Mobile cellular subscriptions (per 100 people)"/>
    <m/>
    <x v="3"/>
  </r>
  <r>
    <x v="27"/>
    <s v="Mobile cellular subscriptions (per 100 people)"/>
    <m/>
    <x v="3"/>
  </r>
  <r>
    <x v="0"/>
    <s v="Mobile cellular subscriptions (per 100 people)"/>
    <m/>
    <x v="4"/>
  </r>
  <r>
    <x v="1"/>
    <s v="Mobile cellular subscriptions (per 100 people)"/>
    <m/>
    <x v="4"/>
  </r>
  <r>
    <x v="2"/>
    <s v="Mobile cellular subscriptions (per 100 people)"/>
    <m/>
    <x v="4"/>
  </r>
  <r>
    <x v="3"/>
    <s v="Mobile cellular subscriptions (per 100 people)"/>
    <m/>
    <x v="4"/>
  </r>
  <r>
    <x v="4"/>
    <s v="Mobile cellular subscriptions (per 100 people)"/>
    <m/>
    <x v="4"/>
  </r>
  <r>
    <x v="5"/>
    <s v="Mobile cellular subscriptions (per 100 people)"/>
    <m/>
    <x v="4"/>
  </r>
  <r>
    <x v="6"/>
    <s v="Mobile cellular subscriptions (per 100 people)"/>
    <m/>
    <x v="4"/>
  </r>
  <r>
    <x v="7"/>
    <s v="Mobile cellular subscriptions (per 100 people)"/>
    <m/>
    <x v="4"/>
  </r>
  <r>
    <x v="8"/>
    <s v="Mobile cellular subscriptions (per 100 people)"/>
    <m/>
    <x v="4"/>
  </r>
  <r>
    <x v="9"/>
    <s v="Mobile cellular subscriptions (per 100 people)"/>
    <m/>
    <x v="4"/>
  </r>
  <r>
    <x v="10"/>
    <s v="Mobile cellular subscriptions (per 100 people)"/>
    <m/>
    <x v="4"/>
  </r>
  <r>
    <x v="11"/>
    <s v="Mobile cellular subscriptions (per 100 people)"/>
    <m/>
    <x v="4"/>
  </r>
  <r>
    <x v="12"/>
    <s v="Mobile cellular subscriptions (per 100 people)"/>
    <m/>
    <x v="4"/>
  </r>
  <r>
    <x v="13"/>
    <s v="Mobile cellular subscriptions (per 100 people)"/>
    <m/>
    <x v="4"/>
  </r>
  <r>
    <x v="14"/>
    <s v="Mobile cellular subscriptions (per 100 people)"/>
    <m/>
    <x v="4"/>
  </r>
  <r>
    <x v="15"/>
    <s v="Mobile cellular subscriptions (per 100 people)"/>
    <m/>
    <x v="4"/>
  </r>
  <r>
    <x v="16"/>
    <s v="Mobile cellular subscriptions (per 100 people)"/>
    <m/>
    <x v="4"/>
  </r>
  <r>
    <x v="17"/>
    <s v="Mobile cellular subscriptions (per 100 people)"/>
    <m/>
    <x v="4"/>
  </r>
  <r>
    <x v="18"/>
    <s v="Mobile cellular subscriptions (per 100 people)"/>
    <m/>
    <x v="4"/>
  </r>
  <r>
    <x v="19"/>
    <s v="Mobile cellular subscriptions (per 100 people)"/>
    <m/>
    <x v="4"/>
  </r>
  <r>
    <x v="20"/>
    <s v="Mobile cellular subscriptions (per 100 people)"/>
    <m/>
    <x v="4"/>
  </r>
  <r>
    <x v="21"/>
    <s v="Mobile cellular subscriptions (per 100 people)"/>
    <m/>
    <x v="4"/>
  </r>
  <r>
    <x v="22"/>
    <s v="Mobile cellular subscriptions (per 100 people)"/>
    <m/>
    <x v="4"/>
  </r>
  <r>
    <x v="23"/>
    <s v="Mobile cellular subscriptions (per 100 people)"/>
    <m/>
    <x v="4"/>
  </r>
  <r>
    <x v="24"/>
    <s v="Mobile cellular subscriptions (per 100 people)"/>
    <m/>
    <x v="4"/>
  </r>
  <r>
    <x v="25"/>
    <s v="Mobile cellular subscriptions (per 100 people)"/>
    <m/>
    <x v="4"/>
  </r>
  <r>
    <x v="26"/>
    <s v="Mobile cellular subscriptions (per 100 people)"/>
    <m/>
    <x v="4"/>
  </r>
  <r>
    <x v="27"/>
    <s v="Mobile cellular subscriptions (per 100 people)"/>
    <m/>
    <x v="4"/>
  </r>
  <r>
    <x v="0"/>
    <s v="Mobile cellular subscriptions (per 100 people)"/>
    <m/>
    <x v="5"/>
  </r>
  <r>
    <x v="1"/>
    <s v="Mobile cellular subscriptions (per 100 people)"/>
    <m/>
    <x v="5"/>
  </r>
  <r>
    <x v="2"/>
    <s v="Mobile cellular subscriptions (per 100 people)"/>
    <m/>
    <x v="5"/>
  </r>
  <r>
    <x v="3"/>
    <s v="Mobile cellular subscriptions (per 100 people)"/>
    <m/>
    <x v="5"/>
  </r>
  <r>
    <x v="4"/>
    <s v="Mobile cellular subscriptions (per 100 people)"/>
    <m/>
    <x v="5"/>
  </r>
  <r>
    <x v="5"/>
    <s v="Mobile cellular subscriptions (per 100 people)"/>
    <m/>
    <x v="5"/>
  </r>
  <r>
    <x v="6"/>
    <s v="Mobile cellular subscriptions (per 100 people)"/>
    <m/>
    <x v="5"/>
  </r>
  <r>
    <x v="7"/>
    <s v="Mobile cellular subscriptions (per 100 people)"/>
    <m/>
    <x v="5"/>
  </r>
  <r>
    <x v="8"/>
    <s v="Mobile cellular subscriptions (per 100 people)"/>
    <m/>
    <x v="5"/>
  </r>
  <r>
    <x v="9"/>
    <s v="Mobile cellular subscriptions (per 100 people)"/>
    <m/>
    <x v="5"/>
  </r>
  <r>
    <x v="10"/>
    <s v="Mobile cellular subscriptions (per 100 people)"/>
    <m/>
    <x v="5"/>
  </r>
  <r>
    <x v="11"/>
    <s v="Mobile cellular subscriptions (per 100 people)"/>
    <m/>
    <x v="5"/>
  </r>
  <r>
    <x v="12"/>
    <s v="Mobile cellular subscriptions (per 100 people)"/>
    <m/>
    <x v="5"/>
  </r>
  <r>
    <x v="13"/>
    <s v="Mobile cellular subscriptions (per 100 people)"/>
    <m/>
    <x v="5"/>
  </r>
  <r>
    <x v="14"/>
    <s v="Mobile cellular subscriptions (per 100 people)"/>
    <m/>
    <x v="5"/>
  </r>
  <r>
    <x v="15"/>
    <s v="Mobile cellular subscriptions (per 100 people)"/>
    <m/>
    <x v="5"/>
  </r>
  <r>
    <x v="16"/>
    <s v="Mobile cellular subscriptions (per 100 people)"/>
    <m/>
    <x v="5"/>
  </r>
  <r>
    <x v="17"/>
    <s v="Mobile cellular subscriptions (per 100 people)"/>
    <m/>
    <x v="5"/>
  </r>
  <r>
    <x v="18"/>
    <s v="Mobile cellular subscriptions (per 100 people)"/>
    <m/>
    <x v="5"/>
  </r>
  <r>
    <x v="19"/>
    <s v="Mobile cellular subscriptions (per 100 people)"/>
    <m/>
    <x v="5"/>
  </r>
  <r>
    <x v="20"/>
    <s v="Mobile cellular subscriptions (per 100 people)"/>
    <m/>
    <x v="5"/>
  </r>
  <r>
    <x v="21"/>
    <s v="Mobile cellular subscriptions (per 100 people)"/>
    <m/>
    <x v="5"/>
  </r>
  <r>
    <x v="22"/>
    <s v="Mobile cellular subscriptions (per 100 people)"/>
    <m/>
    <x v="5"/>
  </r>
  <r>
    <x v="23"/>
    <s v="Mobile cellular subscriptions (per 100 people)"/>
    <m/>
    <x v="5"/>
  </r>
  <r>
    <x v="24"/>
    <s v="Mobile cellular subscriptions (per 100 people)"/>
    <m/>
    <x v="5"/>
  </r>
  <r>
    <x v="25"/>
    <s v="Mobile cellular subscriptions (per 100 people)"/>
    <m/>
    <x v="5"/>
  </r>
  <r>
    <x v="26"/>
    <s v="Mobile cellular subscriptions (per 100 people)"/>
    <m/>
    <x v="5"/>
  </r>
  <r>
    <x v="27"/>
    <s v="Mobile cellular subscriptions (per 100 people)"/>
    <m/>
    <x v="5"/>
  </r>
  <r>
    <x v="0"/>
    <s v="Mobile cellular subscriptions (per 100 people)"/>
    <m/>
    <x v="6"/>
  </r>
  <r>
    <x v="1"/>
    <s v="Mobile cellular subscriptions (per 100 people)"/>
    <m/>
    <x v="6"/>
  </r>
  <r>
    <x v="2"/>
    <s v="Mobile cellular subscriptions (per 100 people)"/>
    <m/>
    <x v="6"/>
  </r>
  <r>
    <x v="3"/>
    <s v="Mobile cellular subscriptions (per 100 people)"/>
    <m/>
    <x v="6"/>
  </r>
  <r>
    <x v="4"/>
    <s v="Mobile cellular subscriptions (per 100 people)"/>
    <m/>
    <x v="6"/>
  </r>
  <r>
    <x v="5"/>
    <s v="Mobile cellular subscriptions (per 100 people)"/>
    <m/>
    <x v="6"/>
  </r>
  <r>
    <x v="6"/>
    <s v="Mobile cellular subscriptions (per 100 people)"/>
    <m/>
    <x v="6"/>
  </r>
  <r>
    <x v="7"/>
    <s v="Mobile cellular subscriptions (per 100 people)"/>
    <m/>
    <x v="6"/>
  </r>
  <r>
    <x v="8"/>
    <s v="Mobile cellular subscriptions (per 100 people)"/>
    <m/>
    <x v="6"/>
  </r>
  <r>
    <x v="9"/>
    <s v="Mobile cellular subscriptions (per 100 people)"/>
    <m/>
    <x v="6"/>
  </r>
  <r>
    <x v="10"/>
    <s v="Mobile cellular subscriptions (per 100 people)"/>
    <m/>
    <x v="6"/>
  </r>
  <r>
    <x v="11"/>
    <s v="Mobile cellular subscriptions (per 100 people)"/>
    <m/>
    <x v="6"/>
  </r>
  <r>
    <x v="12"/>
    <s v="Mobile cellular subscriptions (per 100 people)"/>
    <m/>
    <x v="6"/>
  </r>
  <r>
    <x v="13"/>
    <s v="Mobile cellular subscriptions (per 100 people)"/>
    <m/>
    <x v="6"/>
  </r>
  <r>
    <x v="14"/>
    <s v="Mobile cellular subscriptions (per 100 people)"/>
    <m/>
    <x v="6"/>
  </r>
  <r>
    <x v="15"/>
    <s v="Mobile cellular subscriptions (per 100 people)"/>
    <m/>
    <x v="6"/>
  </r>
  <r>
    <x v="16"/>
    <s v="Mobile cellular subscriptions (per 100 people)"/>
    <m/>
    <x v="6"/>
  </r>
  <r>
    <x v="17"/>
    <s v="Mobile cellular subscriptions (per 100 people)"/>
    <m/>
    <x v="6"/>
  </r>
  <r>
    <x v="18"/>
    <s v="Mobile cellular subscriptions (per 100 people)"/>
    <m/>
    <x v="6"/>
  </r>
  <r>
    <x v="19"/>
    <s v="Mobile cellular subscriptions (per 100 people)"/>
    <m/>
    <x v="6"/>
  </r>
  <r>
    <x v="20"/>
    <s v="Mobile cellular subscriptions (per 100 people)"/>
    <m/>
    <x v="6"/>
  </r>
  <r>
    <x v="21"/>
    <s v="Mobile cellular subscriptions (per 100 people)"/>
    <m/>
    <x v="6"/>
  </r>
  <r>
    <x v="22"/>
    <s v="Mobile cellular subscriptions (per 100 people)"/>
    <m/>
    <x v="6"/>
  </r>
  <r>
    <x v="23"/>
    <s v="Mobile cellular subscriptions (per 100 people)"/>
    <m/>
    <x v="6"/>
  </r>
  <r>
    <x v="24"/>
    <s v="Mobile cellular subscriptions (per 100 people)"/>
    <m/>
    <x v="6"/>
  </r>
  <r>
    <x v="25"/>
    <s v="Mobile cellular subscriptions (per 100 people)"/>
    <m/>
    <x v="6"/>
  </r>
  <r>
    <x v="26"/>
    <s v="Mobile cellular subscriptions (per 100 people)"/>
    <m/>
    <x v="6"/>
  </r>
  <r>
    <x v="27"/>
    <s v="Mobile cellular subscriptions (per 100 people)"/>
    <m/>
    <x v="6"/>
  </r>
  <r>
    <x v="0"/>
    <s v="Mobile cellular subscriptions (per 100 people)"/>
    <m/>
    <x v="7"/>
  </r>
  <r>
    <x v="1"/>
    <s v="Mobile cellular subscriptions (per 100 people)"/>
    <m/>
    <x v="7"/>
  </r>
  <r>
    <x v="2"/>
    <s v="Mobile cellular subscriptions (per 100 people)"/>
    <m/>
    <x v="7"/>
  </r>
  <r>
    <x v="3"/>
    <s v="Mobile cellular subscriptions (per 100 people)"/>
    <m/>
    <x v="7"/>
  </r>
  <r>
    <x v="4"/>
    <s v="Mobile cellular subscriptions (per 100 people)"/>
    <m/>
    <x v="7"/>
  </r>
  <r>
    <x v="5"/>
    <s v="Mobile cellular subscriptions (per 100 people)"/>
    <m/>
    <x v="7"/>
  </r>
  <r>
    <x v="6"/>
    <s v="Mobile cellular subscriptions (per 100 people)"/>
    <m/>
    <x v="7"/>
  </r>
  <r>
    <x v="7"/>
    <s v="Mobile cellular subscriptions (per 100 people)"/>
    <m/>
    <x v="7"/>
  </r>
  <r>
    <x v="8"/>
    <s v="Mobile cellular subscriptions (per 100 people)"/>
    <m/>
    <x v="7"/>
  </r>
  <r>
    <x v="9"/>
    <s v="Mobile cellular subscriptions (per 100 people)"/>
    <m/>
    <x v="7"/>
  </r>
  <r>
    <x v="10"/>
    <s v="Mobile cellular subscriptions (per 100 people)"/>
    <m/>
    <x v="7"/>
  </r>
  <r>
    <x v="11"/>
    <s v="Mobile cellular subscriptions (per 100 people)"/>
    <m/>
    <x v="7"/>
  </r>
  <r>
    <x v="12"/>
    <s v="Mobile cellular subscriptions (per 100 people)"/>
    <m/>
    <x v="7"/>
  </r>
  <r>
    <x v="13"/>
    <s v="Mobile cellular subscriptions (per 100 people)"/>
    <m/>
    <x v="7"/>
  </r>
  <r>
    <x v="14"/>
    <s v="Mobile cellular subscriptions (per 100 people)"/>
    <m/>
    <x v="7"/>
  </r>
  <r>
    <x v="15"/>
    <s v="Mobile cellular subscriptions (per 100 people)"/>
    <m/>
    <x v="7"/>
  </r>
  <r>
    <x v="16"/>
    <s v="Mobile cellular subscriptions (per 100 people)"/>
    <m/>
    <x v="7"/>
  </r>
  <r>
    <x v="17"/>
    <s v="Mobile cellular subscriptions (per 100 people)"/>
    <m/>
    <x v="7"/>
  </r>
  <r>
    <x v="18"/>
    <s v="Mobile cellular subscriptions (per 100 people)"/>
    <m/>
    <x v="7"/>
  </r>
  <r>
    <x v="19"/>
    <s v="Mobile cellular subscriptions (per 100 people)"/>
    <m/>
    <x v="7"/>
  </r>
  <r>
    <x v="20"/>
    <s v="Mobile cellular subscriptions (per 100 people)"/>
    <m/>
    <x v="7"/>
  </r>
  <r>
    <x v="21"/>
    <s v="Mobile cellular subscriptions (per 100 people)"/>
    <m/>
    <x v="7"/>
  </r>
  <r>
    <x v="22"/>
    <s v="Mobile cellular subscriptions (per 100 people)"/>
    <m/>
    <x v="7"/>
  </r>
  <r>
    <x v="23"/>
    <s v="Mobile cellular subscriptions (per 100 people)"/>
    <m/>
    <x v="7"/>
  </r>
  <r>
    <x v="24"/>
    <s v="Mobile cellular subscriptions (per 100 people)"/>
    <m/>
    <x v="7"/>
  </r>
  <r>
    <x v="25"/>
    <s v="Mobile cellular subscriptions (per 100 people)"/>
    <m/>
    <x v="7"/>
  </r>
  <r>
    <x v="26"/>
    <s v="Mobile cellular subscriptions (per 100 people)"/>
    <m/>
    <x v="7"/>
  </r>
  <r>
    <x v="27"/>
    <s v="Mobile cellular subscriptions (per 100 people)"/>
    <m/>
    <x v="7"/>
  </r>
  <r>
    <x v="0"/>
    <s v="Mobile cellular subscriptions (per 100 people)"/>
    <m/>
    <x v="8"/>
  </r>
  <r>
    <x v="1"/>
    <s v="Mobile cellular subscriptions (per 100 people)"/>
    <m/>
    <x v="8"/>
  </r>
  <r>
    <x v="2"/>
    <s v="Mobile cellular subscriptions (per 100 people)"/>
    <m/>
    <x v="8"/>
  </r>
  <r>
    <x v="3"/>
    <s v="Mobile cellular subscriptions (per 100 people)"/>
    <m/>
    <x v="8"/>
  </r>
  <r>
    <x v="4"/>
    <s v="Mobile cellular subscriptions (per 100 people)"/>
    <m/>
    <x v="8"/>
  </r>
  <r>
    <x v="5"/>
    <s v="Mobile cellular subscriptions (per 100 people)"/>
    <m/>
    <x v="8"/>
  </r>
  <r>
    <x v="6"/>
    <s v="Mobile cellular subscriptions (per 100 people)"/>
    <m/>
    <x v="8"/>
  </r>
  <r>
    <x v="7"/>
    <s v="Mobile cellular subscriptions (per 100 people)"/>
    <m/>
    <x v="8"/>
  </r>
  <r>
    <x v="8"/>
    <s v="Mobile cellular subscriptions (per 100 people)"/>
    <m/>
    <x v="8"/>
  </r>
  <r>
    <x v="9"/>
    <s v="Mobile cellular subscriptions (per 100 people)"/>
    <m/>
    <x v="8"/>
  </r>
  <r>
    <x v="10"/>
    <s v="Mobile cellular subscriptions (per 100 people)"/>
    <m/>
    <x v="8"/>
  </r>
  <r>
    <x v="11"/>
    <s v="Mobile cellular subscriptions (per 100 people)"/>
    <m/>
    <x v="8"/>
  </r>
  <r>
    <x v="12"/>
    <s v="Mobile cellular subscriptions (per 100 people)"/>
    <m/>
    <x v="8"/>
  </r>
  <r>
    <x v="13"/>
    <s v="Mobile cellular subscriptions (per 100 people)"/>
    <m/>
    <x v="8"/>
  </r>
  <r>
    <x v="14"/>
    <s v="Mobile cellular subscriptions (per 100 people)"/>
    <m/>
    <x v="8"/>
  </r>
  <r>
    <x v="15"/>
    <s v="Mobile cellular subscriptions (per 100 people)"/>
    <m/>
    <x v="8"/>
  </r>
  <r>
    <x v="16"/>
    <s v="Mobile cellular subscriptions (per 100 people)"/>
    <m/>
    <x v="8"/>
  </r>
  <r>
    <x v="17"/>
    <s v="Mobile cellular subscriptions (per 100 people)"/>
    <m/>
    <x v="8"/>
  </r>
  <r>
    <x v="18"/>
    <s v="Mobile cellular subscriptions (per 100 people)"/>
    <m/>
    <x v="8"/>
  </r>
  <r>
    <x v="19"/>
    <s v="Mobile cellular subscriptions (per 100 people)"/>
    <m/>
    <x v="8"/>
  </r>
  <r>
    <x v="20"/>
    <s v="Mobile cellular subscriptions (per 100 people)"/>
    <m/>
    <x v="8"/>
  </r>
  <r>
    <x v="21"/>
    <s v="Mobile cellular subscriptions (per 100 people)"/>
    <m/>
    <x v="8"/>
  </r>
  <r>
    <x v="22"/>
    <s v="Mobile cellular subscriptions (per 100 people)"/>
    <m/>
    <x v="8"/>
  </r>
  <r>
    <x v="23"/>
    <s v="Mobile cellular subscriptions (per 100 people)"/>
    <m/>
    <x v="8"/>
  </r>
  <r>
    <x v="24"/>
    <s v="Mobile cellular subscriptions (per 100 people)"/>
    <m/>
    <x v="8"/>
  </r>
  <r>
    <x v="25"/>
    <s v="Mobile cellular subscriptions (per 100 people)"/>
    <m/>
    <x v="8"/>
  </r>
  <r>
    <x v="26"/>
    <s v="Mobile cellular subscriptions (per 100 people)"/>
    <m/>
    <x v="8"/>
  </r>
  <r>
    <x v="27"/>
    <s v="Mobile cellular subscriptions (per 100 people)"/>
    <m/>
    <x v="8"/>
  </r>
  <r>
    <x v="0"/>
    <s v="Mobile cellular subscriptions (per 100 people)"/>
    <m/>
    <x v="9"/>
  </r>
  <r>
    <x v="1"/>
    <s v="Mobile cellular subscriptions (per 100 people)"/>
    <m/>
    <x v="9"/>
  </r>
  <r>
    <x v="2"/>
    <s v="Mobile cellular subscriptions (per 100 people)"/>
    <m/>
    <x v="9"/>
  </r>
  <r>
    <x v="3"/>
    <s v="Mobile cellular subscriptions (per 100 people)"/>
    <m/>
    <x v="9"/>
  </r>
  <r>
    <x v="4"/>
    <s v="Mobile cellular subscriptions (per 100 people)"/>
    <m/>
    <x v="9"/>
  </r>
  <r>
    <x v="5"/>
    <s v="Mobile cellular subscriptions (per 100 people)"/>
    <m/>
    <x v="9"/>
  </r>
  <r>
    <x v="6"/>
    <s v="Mobile cellular subscriptions (per 100 people)"/>
    <m/>
    <x v="9"/>
  </r>
  <r>
    <x v="7"/>
    <s v="Mobile cellular subscriptions (per 100 people)"/>
    <m/>
    <x v="9"/>
  </r>
  <r>
    <x v="8"/>
    <s v="Mobile cellular subscriptions (per 100 people)"/>
    <m/>
    <x v="9"/>
  </r>
  <r>
    <x v="9"/>
    <s v="Mobile cellular subscriptions (per 100 people)"/>
    <m/>
    <x v="9"/>
  </r>
  <r>
    <x v="10"/>
    <s v="Mobile cellular subscriptions (per 100 people)"/>
    <m/>
    <x v="9"/>
  </r>
  <r>
    <x v="11"/>
    <s v="Mobile cellular subscriptions (per 100 people)"/>
    <m/>
    <x v="9"/>
  </r>
  <r>
    <x v="12"/>
    <s v="Mobile cellular subscriptions (per 100 people)"/>
    <m/>
    <x v="9"/>
  </r>
  <r>
    <x v="13"/>
    <s v="Mobile cellular subscriptions (per 100 people)"/>
    <m/>
    <x v="9"/>
  </r>
  <r>
    <x v="14"/>
    <s v="Mobile cellular subscriptions (per 100 people)"/>
    <m/>
    <x v="9"/>
  </r>
  <r>
    <x v="15"/>
    <s v="Mobile cellular subscriptions (per 100 people)"/>
    <m/>
    <x v="9"/>
  </r>
  <r>
    <x v="16"/>
    <s v="Mobile cellular subscriptions (per 100 people)"/>
    <m/>
    <x v="9"/>
  </r>
  <r>
    <x v="17"/>
    <s v="Mobile cellular subscriptions (per 100 people)"/>
    <m/>
    <x v="9"/>
  </r>
  <r>
    <x v="18"/>
    <s v="Mobile cellular subscriptions (per 100 people)"/>
    <m/>
    <x v="9"/>
  </r>
  <r>
    <x v="19"/>
    <s v="Mobile cellular subscriptions (per 100 people)"/>
    <m/>
    <x v="9"/>
  </r>
  <r>
    <x v="20"/>
    <s v="Mobile cellular subscriptions (per 100 people)"/>
    <m/>
    <x v="9"/>
  </r>
  <r>
    <x v="21"/>
    <s v="Mobile cellular subscriptions (per 100 people)"/>
    <m/>
    <x v="9"/>
  </r>
  <r>
    <x v="22"/>
    <s v="Mobile cellular subscriptions (per 100 people)"/>
    <m/>
    <x v="9"/>
  </r>
  <r>
    <x v="23"/>
    <s v="Mobile cellular subscriptions (per 100 people)"/>
    <m/>
    <x v="9"/>
  </r>
  <r>
    <x v="24"/>
    <s v="Mobile cellular subscriptions (per 100 people)"/>
    <m/>
    <x v="9"/>
  </r>
  <r>
    <x v="25"/>
    <s v="Mobile cellular subscriptions (per 100 people)"/>
    <m/>
    <x v="9"/>
  </r>
  <r>
    <x v="26"/>
    <s v="Mobile cellular subscriptions (per 100 people)"/>
    <m/>
    <x v="9"/>
  </r>
  <r>
    <x v="27"/>
    <s v="Mobile cellular subscriptions (per 100 people)"/>
    <m/>
    <x v="9"/>
  </r>
  <r>
    <x v="0"/>
    <s v="Mobile cellular subscriptions (per 100 people)"/>
    <m/>
    <x v="10"/>
  </r>
  <r>
    <x v="1"/>
    <s v="Mobile cellular subscriptions (per 100 people)"/>
    <m/>
    <x v="10"/>
  </r>
  <r>
    <x v="2"/>
    <s v="Mobile cellular subscriptions (per 100 people)"/>
    <m/>
    <x v="10"/>
  </r>
  <r>
    <x v="3"/>
    <s v="Mobile cellular subscriptions (per 100 people)"/>
    <m/>
    <x v="10"/>
  </r>
  <r>
    <x v="4"/>
    <s v="Mobile cellular subscriptions (per 100 people)"/>
    <m/>
    <x v="10"/>
  </r>
  <r>
    <x v="5"/>
    <s v="Mobile cellular subscriptions (per 100 people)"/>
    <m/>
    <x v="10"/>
  </r>
  <r>
    <x v="6"/>
    <s v="Mobile cellular subscriptions (per 100 people)"/>
    <m/>
    <x v="10"/>
  </r>
  <r>
    <x v="7"/>
    <s v="Mobile cellular subscriptions (per 100 people)"/>
    <m/>
    <x v="10"/>
  </r>
  <r>
    <x v="8"/>
    <s v="Mobile cellular subscriptions (per 100 people)"/>
    <m/>
    <x v="10"/>
  </r>
  <r>
    <x v="9"/>
    <s v="Mobile cellular subscriptions (per 100 people)"/>
    <m/>
    <x v="10"/>
  </r>
  <r>
    <x v="10"/>
    <s v="Mobile cellular subscriptions (per 100 people)"/>
    <m/>
    <x v="10"/>
  </r>
  <r>
    <x v="11"/>
    <s v="Mobile cellular subscriptions (per 100 people)"/>
    <m/>
    <x v="10"/>
  </r>
  <r>
    <x v="12"/>
    <s v="Mobile cellular subscriptions (per 100 people)"/>
    <m/>
    <x v="10"/>
  </r>
  <r>
    <x v="13"/>
    <s v="Mobile cellular subscriptions (per 100 people)"/>
    <m/>
    <x v="10"/>
  </r>
  <r>
    <x v="14"/>
    <s v="Mobile cellular subscriptions (per 100 people)"/>
    <m/>
    <x v="10"/>
  </r>
  <r>
    <x v="15"/>
    <s v="Mobile cellular subscriptions (per 100 people)"/>
    <m/>
    <x v="10"/>
  </r>
  <r>
    <x v="16"/>
    <s v="Mobile cellular subscriptions (per 100 people)"/>
    <m/>
    <x v="10"/>
  </r>
  <r>
    <x v="17"/>
    <s v="Mobile cellular subscriptions (per 100 people)"/>
    <m/>
    <x v="10"/>
  </r>
  <r>
    <x v="18"/>
    <s v="Mobile cellular subscriptions (per 100 people)"/>
    <m/>
    <x v="10"/>
  </r>
  <r>
    <x v="19"/>
    <s v="Mobile cellular subscriptions (per 100 people)"/>
    <m/>
    <x v="10"/>
  </r>
  <r>
    <x v="20"/>
    <s v="Mobile cellular subscriptions (per 100 people)"/>
    <m/>
    <x v="10"/>
  </r>
  <r>
    <x v="21"/>
    <s v="Mobile cellular subscriptions (per 100 people)"/>
    <m/>
    <x v="10"/>
  </r>
  <r>
    <x v="22"/>
    <s v="Mobile cellular subscriptions (per 100 people)"/>
    <m/>
    <x v="10"/>
  </r>
  <r>
    <x v="23"/>
    <s v="Mobile cellular subscriptions (per 100 people)"/>
    <m/>
    <x v="10"/>
  </r>
  <r>
    <x v="24"/>
    <s v="Mobile cellular subscriptions (per 100 people)"/>
    <m/>
    <x v="10"/>
  </r>
  <r>
    <x v="25"/>
    <s v="Mobile cellular subscriptions (per 100 people)"/>
    <m/>
    <x v="10"/>
  </r>
  <r>
    <x v="26"/>
    <s v="Mobile cellular subscriptions (per 100 people)"/>
    <m/>
    <x v="10"/>
  </r>
  <r>
    <x v="27"/>
    <s v="Mobile cellular subscriptions (per 100 people)"/>
    <m/>
    <x v="10"/>
  </r>
  <r>
    <x v="0"/>
    <s v="Mobile cellular subscriptions (per 100 people)"/>
    <m/>
    <x v="11"/>
  </r>
  <r>
    <x v="1"/>
    <s v="Mobile cellular subscriptions (per 100 people)"/>
    <m/>
    <x v="11"/>
  </r>
  <r>
    <x v="2"/>
    <s v="Mobile cellular subscriptions (per 100 people)"/>
    <m/>
    <x v="11"/>
  </r>
  <r>
    <x v="3"/>
    <s v="Mobile cellular subscriptions (per 100 people)"/>
    <m/>
    <x v="11"/>
  </r>
  <r>
    <x v="4"/>
    <s v="Mobile cellular subscriptions (per 100 people)"/>
    <m/>
    <x v="11"/>
  </r>
  <r>
    <x v="5"/>
    <s v="Mobile cellular subscriptions (per 100 people)"/>
    <m/>
    <x v="11"/>
  </r>
  <r>
    <x v="6"/>
    <s v="Mobile cellular subscriptions (per 100 people)"/>
    <m/>
    <x v="11"/>
  </r>
  <r>
    <x v="7"/>
    <s v="Mobile cellular subscriptions (per 100 people)"/>
    <m/>
    <x v="11"/>
  </r>
  <r>
    <x v="8"/>
    <s v="Mobile cellular subscriptions (per 100 people)"/>
    <m/>
    <x v="11"/>
  </r>
  <r>
    <x v="9"/>
    <s v="Mobile cellular subscriptions (per 100 people)"/>
    <m/>
    <x v="11"/>
  </r>
  <r>
    <x v="10"/>
    <s v="Mobile cellular subscriptions (per 100 people)"/>
    <m/>
    <x v="11"/>
  </r>
  <r>
    <x v="11"/>
    <s v="Mobile cellular subscriptions (per 100 people)"/>
    <m/>
    <x v="11"/>
  </r>
  <r>
    <x v="12"/>
    <s v="Mobile cellular subscriptions (per 100 people)"/>
    <m/>
    <x v="11"/>
  </r>
  <r>
    <x v="13"/>
    <s v="Mobile cellular subscriptions (per 100 people)"/>
    <m/>
    <x v="11"/>
  </r>
  <r>
    <x v="14"/>
    <s v="Mobile cellular subscriptions (per 100 people)"/>
    <m/>
    <x v="11"/>
  </r>
  <r>
    <x v="15"/>
    <s v="Mobile cellular subscriptions (per 100 people)"/>
    <m/>
    <x v="11"/>
  </r>
  <r>
    <x v="16"/>
    <s v="Mobile cellular subscriptions (per 100 people)"/>
    <m/>
    <x v="11"/>
  </r>
  <r>
    <x v="17"/>
    <s v="Mobile cellular subscriptions (per 100 people)"/>
    <m/>
    <x v="11"/>
  </r>
  <r>
    <x v="18"/>
    <s v="Mobile cellular subscriptions (per 100 people)"/>
    <m/>
    <x v="11"/>
  </r>
  <r>
    <x v="19"/>
    <s v="Mobile cellular subscriptions (per 100 people)"/>
    <m/>
    <x v="11"/>
  </r>
  <r>
    <x v="20"/>
    <s v="Mobile cellular subscriptions (per 100 people)"/>
    <m/>
    <x v="11"/>
  </r>
  <r>
    <x v="21"/>
    <s v="Mobile cellular subscriptions (per 100 people)"/>
    <m/>
    <x v="11"/>
  </r>
  <r>
    <x v="22"/>
    <s v="Mobile cellular subscriptions (per 100 people)"/>
    <m/>
    <x v="11"/>
  </r>
  <r>
    <x v="23"/>
    <s v="Mobile cellular subscriptions (per 100 people)"/>
    <m/>
    <x v="11"/>
  </r>
  <r>
    <x v="24"/>
    <s v="Mobile cellular subscriptions (per 100 people)"/>
    <m/>
    <x v="11"/>
  </r>
  <r>
    <x v="25"/>
    <s v="Mobile cellular subscriptions (per 100 people)"/>
    <m/>
    <x v="11"/>
  </r>
  <r>
    <x v="26"/>
    <s v="Mobile cellular subscriptions (per 100 people)"/>
    <m/>
    <x v="11"/>
  </r>
  <r>
    <x v="27"/>
    <s v="Mobile cellular subscriptions (per 100 people)"/>
    <m/>
    <x v="11"/>
  </r>
  <r>
    <x v="0"/>
    <s v="Mobile cellular subscriptions (per 100 people)"/>
    <m/>
    <x v="12"/>
  </r>
  <r>
    <x v="1"/>
    <s v="Mobile cellular subscriptions (per 100 people)"/>
    <m/>
    <x v="12"/>
  </r>
  <r>
    <x v="2"/>
    <s v="Mobile cellular subscriptions (per 100 people)"/>
    <m/>
    <x v="12"/>
  </r>
  <r>
    <x v="3"/>
    <s v="Mobile cellular subscriptions (per 100 people)"/>
    <m/>
    <x v="12"/>
  </r>
  <r>
    <x v="4"/>
    <s v="Mobile cellular subscriptions (per 100 people)"/>
    <m/>
    <x v="12"/>
  </r>
  <r>
    <x v="5"/>
    <s v="Mobile cellular subscriptions (per 100 people)"/>
    <m/>
    <x v="12"/>
  </r>
  <r>
    <x v="6"/>
    <s v="Mobile cellular subscriptions (per 100 people)"/>
    <m/>
    <x v="12"/>
  </r>
  <r>
    <x v="7"/>
    <s v="Mobile cellular subscriptions (per 100 people)"/>
    <m/>
    <x v="12"/>
  </r>
  <r>
    <x v="8"/>
    <s v="Mobile cellular subscriptions (per 100 people)"/>
    <m/>
    <x v="12"/>
  </r>
  <r>
    <x v="9"/>
    <s v="Mobile cellular subscriptions (per 100 people)"/>
    <m/>
    <x v="12"/>
  </r>
  <r>
    <x v="10"/>
    <s v="Mobile cellular subscriptions (per 100 people)"/>
    <m/>
    <x v="12"/>
  </r>
  <r>
    <x v="11"/>
    <s v="Mobile cellular subscriptions (per 100 people)"/>
    <m/>
    <x v="12"/>
  </r>
  <r>
    <x v="12"/>
    <s v="Mobile cellular subscriptions (per 100 people)"/>
    <m/>
    <x v="12"/>
  </r>
  <r>
    <x v="13"/>
    <s v="Mobile cellular subscriptions (per 100 people)"/>
    <m/>
    <x v="12"/>
  </r>
  <r>
    <x v="14"/>
    <s v="Mobile cellular subscriptions (per 100 people)"/>
    <m/>
    <x v="12"/>
  </r>
  <r>
    <x v="15"/>
    <s v="Mobile cellular subscriptions (per 100 people)"/>
    <m/>
    <x v="12"/>
  </r>
  <r>
    <x v="16"/>
    <s v="Mobile cellular subscriptions (per 100 people)"/>
    <m/>
    <x v="12"/>
  </r>
  <r>
    <x v="17"/>
    <s v="Mobile cellular subscriptions (per 100 people)"/>
    <m/>
    <x v="12"/>
  </r>
  <r>
    <x v="18"/>
    <s v="Mobile cellular subscriptions (per 100 people)"/>
    <m/>
    <x v="12"/>
  </r>
  <r>
    <x v="19"/>
    <s v="Mobile cellular subscriptions (per 100 people)"/>
    <m/>
    <x v="12"/>
  </r>
  <r>
    <x v="20"/>
    <s v="Mobile cellular subscriptions (per 100 people)"/>
    <m/>
    <x v="12"/>
  </r>
  <r>
    <x v="21"/>
    <s v="Mobile cellular subscriptions (per 100 people)"/>
    <m/>
    <x v="12"/>
  </r>
  <r>
    <x v="22"/>
    <s v="Mobile cellular subscriptions (per 100 people)"/>
    <m/>
    <x v="12"/>
  </r>
  <r>
    <x v="23"/>
    <s v="Mobile cellular subscriptions (per 100 people)"/>
    <m/>
    <x v="12"/>
  </r>
  <r>
    <x v="24"/>
    <s v="Mobile cellular subscriptions (per 100 people)"/>
    <m/>
    <x v="12"/>
  </r>
  <r>
    <x v="25"/>
    <s v="Mobile cellular subscriptions (per 100 people)"/>
    <m/>
    <x v="12"/>
  </r>
  <r>
    <x v="26"/>
    <s v="Mobile cellular subscriptions (per 100 people)"/>
    <m/>
    <x v="12"/>
  </r>
  <r>
    <x v="27"/>
    <s v="Mobile cellular subscriptions (per 100 people)"/>
    <m/>
    <x v="12"/>
  </r>
  <r>
    <x v="0"/>
    <s v="Mobile cellular subscriptions (per 100 people)"/>
    <m/>
    <x v="13"/>
  </r>
  <r>
    <x v="1"/>
    <s v="Mobile cellular subscriptions (per 100 people)"/>
    <m/>
    <x v="13"/>
  </r>
  <r>
    <x v="2"/>
    <s v="Mobile cellular subscriptions (per 100 people)"/>
    <m/>
    <x v="13"/>
  </r>
  <r>
    <x v="3"/>
    <s v="Mobile cellular subscriptions (per 100 people)"/>
    <m/>
    <x v="13"/>
  </r>
  <r>
    <x v="4"/>
    <s v="Mobile cellular subscriptions (per 100 people)"/>
    <m/>
    <x v="13"/>
  </r>
  <r>
    <x v="5"/>
    <s v="Mobile cellular subscriptions (per 100 people)"/>
    <m/>
    <x v="13"/>
  </r>
  <r>
    <x v="6"/>
    <s v="Mobile cellular subscriptions (per 100 people)"/>
    <m/>
    <x v="13"/>
  </r>
  <r>
    <x v="7"/>
    <s v="Mobile cellular subscriptions (per 100 people)"/>
    <m/>
    <x v="13"/>
  </r>
  <r>
    <x v="8"/>
    <s v="Mobile cellular subscriptions (per 100 people)"/>
    <m/>
    <x v="13"/>
  </r>
  <r>
    <x v="9"/>
    <s v="Mobile cellular subscriptions (per 100 people)"/>
    <m/>
    <x v="13"/>
  </r>
  <r>
    <x v="10"/>
    <s v="Mobile cellular subscriptions (per 100 people)"/>
    <m/>
    <x v="13"/>
  </r>
  <r>
    <x v="11"/>
    <s v="Mobile cellular subscriptions (per 100 people)"/>
    <m/>
    <x v="13"/>
  </r>
  <r>
    <x v="12"/>
    <s v="Mobile cellular subscriptions (per 100 people)"/>
    <m/>
    <x v="13"/>
  </r>
  <r>
    <x v="13"/>
    <s v="Mobile cellular subscriptions (per 100 people)"/>
    <m/>
    <x v="13"/>
  </r>
  <r>
    <x v="14"/>
    <s v="Mobile cellular subscriptions (per 100 people)"/>
    <m/>
    <x v="13"/>
  </r>
  <r>
    <x v="15"/>
    <s v="Mobile cellular subscriptions (per 100 people)"/>
    <m/>
    <x v="13"/>
  </r>
  <r>
    <x v="16"/>
    <s v="Mobile cellular subscriptions (per 100 people)"/>
    <m/>
    <x v="13"/>
  </r>
  <r>
    <x v="17"/>
    <s v="Mobile cellular subscriptions (per 100 people)"/>
    <m/>
    <x v="13"/>
  </r>
  <r>
    <x v="18"/>
    <s v="Mobile cellular subscriptions (per 100 people)"/>
    <m/>
    <x v="13"/>
  </r>
  <r>
    <x v="19"/>
    <s v="Mobile cellular subscriptions (per 100 people)"/>
    <m/>
    <x v="13"/>
  </r>
  <r>
    <x v="20"/>
    <s v="Mobile cellular subscriptions (per 100 people)"/>
    <m/>
    <x v="13"/>
  </r>
  <r>
    <x v="21"/>
    <s v="Mobile cellular subscriptions (per 100 people)"/>
    <m/>
    <x v="13"/>
  </r>
  <r>
    <x v="22"/>
    <s v="Mobile cellular subscriptions (per 100 people)"/>
    <m/>
    <x v="13"/>
  </r>
  <r>
    <x v="23"/>
    <s v="Mobile cellular subscriptions (per 100 people)"/>
    <m/>
    <x v="13"/>
  </r>
  <r>
    <x v="24"/>
    <s v="Mobile cellular subscriptions (per 100 people)"/>
    <m/>
    <x v="13"/>
  </r>
  <r>
    <x v="25"/>
    <s v="Mobile cellular subscriptions (per 100 people)"/>
    <m/>
    <x v="13"/>
  </r>
  <r>
    <x v="26"/>
    <s v="Mobile cellular subscriptions (per 100 people)"/>
    <m/>
    <x v="13"/>
  </r>
  <r>
    <x v="27"/>
    <s v="Mobile cellular subscriptions (per 100 people)"/>
    <m/>
    <x v="13"/>
  </r>
  <r>
    <x v="0"/>
    <s v="Mobile cellular subscriptions (per 100 people)"/>
    <m/>
    <x v="14"/>
  </r>
  <r>
    <x v="1"/>
    <s v="Mobile cellular subscriptions (per 100 people)"/>
    <m/>
    <x v="14"/>
  </r>
  <r>
    <x v="2"/>
    <s v="Mobile cellular subscriptions (per 100 people)"/>
    <m/>
    <x v="14"/>
  </r>
  <r>
    <x v="3"/>
    <s v="Mobile cellular subscriptions (per 100 people)"/>
    <m/>
    <x v="14"/>
  </r>
  <r>
    <x v="4"/>
    <s v="Mobile cellular subscriptions (per 100 people)"/>
    <m/>
    <x v="14"/>
  </r>
  <r>
    <x v="5"/>
    <s v="Mobile cellular subscriptions (per 100 people)"/>
    <m/>
    <x v="14"/>
  </r>
  <r>
    <x v="6"/>
    <s v="Mobile cellular subscriptions (per 100 people)"/>
    <m/>
    <x v="14"/>
  </r>
  <r>
    <x v="7"/>
    <s v="Mobile cellular subscriptions (per 100 people)"/>
    <m/>
    <x v="14"/>
  </r>
  <r>
    <x v="8"/>
    <s v="Mobile cellular subscriptions (per 100 people)"/>
    <m/>
    <x v="14"/>
  </r>
  <r>
    <x v="9"/>
    <s v="Mobile cellular subscriptions (per 100 people)"/>
    <m/>
    <x v="14"/>
  </r>
  <r>
    <x v="10"/>
    <s v="Mobile cellular subscriptions (per 100 people)"/>
    <m/>
    <x v="14"/>
  </r>
  <r>
    <x v="11"/>
    <s v="Mobile cellular subscriptions (per 100 people)"/>
    <m/>
    <x v="14"/>
  </r>
  <r>
    <x v="12"/>
    <s v="Mobile cellular subscriptions (per 100 people)"/>
    <m/>
    <x v="14"/>
  </r>
  <r>
    <x v="13"/>
    <s v="Mobile cellular subscriptions (per 100 people)"/>
    <m/>
    <x v="14"/>
  </r>
  <r>
    <x v="14"/>
    <s v="Mobile cellular subscriptions (per 100 people)"/>
    <m/>
    <x v="14"/>
  </r>
  <r>
    <x v="15"/>
    <s v="Mobile cellular subscriptions (per 100 people)"/>
    <m/>
    <x v="14"/>
  </r>
  <r>
    <x v="16"/>
    <s v="Mobile cellular subscriptions (per 100 people)"/>
    <m/>
    <x v="14"/>
  </r>
  <r>
    <x v="17"/>
    <s v="Mobile cellular subscriptions (per 100 people)"/>
    <m/>
    <x v="14"/>
  </r>
  <r>
    <x v="18"/>
    <s v="Mobile cellular subscriptions (per 100 people)"/>
    <m/>
    <x v="14"/>
  </r>
  <r>
    <x v="19"/>
    <s v="Mobile cellular subscriptions (per 100 people)"/>
    <m/>
    <x v="14"/>
  </r>
  <r>
    <x v="20"/>
    <s v="Mobile cellular subscriptions (per 100 people)"/>
    <m/>
    <x v="14"/>
  </r>
  <r>
    <x v="21"/>
    <s v="Mobile cellular subscriptions (per 100 people)"/>
    <m/>
    <x v="14"/>
  </r>
  <r>
    <x v="22"/>
    <s v="Mobile cellular subscriptions (per 100 people)"/>
    <m/>
    <x v="14"/>
  </r>
  <r>
    <x v="23"/>
    <s v="Mobile cellular subscriptions (per 100 people)"/>
    <m/>
    <x v="14"/>
  </r>
  <r>
    <x v="24"/>
    <s v="Mobile cellular subscriptions (per 100 people)"/>
    <m/>
    <x v="14"/>
  </r>
  <r>
    <x v="25"/>
    <s v="Mobile cellular subscriptions (per 100 people)"/>
    <m/>
    <x v="14"/>
  </r>
  <r>
    <x v="26"/>
    <s v="Mobile cellular subscriptions (per 100 people)"/>
    <m/>
    <x v="14"/>
  </r>
  <r>
    <x v="27"/>
    <s v="Mobile cellular subscriptions (per 100 people)"/>
    <m/>
    <x v="14"/>
  </r>
  <r>
    <x v="0"/>
    <s v="Mobile cellular subscriptions (per 100 people)"/>
    <m/>
    <x v="15"/>
  </r>
  <r>
    <x v="1"/>
    <s v="Mobile cellular subscriptions (per 100 people)"/>
    <m/>
    <x v="15"/>
  </r>
  <r>
    <x v="2"/>
    <s v="Mobile cellular subscriptions (per 100 people)"/>
    <m/>
    <x v="15"/>
  </r>
  <r>
    <x v="3"/>
    <s v="Mobile cellular subscriptions (per 100 people)"/>
    <m/>
    <x v="15"/>
  </r>
  <r>
    <x v="4"/>
    <s v="Mobile cellular subscriptions (per 100 people)"/>
    <m/>
    <x v="15"/>
  </r>
  <r>
    <x v="5"/>
    <s v="Mobile cellular subscriptions (per 100 people)"/>
    <m/>
    <x v="15"/>
  </r>
  <r>
    <x v="6"/>
    <s v="Mobile cellular subscriptions (per 100 people)"/>
    <m/>
    <x v="15"/>
  </r>
  <r>
    <x v="7"/>
    <s v="Mobile cellular subscriptions (per 100 people)"/>
    <m/>
    <x v="15"/>
  </r>
  <r>
    <x v="8"/>
    <s v="Mobile cellular subscriptions (per 100 people)"/>
    <m/>
    <x v="15"/>
  </r>
  <r>
    <x v="9"/>
    <s v="Mobile cellular subscriptions (per 100 people)"/>
    <m/>
    <x v="15"/>
  </r>
  <r>
    <x v="10"/>
    <s v="Mobile cellular subscriptions (per 100 people)"/>
    <m/>
    <x v="15"/>
  </r>
  <r>
    <x v="11"/>
    <s v="Mobile cellular subscriptions (per 100 people)"/>
    <m/>
    <x v="15"/>
  </r>
  <r>
    <x v="12"/>
    <s v="Mobile cellular subscriptions (per 100 people)"/>
    <m/>
    <x v="15"/>
  </r>
  <r>
    <x v="13"/>
    <s v="Mobile cellular subscriptions (per 100 people)"/>
    <m/>
    <x v="15"/>
  </r>
  <r>
    <x v="14"/>
    <s v="Mobile cellular subscriptions (per 100 people)"/>
    <m/>
    <x v="15"/>
  </r>
  <r>
    <x v="15"/>
    <s v="Mobile cellular subscriptions (per 100 people)"/>
    <m/>
    <x v="15"/>
  </r>
  <r>
    <x v="16"/>
    <s v="Mobile cellular subscriptions (per 100 people)"/>
    <m/>
    <x v="15"/>
  </r>
  <r>
    <x v="17"/>
    <s v="Mobile cellular subscriptions (per 100 people)"/>
    <m/>
    <x v="15"/>
  </r>
  <r>
    <x v="18"/>
    <s v="Mobile cellular subscriptions (per 100 people)"/>
    <m/>
    <x v="15"/>
  </r>
  <r>
    <x v="19"/>
    <s v="Mobile cellular subscriptions (per 100 people)"/>
    <m/>
    <x v="15"/>
  </r>
  <r>
    <x v="20"/>
    <s v="Mobile cellular subscriptions (per 100 people)"/>
    <m/>
    <x v="15"/>
  </r>
  <r>
    <x v="21"/>
    <s v="Mobile cellular subscriptions (per 100 people)"/>
    <m/>
    <x v="15"/>
  </r>
  <r>
    <x v="22"/>
    <s v="Mobile cellular subscriptions (per 100 people)"/>
    <m/>
    <x v="15"/>
  </r>
  <r>
    <x v="23"/>
    <s v="Mobile cellular subscriptions (per 100 people)"/>
    <m/>
    <x v="15"/>
  </r>
  <r>
    <x v="24"/>
    <s v="Mobile cellular subscriptions (per 100 people)"/>
    <m/>
    <x v="15"/>
  </r>
  <r>
    <x v="25"/>
    <s v="Mobile cellular subscriptions (per 100 people)"/>
    <m/>
    <x v="15"/>
  </r>
  <r>
    <x v="26"/>
    <s v="Mobile cellular subscriptions (per 100 people)"/>
    <m/>
    <x v="15"/>
  </r>
  <r>
    <x v="27"/>
    <s v="Mobile cellular subscriptions (per 100 people)"/>
    <m/>
    <x v="15"/>
  </r>
  <r>
    <x v="0"/>
    <s v="Mobile cellular subscriptions (per 100 people)"/>
    <m/>
    <x v="16"/>
  </r>
  <r>
    <x v="1"/>
    <s v="Mobile cellular subscriptions (per 100 people)"/>
    <m/>
    <x v="16"/>
  </r>
  <r>
    <x v="2"/>
    <s v="Mobile cellular subscriptions (per 100 people)"/>
    <m/>
    <x v="16"/>
  </r>
  <r>
    <x v="3"/>
    <s v="Mobile cellular subscriptions (per 100 people)"/>
    <m/>
    <x v="16"/>
  </r>
  <r>
    <x v="4"/>
    <s v="Mobile cellular subscriptions (per 100 people)"/>
    <m/>
    <x v="16"/>
  </r>
  <r>
    <x v="5"/>
    <s v="Mobile cellular subscriptions (per 100 people)"/>
    <m/>
    <x v="16"/>
  </r>
  <r>
    <x v="6"/>
    <s v="Mobile cellular subscriptions (per 100 people)"/>
    <m/>
    <x v="16"/>
  </r>
  <r>
    <x v="7"/>
    <s v="Mobile cellular subscriptions (per 100 people)"/>
    <m/>
    <x v="16"/>
  </r>
  <r>
    <x v="8"/>
    <s v="Mobile cellular subscriptions (per 100 people)"/>
    <m/>
    <x v="16"/>
  </r>
  <r>
    <x v="9"/>
    <s v="Mobile cellular subscriptions (per 100 people)"/>
    <m/>
    <x v="16"/>
  </r>
  <r>
    <x v="10"/>
    <s v="Mobile cellular subscriptions (per 100 people)"/>
    <m/>
    <x v="16"/>
  </r>
  <r>
    <x v="11"/>
    <s v="Mobile cellular subscriptions (per 100 people)"/>
    <m/>
    <x v="16"/>
  </r>
  <r>
    <x v="12"/>
    <s v="Mobile cellular subscriptions (per 100 people)"/>
    <m/>
    <x v="16"/>
  </r>
  <r>
    <x v="13"/>
    <s v="Mobile cellular subscriptions (per 100 people)"/>
    <m/>
    <x v="16"/>
  </r>
  <r>
    <x v="14"/>
    <s v="Mobile cellular subscriptions (per 100 people)"/>
    <m/>
    <x v="16"/>
  </r>
  <r>
    <x v="15"/>
    <s v="Mobile cellular subscriptions (per 100 people)"/>
    <m/>
    <x v="16"/>
  </r>
  <r>
    <x v="16"/>
    <s v="Mobile cellular subscriptions (per 100 people)"/>
    <m/>
    <x v="16"/>
  </r>
  <r>
    <x v="17"/>
    <s v="Mobile cellular subscriptions (per 100 people)"/>
    <m/>
    <x v="16"/>
  </r>
  <r>
    <x v="18"/>
    <s v="Mobile cellular subscriptions (per 100 people)"/>
    <m/>
    <x v="16"/>
  </r>
  <r>
    <x v="19"/>
    <s v="Mobile cellular subscriptions (per 100 people)"/>
    <m/>
    <x v="16"/>
  </r>
  <r>
    <x v="20"/>
    <s v="Mobile cellular subscriptions (per 100 people)"/>
    <m/>
    <x v="16"/>
  </r>
  <r>
    <x v="21"/>
    <s v="Mobile cellular subscriptions (per 100 people)"/>
    <m/>
    <x v="16"/>
  </r>
  <r>
    <x v="22"/>
    <s v="Mobile cellular subscriptions (per 100 people)"/>
    <m/>
    <x v="16"/>
  </r>
  <r>
    <x v="23"/>
    <s v="Mobile cellular subscriptions (per 100 people)"/>
    <m/>
    <x v="16"/>
  </r>
  <r>
    <x v="24"/>
    <s v="Mobile cellular subscriptions (per 100 people)"/>
    <m/>
    <x v="16"/>
  </r>
  <r>
    <x v="25"/>
    <s v="Mobile cellular subscriptions (per 100 people)"/>
    <m/>
    <x v="16"/>
  </r>
  <r>
    <x v="26"/>
    <s v="Mobile cellular subscriptions (per 100 people)"/>
    <m/>
    <x v="16"/>
  </r>
  <r>
    <x v="27"/>
    <s v="Mobile cellular subscriptions (per 100 people)"/>
    <m/>
    <x v="16"/>
  </r>
  <r>
    <x v="0"/>
    <s v="Mobile cellular subscriptions (per 100 people)"/>
    <m/>
    <x v="17"/>
  </r>
  <r>
    <x v="1"/>
    <s v="Mobile cellular subscriptions (per 100 people)"/>
    <m/>
    <x v="17"/>
  </r>
  <r>
    <x v="2"/>
    <s v="Mobile cellular subscriptions (per 100 people)"/>
    <m/>
    <x v="17"/>
  </r>
  <r>
    <x v="3"/>
    <s v="Mobile cellular subscriptions (per 100 people)"/>
    <m/>
    <x v="17"/>
  </r>
  <r>
    <x v="4"/>
    <s v="Mobile cellular subscriptions (per 100 people)"/>
    <m/>
    <x v="17"/>
  </r>
  <r>
    <x v="5"/>
    <s v="Mobile cellular subscriptions (per 100 people)"/>
    <m/>
    <x v="17"/>
  </r>
  <r>
    <x v="6"/>
    <s v="Mobile cellular subscriptions (per 100 people)"/>
    <m/>
    <x v="17"/>
  </r>
  <r>
    <x v="7"/>
    <s v="Mobile cellular subscriptions (per 100 people)"/>
    <m/>
    <x v="17"/>
  </r>
  <r>
    <x v="8"/>
    <s v="Mobile cellular subscriptions (per 100 people)"/>
    <m/>
    <x v="17"/>
  </r>
  <r>
    <x v="9"/>
    <s v="Mobile cellular subscriptions (per 100 people)"/>
    <m/>
    <x v="17"/>
  </r>
  <r>
    <x v="10"/>
    <s v="Mobile cellular subscriptions (per 100 people)"/>
    <m/>
    <x v="17"/>
  </r>
  <r>
    <x v="11"/>
    <s v="Mobile cellular subscriptions (per 100 people)"/>
    <m/>
    <x v="17"/>
  </r>
  <r>
    <x v="12"/>
    <s v="Mobile cellular subscriptions (per 100 people)"/>
    <m/>
    <x v="17"/>
  </r>
  <r>
    <x v="13"/>
    <s v="Mobile cellular subscriptions (per 100 people)"/>
    <m/>
    <x v="17"/>
  </r>
  <r>
    <x v="14"/>
    <s v="Mobile cellular subscriptions (per 100 people)"/>
    <m/>
    <x v="17"/>
  </r>
  <r>
    <x v="15"/>
    <s v="Mobile cellular subscriptions (per 100 people)"/>
    <m/>
    <x v="17"/>
  </r>
  <r>
    <x v="16"/>
    <s v="Mobile cellular subscriptions (per 100 people)"/>
    <m/>
    <x v="17"/>
  </r>
  <r>
    <x v="17"/>
    <s v="Mobile cellular subscriptions (per 100 people)"/>
    <m/>
    <x v="17"/>
  </r>
  <r>
    <x v="18"/>
    <s v="Mobile cellular subscriptions (per 100 people)"/>
    <m/>
    <x v="17"/>
  </r>
  <r>
    <x v="19"/>
    <s v="Mobile cellular subscriptions (per 100 people)"/>
    <m/>
    <x v="17"/>
  </r>
  <r>
    <x v="20"/>
    <s v="Mobile cellular subscriptions (per 100 people)"/>
    <m/>
    <x v="17"/>
  </r>
  <r>
    <x v="21"/>
    <s v="Mobile cellular subscriptions (per 100 people)"/>
    <m/>
    <x v="17"/>
  </r>
  <r>
    <x v="22"/>
    <s v="Mobile cellular subscriptions (per 100 people)"/>
    <m/>
    <x v="17"/>
  </r>
  <r>
    <x v="23"/>
    <s v="Mobile cellular subscriptions (per 100 people)"/>
    <m/>
    <x v="17"/>
  </r>
  <r>
    <x v="24"/>
    <s v="Mobile cellular subscriptions (per 100 people)"/>
    <m/>
    <x v="17"/>
  </r>
  <r>
    <x v="25"/>
    <s v="Mobile cellular subscriptions (per 100 people)"/>
    <m/>
    <x v="17"/>
  </r>
  <r>
    <x v="26"/>
    <s v="Mobile cellular subscriptions (per 100 people)"/>
    <m/>
    <x v="17"/>
  </r>
  <r>
    <x v="27"/>
    <s v="Mobile cellular subscriptions (per 100 people)"/>
    <m/>
    <x v="17"/>
  </r>
  <r>
    <x v="0"/>
    <s v="Mobile cellular subscriptions (per 100 people)"/>
    <m/>
    <x v="18"/>
  </r>
  <r>
    <x v="1"/>
    <s v="Mobile cellular subscriptions (per 100 people)"/>
    <m/>
    <x v="18"/>
  </r>
  <r>
    <x v="2"/>
    <s v="Mobile cellular subscriptions (per 100 people)"/>
    <m/>
    <x v="18"/>
  </r>
  <r>
    <x v="3"/>
    <s v="Mobile cellular subscriptions (per 100 people)"/>
    <m/>
    <x v="18"/>
  </r>
  <r>
    <x v="4"/>
    <s v="Mobile cellular subscriptions (per 100 people)"/>
    <m/>
    <x v="18"/>
  </r>
  <r>
    <x v="5"/>
    <s v="Mobile cellular subscriptions (per 100 people)"/>
    <m/>
    <x v="18"/>
  </r>
  <r>
    <x v="6"/>
    <s v="Mobile cellular subscriptions (per 100 people)"/>
    <m/>
    <x v="18"/>
  </r>
  <r>
    <x v="7"/>
    <s v="Mobile cellular subscriptions (per 100 people)"/>
    <m/>
    <x v="18"/>
  </r>
  <r>
    <x v="8"/>
    <s v="Mobile cellular subscriptions (per 100 people)"/>
    <m/>
    <x v="18"/>
  </r>
  <r>
    <x v="9"/>
    <s v="Mobile cellular subscriptions (per 100 people)"/>
    <m/>
    <x v="18"/>
  </r>
  <r>
    <x v="10"/>
    <s v="Mobile cellular subscriptions (per 100 people)"/>
    <m/>
    <x v="18"/>
  </r>
  <r>
    <x v="11"/>
    <s v="Mobile cellular subscriptions (per 100 people)"/>
    <m/>
    <x v="18"/>
  </r>
  <r>
    <x v="12"/>
    <s v="Mobile cellular subscriptions (per 100 people)"/>
    <m/>
    <x v="18"/>
  </r>
  <r>
    <x v="13"/>
    <s v="Mobile cellular subscriptions (per 100 people)"/>
    <m/>
    <x v="18"/>
  </r>
  <r>
    <x v="14"/>
    <s v="Mobile cellular subscriptions (per 100 people)"/>
    <m/>
    <x v="18"/>
  </r>
  <r>
    <x v="15"/>
    <s v="Mobile cellular subscriptions (per 100 people)"/>
    <m/>
    <x v="18"/>
  </r>
  <r>
    <x v="16"/>
    <s v="Mobile cellular subscriptions (per 100 people)"/>
    <m/>
    <x v="18"/>
  </r>
  <r>
    <x v="17"/>
    <s v="Mobile cellular subscriptions (per 100 people)"/>
    <m/>
    <x v="18"/>
  </r>
  <r>
    <x v="18"/>
    <s v="Mobile cellular subscriptions (per 100 people)"/>
    <m/>
    <x v="18"/>
  </r>
  <r>
    <x v="19"/>
    <s v="Mobile cellular subscriptions (per 100 people)"/>
    <m/>
    <x v="18"/>
  </r>
  <r>
    <x v="20"/>
    <s v="Mobile cellular subscriptions (per 100 people)"/>
    <m/>
    <x v="18"/>
  </r>
  <r>
    <x v="21"/>
    <s v="Mobile cellular subscriptions (per 100 people)"/>
    <m/>
    <x v="18"/>
  </r>
  <r>
    <x v="22"/>
    <s v="Mobile cellular subscriptions (per 100 people)"/>
    <m/>
    <x v="18"/>
  </r>
  <r>
    <x v="23"/>
    <s v="Mobile cellular subscriptions (per 100 people)"/>
    <m/>
    <x v="18"/>
  </r>
  <r>
    <x v="24"/>
    <s v="Mobile cellular subscriptions (per 100 people)"/>
    <m/>
    <x v="18"/>
  </r>
  <r>
    <x v="25"/>
    <s v="Mobile cellular subscriptions (per 100 people)"/>
    <m/>
    <x v="18"/>
  </r>
  <r>
    <x v="26"/>
    <s v="Mobile cellular subscriptions (per 100 people)"/>
    <m/>
    <x v="18"/>
  </r>
  <r>
    <x v="27"/>
    <s v="Mobile cellular subscriptions (per 100 people)"/>
    <m/>
    <x v="18"/>
  </r>
  <r>
    <x v="0"/>
    <s v="Mobile cellular subscriptions (per 100 people)"/>
    <m/>
    <x v="19"/>
  </r>
  <r>
    <x v="1"/>
    <s v="Mobile cellular subscriptions (per 100 people)"/>
    <m/>
    <x v="19"/>
  </r>
  <r>
    <x v="2"/>
    <s v="Mobile cellular subscriptions (per 100 people)"/>
    <m/>
    <x v="19"/>
  </r>
  <r>
    <x v="3"/>
    <s v="Mobile cellular subscriptions (per 100 people)"/>
    <m/>
    <x v="19"/>
  </r>
  <r>
    <x v="4"/>
    <s v="Mobile cellular subscriptions (per 100 people)"/>
    <m/>
    <x v="19"/>
  </r>
  <r>
    <x v="5"/>
    <s v="Mobile cellular subscriptions (per 100 people)"/>
    <m/>
    <x v="19"/>
  </r>
  <r>
    <x v="6"/>
    <s v="Mobile cellular subscriptions (per 100 people)"/>
    <m/>
    <x v="19"/>
  </r>
  <r>
    <x v="7"/>
    <s v="Mobile cellular subscriptions (per 100 people)"/>
    <m/>
    <x v="19"/>
  </r>
  <r>
    <x v="8"/>
    <s v="Mobile cellular subscriptions (per 100 people)"/>
    <m/>
    <x v="19"/>
  </r>
  <r>
    <x v="9"/>
    <s v="Mobile cellular subscriptions (per 100 people)"/>
    <m/>
    <x v="19"/>
  </r>
  <r>
    <x v="10"/>
    <s v="Mobile cellular subscriptions (per 100 people)"/>
    <m/>
    <x v="19"/>
  </r>
  <r>
    <x v="11"/>
    <s v="Mobile cellular subscriptions (per 100 people)"/>
    <m/>
    <x v="19"/>
  </r>
  <r>
    <x v="12"/>
    <s v="Mobile cellular subscriptions (per 100 people)"/>
    <m/>
    <x v="19"/>
  </r>
  <r>
    <x v="13"/>
    <s v="Mobile cellular subscriptions (per 100 people)"/>
    <m/>
    <x v="19"/>
  </r>
  <r>
    <x v="14"/>
    <s v="Mobile cellular subscriptions (per 100 people)"/>
    <m/>
    <x v="19"/>
  </r>
  <r>
    <x v="15"/>
    <s v="Mobile cellular subscriptions (per 100 people)"/>
    <m/>
    <x v="19"/>
  </r>
  <r>
    <x v="16"/>
    <s v="Mobile cellular subscriptions (per 100 people)"/>
    <m/>
    <x v="19"/>
  </r>
  <r>
    <x v="17"/>
    <s v="Mobile cellular subscriptions (per 100 people)"/>
    <m/>
    <x v="19"/>
  </r>
  <r>
    <x v="18"/>
    <s v="Mobile cellular subscriptions (per 100 people)"/>
    <m/>
    <x v="19"/>
  </r>
  <r>
    <x v="19"/>
    <s v="Mobile cellular subscriptions (per 100 people)"/>
    <m/>
    <x v="19"/>
  </r>
  <r>
    <x v="20"/>
    <s v="Mobile cellular subscriptions (per 100 people)"/>
    <m/>
    <x v="19"/>
  </r>
  <r>
    <x v="21"/>
    <s v="Mobile cellular subscriptions (per 100 people)"/>
    <m/>
    <x v="19"/>
  </r>
  <r>
    <x v="22"/>
    <s v="Mobile cellular subscriptions (per 100 people)"/>
    <m/>
    <x v="19"/>
  </r>
  <r>
    <x v="23"/>
    <s v="Mobile cellular subscriptions (per 100 people)"/>
    <m/>
    <x v="19"/>
  </r>
  <r>
    <x v="24"/>
    <s v="Mobile cellular subscriptions (per 100 people)"/>
    <m/>
    <x v="19"/>
  </r>
  <r>
    <x v="25"/>
    <s v="Mobile cellular subscriptions (per 100 people)"/>
    <m/>
    <x v="19"/>
  </r>
  <r>
    <x v="26"/>
    <s v="Mobile cellular subscriptions (per 100 people)"/>
    <m/>
    <x v="19"/>
  </r>
  <r>
    <x v="27"/>
    <s v="Mobile cellular subscriptions (per 100 people)"/>
    <m/>
    <x v="19"/>
  </r>
  <r>
    <x v="0"/>
    <s v="Mobile cellular subscriptions (per 100 people)"/>
    <m/>
    <x v="20"/>
  </r>
  <r>
    <x v="1"/>
    <s v="Mobile cellular subscriptions (per 100 people)"/>
    <m/>
    <x v="20"/>
  </r>
  <r>
    <x v="2"/>
    <s v="Mobile cellular subscriptions (per 100 people)"/>
    <m/>
    <x v="20"/>
  </r>
  <r>
    <x v="3"/>
    <s v="Mobile cellular subscriptions (per 100 people)"/>
    <m/>
    <x v="20"/>
  </r>
  <r>
    <x v="4"/>
    <s v="Mobile cellular subscriptions (per 100 people)"/>
    <m/>
    <x v="20"/>
  </r>
  <r>
    <x v="5"/>
    <s v="Mobile cellular subscriptions (per 100 people)"/>
    <m/>
    <x v="20"/>
  </r>
  <r>
    <x v="6"/>
    <s v="Mobile cellular subscriptions (per 100 people)"/>
    <m/>
    <x v="20"/>
  </r>
  <r>
    <x v="7"/>
    <s v="Mobile cellular subscriptions (per 100 people)"/>
    <m/>
    <x v="20"/>
  </r>
  <r>
    <x v="8"/>
    <s v="Mobile cellular subscriptions (per 100 people)"/>
    <m/>
    <x v="20"/>
  </r>
  <r>
    <x v="9"/>
    <s v="Mobile cellular subscriptions (per 100 people)"/>
    <m/>
    <x v="20"/>
  </r>
  <r>
    <x v="10"/>
    <s v="Mobile cellular subscriptions (per 100 people)"/>
    <m/>
    <x v="20"/>
  </r>
  <r>
    <x v="11"/>
    <s v="Mobile cellular subscriptions (per 100 people)"/>
    <m/>
    <x v="20"/>
  </r>
  <r>
    <x v="12"/>
    <s v="Mobile cellular subscriptions (per 100 people)"/>
    <m/>
    <x v="20"/>
  </r>
  <r>
    <x v="13"/>
    <s v="Mobile cellular subscriptions (per 100 people)"/>
    <m/>
    <x v="20"/>
  </r>
  <r>
    <x v="14"/>
    <s v="Mobile cellular subscriptions (per 100 people)"/>
    <m/>
    <x v="20"/>
  </r>
  <r>
    <x v="15"/>
    <s v="Mobile cellular subscriptions (per 100 people)"/>
    <m/>
    <x v="20"/>
  </r>
  <r>
    <x v="16"/>
    <s v="Mobile cellular subscriptions (per 100 people)"/>
    <m/>
    <x v="20"/>
  </r>
  <r>
    <x v="17"/>
    <s v="Mobile cellular subscriptions (per 100 people)"/>
    <m/>
    <x v="20"/>
  </r>
  <r>
    <x v="18"/>
    <s v="Mobile cellular subscriptions (per 100 people)"/>
    <m/>
    <x v="20"/>
  </r>
  <r>
    <x v="19"/>
    <s v="Mobile cellular subscriptions (per 100 people)"/>
    <m/>
    <x v="20"/>
  </r>
  <r>
    <x v="20"/>
    <s v="Mobile cellular subscriptions (per 100 people)"/>
    <m/>
    <x v="20"/>
  </r>
  <r>
    <x v="21"/>
    <s v="Mobile cellular subscriptions (per 100 people)"/>
    <m/>
    <x v="20"/>
  </r>
  <r>
    <x v="22"/>
    <s v="Mobile cellular subscriptions (per 100 people)"/>
    <m/>
    <x v="20"/>
  </r>
  <r>
    <x v="23"/>
    <s v="Mobile cellular subscriptions (per 100 people)"/>
    <m/>
    <x v="20"/>
  </r>
  <r>
    <x v="24"/>
    <s v="Mobile cellular subscriptions (per 100 people)"/>
    <m/>
    <x v="20"/>
  </r>
  <r>
    <x v="25"/>
    <s v="Mobile cellular subscriptions (per 100 people)"/>
    <m/>
    <x v="20"/>
  </r>
  <r>
    <x v="26"/>
    <s v="Mobile cellular subscriptions (per 100 people)"/>
    <m/>
    <x v="20"/>
  </r>
  <r>
    <x v="27"/>
    <s v="Mobile cellular subscriptions (per 100 people)"/>
    <m/>
    <x v="20"/>
  </r>
  <r>
    <x v="0"/>
    <s v="Mobile cellular subscriptions (per 100 people)"/>
    <m/>
    <x v="21"/>
  </r>
  <r>
    <x v="1"/>
    <s v="Mobile cellular subscriptions (per 100 people)"/>
    <m/>
    <x v="21"/>
  </r>
  <r>
    <x v="2"/>
    <s v="Mobile cellular subscriptions (per 100 people)"/>
    <m/>
    <x v="21"/>
  </r>
  <r>
    <x v="3"/>
    <s v="Mobile cellular subscriptions (per 100 people)"/>
    <m/>
    <x v="21"/>
  </r>
  <r>
    <x v="4"/>
    <s v="Mobile cellular subscriptions (per 100 people)"/>
    <m/>
    <x v="21"/>
  </r>
  <r>
    <x v="5"/>
    <s v="Mobile cellular subscriptions (per 100 people)"/>
    <m/>
    <x v="21"/>
  </r>
  <r>
    <x v="6"/>
    <s v="Mobile cellular subscriptions (per 100 people)"/>
    <m/>
    <x v="21"/>
  </r>
  <r>
    <x v="7"/>
    <s v="Mobile cellular subscriptions (per 100 people)"/>
    <m/>
    <x v="21"/>
  </r>
  <r>
    <x v="8"/>
    <s v="Mobile cellular subscriptions (per 100 people)"/>
    <m/>
    <x v="21"/>
  </r>
  <r>
    <x v="9"/>
    <s v="Mobile cellular subscriptions (per 100 people)"/>
    <m/>
    <x v="21"/>
  </r>
  <r>
    <x v="10"/>
    <s v="Mobile cellular subscriptions (per 100 people)"/>
    <m/>
    <x v="21"/>
  </r>
  <r>
    <x v="11"/>
    <s v="Mobile cellular subscriptions (per 100 people)"/>
    <m/>
    <x v="21"/>
  </r>
  <r>
    <x v="12"/>
    <s v="Mobile cellular subscriptions (per 100 people)"/>
    <m/>
    <x v="21"/>
  </r>
  <r>
    <x v="13"/>
    <s v="Mobile cellular subscriptions (per 100 people)"/>
    <m/>
    <x v="21"/>
  </r>
  <r>
    <x v="14"/>
    <s v="Mobile cellular subscriptions (per 100 people)"/>
    <m/>
    <x v="21"/>
  </r>
  <r>
    <x v="15"/>
    <s v="Mobile cellular subscriptions (per 100 people)"/>
    <m/>
    <x v="21"/>
  </r>
  <r>
    <x v="16"/>
    <s v="Mobile cellular subscriptions (per 100 people)"/>
    <m/>
    <x v="21"/>
  </r>
  <r>
    <x v="17"/>
    <s v="Mobile cellular subscriptions (per 100 people)"/>
    <m/>
    <x v="21"/>
  </r>
  <r>
    <x v="18"/>
    <s v="Mobile cellular subscriptions (per 100 people)"/>
    <m/>
    <x v="21"/>
  </r>
  <r>
    <x v="19"/>
    <s v="Mobile cellular subscriptions (per 100 people)"/>
    <m/>
    <x v="21"/>
  </r>
  <r>
    <x v="20"/>
    <s v="Mobile cellular subscriptions (per 100 people)"/>
    <m/>
    <x v="21"/>
  </r>
  <r>
    <x v="21"/>
    <s v="Mobile cellular subscriptions (per 100 people)"/>
    <m/>
    <x v="21"/>
  </r>
  <r>
    <x v="22"/>
    <s v="Mobile cellular subscriptions (per 100 people)"/>
    <m/>
    <x v="21"/>
  </r>
  <r>
    <x v="23"/>
    <s v="Mobile cellular subscriptions (per 100 people)"/>
    <m/>
    <x v="21"/>
  </r>
  <r>
    <x v="24"/>
    <s v="Mobile cellular subscriptions (per 100 people)"/>
    <m/>
    <x v="21"/>
  </r>
  <r>
    <x v="25"/>
    <s v="Mobile cellular subscriptions (per 100 people)"/>
    <m/>
    <x v="21"/>
  </r>
  <r>
    <x v="26"/>
    <s v="Mobile cellular subscriptions (per 100 people)"/>
    <m/>
    <x v="21"/>
  </r>
  <r>
    <x v="27"/>
    <s v="Mobile cellular subscriptions (per 100 people)"/>
    <m/>
    <x v="21"/>
  </r>
  <r>
    <x v="0"/>
    <s v="Mobile cellular subscriptions (per 100 people)"/>
    <m/>
    <x v="22"/>
  </r>
  <r>
    <x v="1"/>
    <s v="Mobile cellular subscriptions (per 100 people)"/>
    <m/>
    <x v="22"/>
  </r>
  <r>
    <x v="2"/>
    <s v="Mobile cellular subscriptions (per 100 people)"/>
    <m/>
    <x v="22"/>
  </r>
  <r>
    <x v="3"/>
    <s v="Mobile cellular subscriptions (per 100 people)"/>
    <m/>
    <x v="22"/>
  </r>
  <r>
    <x v="4"/>
    <s v="Mobile cellular subscriptions (per 100 people)"/>
    <m/>
    <x v="22"/>
  </r>
  <r>
    <x v="5"/>
    <s v="Mobile cellular subscriptions (per 100 people)"/>
    <m/>
    <x v="22"/>
  </r>
  <r>
    <x v="6"/>
    <s v="Mobile cellular subscriptions (per 100 people)"/>
    <m/>
    <x v="22"/>
  </r>
  <r>
    <x v="7"/>
    <s v="Mobile cellular subscriptions (per 100 people)"/>
    <m/>
    <x v="22"/>
  </r>
  <r>
    <x v="8"/>
    <s v="Mobile cellular subscriptions (per 100 people)"/>
    <m/>
    <x v="22"/>
  </r>
  <r>
    <x v="9"/>
    <s v="Mobile cellular subscriptions (per 100 people)"/>
    <m/>
    <x v="22"/>
  </r>
  <r>
    <x v="10"/>
    <s v="Mobile cellular subscriptions (per 100 people)"/>
    <m/>
    <x v="22"/>
  </r>
  <r>
    <x v="11"/>
    <s v="Mobile cellular subscriptions (per 100 people)"/>
    <m/>
    <x v="22"/>
  </r>
  <r>
    <x v="12"/>
    <s v="Mobile cellular subscriptions (per 100 people)"/>
    <m/>
    <x v="22"/>
  </r>
  <r>
    <x v="13"/>
    <s v="Mobile cellular subscriptions (per 100 people)"/>
    <m/>
    <x v="22"/>
  </r>
  <r>
    <x v="14"/>
    <s v="Mobile cellular subscriptions (per 100 people)"/>
    <m/>
    <x v="22"/>
  </r>
  <r>
    <x v="15"/>
    <s v="Mobile cellular subscriptions (per 100 people)"/>
    <m/>
    <x v="22"/>
  </r>
  <r>
    <x v="16"/>
    <s v="Mobile cellular subscriptions (per 100 people)"/>
    <m/>
    <x v="22"/>
  </r>
  <r>
    <x v="17"/>
    <s v="Mobile cellular subscriptions (per 100 people)"/>
    <m/>
    <x v="22"/>
  </r>
  <r>
    <x v="18"/>
    <s v="Mobile cellular subscriptions (per 100 people)"/>
    <m/>
    <x v="22"/>
  </r>
  <r>
    <x v="19"/>
    <s v="Mobile cellular subscriptions (per 100 people)"/>
    <m/>
    <x v="22"/>
  </r>
  <r>
    <x v="20"/>
    <s v="Mobile cellular subscriptions (per 100 people)"/>
    <m/>
    <x v="22"/>
  </r>
  <r>
    <x v="21"/>
    <s v="Mobile cellular subscriptions (per 100 people)"/>
    <m/>
    <x v="22"/>
  </r>
  <r>
    <x v="22"/>
    <s v="Mobile cellular subscriptions (per 100 people)"/>
    <m/>
    <x v="22"/>
  </r>
  <r>
    <x v="23"/>
    <s v="Mobile cellular subscriptions (per 100 people)"/>
    <m/>
    <x v="22"/>
  </r>
  <r>
    <x v="24"/>
    <s v="Mobile cellular subscriptions (per 100 people)"/>
    <m/>
    <x v="22"/>
  </r>
  <r>
    <x v="25"/>
    <s v="Mobile cellular subscriptions (per 100 people)"/>
    <m/>
    <x v="22"/>
  </r>
  <r>
    <x v="26"/>
    <s v="Mobile cellular subscriptions (per 100 people)"/>
    <m/>
    <x v="22"/>
  </r>
  <r>
    <x v="27"/>
    <s v="Mobile cellular subscriptions (per 100 people)"/>
    <m/>
    <x v="22"/>
  </r>
  <r>
    <x v="0"/>
    <s v="Mobile cellular subscriptions (per 100 people)"/>
    <m/>
    <x v="23"/>
  </r>
  <r>
    <x v="1"/>
    <s v="Mobile cellular subscriptions (per 100 people)"/>
    <m/>
    <x v="23"/>
  </r>
  <r>
    <x v="2"/>
    <s v="Mobile cellular subscriptions (per 100 people)"/>
    <m/>
    <x v="23"/>
  </r>
  <r>
    <x v="3"/>
    <s v="Mobile cellular subscriptions (per 100 people)"/>
    <m/>
    <x v="23"/>
  </r>
  <r>
    <x v="4"/>
    <s v="Mobile cellular subscriptions (per 100 people)"/>
    <m/>
    <x v="23"/>
  </r>
  <r>
    <x v="5"/>
    <s v="Mobile cellular subscriptions (per 100 people)"/>
    <m/>
    <x v="23"/>
  </r>
  <r>
    <x v="6"/>
    <s v="Mobile cellular subscriptions (per 100 people)"/>
    <m/>
    <x v="23"/>
  </r>
  <r>
    <x v="7"/>
    <s v="Mobile cellular subscriptions (per 100 people)"/>
    <m/>
    <x v="23"/>
  </r>
  <r>
    <x v="8"/>
    <s v="Mobile cellular subscriptions (per 100 people)"/>
    <m/>
    <x v="23"/>
  </r>
  <r>
    <x v="9"/>
    <s v="Mobile cellular subscriptions (per 100 people)"/>
    <m/>
    <x v="23"/>
  </r>
  <r>
    <x v="10"/>
    <s v="Mobile cellular subscriptions (per 100 people)"/>
    <m/>
    <x v="23"/>
  </r>
  <r>
    <x v="11"/>
    <s v="Mobile cellular subscriptions (per 100 people)"/>
    <m/>
    <x v="23"/>
  </r>
  <r>
    <x v="12"/>
    <s v="Mobile cellular subscriptions (per 100 people)"/>
    <m/>
    <x v="23"/>
  </r>
  <r>
    <x v="13"/>
    <s v="Mobile cellular subscriptions (per 100 people)"/>
    <m/>
    <x v="23"/>
  </r>
  <r>
    <x v="14"/>
    <s v="Mobile cellular subscriptions (per 100 people)"/>
    <m/>
    <x v="23"/>
  </r>
  <r>
    <x v="15"/>
    <s v="Mobile cellular subscriptions (per 100 people)"/>
    <m/>
    <x v="23"/>
  </r>
  <r>
    <x v="16"/>
    <s v="Mobile cellular subscriptions (per 100 people)"/>
    <m/>
    <x v="23"/>
  </r>
  <r>
    <x v="17"/>
    <s v="Mobile cellular subscriptions (per 100 people)"/>
    <m/>
    <x v="23"/>
  </r>
  <r>
    <x v="18"/>
    <s v="Mobile cellular subscriptions (per 100 people)"/>
    <m/>
    <x v="23"/>
  </r>
  <r>
    <x v="19"/>
    <s v="Mobile cellular subscriptions (per 100 people)"/>
    <m/>
    <x v="23"/>
  </r>
  <r>
    <x v="20"/>
    <s v="Mobile cellular subscriptions (per 100 people)"/>
    <m/>
    <x v="23"/>
  </r>
  <r>
    <x v="21"/>
    <s v="Mobile cellular subscriptions (per 100 people)"/>
    <m/>
    <x v="23"/>
  </r>
  <r>
    <x v="22"/>
    <s v="Mobile cellular subscriptions (per 100 people)"/>
    <m/>
    <x v="23"/>
  </r>
  <r>
    <x v="23"/>
    <s v="Mobile cellular subscriptions (per 100 people)"/>
    <m/>
    <x v="23"/>
  </r>
  <r>
    <x v="24"/>
    <s v="Mobile cellular subscriptions (per 100 people)"/>
    <m/>
    <x v="23"/>
  </r>
  <r>
    <x v="25"/>
    <s v="Mobile cellular subscriptions (per 100 people)"/>
    <m/>
    <x v="23"/>
  </r>
  <r>
    <x v="26"/>
    <s v="Mobile cellular subscriptions (per 100 people)"/>
    <m/>
    <x v="23"/>
  </r>
  <r>
    <x v="27"/>
    <s v="Mobile cellular subscriptions (per 100 people)"/>
    <m/>
    <x v="23"/>
  </r>
  <r>
    <x v="0"/>
    <s v="Mobile cellular subscriptions (per 100 people)"/>
    <m/>
    <x v="24"/>
  </r>
  <r>
    <x v="1"/>
    <s v="Mobile cellular subscriptions (per 100 people)"/>
    <m/>
    <x v="24"/>
  </r>
  <r>
    <x v="2"/>
    <s v="Mobile cellular subscriptions (per 100 people)"/>
    <m/>
    <x v="24"/>
  </r>
  <r>
    <x v="3"/>
    <s v="Mobile cellular subscriptions (per 100 people)"/>
    <m/>
    <x v="24"/>
  </r>
  <r>
    <x v="4"/>
    <s v="Mobile cellular subscriptions (per 100 people)"/>
    <m/>
    <x v="24"/>
  </r>
  <r>
    <x v="5"/>
    <s v="Mobile cellular subscriptions (per 100 people)"/>
    <m/>
    <x v="24"/>
  </r>
  <r>
    <x v="6"/>
    <s v="Mobile cellular subscriptions (per 100 people)"/>
    <m/>
    <x v="24"/>
  </r>
  <r>
    <x v="7"/>
    <s v="Mobile cellular subscriptions (per 100 people)"/>
    <m/>
    <x v="24"/>
  </r>
  <r>
    <x v="8"/>
    <s v="Mobile cellular subscriptions (per 100 people)"/>
    <m/>
    <x v="24"/>
  </r>
  <r>
    <x v="9"/>
    <s v="Mobile cellular subscriptions (per 100 people)"/>
    <m/>
    <x v="24"/>
  </r>
  <r>
    <x v="10"/>
    <s v="Mobile cellular subscriptions (per 100 people)"/>
    <m/>
    <x v="24"/>
  </r>
  <r>
    <x v="11"/>
    <s v="Mobile cellular subscriptions (per 100 people)"/>
    <m/>
    <x v="24"/>
  </r>
  <r>
    <x v="12"/>
    <s v="Mobile cellular subscriptions (per 100 people)"/>
    <m/>
    <x v="24"/>
  </r>
  <r>
    <x v="13"/>
    <s v="Mobile cellular subscriptions (per 100 people)"/>
    <m/>
    <x v="24"/>
  </r>
  <r>
    <x v="14"/>
    <s v="Mobile cellular subscriptions (per 100 people)"/>
    <m/>
    <x v="24"/>
  </r>
  <r>
    <x v="15"/>
    <s v="Mobile cellular subscriptions (per 100 people)"/>
    <m/>
    <x v="24"/>
  </r>
  <r>
    <x v="16"/>
    <s v="Mobile cellular subscriptions (per 100 people)"/>
    <m/>
    <x v="24"/>
  </r>
  <r>
    <x v="17"/>
    <s v="Mobile cellular subscriptions (per 100 people)"/>
    <m/>
    <x v="24"/>
  </r>
  <r>
    <x v="18"/>
    <s v="Mobile cellular subscriptions (per 100 people)"/>
    <m/>
    <x v="24"/>
  </r>
  <r>
    <x v="19"/>
    <s v="Mobile cellular subscriptions (per 100 people)"/>
    <m/>
    <x v="24"/>
  </r>
  <r>
    <x v="20"/>
    <s v="Mobile cellular subscriptions (per 100 people)"/>
    <m/>
    <x v="24"/>
  </r>
  <r>
    <x v="21"/>
    <s v="Mobile cellular subscriptions (per 100 people)"/>
    <m/>
    <x v="24"/>
  </r>
  <r>
    <x v="22"/>
    <s v="Mobile cellular subscriptions (per 100 people)"/>
    <m/>
    <x v="24"/>
  </r>
  <r>
    <x v="23"/>
    <s v="Mobile cellular subscriptions (per 100 people)"/>
    <m/>
    <x v="24"/>
  </r>
  <r>
    <x v="24"/>
    <s v="Mobile cellular subscriptions (per 100 people)"/>
    <m/>
    <x v="24"/>
  </r>
  <r>
    <x v="25"/>
    <s v="Mobile cellular subscriptions (per 100 people)"/>
    <m/>
    <x v="24"/>
  </r>
  <r>
    <x v="26"/>
    <s v="Mobile cellular subscriptions (per 100 people)"/>
    <m/>
    <x v="24"/>
  </r>
  <r>
    <x v="27"/>
    <s v="Mobile cellular subscriptions (per 100 people)"/>
    <m/>
    <x v="24"/>
  </r>
  <r>
    <x v="0"/>
    <s v="Mobile cellular subscriptions (per 100 people)"/>
    <m/>
    <x v="25"/>
  </r>
  <r>
    <x v="1"/>
    <s v="Mobile cellular subscriptions (per 100 people)"/>
    <m/>
    <x v="25"/>
  </r>
  <r>
    <x v="2"/>
    <s v="Mobile cellular subscriptions (per 100 people)"/>
    <m/>
    <x v="25"/>
  </r>
  <r>
    <x v="3"/>
    <s v="Mobile cellular subscriptions (per 100 people)"/>
    <m/>
    <x v="25"/>
  </r>
  <r>
    <x v="4"/>
    <s v="Mobile cellular subscriptions (per 100 people)"/>
    <m/>
    <x v="25"/>
  </r>
  <r>
    <x v="5"/>
    <s v="Mobile cellular subscriptions (per 100 people)"/>
    <m/>
    <x v="25"/>
  </r>
  <r>
    <x v="6"/>
    <s v="Mobile cellular subscriptions (per 100 people)"/>
    <m/>
    <x v="25"/>
  </r>
  <r>
    <x v="7"/>
    <s v="Mobile cellular subscriptions (per 100 people)"/>
    <m/>
    <x v="25"/>
  </r>
  <r>
    <x v="8"/>
    <s v="Mobile cellular subscriptions (per 100 people)"/>
    <m/>
    <x v="25"/>
  </r>
  <r>
    <x v="9"/>
    <s v="Mobile cellular subscriptions (per 100 people)"/>
    <m/>
    <x v="25"/>
  </r>
  <r>
    <x v="10"/>
    <s v="Mobile cellular subscriptions (per 100 people)"/>
    <m/>
    <x v="25"/>
  </r>
  <r>
    <x v="11"/>
    <s v="Mobile cellular subscriptions (per 100 people)"/>
    <m/>
    <x v="25"/>
  </r>
  <r>
    <x v="12"/>
    <s v="Mobile cellular subscriptions (per 100 people)"/>
    <m/>
    <x v="25"/>
  </r>
  <r>
    <x v="13"/>
    <s v="Mobile cellular subscriptions (per 100 people)"/>
    <m/>
    <x v="25"/>
  </r>
  <r>
    <x v="14"/>
    <s v="Mobile cellular subscriptions (per 100 people)"/>
    <m/>
    <x v="25"/>
  </r>
  <r>
    <x v="15"/>
    <s v="Mobile cellular subscriptions (per 100 people)"/>
    <m/>
    <x v="25"/>
  </r>
  <r>
    <x v="16"/>
    <s v="Mobile cellular subscriptions (per 100 people)"/>
    <m/>
    <x v="25"/>
  </r>
  <r>
    <x v="17"/>
    <s v="Mobile cellular subscriptions (per 100 people)"/>
    <m/>
    <x v="25"/>
  </r>
  <r>
    <x v="18"/>
    <s v="Mobile cellular subscriptions (per 100 people)"/>
    <m/>
    <x v="25"/>
  </r>
  <r>
    <x v="19"/>
    <s v="Mobile cellular subscriptions (per 100 people)"/>
    <m/>
    <x v="25"/>
  </r>
  <r>
    <x v="20"/>
    <s v="Mobile cellular subscriptions (per 100 people)"/>
    <m/>
    <x v="25"/>
  </r>
  <r>
    <x v="21"/>
    <s v="Mobile cellular subscriptions (per 100 people)"/>
    <m/>
    <x v="25"/>
  </r>
  <r>
    <x v="22"/>
    <s v="Mobile cellular subscriptions (per 100 people)"/>
    <m/>
    <x v="25"/>
  </r>
  <r>
    <x v="23"/>
    <s v="Mobile cellular subscriptions (per 100 people)"/>
    <m/>
    <x v="25"/>
  </r>
  <r>
    <x v="24"/>
    <s v="Mobile cellular subscriptions (per 100 people)"/>
    <m/>
    <x v="25"/>
  </r>
  <r>
    <x v="25"/>
    <s v="Mobile cellular subscriptions (per 100 people)"/>
    <m/>
    <x v="25"/>
  </r>
  <r>
    <x v="26"/>
    <s v="Mobile cellular subscriptions (per 100 people)"/>
    <m/>
    <x v="25"/>
  </r>
  <r>
    <x v="27"/>
    <s v="Mobile cellular subscriptions (per 100 people)"/>
    <m/>
    <x v="25"/>
  </r>
  <r>
    <x v="0"/>
    <s v="Mobile cellular subscriptions (per 100 people)"/>
    <m/>
    <x v="26"/>
  </r>
  <r>
    <x v="1"/>
    <s v="Mobile cellular subscriptions (per 100 people)"/>
    <m/>
    <x v="26"/>
  </r>
  <r>
    <x v="2"/>
    <s v="Mobile cellular subscriptions (per 100 people)"/>
    <m/>
    <x v="26"/>
  </r>
  <r>
    <x v="3"/>
    <s v="Mobile cellular subscriptions (per 100 people)"/>
    <m/>
    <x v="26"/>
  </r>
  <r>
    <x v="4"/>
    <s v="Mobile cellular subscriptions (per 100 people)"/>
    <m/>
    <x v="26"/>
  </r>
  <r>
    <x v="5"/>
    <s v="Mobile cellular subscriptions (per 100 people)"/>
    <m/>
    <x v="26"/>
  </r>
  <r>
    <x v="6"/>
    <s v="Mobile cellular subscriptions (per 100 people)"/>
    <m/>
    <x v="26"/>
  </r>
  <r>
    <x v="7"/>
    <s v="Mobile cellular subscriptions (per 100 people)"/>
    <m/>
    <x v="26"/>
  </r>
  <r>
    <x v="8"/>
    <s v="Mobile cellular subscriptions (per 100 people)"/>
    <m/>
    <x v="26"/>
  </r>
  <r>
    <x v="9"/>
    <s v="Mobile cellular subscriptions (per 100 people)"/>
    <m/>
    <x v="26"/>
  </r>
  <r>
    <x v="10"/>
    <s v="Mobile cellular subscriptions (per 100 people)"/>
    <m/>
    <x v="26"/>
  </r>
  <r>
    <x v="11"/>
    <s v="Mobile cellular subscriptions (per 100 people)"/>
    <m/>
    <x v="26"/>
  </r>
  <r>
    <x v="12"/>
    <s v="Mobile cellular subscriptions (per 100 people)"/>
    <m/>
    <x v="26"/>
  </r>
  <r>
    <x v="13"/>
    <s v="Mobile cellular subscriptions (per 100 people)"/>
    <m/>
    <x v="26"/>
  </r>
  <r>
    <x v="14"/>
    <s v="Mobile cellular subscriptions (per 100 people)"/>
    <m/>
    <x v="26"/>
  </r>
  <r>
    <x v="15"/>
    <s v="Mobile cellular subscriptions (per 100 people)"/>
    <m/>
    <x v="26"/>
  </r>
  <r>
    <x v="16"/>
    <s v="Mobile cellular subscriptions (per 100 people)"/>
    <m/>
    <x v="26"/>
  </r>
  <r>
    <x v="17"/>
    <s v="Mobile cellular subscriptions (per 100 people)"/>
    <m/>
    <x v="26"/>
  </r>
  <r>
    <x v="18"/>
    <s v="Mobile cellular subscriptions (per 100 people)"/>
    <m/>
    <x v="26"/>
  </r>
  <r>
    <x v="19"/>
    <s v="Mobile cellular subscriptions (per 100 people)"/>
    <m/>
    <x v="26"/>
  </r>
  <r>
    <x v="20"/>
    <s v="Mobile cellular subscriptions (per 100 people)"/>
    <m/>
    <x v="26"/>
  </r>
  <r>
    <x v="21"/>
    <s v="Mobile cellular subscriptions (per 100 people)"/>
    <m/>
    <x v="26"/>
  </r>
  <r>
    <x v="22"/>
    <s v="Mobile cellular subscriptions (per 100 people)"/>
    <m/>
    <x v="26"/>
  </r>
  <r>
    <x v="23"/>
    <s v="Mobile cellular subscriptions (per 100 people)"/>
    <m/>
    <x v="26"/>
  </r>
  <r>
    <x v="24"/>
    <s v="Mobile cellular subscriptions (per 100 people)"/>
    <m/>
    <x v="26"/>
  </r>
  <r>
    <x v="25"/>
    <s v="Mobile cellular subscriptions (per 100 people)"/>
    <m/>
    <x v="26"/>
  </r>
  <r>
    <x v="26"/>
    <s v="Mobile cellular subscriptions (per 100 people)"/>
    <m/>
    <x v="26"/>
  </r>
  <r>
    <x v="27"/>
    <s v="Mobile cellular subscriptions (per 100 people)"/>
    <m/>
    <x v="26"/>
  </r>
  <r>
    <x v="0"/>
    <s v="Mobile cellular subscriptions (per 100 people)"/>
    <m/>
    <x v="27"/>
  </r>
  <r>
    <x v="1"/>
    <s v="Mobile cellular subscriptions (per 100 people)"/>
    <m/>
    <x v="27"/>
  </r>
  <r>
    <x v="2"/>
    <s v="Mobile cellular subscriptions (per 100 people)"/>
    <m/>
    <x v="27"/>
  </r>
  <r>
    <x v="3"/>
    <s v="Mobile cellular subscriptions (per 100 people)"/>
    <m/>
    <x v="27"/>
  </r>
  <r>
    <x v="4"/>
    <s v="Mobile cellular subscriptions (per 100 people)"/>
    <m/>
    <x v="27"/>
  </r>
  <r>
    <x v="5"/>
    <s v="Mobile cellular subscriptions (per 100 people)"/>
    <m/>
    <x v="27"/>
  </r>
  <r>
    <x v="6"/>
    <s v="Mobile cellular subscriptions (per 100 people)"/>
    <m/>
    <x v="27"/>
  </r>
  <r>
    <x v="7"/>
    <s v="Mobile cellular subscriptions (per 100 people)"/>
    <m/>
    <x v="27"/>
  </r>
  <r>
    <x v="8"/>
    <s v="Mobile cellular subscriptions (per 100 people)"/>
    <m/>
    <x v="27"/>
  </r>
  <r>
    <x v="9"/>
    <s v="Mobile cellular subscriptions (per 100 people)"/>
    <m/>
    <x v="27"/>
  </r>
  <r>
    <x v="10"/>
    <s v="Mobile cellular subscriptions (per 100 people)"/>
    <m/>
    <x v="27"/>
  </r>
  <r>
    <x v="11"/>
    <s v="Mobile cellular subscriptions (per 100 people)"/>
    <m/>
    <x v="27"/>
  </r>
  <r>
    <x v="12"/>
    <s v="Mobile cellular subscriptions (per 100 people)"/>
    <m/>
    <x v="27"/>
  </r>
  <r>
    <x v="13"/>
    <s v="Mobile cellular subscriptions (per 100 people)"/>
    <m/>
    <x v="27"/>
  </r>
  <r>
    <x v="14"/>
    <s v="Mobile cellular subscriptions (per 100 people)"/>
    <m/>
    <x v="27"/>
  </r>
  <r>
    <x v="15"/>
    <s v="Mobile cellular subscriptions (per 100 people)"/>
    <m/>
    <x v="27"/>
  </r>
  <r>
    <x v="16"/>
    <s v="Mobile cellular subscriptions (per 100 people)"/>
    <m/>
    <x v="27"/>
  </r>
  <r>
    <x v="17"/>
    <s v="Mobile cellular subscriptions (per 100 people)"/>
    <m/>
    <x v="27"/>
  </r>
  <r>
    <x v="18"/>
    <s v="Mobile cellular subscriptions (per 100 people)"/>
    <m/>
    <x v="27"/>
  </r>
  <r>
    <x v="19"/>
    <s v="Mobile cellular subscriptions (per 100 people)"/>
    <m/>
    <x v="27"/>
  </r>
  <r>
    <x v="20"/>
    <s v="Mobile cellular subscriptions (per 100 people)"/>
    <m/>
    <x v="27"/>
  </r>
  <r>
    <x v="21"/>
    <s v="Mobile cellular subscriptions (per 100 people)"/>
    <m/>
    <x v="27"/>
  </r>
  <r>
    <x v="22"/>
    <s v="Mobile cellular subscriptions (per 100 people)"/>
    <m/>
    <x v="27"/>
  </r>
  <r>
    <x v="23"/>
    <s v="Mobile cellular subscriptions (per 100 people)"/>
    <m/>
    <x v="27"/>
  </r>
  <r>
    <x v="24"/>
    <s v="Mobile cellular subscriptions (per 100 people)"/>
    <m/>
    <x v="27"/>
  </r>
  <r>
    <x v="25"/>
    <s v="Mobile cellular subscriptions (per 100 people)"/>
    <m/>
    <x v="27"/>
  </r>
  <r>
    <x v="26"/>
    <s v="Mobile cellular subscriptions (per 100 people)"/>
    <m/>
    <x v="27"/>
  </r>
  <r>
    <x v="27"/>
    <s v="Mobile cellular subscriptions (per 100 people)"/>
    <m/>
    <x v="27"/>
  </r>
  <r>
    <x v="0"/>
    <s v="Mobile cellular subscriptions (per 100 people)"/>
    <m/>
    <x v="28"/>
  </r>
  <r>
    <x v="1"/>
    <s v="Mobile cellular subscriptions (per 100 people)"/>
    <m/>
    <x v="28"/>
  </r>
  <r>
    <x v="2"/>
    <s v="Mobile cellular subscriptions (per 100 people)"/>
    <m/>
    <x v="28"/>
  </r>
  <r>
    <x v="3"/>
    <s v="Mobile cellular subscriptions (per 100 people)"/>
    <m/>
    <x v="28"/>
  </r>
  <r>
    <x v="4"/>
    <s v="Mobile cellular subscriptions (per 100 people)"/>
    <m/>
    <x v="28"/>
  </r>
  <r>
    <x v="5"/>
    <s v="Mobile cellular subscriptions (per 100 people)"/>
    <m/>
    <x v="28"/>
  </r>
  <r>
    <x v="6"/>
    <s v="Mobile cellular subscriptions (per 100 people)"/>
    <m/>
    <x v="28"/>
  </r>
  <r>
    <x v="7"/>
    <s v="Mobile cellular subscriptions (per 100 people)"/>
    <m/>
    <x v="28"/>
  </r>
  <r>
    <x v="8"/>
    <s v="Mobile cellular subscriptions (per 100 people)"/>
    <m/>
    <x v="28"/>
  </r>
  <r>
    <x v="9"/>
    <s v="Mobile cellular subscriptions (per 100 people)"/>
    <m/>
    <x v="28"/>
  </r>
  <r>
    <x v="10"/>
    <s v="Mobile cellular subscriptions (per 100 people)"/>
    <m/>
    <x v="28"/>
  </r>
  <r>
    <x v="11"/>
    <s v="Mobile cellular subscriptions (per 100 people)"/>
    <m/>
    <x v="28"/>
  </r>
  <r>
    <x v="12"/>
    <s v="Mobile cellular subscriptions (per 100 people)"/>
    <m/>
    <x v="28"/>
  </r>
  <r>
    <x v="13"/>
    <s v="Mobile cellular subscriptions (per 100 people)"/>
    <m/>
    <x v="28"/>
  </r>
  <r>
    <x v="14"/>
    <s v="Mobile cellular subscriptions (per 100 people)"/>
    <m/>
    <x v="28"/>
  </r>
  <r>
    <x v="15"/>
    <s v="Mobile cellular subscriptions (per 100 people)"/>
    <m/>
    <x v="28"/>
  </r>
  <r>
    <x v="16"/>
    <s v="Mobile cellular subscriptions (per 100 people)"/>
    <m/>
    <x v="28"/>
  </r>
  <r>
    <x v="17"/>
    <s v="Mobile cellular subscriptions (per 100 people)"/>
    <m/>
    <x v="28"/>
  </r>
  <r>
    <x v="18"/>
    <s v="Mobile cellular subscriptions (per 100 people)"/>
    <m/>
    <x v="28"/>
  </r>
  <r>
    <x v="19"/>
    <s v="Mobile cellular subscriptions (per 100 people)"/>
    <m/>
    <x v="28"/>
  </r>
  <r>
    <x v="20"/>
    <s v="Mobile cellular subscriptions (per 100 people)"/>
    <m/>
    <x v="28"/>
  </r>
  <r>
    <x v="21"/>
    <s v="Mobile cellular subscriptions (per 100 people)"/>
    <m/>
    <x v="28"/>
  </r>
  <r>
    <x v="22"/>
    <s v="Mobile cellular subscriptions (per 100 people)"/>
    <m/>
    <x v="28"/>
  </r>
  <r>
    <x v="23"/>
    <s v="Mobile cellular subscriptions (per 100 people)"/>
    <m/>
    <x v="28"/>
  </r>
  <r>
    <x v="24"/>
    <s v="Mobile cellular subscriptions (per 100 people)"/>
    <m/>
    <x v="28"/>
  </r>
  <r>
    <x v="25"/>
    <s v="Mobile cellular subscriptions (per 100 people)"/>
    <m/>
    <x v="28"/>
  </r>
  <r>
    <x v="26"/>
    <s v="Mobile cellular subscriptions (per 100 people)"/>
    <m/>
    <x v="28"/>
  </r>
  <r>
    <x v="27"/>
    <s v="Mobile cellular subscriptions (per 100 people)"/>
    <m/>
    <x v="28"/>
  </r>
  <r>
    <x v="0"/>
    <s v="Mobile cellular subscriptions (per 100 people)"/>
    <m/>
    <x v="29"/>
  </r>
  <r>
    <x v="1"/>
    <s v="Mobile cellular subscriptions (per 100 people)"/>
    <m/>
    <x v="29"/>
  </r>
  <r>
    <x v="2"/>
    <s v="Mobile cellular subscriptions (per 100 people)"/>
    <m/>
    <x v="29"/>
  </r>
  <r>
    <x v="3"/>
    <s v="Mobile cellular subscriptions (per 100 people)"/>
    <m/>
    <x v="29"/>
  </r>
  <r>
    <x v="4"/>
    <s v="Mobile cellular subscriptions (per 100 people)"/>
    <m/>
    <x v="29"/>
  </r>
  <r>
    <x v="5"/>
    <s v="Mobile cellular subscriptions (per 100 people)"/>
    <m/>
    <x v="29"/>
  </r>
  <r>
    <x v="6"/>
    <s v="Mobile cellular subscriptions (per 100 people)"/>
    <m/>
    <x v="29"/>
  </r>
  <r>
    <x v="7"/>
    <s v="Mobile cellular subscriptions (per 100 people)"/>
    <m/>
    <x v="29"/>
  </r>
  <r>
    <x v="8"/>
    <s v="Mobile cellular subscriptions (per 100 people)"/>
    <m/>
    <x v="29"/>
  </r>
  <r>
    <x v="9"/>
    <s v="Mobile cellular subscriptions (per 100 people)"/>
    <m/>
    <x v="29"/>
  </r>
  <r>
    <x v="10"/>
    <s v="Mobile cellular subscriptions (per 100 people)"/>
    <m/>
    <x v="29"/>
  </r>
  <r>
    <x v="11"/>
    <s v="Mobile cellular subscriptions (per 100 people)"/>
    <m/>
    <x v="29"/>
  </r>
  <r>
    <x v="12"/>
    <s v="Mobile cellular subscriptions (per 100 people)"/>
    <m/>
    <x v="29"/>
  </r>
  <r>
    <x v="13"/>
    <s v="Mobile cellular subscriptions (per 100 people)"/>
    <m/>
    <x v="29"/>
  </r>
  <r>
    <x v="14"/>
    <s v="Mobile cellular subscriptions (per 100 people)"/>
    <m/>
    <x v="29"/>
  </r>
  <r>
    <x v="15"/>
    <s v="Mobile cellular subscriptions (per 100 people)"/>
    <m/>
    <x v="29"/>
  </r>
  <r>
    <x v="16"/>
    <s v="Mobile cellular subscriptions (per 100 people)"/>
    <m/>
    <x v="29"/>
  </r>
  <r>
    <x v="17"/>
    <s v="Mobile cellular subscriptions (per 100 people)"/>
    <m/>
    <x v="29"/>
  </r>
  <r>
    <x v="18"/>
    <s v="Mobile cellular subscriptions (per 100 people)"/>
    <m/>
    <x v="29"/>
  </r>
  <r>
    <x v="19"/>
    <s v="Mobile cellular subscriptions (per 100 people)"/>
    <m/>
    <x v="29"/>
  </r>
  <r>
    <x v="20"/>
    <s v="Mobile cellular subscriptions (per 100 people)"/>
    <m/>
    <x v="29"/>
  </r>
  <r>
    <x v="21"/>
    <s v="Mobile cellular subscriptions (per 100 people)"/>
    <m/>
    <x v="29"/>
  </r>
  <r>
    <x v="22"/>
    <s v="Mobile cellular subscriptions (per 100 people)"/>
    <m/>
    <x v="29"/>
  </r>
  <r>
    <x v="23"/>
    <s v="Mobile cellular subscriptions (per 100 people)"/>
    <m/>
    <x v="29"/>
  </r>
  <r>
    <x v="24"/>
    <s v="Mobile cellular subscriptions (per 100 people)"/>
    <m/>
    <x v="29"/>
  </r>
  <r>
    <x v="25"/>
    <s v="Mobile cellular subscriptions (per 100 people)"/>
    <m/>
    <x v="29"/>
  </r>
  <r>
    <x v="26"/>
    <s v="Mobile cellular subscriptions (per 100 people)"/>
    <m/>
    <x v="29"/>
  </r>
  <r>
    <x v="27"/>
    <s v="Mobile cellular subscriptions (per 100 people)"/>
    <m/>
    <x v="29"/>
  </r>
  <r>
    <x v="0"/>
    <s v="Mobile cellular subscriptions (per 100 people)"/>
    <m/>
    <x v="30"/>
  </r>
  <r>
    <x v="1"/>
    <s v="Mobile cellular subscriptions (per 100 people)"/>
    <m/>
    <x v="30"/>
  </r>
  <r>
    <x v="2"/>
    <s v="Mobile cellular subscriptions (per 100 people)"/>
    <m/>
    <x v="30"/>
  </r>
  <r>
    <x v="3"/>
    <s v="Mobile cellular subscriptions (per 100 people)"/>
    <m/>
    <x v="30"/>
  </r>
  <r>
    <x v="4"/>
    <s v="Mobile cellular subscriptions (per 100 people)"/>
    <m/>
    <x v="30"/>
  </r>
  <r>
    <x v="5"/>
    <s v="Mobile cellular subscriptions (per 100 people)"/>
    <m/>
    <x v="30"/>
  </r>
  <r>
    <x v="6"/>
    <s v="Mobile cellular subscriptions (per 100 people)"/>
    <m/>
    <x v="30"/>
  </r>
  <r>
    <x v="7"/>
    <s v="Mobile cellular subscriptions (per 100 people)"/>
    <m/>
    <x v="30"/>
  </r>
  <r>
    <x v="8"/>
    <s v="Mobile cellular subscriptions (per 100 people)"/>
    <m/>
    <x v="30"/>
  </r>
  <r>
    <x v="9"/>
    <s v="Mobile cellular subscriptions (per 100 people)"/>
    <m/>
    <x v="30"/>
  </r>
  <r>
    <x v="10"/>
    <s v="Mobile cellular subscriptions (per 100 people)"/>
    <m/>
    <x v="30"/>
  </r>
  <r>
    <x v="11"/>
    <s v="Mobile cellular subscriptions (per 100 people)"/>
    <m/>
    <x v="30"/>
  </r>
  <r>
    <x v="12"/>
    <s v="Mobile cellular subscriptions (per 100 people)"/>
    <m/>
    <x v="30"/>
  </r>
  <r>
    <x v="13"/>
    <s v="Mobile cellular subscriptions (per 100 people)"/>
    <m/>
    <x v="30"/>
  </r>
  <r>
    <x v="14"/>
    <s v="Mobile cellular subscriptions (per 100 people)"/>
    <m/>
    <x v="30"/>
  </r>
  <r>
    <x v="15"/>
    <s v="Mobile cellular subscriptions (per 100 people)"/>
    <m/>
    <x v="30"/>
  </r>
  <r>
    <x v="16"/>
    <s v="Mobile cellular subscriptions (per 100 people)"/>
    <m/>
    <x v="30"/>
  </r>
  <r>
    <x v="17"/>
    <s v="Mobile cellular subscriptions (per 100 people)"/>
    <m/>
    <x v="30"/>
  </r>
  <r>
    <x v="18"/>
    <s v="Mobile cellular subscriptions (per 100 people)"/>
    <m/>
    <x v="30"/>
  </r>
  <r>
    <x v="19"/>
    <s v="Mobile cellular subscriptions (per 100 people)"/>
    <m/>
    <x v="30"/>
  </r>
  <r>
    <x v="20"/>
    <s v="Mobile cellular subscriptions (per 100 people)"/>
    <m/>
    <x v="30"/>
  </r>
  <r>
    <x v="21"/>
    <s v="Mobile cellular subscriptions (per 100 people)"/>
    <m/>
    <x v="30"/>
  </r>
  <r>
    <x v="22"/>
    <s v="Mobile cellular subscriptions (per 100 people)"/>
    <n v="5.8281403737038204E-3"/>
    <x v="30"/>
  </r>
  <r>
    <x v="23"/>
    <s v="Mobile cellular subscriptions (per 100 people)"/>
    <m/>
    <x v="30"/>
  </r>
  <r>
    <x v="24"/>
    <s v="Mobile cellular subscriptions (per 100 people)"/>
    <m/>
    <x v="30"/>
  </r>
  <r>
    <x v="25"/>
    <s v="Mobile cellular subscriptions (per 100 people)"/>
    <m/>
    <x v="30"/>
  </r>
  <r>
    <x v="26"/>
    <s v="Mobile cellular subscriptions (per 100 people)"/>
    <m/>
    <x v="30"/>
  </r>
  <r>
    <x v="27"/>
    <s v="Mobile cellular subscriptions (per 100 people)"/>
    <m/>
    <x v="30"/>
  </r>
  <r>
    <x v="0"/>
    <s v="Mobile cellular subscriptions (per 100 people)"/>
    <m/>
    <x v="31"/>
  </r>
  <r>
    <x v="1"/>
    <s v="Mobile cellular subscriptions (per 100 people)"/>
    <m/>
    <x v="31"/>
  </r>
  <r>
    <x v="2"/>
    <s v="Mobile cellular subscriptions (per 100 people)"/>
    <m/>
    <x v="31"/>
  </r>
  <r>
    <x v="3"/>
    <s v="Mobile cellular subscriptions (per 100 people)"/>
    <m/>
    <x v="31"/>
  </r>
  <r>
    <x v="4"/>
    <s v="Mobile cellular subscriptions (per 100 people)"/>
    <m/>
    <x v="31"/>
  </r>
  <r>
    <x v="5"/>
    <s v="Mobile cellular subscriptions (per 100 people)"/>
    <m/>
    <x v="31"/>
  </r>
  <r>
    <x v="6"/>
    <s v="Mobile cellular subscriptions (per 100 people)"/>
    <m/>
    <x v="31"/>
  </r>
  <r>
    <x v="7"/>
    <s v="Mobile cellular subscriptions (per 100 people)"/>
    <m/>
    <x v="31"/>
  </r>
  <r>
    <x v="8"/>
    <s v="Mobile cellular subscriptions (per 100 people)"/>
    <m/>
    <x v="31"/>
  </r>
  <r>
    <x v="9"/>
    <s v="Mobile cellular subscriptions (per 100 people)"/>
    <m/>
    <x v="31"/>
  </r>
  <r>
    <x v="10"/>
    <s v="Mobile cellular subscriptions (per 100 people)"/>
    <m/>
    <x v="31"/>
  </r>
  <r>
    <x v="11"/>
    <s v="Mobile cellular subscriptions (per 100 people)"/>
    <m/>
    <x v="31"/>
  </r>
  <r>
    <x v="12"/>
    <s v="Mobile cellular subscriptions (per 100 people)"/>
    <m/>
    <x v="31"/>
  </r>
  <r>
    <x v="13"/>
    <s v="Mobile cellular subscriptions (per 100 people)"/>
    <m/>
    <x v="31"/>
  </r>
  <r>
    <x v="14"/>
    <s v="Mobile cellular subscriptions (per 100 people)"/>
    <m/>
    <x v="31"/>
  </r>
  <r>
    <x v="15"/>
    <s v="Mobile cellular subscriptions (per 100 people)"/>
    <m/>
    <x v="31"/>
  </r>
  <r>
    <x v="16"/>
    <s v="Mobile cellular subscriptions (per 100 people)"/>
    <m/>
    <x v="31"/>
  </r>
  <r>
    <x v="17"/>
    <s v="Mobile cellular subscriptions (per 100 people)"/>
    <m/>
    <x v="31"/>
  </r>
  <r>
    <x v="18"/>
    <s v="Mobile cellular subscriptions (per 100 people)"/>
    <m/>
    <x v="31"/>
  </r>
  <r>
    <x v="19"/>
    <s v="Mobile cellular subscriptions (per 100 people)"/>
    <m/>
    <x v="31"/>
  </r>
  <r>
    <x v="20"/>
    <s v="Mobile cellular subscriptions (per 100 people)"/>
    <m/>
    <x v="31"/>
  </r>
  <r>
    <x v="21"/>
    <s v="Mobile cellular subscriptions (per 100 people)"/>
    <m/>
    <x v="31"/>
  </r>
  <r>
    <x v="22"/>
    <s v="Mobile cellular subscriptions (per 100 people)"/>
    <n v="1.0262472424594099E-2"/>
    <x v="31"/>
  </r>
  <r>
    <x v="23"/>
    <s v="Mobile cellular subscriptions (per 100 people)"/>
    <m/>
    <x v="31"/>
  </r>
  <r>
    <x v="24"/>
    <s v="Mobile cellular subscriptions (per 100 people)"/>
    <m/>
    <x v="31"/>
  </r>
  <r>
    <x v="25"/>
    <s v="Mobile cellular subscriptions (per 100 people)"/>
    <m/>
    <x v="31"/>
  </r>
  <r>
    <x v="26"/>
    <s v="Mobile cellular subscriptions (per 100 people)"/>
    <m/>
    <x v="31"/>
  </r>
  <r>
    <x v="27"/>
    <s v="Mobile cellular subscriptions (per 100 people)"/>
    <m/>
    <x v="31"/>
  </r>
  <r>
    <x v="0"/>
    <s v="Mobile cellular subscriptions (per 100 people)"/>
    <m/>
    <x v="32"/>
  </r>
  <r>
    <x v="1"/>
    <s v="Mobile cellular subscriptions (per 100 people)"/>
    <m/>
    <x v="32"/>
  </r>
  <r>
    <x v="2"/>
    <s v="Mobile cellular subscriptions (per 100 people)"/>
    <m/>
    <x v="32"/>
  </r>
  <r>
    <x v="3"/>
    <s v="Mobile cellular subscriptions (per 100 people)"/>
    <m/>
    <x v="32"/>
  </r>
  <r>
    <x v="4"/>
    <s v="Mobile cellular subscriptions (per 100 people)"/>
    <m/>
    <x v="32"/>
  </r>
  <r>
    <x v="5"/>
    <s v="Mobile cellular subscriptions (per 100 people)"/>
    <m/>
    <x v="32"/>
  </r>
  <r>
    <x v="6"/>
    <s v="Mobile cellular subscriptions (per 100 people)"/>
    <m/>
    <x v="32"/>
  </r>
  <r>
    <x v="7"/>
    <s v="Mobile cellular subscriptions (per 100 people)"/>
    <m/>
    <x v="32"/>
  </r>
  <r>
    <x v="8"/>
    <s v="Mobile cellular subscriptions (per 100 people)"/>
    <n v="4.4063534328878098E-3"/>
    <x v="32"/>
  </r>
  <r>
    <x v="9"/>
    <s v="Mobile cellular subscriptions (per 100 people)"/>
    <m/>
    <x v="32"/>
  </r>
  <r>
    <x v="10"/>
    <s v="Mobile cellular subscriptions (per 100 people)"/>
    <m/>
    <x v="32"/>
  </r>
  <r>
    <x v="11"/>
    <s v="Mobile cellular subscriptions (per 100 people)"/>
    <m/>
    <x v="32"/>
  </r>
  <r>
    <x v="12"/>
    <s v="Mobile cellular subscriptions (per 100 people)"/>
    <m/>
    <x v="32"/>
  </r>
  <r>
    <x v="13"/>
    <s v="Mobile cellular subscriptions (per 100 people)"/>
    <m/>
    <x v="32"/>
  </r>
  <r>
    <x v="14"/>
    <s v="Mobile cellular subscriptions (per 100 people)"/>
    <m/>
    <x v="32"/>
  </r>
  <r>
    <x v="15"/>
    <s v="Mobile cellular subscriptions (per 100 people)"/>
    <m/>
    <x v="32"/>
  </r>
  <r>
    <x v="16"/>
    <s v="Mobile cellular subscriptions (per 100 people)"/>
    <m/>
    <x v="32"/>
  </r>
  <r>
    <x v="17"/>
    <s v="Mobile cellular subscriptions (per 100 people)"/>
    <m/>
    <x v="32"/>
  </r>
  <r>
    <x v="18"/>
    <s v="Mobile cellular subscriptions (per 100 people)"/>
    <m/>
    <x v="32"/>
  </r>
  <r>
    <x v="19"/>
    <s v="Mobile cellular subscriptions (per 100 people)"/>
    <m/>
    <x v="32"/>
  </r>
  <r>
    <x v="20"/>
    <s v="Mobile cellular subscriptions (per 100 people)"/>
    <m/>
    <x v="32"/>
  </r>
  <r>
    <x v="21"/>
    <s v="Mobile cellular subscriptions (per 100 people)"/>
    <m/>
    <x v="32"/>
  </r>
  <r>
    <x v="22"/>
    <s v="Mobile cellular subscriptions (per 100 people)"/>
    <n v="1.4903636211033499E-2"/>
    <x v="32"/>
  </r>
  <r>
    <x v="23"/>
    <s v="Mobile cellular subscriptions (per 100 people)"/>
    <m/>
    <x v="32"/>
  </r>
  <r>
    <x v="24"/>
    <s v="Mobile cellular subscriptions (per 100 people)"/>
    <m/>
    <x v="32"/>
  </r>
  <r>
    <x v="25"/>
    <s v="Mobile cellular subscriptions (per 100 people)"/>
    <m/>
    <x v="32"/>
  </r>
  <r>
    <x v="26"/>
    <s v="Mobile cellular subscriptions (per 100 people)"/>
    <m/>
    <x v="32"/>
  </r>
  <r>
    <x v="27"/>
    <s v="Mobile cellular subscriptions (per 100 people)"/>
    <m/>
    <x v="32"/>
  </r>
  <r>
    <x v="0"/>
    <s v="Mobile cellular subscriptions (per 100 people)"/>
    <n v="6.1163690322518002E-3"/>
    <x v="33"/>
  </r>
  <r>
    <x v="1"/>
    <s v="Mobile cellular subscriptions (per 100 people)"/>
    <m/>
    <x v="33"/>
  </r>
  <r>
    <x v="2"/>
    <s v="Mobile cellular subscriptions (per 100 people)"/>
    <m/>
    <x v="33"/>
  </r>
  <r>
    <x v="3"/>
    <s v="Mobile cellular subscriptions (per 100 people)"/>
    <m/>
    <x v="33"/>
  </r>
  <r>
    <x v="4"/>
    <s v="Mobile cellular subscriptions (per 100 people)"/>
    <m/>
    <x v="33"/>
  </r>
  <r>
    <x v="5"/>
    <s v="Mobile cellular subscriptions (per 100 people)"/>
    <m/>
    <x v="33"/>
  </r>
  <r>
    <x v="6"/>
    <s v="Mobile cellular subscriptions (per 100 people)"/>
    <n v="5.8632718508785703E-4"/>
    <x v="33"/>
  </r>
  <r>
    <x v="7"/>
    <s v="Mobile cellular subscriptions (per 100 people)"/>
    <m/>
    <x v="33"/>
  </r>
  <r>
    <x v="8"/>
    <s v="Mobile cellular subscriptions (per 100 people)"/>
    <n v="4.5119005064588897E-3"/>
    <x v="33"/>
  </r>
  <r>
    <x v="9"/>
    <s v="Mobile cellular subscriptions (per 100 people)"/>
    <m/>
    <x v="33"/>
  </r>
  <r>
    <x v="10"/>
    <s v="Mobile cellular subscriptions (per 100 people)"/>
    <m/>
    <x v="33"/>
  </r>
  <r>
    <x v="11"/>
    <s v="Mobile cellular subscriptions (per 100 people)"/>
    <m/>
    <x v="33"/>
  </r>
  <r>
    <x v="12"/>
    <s v="Mobile cellular subscriptions (per 100 people)"/>
    <m/>
    <x v="33"/>
  </r>
  <r>
    <x v="13"/>
    <s v="Mobile cellular subscriptions (per 100 people)"/>
    <m/>
    <x v="33"/>
  </r>
  <r>
    <x v="14"/>
    <s v="Mobile cellular subscriptions (per 100 people)"/>
    <m/>
    <x v="33"/>
  </r>
  <r>
    <x v="15"/>
    <s v="Mobile cellular subscriptions (per 100 people)"/>
    <m/>
    <x v="33"/>
  </r>
  <r>
    <x v="16"/>
    <s v="Mobile cellular subscriptions (per 100 people)"/>
    <n v="1.5233437143403099E-3"/>
    <x v="33"/>
  </r>
  <r>
    <x v="17"/>
    <s v="Mobile cellular subscriptions (per 100 people)"/>
    <m/>
    <x v="33"/>
  </r>
  <r>
    <x v="18"/>
    <s v="Mobile cellular subscriptions (per 100 people)"/>
    <n v="7.3194204103393598E-3"/>
    <x v="33"/>
  </r>
  <r>
    <x v="19"/>
    <s v="Mobile cellular subscriptions (per 100 people)"/>
    <m/>
    <x v="33"/>
  </r>
  <r>
    <x v="20"/>
    <s v="Mobile cellular subscriptions (per 100 people)"/>
    <m/>
    <x v="33"/>
  </r>
  <r>
    <x v="21"/>
    <s v="Mobile cellular subscriptions (per 100 people)"/>
    <m/>
    <x v="33"/>
  </r>
  <r>
    <x v="22"/>
    <s v="Mobile cellular subscriptions (per 100 people)"/>
    <n v="8.1919501024509706E-2"/>
    <x v="33"/>
  </r>
  <r>
    <x v="23"/>
    <s v="Mobile cellular subscriptions (per 100 people)"/>
    <m/>
    <x v="33"/>
  </r>
  <r>
    <x v="24"/>
    <s v="Mobile cellular subscriptions (per 100 people)"/>
    <m/>
    <x v="33"/>
  </r>
  <r>
    <x v="25"/>
    <s v="Mobile cellular subscriptions (per 100 people)"/>
    <m/>
    <x v="33"/>
  </r>
  <r>
    <x v="26"/>
    <s v="Mobile cellular subscriptions (per 100 people)"/>
    <m/>
    <x v="33"/>
  </r>
  <r>
    <x v="27"/>
    <s v="Mobile cellular subscriptions (per 100 people)"/>
    <m/>
    <x v="33"/>
  </r>
  <r>
    <x v="0"/>
    <s v="Mobile cellular subscriptions (per 100 people)"/>
    <n v="6.4377605653784401E-3"/>
    <x v="34"/>
  </r>
  <r>
    <x v="1"/>
    <s v="Mobile cellular subscriptions (per 100 people)"/>
    <n v="1.2204740626377801E-2"/>
    <x v="34"/>
  </r>
  <r>
    <x v="2"/>
    <s v="Mobile cellular subscriptions (per 100 people)"/>
    <m/>
    <x v="34"/>
  </r>
  <r>
    <x v="3"/>
    <s v="Mobile cellular subscriptions (per 100 people)"/>
    <m/>
    <x v="34"/>
  </r>
  <r>
    <x v="4"/>
    <s v="Mobile cellular subscriptions (per 100 people)"/>
    <m/>
    <x v="34"/>
  </r>
  <r>
    <x v="5"/>
    <s v="Mobile cellular subscriptions (per 100 people)"/>
    <m/>
    <x v="34"/>
  </r>
  <r>
    <x v="6"/>
    <s v="Mobile cellular subscriptions (per 100 people)"/>
    <n v="1.07631055058719E-2"/>
    <x v="34"/>
  </r>
  <r>
    <x v="7"/>
    <s v="Mobile cellular subscriptions (per 100 people)"/>
    <m/>
    <x v="34"/>
  </r>
  <r>
    <x v="8"/>
    <s v="Mobile cellular subscriptions (per 100 people)"/>
    <n v="7.4957193415850498E-3"/>
    <x v="34"/>
  </r>
  <r>
    <x v="9"/>
    <s v="Mobile cellular subscriptions (per 100 people)"/>
    <m/>
    <x v="34"/>
  </r>
  <r>
    <x v="10"/>
    <s v="Mobile cellular subscriptions (per 100 people)"/>
    <m/>
    <x v="34"/>
  </r>
  <r>
    <x v="11"/>
    <s v="Mobile cellular subscriptions (per 100 people)"/>
    <n v="2.29594009678E-3"/>
    <x v="34"/>
  </r>
  <r>
    <x v="12"/>
    <s v="Mobile cellular subscriptions (per 100 people)"/>
    <m/>
    <x v="34"/>
  </r>
  <r>
    <x v="13"/>
    <s v="Mobile cellular subscriptions (per 100 people)"/>
    <m/>
    <x v="34"/>
  </r>
  <r>
    <x v="14"/>
    <s v="Mobile cellular subscriptions (per 100 people)"/>
    <m/>
    <x v="34"/>
  </r>
  <r>
    <x v="15"/>
    <s v="Mobile cellular subscriptions (per 100 people)"/>
    <m/>
    <x v="34"/>
  </r>
  <r>
    <x v="16"/>
    <s v="Mobile cellular subscriptions (per 100 people)"/>
    <n v="4.4952003551770202E-3"/>
    <x v="34"/>
  </r>
  <r>
    <x v="17"/>
    <s v="Mobile cellular subscriptions (per 100 people)"/>
    <m/>
    <x v="34"/>
  </r>
  <r>
    <x v="18"/>
    <s v="Mobile cellular subscriptions (per 100 people)"/>
    <n v="4.8288714752611601E-2"/>
    <x v="34"/>
  </r>
  <r>
    <x v="19"/>
    <s v="Mobile cellular subscriptions (per 100 people)"/>
    <m/>
    <x v="34"/>
  </r>
  <r>
    <x v="20"/>
    <s v="Mobile cellular subscriptions (per 100 people)"/>
    <m/>
    <x v="34"/>
  </r>
  <r>
    <x v="21"/>
    <s v="Mobile cellular subscriptions (per 100 people)"/>
    <m/>
    <x v="34"/>
  </r>
  <r>
    <x v="22"/>
    <s v="Mobile cellular subscriptions (per 100 people)"/>
    <n v="0.161241235940429"/>
    <x v="34"/>
  </r>
  <r>
    <x v="23"/>
    <s v="Mobile cellular subscriptions (per 100 people)"/>
    <m/>
    <x v="34"/>
  </r>
  <r>
    <x v="24"/>
    <s v="Mobile cellular subscriptions (per 100 people)"/>
    <n v="1.27620279103142E-3"/>
    <x v="34"/>
  </r>
  <r>
    <x v="25"/>
    <s v="Mobile cellular subscriptions (per 100 people)"/>
    <m/>
    <x v="34"/>
  </r>
  <r>
    <x v="26"/>
    <s v="Mobile cellular subscriptions (per 100 people)"/>
    <m/>
    <x v="34"/>
  </r>
  <r>
    <x v="27"/>
    <s v="Mobile cellular subscriptions (per 100 people)"/>
    <m/>
    <x v="34"/>
  </r>
  <r>
    <x v="0"/>
    <s v="Mobile cellular subscriptions (per 100 people)"/>
    <n v="9.4598207531694598E-3"/>
    <x v="35"/>
  </r>
  <r>
    <x v="1"/>
    <s v="Mobile cellular subscriptions (per 100 people)"/>
    <n v="2.0800841304884299E-2"/>
    <x v="35"/>
  </r>
  <r>
    <x v="2"/>
    <s v="Mobile cellular subscriptions (per 100 people)"/>
    <m/>
    <x v="35"/>
  </r>
  <r>
    <x v="3"/>
    <s v="Mobile cellular subscriptions (per 100 people)"/>
    <m/>
    <x v="35"/>
  </r>
  <r>
    <x v="4"/>
    <s v="Mobile cellular subscriptions (per 100 people)"/>
    <m/>
    <x v="35"/>
  </r>
  <r>
    <x v="5"/>
    <s v="Mobile cellular subscriptions (per 100 people)"/>
    <m/>
    <x v="35"/>
  </r>
  <r>
    <x v="6"/>
    <s v="Mobile cellular subscriptions (per 100 people)"/>
    <n v="1.20693573880284E-2"/>
    <x v="35"/>
  </r>
  <r>
    <x v="7"/>
    <s v="Mobile cellular subscriptions (per 100 people)"/>
    <m/>
    <x v="35"/>
  </r>
  <r>
    <x v="8"/>
    <s v="Mobile cellular subscriptions (per 100 people)"/>
    <n v="8.3338038391519605E-3"/>
    <x v="35"/>
  </r>
  <r>
    <x v="9"/>
    <s v="Mobile cellular subscriptions (per 100 people)"/>
    <m/>
    <x v="35"/>
  </r>
  <r>
    <x v="10"/>
    <s v="Mobile cellular subscriptions (per 100 people)"/>
    <m/>
    <x v="35"/>
  </r>
  <r>
    <x v="11"/>
    <s v="Mobile cellular subscriptions (per 100 people)"/>
    <n v="9.6472089882303994E-3"/>
    <x v="35"/>
  </r>
  <r>
    <x v="12"/>
    <s v="Mobile cellular subscriptions (per 100 people)"/>
    <n v="3.8550470033165501E-3"/>
    <x v="35"/>
  </r>
  <r>
    <x v="13"/>
    <s v="Mobile cellular subscriptions (per 100 people)"/>
    <m/>
    <x v="35"/>
  </r>
  <r>
    <x v="14"/>
    <s v="Mobile cellular subscriptions (per 100 people)"/>
    <n v="3.2264889209284402E-4"/>
    <x v="35"/>
  </r>
  <r>
    <x v="15"/>
    <s v="Mobile cellular subscriptions (per 100 people)"/>
    <m/>
    <x v="35"/>
  </r>
  <r>
    <x v="16"/>
    <s v="Mobile cellular subscriptions (per 100 people)"/>
    <n v="6.3971814286908997E-3"/>
    <x v="35"/>
  </r>
  <r>
    <x v="17"/>
    <s v="Mobile cellular subscriptions (per 100 people)"/>
    <m/>
    <x v="35"/>
  </r>
  <r>
    <x v="18"/>
    <s v="Mobile cellular subscriptions (per 100 people)"/>
    <n v="9.5398579601875699E-2"/>
    <x v="35"/>
  </r>
  <r>
    <x v="19"/>
    <s v="Mobile cellular subscriptions (per 100 people)"/>
    <m/>
    <x v="35"/>
  </r>
  <r>
    <x v="20"/>
    <s v="Mobile cellular subscriptions (per 100 people)"/>
    <m/>
    <x v="35"/>
  </r>
  <r>
    <x v="21"/>
    <s v="Mobile cellular subscriptions (per 100 people)"/>
    <m/>
    <x v="35"/>
  </r>
  <r>
    <x v="22"/>
    <s v="Mobile cellular subscriptions (per 100 people)"/>
    <n v="0.28122792631232102"/>
    <x v="35"/>
  </r>
  <r>
    <x v="23"/>
    <s v="Mobile cellular subscriptions (per 100 people)"/>
    <m/>
    <x v="35"/>
  </r>
  <r>
    <x v="24"/>
    <s v="Mobile cellular subscriptions (per 100 people)"/>
    <n v="1.16819404143604E-2"/>
    <x v="35"/>
  </r>
  <r>
    <x v="25"/>
    <s v="Mobile cellular subscriptions (per 100 people)"/>
    <n v="8.5010961645263297E-3"/>
    <x v="35"/>
  </r>
  <r>
    <x v="26"/>
    <s v="Mobile cellular subscriptions (per 100 people)"/>
    <n v="1.6931016341440501E-2"/>
    <x v="35"/>
  </r>
  <r>
    <x v="27"/>
    <s v="Mobile cellular subscriptions (per 100 people)"/>
    <m/>
    <x v="35"/>
  </r>
  <r>
    <x v="0"/>
    <s v="Mobile cellular subscriptions (per 100 people)"/>
    <n v="9.2863697941703502E-3"/>
    <x v="36"/>
  </r>
  <r>
    <x v="1"/>
    <s v="Mobile cellular subscriptions (per 100 people)"/>
    <n v="2.5339417882620899E-2"/>
    <x v="36"/>
  </r>
  <r>
    <x v="2"/>
    <s v="Mobile cellular subscriptions (per 100 people)"/>
    <m/>
    <x v="36"/>
  </r>
  <r>
    <x v="3"/>
    <s v="Mobile cellular subscriptions (per 100 people)"/>
    <m/>
    <x v="36"/>
  </r>
  <r>
    <x v="4"/>
    <s v="Mobile cellular subscriptions (per 100 people)"/>
    <n v="1.7089183789510999E-2"/>
    <x v="36"/>
  </r>
  <r>
    <x v="5"/>
    <s v="Mobile cellular subscriptions (per 100 people)"/>
    <m/>
    <x v="36"/>
  </r>
  <r>
    <x v="6"/>
    <s v="Mobile cellular subscriptions (per 100 people)"/>
    <n v="1.1681450054054399E-2"/>
    <x v="36"/>
  </r>
  <r>
    <x v="7"/>
    <s v="Mobile cellular subscriptions (per 100 people)"/>
    <m/>
    <x v="36"/>
  </r>
  <r>
    <x v="8"/>
    <s v="Mobile cellular subscriptions (per 100 people)"/>
    <n v="1.0039884560512E-2"/>
    <x v="36"/>
  </r>
  <r>
    <x v="9"/>
    <s v="Mobile cellular subscriptions (per 100 people)"/>
    <m/>
    <x v="36"/>
  </r>
  <r>
    <x v="10"/>
    <s v="Mobile cellular subscriptions (per 100 people)"/>
    <m/>
    <x v="36"/>
  </r>
  <r>
    <x v="11"/>
    <s v="Mobile cellular subscriptions (per 100 people)"/>
    <n v="1.6543563374219399E-2"/>
    <x v="36"/>
  </r>
  <r>
    <x v="12"/>
    <s v="Mobile cellular subscriptions (per 100 people)"/>
    <n v="3.6598192108658299E-2"/>
    <x v="36"/>
  </r>
  <r>
    <x v="13"/>
    <s v="Mobile cellular subscriptions (per 100 people)"/>
    <n v="1.204243563587E-2"/>
    <x v="36"/>
  </r>
  <r>
    <x v="14"/>
    <s v="Mobile cellular subscriptions (per 100 people)"/>
    <n v="2.13224557906691E-2"/>
    <x v="36"/>
  </r>
  <r>
    <x v="15"/>
    <s v="Mobile cellular subscriptions (per 100 people)"/>
    <m/>
    <x v="36"/>
  </r>
  <r>
    <x v="16"/>
    <s v="Mobile cellular subscriptions (per 100 people)"/>
    <n v="1.6577874565772699E-2"/>
    <x v="36"/>
  </r>
  <r>
    <x v="17"/>
    <s v="Mobile cellular subscriptions (per 100 people)"/>
    <m/>
    <x v="36"/>
  </r>
  <r>
    <x v="18"/>
    <s v="Mobile cellular subscriptions (per 100 people)"/>
    <n v="0.10849265621719301"/>
    <x v="36"/>
  </r>
  <r>
    <x v="19"/>
    <s v="Mobile cellular subscriptions (per 100 people)"/>
    <m/>
    <x v="36"/>
  </r>
  <r>
    <x v="20"/>
    <s v="Mobile cellular subscriptions (per 100 people)"/>
    <m/>
    <x v="36"/>
  </r>
  <r>
    <x v="21"/>
    <s v="Mobile cellular subscriptions (per 100 people)"/>
    <m/>
    <x v="36"/>
  </r>
  <r>
    <x v="22"/>
    <s v="Mobile cellular subscriptions (per 100 people)"/>
    <n v="0.38661297661892002"/>
    <x v="36"/>
  </r>
  <r>
    <x v="23"/>
    <s v="Mobile cellular subscriptions (per 100 people)"/>
    <n v="1.7437268571545801E-3"/>
    <x v="36"/>
  </r>
  <r>
    <x v="24"/>
    <s v="Mobile cellular subscriptions (per 100 people)"/>
    <n v="2.93328665000165E-2"/>
    <x v="36"/>
  </r>
  <r>
    <x v="25"/>
    <s v="Mobile cellular subscriptions (per 100 people)"/>
    <n v="1.8866039704146499E-2"/>
    <x v="36"/>
  </r>
  <r>
    <x v="26"/>
    <s v="Mobile cellular subscriptions (per 100 people)"/>
    <n v="2.8964359680078499E-2"/>
    <x v="36"/>
  </r>
  <r>
    <x v="27"/>
    <s v="Mobile cellular subscriptions (per 100 people)"/>
    <m/>
    <x v="36"/>
  </r>
  <r>
    <x v="0"/>
    <s v="Mobile cellular subscriptions (per 100 people)"/>
    <n v="1.0127457074061499E-2"/>
    <x v="37"/>
  </r>
  <r>
    <x v="1"/>
    <s v="Mobile cellular subscriptions (per 100 people)"/>
    <n v="2.96496617150084E-2"/>
    <x v="37"/>
  </r>
  <r>
    <x v="2"/>
    <s v="Mobile cellular subscriptions (per 100 people)"/>
    <m/>
    <x v="37"/>
  </r>
  <r>
    <x v="3"/>
    <s v="Mobile cellular subscriptions (per 100 people)"/>
    <m/>
    <x v="37"/>
  </r>
  <r>
    <x v="4"/>
    <s v="Mobile cellular subscriptions (per 100 people)"/>
    <n v="3.0713227718158501E-2"/>
    <x v="37"/>
  </r>
  <r>
    <x v="5"/>
    <s v="Mobile cellular subscriptions (per 100 people)"/>
    <m/>
    <x v="37"/>
  </r>
  <r>
    <x v="6"/>
    <s v="Mobile cellular subscriptions (per 100 people)"/>
    <n v="3.4396787330468699E-2"/>
    <x v="37"/>
  </r>
  <r>
    <x v="7"/>
    <s v="Mobile cellular subscriptions (per 100 people)"/>
    <n v="0"/>
    <x v="37"/>
  </r>
  <r>
    <x v="8"/>
    <s v="Mobile cellular subscriptions (per 100 people)"/>
    <n v="2.3371462860165601E-2"/>
    <x v="37"/>
  </r>
  <r>
    <x v="9"/>
    <s v="Mobile cellular subscriptions (per 100 people)"/>
    <m/>
    <x v="37"/>
  </r>
  <r>
    <x v="10"/>
    <s v="Mobile cellular subscriptions (per 100 people)"/>
    <m/>
    <x v="37"/>
  </r>
  <r>
    <x v="11"/>
    <s v="Mobile cellular subscriptions (per 100 people)"/>
    <n v="2.85757019830283E-2"/>
    <x v="37"/>
  </r>
  <r>
    <x v="12"/>
    <s v="Mobile cellular subscriptions (per 100 people)"/>
    <n v="6.7425284597310203E-2"/>
    <x v="37"/>
  </r>
  <r>
    <x v="13"/>
    <s v="Mobile cellular subscriptions (per 100 people)"/>
    <n v="2.8099402675118498E-2"/>
    <x v="37"/>
  </r>
  <r>
    <x v="14"/>
    <s v="Mobile cellular subscriptions (per 100 people)"/>
    <n v="5.1342717070589898E-2"/>
    <x v="37"/>
  </r>
  <r>
    <x v="15"/>
    <s v="Mobile cellular subscriptions (per 100 people)"/>
    <n v="1.4968848927251499E-2"/>
    <x v="37"/>
  </r>
  <r>
    <x v="16"/>
    <s v="Mobile cellular subscriptions (per 100 people)"/>
    <n v="1.9138400133869599E-2"/>
    <x v="37"/>
  </r>
  <r>
    <x v="17"/>
    <s v="Mobile cellular subscriptions (per 100 people)"/>
    <m/>
    <x v="37"/>
  </r>
  <r>
    <x v="18"/>
    <s v="Mobile cellular subscriptions (per 100 people)"/>
    <n v="0.15793959854929601"/>
    <x v="37"/>
  </r>
  <r>
    <x v="19"/>
    <s v="Mobile cellular subscriptions (per 100 people)"/>
    <n v="9.6266613726577897E-4"/>
    <x v="37"/>
  </r>
  <r>
    <x v="20"/>
    <s v="Mobile cellular subscriptions (per 100 people)"/>
    <m/>
    <x v="37"/>
  </r>
  <r>
    <x v="21"/>
    <s v="Mobile cellular subscriptions (per 100 people)"/>
    <m/>
    <x v="37"/>
  </r>
  <r>
    <x v="22"/>
    <s v="Mobile cellular subscriptions (per 100 people)"/>
    <n v="0.62180590972156302"/>
    <x v="37"/>
  </r>
  <r>
    <x v="23"/>
    <s v="Mobile cellular subscriptions (per 100 people)"/>
    <n v="5.3923962494536E-3"/>
    <x v="37"/>
  </r>
  <r>
    <x v="24"/>
    <s v="Mobile cellular subscriptions (per 100 people)"/>
    <n v="6.3852820386979106E-2"/>
    <x v="37"/>
  </r>
  <r>
    <x v="25"/>
    <s v="Mobile cellular subscriptions (per 100 people)"/>
    <n v="2.2866622967025699E-2"/>
    <x v="37"/>
  </r>
  <r>
    <x v="26"/>
    <s v="Mobile cellular subscriptions (per 100 people)"/>
    <n v="4.706939725723E-2"/>
    <x v="37"/>
  </r>
  <r>
    <x v="27"/>
    <s v="Mobile cellular subscriptions (per 100 people)"/>
    <n v="4.8966707677209502E-2"/>
    <x v="37"/>
  </r>
  <r>
    <x v="0"/>
    <s v="Mobile cellular subscriptions (per 100 people)"/>
    <n v="1.0022061466919399E-2"/>
    <x v="38"/>
  </r>
  <r>
    <x v="1"/>
    <s v="Mobile cellular subscriptions (per 100 people)"/>
    <n v="3.4426797268164798E-2"/>
    <x v="38"/>
  </r>
  <r>
    <x v="2"/>
    <s v="Mobile cellular subscriptions (per 100 people)"/>
    <m/>
    <x v="38"/>
  </r>
  <r>
    <x v="3"/>
    <s v="Mobile cellular subscriptions (per 100 people)"/>
    <m/>
    <x v="38"/>
  </r>
  <r>
    <x v="4"/>
    <s v="Mobile cellular subscriptions (per 100 people)"/>
    <n v="3.2323849711730003E-2"/>
    <x v="38"/>
  </r>
  <r>
    <x v="5"/>
    <s v="Mobile cellular subscriptions (per 100 people)"/>
    <m/>
    <x v="38"/>
  </r>
  <r>
    <x v="6"/>
    <s v="Mobile cellular subscriptions (per 100 people)"/>
    <n v="0.25363103276293902"/>
    <x v="38"/>
  </r>
  <r>
    <x v="7"/>
    <s v="Mobile cellular subscriptions (per 100 people)"/>
    <n v="0.12108761379057099"/>
    <x v="38"/>
  </r>
  <r>
    <x v="8"/>
    <s v="Mobile cellular subscriptions (per 100 people)"/>
    <n v="3.6130571639993697E-2"/>
    <x v="38"/>
  </r>
  <r>
    <x v="9"/>
    <s v="Mobile cellular subscriptions (per 100 people)"/>
    <m/>
    <x v="38"/>
  </r>
  <r>
    <x v="10"/>
    <s v="Mobile cellular subscriptions (per 100 people)"/>
    <m/>
    <x v="38"/>
  </r>
  <r>
    <x v="11"/>
    <s v="Mobile cellular subscriptions (per 100 people)"/>
    <n v="8.6327101246820206E-2"/>
    <x v="38"/>
  </r>
  <r>
    <x v="12"/>
    <s v="Mobile cellular subscriptions (per 100 people)"/>
    <n v="9.8087352672796294E-2"/>
    <x v="38"/>
  </r>
  <r>
    <x v="13"/>
    <s v="Mobile cellular subscriptions (per 100 people)"/>
    <n v="4.3089019332259899E-2"/>
    <x v="38"/>
  </r>
  <r>
    <x v="14"/>
    <s v="Mobile cellular subscriptions (per 100 people)"/>
    <n v="0.16457871141452099"/>
    <x v="38"/>
  </r>
  <r>
    <x v="15"/>
    <s v="Mobile cellular subscriptions (per 100 people)"/>
    <n v="3.9243078337937498E-2"/>
    <x v="38"/>
  </r>
  <r>
    <x v="16"/>
    <s v="Mobile cellular subscriptions (per 100 people)"/>
    <n v="1.89413085227992E-2"/>
    <x v="38"/>
  </r>
  <r>
    <x v="17"/>
    <s v="Mobile cellular subscriptions (per 100 people)"/>
    <m/>
    <x v="38"/>
  </r>
  <r>
    <x v="18"/>
    <s v="Mobile cellular subscriptions (per 100 people)"/>
    <n v="0.37600423523284898"/>
    <x v="38"/>
  </r>
  <r>
    <x v="19"/>
    <s v="Mobile cellular subscriptions (per 100 people)"/>
    <n v="1.27787973134023E-2"/>
    <x v="38"/>
  </r>
  <r>
    <x v="20"/>
    <s v="Mobile cellular subscriptions (per 100 people)"/>
    <n v="7.0823405662444605E-2"/>
    <x v="38"/>
  </r>
  <r>
    <x v="21"/>
    <s v="Mobile cellular subscriptions (per 100 people)"/>
    <m/>
    <x v="38"/>
  </r>
  <r>
    <x v="22"/>
    <s v="Mobile cellular subscriptions (per 100 people)"/>
    <n v="0.93804751904626504"/>
    <x v="38"/>
  </r>
  <r>
    <x v="23"/>
    <s v="Mobile cellular subscriptions (per 100 people)"/>
    <n v="6.9747849897977198E-3"/>
    <x v="38"/>
  </r>
  <r>
    <x v="24"/>
    <s v="Mobile cellular subscriptions (per 100 people)"/>
    <n v="0.116912164236138"/>
    <x v="38"/>
  </r>
  <r>
    <x v="25"/>
    <s v="Mobile cellular subscriptions (per 100 people)"/>
    <n v="0.133027140330197"/>
    <x v="38"/>
  </r>
  <r>
    <x v="26"/>
    <s v="Mobile cellular subscriptions (per 100 people)"/>
    <n v="8.3013206536857898E-2"/>
    <x v="38"/>
  </r>
  <r>
    <x v="27"/>
    <s v="Mobile cellular subscriptions (per 100 people)"/>
    <n v="0.159754187073162"/>
    <x v="38"/>
  </r>
  <r>
    <x v="0"/>
    <s v="Mobile cellular subscriptions (per 100 people)"/>
    <n v="1.2741004054824499E-2"/>
    <x v="39"/>
  </r>
  <r>
    <x v="1"/>
    <s v="Mobile cellular subscriptions (per 100 people)"/>
    <n v="4.0290383538262503E-2"/>
    <x v="39"/>
  </r>
  <r>
    <x v="2"/>
    <s v="Mobile cellular subscriptions (per 100 people)"/>
    <m/>
    <x v="39"/>
  </r>
  <r>
    <x v="3"/>
    <s v="Mobile cellular subscriptions (per 100 people)"/>
    <m/>
    <x v="39"/>
  </r>
  <r>
    <x v="4"/>
    <s v="Mobile cellular subscriptions (per 100 people)"/>
    <n v="3.9994343657111402E-2"/>
    <x v="39"/>
  </r>
  <r>
    <x v="5"/>
    <s v="Mobile cellular subscriptions (per 100 people)"/>
    <n v="1.04269714873691E-2"/>
    <x v="39"/>
  </r>
  <r>
    <x v="6"/>
    <s v="Mobile cellular subscriptions (per 100 people)"/>
    <n v="0.29099459437847303"/>
    <x v="39"/>
  </r>
  <r>
    <x v="7"/>
    <s v="Mobile cellular subscriptions (per 100 people)"/>
    <n v="0.29746330433185098"/>
    <x v="39"/>
  </r>
  <r>
    <x v="8"/>
    <s v="Mobile cellular subscriptions (per 100 people)"/>
    <n v="7.7636247660446994E-2"/>
    <x v="39"/>
  </r>
  <r>
    <x v="9"/>
    <s v="Mobile cellular subscriptions (per 100 people)"/>
    <m/>
    <x v="39"/>
  </r>
  <r>
    <x v="10"/>
    <s v="Mobile cellular subscriptions (per 100 people)"/>
    <m/>
    <x v="39"/>
  </r>
  <r>
    <x v="11"/>
    <s v="Mobile cellular subscriptions (per 100 people)"/>
    <n v="0.23394046047769201"/>
    <x v="39"/>
  </r>
  <r>
    <x v="12"/>
    <s v="Mobile cellular subscriptions (per 100 people)"/>
    <n v="0.20372396543537699"/>
    <x v="39"/>
  </r>
  <r>
    <x v="13"/>
    <s v="Mobile cellular subscriptions (per 100 people)"/>
    <n v="5.9894654052810602E-2"/>
    <x v="39"/>
  </r>
  <r>
    <x v="14"/>
    <s v="Mobile cellular subscriptions (per 100 people)"/>
    <n v="0.42610882393254401"/>
    <x v="39"/>
  </r>
  <r>
    <x v="15"/>
    <s v="Mobile cellular subscriptions (per 100 people)"/>
    <n v="6.9622355446605805E-2"/>
    <x v="39"/>
  </r>
  <r>
    <x v="16"/>
    <s v="Mobile cellular subscriptions (per 100 people)"/>
    <n v="2.5009093766754E-2"/>
    <x v="39"/>
  </r>
  <r>
    <x v="17"/>
    <s v="Mobile cellular subscriptions (per 100 people)"/>
    <n v="2.3599079275486001E-2"/>
    <x v="39"/>
  </r>
  <r>
    <x v="18"/>
    <s v="Mobile cellular subscriptions (per 100 people)"/>
    <n v="0.89357652848882596"/>
    <x v="39"/>
  </r>
  <r>
    <x v="19"/>
    <s v="Mobile cellular subscriptions (per 100 people)"/>
    <n v="2.0022234545314901E-2"/>
    <x v="39"/>
  </r>
  <r>
    <x v="20"/>
    <s v="Mobile cellular subscriptions (per 100 people)"/>
    <n v="0.144865715408141"/>
    <x v="39"/>
  </r>
  <r>
    <x v="21"/>
    <s v="Mobile cellular subscriptions (per 100 people)"/>
    <m/>
    <x v="39"/>
  </r>
  <r>
    <x v="22"/>
    <s v="Mobile cellular subscriptions (per 100 people)"/>
    <n v="1.37475806952268"/>
    <x v="39"/>
  </r>
  <r>
    <x v="23"/>
    <s v="Mobile cellular subscriptions (per 100 people)"/>
    <n v="1.02209591478893E-2"/>
    <x v="39"/>
  </r>
  <r>
    <x v="24"/>
    <s v="Mobile cellular subscriptions (per 100 people)"/>
    <n v="0.15304188391405099"/>
    <x v="39"/>
  </r>
  <r>
    <x v="25"/>
    <s v="Mobile cellular subscriptions (per 100 people)"/>
    <n v="0.24216049545836299"/>
    <x v="39"/>
  </r>
  <r>
    <x v="26"/>
    <s v="Mobile cellular subscriptions (per 100 people)"/>
    <n v="0.275300657811341"/>
    <x v="39"/>
  </r>
  <r>
    <x v="27"/>
    <s v="Mobile cellular subscriptions (per 100 people)"/>
    <n v="1.4422434943006901"/>
    <x v="39"/>
  </r>
  <r>
    <x v="0"/>
    <s v="Mobile cellular subscriptions (per 100 people)"/>
    <n v="0.25497187341521399"/>
    <x v="40"/>
  </r>
  <r>
    <x v="1"/>
    <s v="Mobile cellular subscriptions (per 100 people)"/>
    <n v="0.67616484073767602"/>
    <x v="40"/>
  </r>
  <r>
    <x v="2"/>
    <s v="Mobile cellular subscriptions (per 100 people)"/>
    <n v="6.5927013521870206E-2"/>
    <x v="40"/>
  </r>
  <r>
    <x v="3"/>
    <s v="Mobile cellular subscriptions (per 100 people)"/>
    <m/>
    <x v="40"/>
  </r>
  <r>
    <x v="4"/>
    <s v="Mobile cellular subscriptions (per 100 people)"/>
    <n v="3.2051996700037902E-2"/>
    <x v="40"/>
  </r>
  <r>
    <x v="5"/>
    <s v="Mobile cellular subscriptions (per 100 people)"/>
    <n v="2.6687274246092001E-2"/>
    <x v="40"/>
  </r>
  <r>
    <x v="6"/>
    <s v="Mobile cellular subscriptions (per 100 people)"/>
    <n v="0.47808117253403698"/>
    <x v="40"/>
  </r>
  <r>
    <x v="7"/>
    <s v="Mobile cellular subscriptions (per 100 people)"/>
    <n v="0.64333504889346405"/>
    <x v="40"/>
  </r>
  <r>
    <x v="8"/>
    <s v="Mobile cellular subscriptions (per 100 people)"/>
    <n v="0.40509393766703"/>
    <x v="40"/>
  </r>
  <r>
    <x v="9"/>
    <s v="Mobile cellular subscriptions (per 100 people)"/>
    <m/>
    <x v="40"/>
  </r>
  <r>
    <x v="10"/>
    <s v="Mobile cellular subscriptions (per 100 people)"/>
    <n v="5.20016834678328E-2"/>
    <x v="40"/>
  </r>
  <r>
    <x v="11"/>
    <s v="Mobile cellular subscriptions (per 100 people)"/>
    <n v="0.400169825137698"/>
    <x v="40"/>
  </r>
  <r>
    <x v="12"/>
    <s v="Mobile cellular subscriptions (per 100 people)"/>
    <n v="0.43072485190976401"/>
    <x v="40"/>
  </r>
  <r>
    <x v="13"/>
    <s v="Mobile cellular subscriptions (per 100 people)"/>
    <n v="9.4805743050724395E-2"/>
    <x v="40"/>
  </r>
  <r>
    <x v="14"/>
    <s v="Mobile cellular subscriptions (per 100 people)"/>
    <n v="3.3086659197174799"/>
    <x v="40"/>
  </r>
  <r>
    <x v="15"/>
    <s v="Mobile cellular subscriptions (per 100 people)"/>
    <n v="0.28263163956736698"/>
    <x v="40"/>
  </r>
  <r>
    <x v="16"/>
    <s v="Mobile cellular subscriptions (per 100 people)"/>
    <n v="2.90635984947933E-2"/>
    <x v="40"/>
  </r>
  <r>
    <x v="17"/>
    <s v="Mobile cellular subscriptions (per 100 people)"/>
    <n v="4.30733260404371E-2"/>
    <x v="40"/>
  </r>
  <r>
    <x v="18"/>
    <s v="Mobile cellular subscriptions (per 100 people)"/>
    <n v="1.7962535181455499"/>
    <x v="40"/>
  </r>
  <r>
    <x v="19"/>
    <s v="Mobile cellular subscriptions (per 100 people)"/>
    <n v="1.8109793795863E-2"/>
    <x v="40"/>
  </r>
  <r>
    <x v="20"/>
    <s v="Mobile cellular subscriptions (per 100 people)"/>
    <n v="0.48593873957209699"/>
    <x v="40"/>
  </r>
  <r>
    <x v="21"/>
    <s v="Mobile cellular subscriptions (per 100 people)"/>
    <m/>
    <x v="40"/>
  </r>
  <r>
    <x v="22"/>
    <s v="Mobile cellular subscriptions (per 100 people)"/>
    <n v="2.2905091050774402"/>
    <x v="40"/>
  </r>
  <r>
    <x v="23"/>
    <s v="Mobile cellular subscriptions (per 100 people)"/>
    <n v="1.8660903235977602E-2"/>
    <x v="40"/>
  </r>
  <r>
    <x v="24"/>
    <s v="Mobile cellular subscriptions (per 100 people)"/>
    <n v="0.32335965881252099"/>
    <x v="40"/>
  </r>
  <r>
    <x v="25"/>
    <s v="Mobile cellular subscriptions (per 100 people)"/>
    <n v="0.527940236464712"/>
    <x v="40"/>
  </r>
  <r>
    <x v="26"/>
    <s v="Mobile cellular subscriptions (per 100 people)"/>
    <n v="0.93866608629711601"/>
    <x v="40"/>
  </r>
  <r>
    <x v="27"/>
    <s v="Mobile cellular subscriptions (per 100 people)"/>
    <n v="2.1799666853511699"/>
    <x v="40"/>
  </r>
  <r>
    <x v="0"/>
    <s v="Mobile cellular subscriptions (per 100 people)"/>
    <n v="0.50971433208523298"/>
    <x v="41"/>
  </r>
  <r>
    <x v="1"/>
    <s v="Mobile cellular subscriptions (per 100 people)"/>
    <n v="2.6626910653680298"/>
    <x v="41"/>
  </r>
  <r>
    <x v="2"/>
    <s v="Mobile cellular subscriptions (per 100 people)"/>
    <n v="0.253953243975652"/>
    <x v="41"/>
  </r>
  <r>
    <x v="3"/>
    <s v="Mobile cellular subscriptions (per 100 people)"/>
    <m/>
    <x v="41"/>
  </r>
  <r>
    <x v="4"/>
    <s v="Mobile cellular subscriptions (per 100 people)"/>
    <n v="0.40943837338323003"/>
    <x v="41"/>
  </r>
  <r>
    <x v="5"/>
    <s v="Mobile cellular subscriptions (per 100 people)"/>
    <n v="4.0150523876005401E-2"/>
    <x v="41"/>
  </r>
  <r>
    <x v="6"/>
    <s v="Mobile cellular subscriptions (per 100 people)"/>
    <n v="0.62054550709781697"/>
    <x v="41"/>
  </r>
  <r>
    <x v="7"/>
    <s v="Mobile cellular subscriptions (per 100 people)"/>
    <n v="1.05262346554246"/>
    <x v="41"/>
  </r>
  <r>
    <x v="8"/>
    <s v="Mobile cellular subscriptions (per 100 people)"/>
    <n v="1.85635052254101"/>
    <x v="41"/>
  </r>
  <r>
    <x v="9"/>
    <s v="Mobile cellular subscriptions (per 100 people)"/>
    <m/>
    <x v="41"/>
  </r>
  <r>
    <x v="10"/>
    <s v="Mobile cellular subscriptions (per 100 people)"/>
    <n v="6.6864317589461097E-2"/>
    <x v="41"/>
  </r>
  <r>
    <x v="11"/>
    <s v="Mobile cellular subscriptions (per 100 people)"/>
    <n v="0.90708207869020097"/>
    <x v="41"/>
  </r>
  <r>
    <x v="12"/>
    <s v="Mobile cellular subscriptions (per 100 people)"/>
    <n v="0.476493269457756"/>
    <x v="41"/>
  </r>
  <r>
    <x v="13"/>
    <s v="Mobile cellular subscriptions (per 100 people)"/>
    <n v="0.21248961105820799"/>
    <x v="41"/>
  </r>
  <r>
    <x v="14"/>
    <s v="Mobile cellular subscriptions (per 100 people)"/>
    <n v="5.3756954059307098"/>
    <x v="41"/>
  </r>
  <r>
    <x v="15"/>
    <s v="Mobile cellular subscriptions (per 100 people)"/>
    <n v="0.82120602140282895"/>
    <x v="41"/>
  </r>
  <r>
    <x v="16"/>
    <s v="Mobile cellular subscriptions (per 100 people)"/>
    <n v="4.86210065138123E-2"/>
    <x v="41"/>
  </r>
  <r>
    <x v="17"/>
    <s v="Mobile cellular subscriptions (per 100 people)"/>
    <n v="7.1542751180925193E-2"/>
    <x v="41"/>
  </r>
  <r>
    <x v="18"/>
    <s v="Mobile cellular subscriptions (per 100 people)"/>
    <n v="3.2251923736705401"/>
    <x v="41"/>
  </r>
  <r>
    <x v="19"/>
    <s v="Mobile cellular subscriptions (per 100 people)"/>
    <n v="1.8059839741433398E-2"/>
    <x v="41"/>
  </r>
  <r>
    <x v="20"/>
    <s v="Mobile cellular subscriptions (per 100 people)"/>
    <n v="0.78036777172345795"/>
    <x v="41"/>
  </r>
  <r>
    <x v="21"/>
    <s v="Mobile cellular subscriptions (per 100 people)"/>
    <m/>
    <x v="41"/>
  </r>
  <r>
    <x v="22"/>
    <s v="Mobile cellular subscriptions (per 100 people)"/>
    <n v="3.53016493264388"/>
    <x v="41"/>
  </r>
  <r>
    <x v="23"/>
    <s v="Mobile cellular subscriptions (per 100 people)"/>
    <n v="2.5762095738585799E-2"/>
    <x v="41"/>
  </r>
  <r>
    <x v="24"/>
    <s v="Mobile cellular subscriptions (per 100 people)"/>
    <n v="0.784690750658534"/>
    <x v="41"/>
  </r>
  <r>
    <x v="25"/>
    <s v="Mobile cellular subscriptions (per 100 people)"/>
    <n v="1.1407009935911201"/>
    <x v="41"/>
  </r>
  <r>
    <x v="26"/>
    <s v="Mobile cellular subscriptions (per 100 people)"/>
    <n v="1.1197209936138"/>
    <x v="41"/>
  </r>
  <r>
    <x v="27"/>
    <s v="Mobile cellular subscriptions (per 100 people)"/>
    <n v="2.53920273585222"/>
    <x v="41"/>
  </r>
  <r>
    <x v="0"/>
    <s v="Mobile cellular subscriptions (per 100 people)"/>
    <n v="0.77133379484805398"/>
    <x v="42"/>
  </r>
  <r>
    <x v="1"/>
    <s v="Mobile cellular subscriptions (per 100 people)"/>
    <n v="4.3612805213540202"/>
    <x v="42"/>
  </r>
  <r>
    <x v="2"/>
    <s v="Mobile cellular subscriptions (per 100 people)"/>
    <n v="0.37992870004729101"/>
    <x v="42"/>
  </r>
  <r>
    <x v="3"/>
    <s v="Mobile cellular subscriptions (per 100 people)"/>
    <m/>
    <x v="42"/>
  </r>
  <r>
    <x v="4"/>
    <s v="Mobile cellular subscriptions (per 100 people)"/>
    <n v="2.0101283667974998"/>
    <x v="42"/>
  </r>
  <r>
    <x v="5"/>
    <s v="Mobile cellular subscriptions (per 100 people)"/>
    <n v="7.1448235838953697E-2"/>
    <x v="42"/>
  </r>
  <r>
    <x v="6"/>
    <s v="Mobile cellular subscriptions (per 100 people)"/>
    <n v="0.99341767220127897"/>
    <x v="42"/>
  </r>
  <r>
    <x v="7"/>
    <s v="Mobile cellular subscriptions (per 100 people)"/>
    <n v="1.58465456737629"/>
    <x v="42"/>
  </r>
  <r>
    <x v="8"/>
    <s v="Mobile cellular subscriptions (per 100 people)"/>
    <n v="3.57416052967289"/>
    <x v="42"/>
  </r>
  <r>
    <x v="9"/>
    <s v="Mobile cellular subscriptions (per 100 people)"/>
    <m/>
    <x v="42"/>
  </r>
  <r>
    <x v="10"/>
    <s v="Mobile cellular subscriptions (per 100 people)"/>
    <n v="0.163245956479281"/>
    <x v="42"/>
  </r>
  <r>
    <x v="11"/>
    <s v="Mobile cellular subscriptions (per 100 people)"/>
    <n v="0.97231650694713301"/>
    <x v="42"/>
  </r>
  <r>
    <x v="12"/>
    <s v="Mobile cellular subscriptions (per 100 people)"/>
    <n v="0.71623996948153701"/>
    <x v="42"/>
  </r>
  <r>
    <x v="13"/>
    <s v="Mobile cellular subscriptions (per 100 people)"/>
    <n v="0.39500197999317599"/>
    <x v="42"/>
  </r>
  <r>
    <x v="14"/>
    <s v="Mobile cellular subscriptions (per 100 people)"/>
    <n v="8.0980631209572493"/>
    <x v="42"/>
  </r>
  <r>
    <x v="15"/>
    <s v="Mobile cellular subscriptions (per 100 people)"/>
    <n v="1.33105304180461"/>
    <x v="42"/>
  </r>
  <r>
    <x v="16"/>
    <s v="Mobile cellular subscriptions (per 100 people)"/>
    <n v="0.101785693830025"/>
    <x v="42"/>
  </r>
  <r>
    <x v="17"/>
    <s v="Mobile cellular subscriptions (per 100 people)"/>
    <n v="8.9069019718116801E-2"/>
    <x v="42"/>
  </r>
  <r>
    <x v="18"/>
    <s v="Mobile cellular subscriptions (per 100 people)"/>
    <n v="4.5873975730383698"/>
    <x v="42"/>
  </r>
  <r>
    <x v="19"/>
    <s v="Mobile cellular subscriptions (per 100 people)"/>
    <n v="0.47141561995483899"/>
    <x v="42"/>
  </r>
  <r>
    <x v="20"/>
    <s v="Mobile cellular subscriptions (per 100 people)"/>
    <n v="0.96519472060476497"/>
    <x v="42"/>
  </r>
  <r>
    <x v="21"/>
    <s v="Mobile cellular subscriptions (per 100 people)"/>
    <n v="1.36656336919987"/>
    <x v="42"/>
  </r>
  <r>
    <x v="22"/>
    <s v="Mobile cellular subscriptions (per 100 people)"/>
    <n v="4.8868688776607696"/>
    <x v="42"/>
  </r>
  <r>
    <x v="23"/>
    <s v="Mobile cellular subscriptions (per 100 people)"/>
    <n v="0.20472454622494099"/>
    <x v="42"/>
  </r>
  <r>
    <x v="24"/>
    <s v="Mobile cellular subscriptions (per 100 people)"/>
    <n v="1.6807794468967401"/>
    <x v="42"/>
  </r>
  <r>
    <x v="25"/>
    <s v="Mobile cellular subscriptions (per 100 people)"/>
    <n v="1.5293151330925301"/>
    <x v="42"/>
  </r>
  <r>
    <x v="26"/>
    <s v="Mobile cellular subscriptions (per 100 people)"/>
    <n v="1.25078133367217"/>
    <x v="42"/>
  </r>
  <r>
    <x v="27"/>
    <s v="Mobile cellular subscriptions (per 100 people)"/>
    <n v="2.7101181750366501"/>
    <x v="42"/>
  </r>
  <r>
    <x v="0"/>
    <s v="Mobile cellular subscriptions (per 100 people)"/>
    <n v="0.92045102675592905"/>
    <x v="43"/>
  </r>
  <r>
    <x v="1"/>
    <s v="Mobile cellular subscriptions (per 100 people)"/>
    <n v="6.5218094272785496"/>
    <x v="43"/>
  </r>
  <r>
    <x v="2"/>
    <s v="Mobile cellular subscriptions (per 100 people)"/>
    <n v="0.69494924785642898"/>
    <x v="43"/>
  </r>
  <r>
    <x v="3"/>
    <s v="Mobile cellular subscriptions (per 100 people)"/>
    <n v="0.342929059980007"/>
    <x v="43"/>
  </r>
  <r>
    <x v="4"/>
    <s v="Mobile cellular subscriptions (per 100 people)"/>
    <n v="3.0318409206250898"/>
    <x v="43"/>
  </r>
  <r>
    <x v="5"/>
    <s v="Mobile cellular subscriptions (per 100 people)"/>
    <n v="7.0747671270733198E-2"/>
    <x v="43"/>
  </r>
  <r>
    <x v="6"/>
    <s v="Mobile cellular subscriptions (per 100 people)"/>
    <n v="1.1976565030922099"/>
    <x v="43"/>
  </r>
  <r>
    <x v="7"/>
    <s v="Mobile cellular subscriptions (per 100 people)"/>
    <n v="3.5648431602691102"/>
    <x v="43"/>
  </r>
  <r>
    <x v="8"/>
    <s v="Mobile cellular subscriptions (per 100 people)"/>
    <n v="4.6608417510351003"/>
    <x v="43"/>
  </r>
  <r>
    <x v="9"/>
    <s v="Mobile cellular subscriptions (per 100 people)"/>
    <m/>
    <x v="43"/>
  </r>
  <r>
    <x v="10"/>
    <s v="Mobile cellular subscriptions (per 100 people)"/>
    <n v="1.5162537589455001"/>
    <x v="43"/>
  </r>
  <r>
    <x v="11"/>
    <s v="Mobile cellular subscriptions (per 100 people)"/>
    <n v="1.64166725649151"/>
    <x v="43"/>
  </r>
  <r>
    <x v="12"/>
    <s v="Mobile cellular subscriptions (per 100 people)"/>
    <n v="1.0952211075793701"/>
    <x v="43"/>
  </r>
  <r>
    <x v="13"/>
    <s v="Mobile cellular subscriptions (per 100 people)"/>
    <n v="2.05931165415313"/>
    <x v="43"/>
  </r>
  <r>
    <x v="14"/>
    <s v="Mobile cellular subscriptions (per 100 people)"/>
    <n v="11.408973819926199"/>
    <x v="43"/>
  </r>
  <r>
    <x v="15"/>
    <s v="Mobile cellular subscriptions (per 100 people)"/>
    <n v="2.2101023716160402"/>
    <x v="43"/>
  </r>
  <r>
    <x v="16"/>
    <s v="Mobile cellular subscriptions (per 100 people)"/>
    <n v="0.139668552333156"/>
    <x v="43"/>
  </r>
  <r>
    <x v="17"/>
    <s v="Mobile cellular subscriptions (per 100 people)"/>
    <n v="0.328116055458816"/>
    <x v="43"/>
  </r>
  <r>
    <x v="18"/>
    <s v="Mobile cellular subscriptions (per 100 people)"/>
    <n v="8.9051092383548607"/>
    <x v="43"/>
  </r>
  <r>
    <x v="19"/>
    <s v="Mobile cellular subscriptions (per 100 people)"/>
    <n v="0.65075330630716799"/>
    <x v="43"/>
  </r>
  <r>
    <x v="20"/>
    <s v="Mobile cellular subscriptions (per 100 people)"/>
    <n v="1.5059307543731599"/>
    <x v="43"/>
  </r>
  <r>
    <x v="21"/>
    <s v="Mobile cellular subscriptions (per 100 people)"/>
    <n v="3.2479173968134099"/>
    <x v="43"/>
  </r>
  <r>
    <x v="22"/>
    <s v="Mobile cellular subscriptions (per 100 people)"/>
    <n v="7.2515260880297197"/>
    <x v="43"/>
  </r>
  <r>
    <x v="23"/>
    <s v="Mobile cellular subscriptions (per 100 people)"/>
    <n v="0.72400624186829099"/>
    <x v="43"/>
  </r>
  <r>
    <x v="24"/>
    <s v="Mobile cellular subscriptions (per 100 people)"/>
    <n v="3.4940307526389902"/>
    <x v="43"/>
  </r>
  <r>
    <x v="25"/>
    <s v="Mobile cellular subscriptions (per 100 people)"/>
    <n v="2.9152084408458001"/>
    <x v="43"/>
  </r>
  <r>
    <x v="26"/>
    <s v="Mobile cellular subscriptions (per 100 people)"/>
    <n v="2.1099661845087501"/>
    <x v="43"/>
  </r>
  <r>
    <x v="27"/>
    <s v="Mobile cellular subscriptions (per 100 people)"/>
    <n v="2.8783755321101601"/>
    <x v="43"/>
  </r>
  <r>
    <x v="0"/>
    <s v="Mobile cellular subscriptions (per 100 people)"/>
    <n v="1.40007916517634"/>
    <x v="44"/>
  </r>
  <r>
    <x v="1"/>
    <s v="Mobile cellular subscriptions (per 100 people)"/>
    <n v="9.0268334705164701"/>
    <x v="44"/>
  </r>
  <r>
    <x v="2"/>
    <s v="Mobile cellular subscriptions (per 100 people)"/>
    <n v="1.26672971479117"/>
    <x v="44"/>
  </r>
  <r>
    <x v="3"/>
    <s v="Mobile cellular subscriptions (per 100 people)"/>
    <n v="1.40281433556364"/>
    <x v="44"/>
  </r>
  <r>
    <x v="4"/>
    <s v="Mobile cellular subscriptions (per 100 people)"/>
    <n v="4.4738125882255204"/>
    <x v="44"/>
  </r>
  <r>
    <x v="5"/>
    <s v="Mobile cellular subscriptions (per 100 people)"/>
    <n v="0.20842243231286101"/>
    <x v="44"/>
  </r>
  <r>
    <x v="6"/>
    <s v="Mobile cellular subscriptions (per 100 people)"/>
    <n v="1.6322050816687399"/>
    <x v="44"/>
  </r>
  <r>
    <x v="7"/>
    <s v="Mobile cellular subscriptions (per 100 people)"/>
    <n v="4.3863602618569404"/>
    <x v="44"/>
  </r>
  <r>
    <x v="8"/>
    <s v="Mobile cellular subscriptions (per 100 people)"/>
    <n v="7.2591931827321403"/>
    <x v="44"/>
  </r>
  <r>
    <x v="9"/>
    <s v="Mobile cellular subscriptions (per 100 people)"/>
    <m/>
    <x v="44"/>
  </r>
  <r>
    <x v="10"/>
    <s v="Mobile cellular subscriptions (per 100 people)"/>
    <n v="2.9709603345155902"/>
    <x v="44"/>
  </r>
  <r>
    <x v="11"/>
    <s v="Mobile cellular subscriptions (per 100 people)"/>
    <n v="1.8754595083063801"/>
    <x v="44"/>
  </r>
  <r>
    <x v="12"/>
    <s v="Mobile cellular subscriptions (per 100 people)"/>
    <n v="1.7524008684732599"/>
    <x v="44"/>
  </r>
  <r>
    <x v="13"/>
    <s v="Mobile cellular subscriptions (per 100 people)"/>
    <n v="3.28328023146722"/>
    <x v="44"/>
  </r>
  <r>
    <x v="14"/>
    <s v="Mobile cellular subscriptions (per 100 people)"/>
    <n v="18.889494536807799"/>
    <x v="44"/>
  </r>
  <r>
    <x v="15"/>
    <s v="Mobile cellular subscriptions (per 100 people)"/>
    <n v="3.4855032847668501"/>
    <x v="44"/>
  </r>
  <r>
    <x v="16"/>
    <s v="Mobile cellular subscriptions (per 100 people)"/>
    <n v="0.19231302466439701"/>
    <x v="44"/>
  </r>
  <r>
    <x v="17"/>
    <s v="Mobile cellular subscriptions (per 100 people)"/>
    <n v="0.461400799361535"/>
    <x v="44"/>
  </r>
  <r>
    <x v="18"/>
    <s v="Mobile cellular subscriptions (per 100 people)"/>
    <n v="13.910834560803099"/>
    <x v="44"/>
  </r>
  <r>
    <x v="19"/>
    <s v="Mobile cellular subscriptions (per 100 people)"/>
    <n v="1.31348245891754"/>
    <x v="44"/>
  </r>
  <r>
    <x v="20"/>
    <s v="Mobile cellular subscriptions (per 100 people)"/>
    <n v="1.5566362206095901"/>
    <x v="44"/>
  </r>
  <r>
    <x v="21"/>
    <s v="Mobile cellular subscriptions (per 100 people)"/>
    <n v="5.0964341411735301"/>
    <x v="44"/>
  </r>
  <r>
    <x v="22"/>
    <s v="Mobile cellular subscriptions (per 100 people)"/>
    <n v="11.4138787597165"/>
    <x v="44"/>
  </r>
  <r>
    <x v="23"/>
    <s v="Mobile cellular subscriptions (per 100 people)"/>
    <n v="2.0110710204517002"/>
    <x v="44"/>
  </r>
  <r>
    <x v="24"/>
    <s v="Mobile cellular subscriptions (per 100 people)"/>
    <n v="5.07712630677179"/>
    <x v="44"/>
  </r>
  <r>
    <x v="25"/>
    <s v="Mobile cellular subscriptions (per 100 people)"/>
    <n v="4.2259742264668203"/>
    <x v="44"/>
  </r>
  <r>
    <x v="26"/>
    <s v="Mobile cellular subscriptions (per 100 people)"/>
    <n v="3.9580979676852901"/>
    <x v="44"/>
  </r>
  <r>
    <x v="27"/>
    <s v="Mobile cellular subscriptions (per 100 people)"/>
    <n v="3.3319869573972598"/>
    <x v="44"/>
  </r>
  <r>
    <x v="0"/>
    <s v="Mobile cellular subscriptions (per 100 people)"/>
    <n v="2.0610810113953502"/>
    <x v="45"/>
  </r>
  <r>
    <x v="1"/>
    <s v="Mobile cellular subscriptions (per 100 people)"/>
    <n v="12.9299954450988"/>
    <x v="45"/>
  </r>
  <r>
    <x v="2"/>
    <s v="Mobile cellular subscriptions (per 100 people)"/>
    <n v="2.0860217766766702"/>
    <x v="45"/>
  </r>
  <r>
    <x v="3"/>
    <s v="Mobile cellular subscriptions (per 100 people)"/>
    <n v="2.5379847521446899"/>
    <x v="45"/>
  </r>
  <r>
    <x v="4"/>
    <s v="Mobile cellular subscriptions (per 100 people)"/>
    <n v="5.6243568497575502"/>
    <x v="45"/>
  </r>
  <r>
    <x v="5"/>
    <s v="Mobile cellular subscriptions (per 100 people)"/>
    <n v="0.53518260299300002"/>
    <x v="45"/>
  </r>
  <r>
    <x v="6"/>
    <s v="Mobile cellular subscriptions (per 100 people)"/>
    <n v="1.95253077431275"/>
    <x v="45"/>
  </r>
  <r>
    <x v="7"/>
    <s v="Mobile cellular subscriptions (per 100 people)"/>
    <n v="5.3997429022851602"/>
    <x v="45"/>
  </r>
  <r>
    <x v="8"/>
    <s v="Mobile cellular subscriptions (per 100 people)"/>
    <n v="12.793866937592201"/>
    <x v="45"/>
  </r>
  <r>
    <x v="9"/>
    <s v="Mobile cellular subscriptions (per 100 people)"/>
    <n v="32.302099349072499"/>
    <x v="45"/>
  </r>
  <r>
    <x v="10"/>
    <s v="Mobile cellular subscriptions (per 100 people)"/>
    <n v="4.9061243763856002"/>
    <x v="45"/>
  </r>
  <r>
    <x v="11"/>
    <s v="Mobile cellular subscriptions (per 100 people)"/>
    <n v="2.7827707937361099"/>
    <x v="45"/>
  </r>
  <r>
    <x v="12"/>
    <s v="Mobile cellular subscriptions (per 100 people)"/>
    <n v="3.22984918914231"/>
    <x v="45"/>
  </r>
  <r>
    <x v="13"/>
    <s v="Mobile cellular subscriptions (per 100 people)"/>
    <n v="5.95359098375366"/>
    <x v="45"/>
  </r>
  <r>
    <x v="14"/>
    <s v="Mobile cellular subscriptions (per 100 people)"/>
    <n v="26.211613683433999"/>
    <x v="45"/>
  </r>
  <r>
    <x v="15"/>
    <s v="Mobile cellular subscriptions (per 100 people)"/>
    <n v="7.1879652460179102"/>
    <x v="45"/>
  </r>
  <r>
    <x v="16"/>
    <s v="Mobile cellular subscriptions (per 100 people)"/>
    <n v="0.26545598387083702"/>
    <x v="45"/>
  </r>
  <r>
    <x v="17"/>
    <s v="Mobile cellular subscriptions (per 100 people)"/>
    <n v="0.88655793907455105"/>
    <x v="45"/>
  </r>
  <r>
    <x v="18"/>
    <s v="Mobile cellular subscriptions (per 100 people)"/>
    <n v="20.808900293865701"/>
    <x v="45"/>
  </r>
  <r>
    <x v="19"/>
    <s v="Mobile cellular subscriptions (per 100 people)"/>
    <n v="2.37804613432851"/>
    <x v="45"/>
  </r>
  <r>
    <x v="20"/>
    <s v="Mobile cellular subscriptions (per 100 people)"/>
    <n v="2.4798106260916302"/>
    <x v="45"/>
  </r>
  <r>
    <x v="21"/>
    <s v="Mobile cellular subscriptions (per 100 people)"/>
    <n v="7.6803958105763703"/>
    <x v="45"/>
  </r>
  <r>
    <x v="22"/>
    <s v="Mobile cellular subscriptions (per 100 people)"/>
    <n v="17.218187474461701"/>
    <x v="45"/>
  </r>
  <r>
    <x v="23"/>
    <s v="Mobile cellular subscriptions (per 100 people)"/>
    <n v="3.8662561334870902"/>
    <x v="45"/>
  </r>
  <r>
    <x v="24"/>
    <s v="Mobile cellular subscriptions (per 100 people)"/>
    <n v="7.5208297677690101"/>
    <x v="45"/>
  </r>
  <r>
    <x v="25"/>
    <s v="Mobile cellular subscriptions (per 100 people)"/>
    <n v="4.6079833407721598"/>
    <x v="45"/>
  </r>
  <r>
    <x v="26"/>
    <s v="Mobile cellular subscriptions (per 100 people)"/>
    <n v="7.8787480016023697"/>
    <x v="45"/>
  </r>
  <r>
    <x v="27"/>
    <s v="Mobile cellular subscriptions (per 100 people)"/>
    <n v="5.0008377104477004"/>
    <x v="45"/>
  </r>
  <r>
    <x v="0"/>
    <s v="Mobile cellular subscriptions (per 100 people)"/>
    <n v="2.6057484373978101"/>
    <x v="46"/>
  </r>
  <r>
    <x v="1"/>
    <s v="Mobile cellular subscriptions (per 100 people)"/>
    <n v="17.519680090496099"/>
    <x v="46"/>
  </r>
  <r>
    <x v="2"/>
    <s v="Mobile cellular subscriptions (per 100 people)"/>
    <n v="4.4723279934927396"/>
    <x v="46"/>
  </r>
  <r>
    <x v="3"/>
    <s v="Mobile cellular subscriptions (per 100 people)"/>
    <n v="5.8868978728499002"/>
    <x v="46"/>
  </r>
  <r>
    <x v="4"/>
    <s v="Mobile cellular subscriptions (per 100 people)"/>
    <n v="5.62880553825131"/>
    <x v="46"/>
  </r>
  <r>
    <x v="5"/>
    <s v="Mobile cellular subscriptions (per 100 people)"/>
    <n v="1.0991660453341101"/>
    <x v="46"/>
  </r>
  <r>
    <x v="6"/>
    <s v="Mobile cellular subscriptions (per 100 people)"/>
    <m/>
    <x v="46"/>
  </r>
  <r>
    <x v="7"/>
    <s v="Mobile cellular subscriptions (per 100 people)"/>
    <n v="12.7531269870302"/>
    <x v="46"/>
  </r>
  <r>
    <x v="8"/>
    <s v="Mobile cellular subscriptions (per 100 people)"/>
    <n v="19.810825581850398"/>
    <x v="46"/>
  </r>
  <r>
    <x v="9"/>
    <s v="Mobile cellular subscriptions (per 100 people)"/>
    <n v="32.302099349072499"/>
    <x v="46"/>
  </r>
  <r>
    <x v="10"/>
    <s v="Mobile cellular subscriptions (per 100 people)"/>
    <n v="8.2942368680013701"/>
    <x v="46"/>
  </r>
  <r>
    <x v="11"/>
    <s v="Mobile cellular subscriptions (per 100 people)"/>
    <n v="5.5395823830466799"/>
    <x v="46"/>
  </r>
  <r>
    <x v="12"/>
    <s v="Mobile cellular subscriptions (per 100 people)"/>
    <n v="4.6179976233988098"/>
    <x v="46"/>
  </r>
  <r>
    <x v="13"/>
    <s v="Mobile cellular subscriptions (per 100 people)"/>
    <n v="11.438275342131901"/>
    <x v="46"/>
  </r>
  <r>
    <x v="14"/>
    <s v="Mobile cellular subscriptions (per 100 people)"/>
    <n v="32.768165839511902"/>
    <x v="46"/>
  </r>
  <r>
    <x v="15"/>
    <s v="Mobile cellular subscriptions (per 100 people)"/>
    <n v="10.856577407744"/>
    <x v="46"/>
  </r>
  <r>
    <x v="16"/>
    <s v="Mobile cellular subscriptions (per 100 people)"/>
    <n v="0.43854547208463801"/>
    <x v="46"/>
  </r>
  <r>
    <x v="17"/>
    <s v="Mobile cellular subscriptions (per 100 people)"/>
    <n v="4.4605799291289001"/>
    <x v="46"/>
  </r>
  <r>
    <x v="18"/>
    <s v="Mobile cellular subscriptions (per 100 people)"/>
    <n v="33.580718251091596"/>
    <x v="46"/>
  </r>
  <r>
    <x v="19"/>
    <s v="Mobile cellular subscriptions (per 100 people)"/>
    <n v="3.4177597837088798"/>
    <x v="46"/>
  </r>
  <r>
    <x v="20"/>
    <s v="Mobile cellular subscriptions (per 100 people)"/>
    <n v="3.4127873759854399"/>
    <x v="46"/>
  </r>
  <r>
    <x v="21"/>
    <s v="Mobile cellular subscriptions (per 100 people)"/>
    <n v="11.5635669813216"/>
    <x v="46"/>
  </r>
  <r>
    <x v="22"/>
    <s v="Mobile cellular subscriptions (per 100 people)"/>
    <n v="27.516291054400099"/>
    <x v="46"/>
  </r>
  <r>
    <x v="23"/>
    <s v="Mobile cellular subscriptions (per 100 people)"/>
    <n v="30.711841929149401"/>
    <x v="46"/>
  </r>
  <r>
    <x v="24"/>
    <s v="Mobile cellular subscriptions (per 100 people)"/>
    <n v="13.8033891417801"/>
    <x v="46"/>
  </r>
  <r>
    <x v="25"/>
    <s v="Mobile cellular subscriptions (per 100 people)"/>
    <n v="6.7978781659781404"/>
    <x v="46"/>
  </r>
  <r>
    <x v="26"/>
    <s v="Mobile cellular subscriptions (per 100 people)"/>
    <n v="13.4318670263511"/>
    <x v="46"/>
  </r>
  <r>
    <x v="27"/>
    <s v="Mobile cellular subscriptions (per 100 people)"/>
    <n v="6.4700451461403503"/>
    <x v="46"/>
  </r>
  <r>
    <x v="0"/>
    <s v="Mobile cellular subscriptions (per 100 people)"/>
    <n v="3.4006866616126601"/>
    <x v="47"/>
  </r>
  <r>
    <x v="1"/>
    <s v="Mobile cellular subscriptions (per 100 people)"/>
    <n v="24.658353242760999"/>
    <x v="47"/>
  </r>
  <r>
    <x v="2"/>
    <s v="Mobile cellular subscriptions (per 100 people)"/>
    <n v="8.5224655308031707"/>
    <x v="47"/>
  </r>
  <r>
    <x v="3"/>
    <s v="Mobile cellular subscriptions (per 100 people)"/>
    <n v="9.67924939995636"/>
    <x v="47"/>
  </r>
  <r>
    <x v="4"/>
    <s v="Mobile cellular subscriptions (per 100 people)"/>
    <n v="8.5914045183975301"/>
    <x v="47"/>
  </r>
  <r>
    <x v="5"/>
    <s v="Mobile cellular subscriptions (per 100 people)"/>
    <n v="1.4919653060023399"/>
    <x v="47"/>
  </r>
  <r>
    <x v="6"/>
    <s v="Mobile cellular subscriptions (per 100 people)"/>
    <n v="19.8083992961283"/>
    <x v="47"/>
  </r>
  <r>
    <x v="7"/>
    <s v="Mobile cellular subscriptions (per 100 people)"/>
    <n v="26.159140280900999"/>
    <x v="47"/>
  </r>
  <r>
    <x v="8"/>
    <s v="Mobile cellular subscriptions (per 100 people)"/>
    <n v="29.799504063300699"/>
    <x v="47"/>
  </r>
  <r>
    <x v="9"/>
    <s v="Mobile cellular subscriptions (per 100 people)"/>
    <n v="32.302099349072499"/>
    <x v="47"/>
  </r>
  <r>
    <x v="10"/>
    <s v="Mobile cellular subscriptions (per 100 people)"/>
    <n v="16.026498662655602"/>
    <x v="47"/>
  </r>
  <r>
    <x v="11"/>
    <s v="Mobile cellular subscriptions (per 100 people)"/>
    <n v="11.4112711318478"/>
    <x v="47"/>
  </r>
  <r>
    <x v="12"/>
    <s v="Mobile cellular subscriptions (per 100 people)"/>
    <n v="7.5923296988816302"/>
    <x v="47"/>
  </r>
  <r>
    <x v="13"/>
    <s v="Mobile cellular subscriptions (per 100 people)"/>
    <n v="18.506609506006502"/>
    <x v="47"/>
  </r>
  <r>
    <x v="14"/>
    <s v="Mobile cellular subscriptions (per 100 people)"/>
    <n v="45.604022042077197"/>
    <x v="47"/>
  </r>
  <r>
    <x v="15"/>
    <s v="Mobile cellular subscriptions (per 100 people)"/>
    <n v="13.880157219179599"/>
    <x v="47"/>
  </r>
  <r>
    <x v="16"/>
    <s v="Mobile cellular subscriptions (per 100 people)"/>
    <n v="0.50362622023214798"/>
    <x v="47"/>
  </r>
  <r>
    <x v="17"/>
    <s v="Mobile cellular subscriptions (per 100 people)"/>
    <n v="12.4696321897282"/>
    <x v="47"/>
  </r>
  <r>
    <x v="18"/>
    <s v="Mobile cellular subscriptions (per 100 people)"/>
    <n v="45.313889302378499"/>
    <x v="47"/>
  </r>
  <r>
    <x v="19"/>
    <s v="Mobile cellular subscriptions (per 100 people)"/>
    <n v="6.1356644495102302"/>
    <x v="47"/>
  </r>
  <r>
    <x v="20"/>
    <s v="Mobile cellular subscriptions (per 100 people)"/>
    <n v="6.7228747120107704"/>
    <x v="47"/>
  </r>
  <r>
    <x v="21"/>
    <s v="Mobile cellular subscriptions (per 100 people)"/>
    <n v="18.4542093549396"/>
    <x v="47"/>
  </r>
  <r>
    <x v="22"/>
    <s v="Mobile cellular subscriptions (per 100 people)"/>
    <n v="40.298692798151599"/>
    <x v="47"/>
  </r>
  <r>
    <x v="23"/>
    <s v="Mobile cellular subscriptions (per 100 people)"/>
    <n v="29.819004429990802"/>
    <x v="47"/>
  </r>
  <r>
    <x v="24"/>
    <s v="Mobile cellular subscriptions (per 100 people)"/>
    <n v="19.683370140265499"/>
    <x v="47"/>
  </r>
  <r>
    <x v="25"/>
    <s v="Mobile cellular subscriptions (per 100 people)"/>
    <n v="13.714322364335001"/>
    <x v="47"/>
  </r>
  <r>
    <x v="26"/>
    <s v="Mobile cellular subscriptions (per 100 people)"/>
    <n v="20.7373203811355"/>
    <x v="47"/>
  </r>
  <r>
    <x v="27"/>
    <s v="Mobile cellular subscriptions (per 100 people)"/>
    <n v="9.1947664458924692"/>
    <x v="47"/>
  </r>
  <r>
    <x v="0"/>
    <s v="Mobile cellular subscriptions (per 100 people)"/>
    <n v="5.8520281374295804"/>
    <x v="48"/>
  </r>
  <r>
    <x v="1"/>
    <s v="Mobile cellular subscriptions (per 100 people)"/>
    <n v="32.585235062046799"/>
    <x v="48"/>
  </r>
  <r>
    <x v="2"/>
    <s v="Mobile cellular subscriptions (per 100 people)"/>
    <n v="14.3705763885502"/>
    <x v="48"/>
  </r>
  <r>
    <x v="3"/>
    <s v="Mobile cellular subscriptions (per 100 people)"/>
    <n v="13.958757145530701"/>
    <x v="48"/>
  </r>
  <r>
    <x v="4"/>
    <s v="Mobile cellular subscriptions (per 100 people)"/>
    <n v="13.7128858450374"/>
    <x v="48"/>
  </r>
  <r>
    <x v="5"/>
    <s v="Mobile cellular subscriptions (per 100 people)"/>
    <n v="2.3496177647258301"/>
    <x v="48"/>
  </r>
  <r>
    <x v="6"/>
    <s v="Mobile cellular subscriptions (per 100 people)"/>
    <n v="26.639176328292301"/>
    <x v="48"/>
  </r>
  <r>
    <x v="7"/>
    <s v="Mobile cellular subscriptions (per 100 people)"/>
    <n v="32.972595960300602"/>
    <x v="48"/>
  </r>
  <r>
    <x v="8"/>
    <s v="Mobile cellular subscriptions (per 100 people)"/>
    <n v="41.645549592606798"/>
    <x v="48"/>
  </r>
  <r>
    <x v="9"/>
    <s v="Mobile cellular subscriptions (per 100 people)"/>
    <n v="32.302099349072499"/>
    <x v="48"/>
  </r>
  <r>
    <x v="10"/>
    <s v="Mobile cellular subscriptions (per 100 people)"/>
    <n v="23.331385017661798"/>
    <x v="48"/>
  </r>
  <r>
    <x v="11"/>
    <s v="Mobile cellular subscriptions (per 100 people)"/>
    <n v="24.180464060929999"/>
    <x v="48"/>
  </r>
  <r>
    <x v="12"/>
    <s v="Mobile cellular subscriptions (per 100 people)"/>
    <n v="10.564496384825601"/>
    <x v="48"/>
  </r>
  <r>
    <x v="13"/>
    <s v="Mobile cellular subscriptions (per 100 people)"/>
    <n v="24.321088318356399"/>
    <x v="48"/>
  </r>
  <r>
    <x v="14"/>
    <s v="Mobile cellular subscriptions (per 100 people)"/>
    <n v="58.943241297453"/>
    <x v="48"/>
  </r>
  <r>
    <x v="15"/>
    <s v="Mobile cellular subscriptions (per 100 people)"/>
    <n v="19.2806611773977"/>
    <x v="48"/>
  </r>
  <r>
    <x v="16"/>
    <s v="Mobile cellular subscriptions (per 100 people)"/>
    <n v="0.74250170049356801"/>
    <x v="48"/>
  </r>
  <r>
    <x v="17"/>
    <s v="Mobile cellular subscriptions (per 100 people)"/>
    <n v="15.8635079602139"/>
    <x v="48"/>
  </r>
  <r>
    <x v="18"/>
    <s v="Mobile cellular subscriptions (per 100 people)"/>
    <n v="55.554538684916999"/>
    <x v="48"/>
  </r>
  <r>
    <x v="19"/>
    <s v="Mobile cellular subscriptions (per 100 people)"/>
    <n v="12.4610098482946"/>
    <x v="48"/>
  </r>
  <r>
    <x v="20"/>
    <s v="Mobile cellular subscriptions (per 100 people)"/>
    <n v="13.623959368651301"/>
    <x v="48"/>
  </r>
  <r>
    <x v="21"/>
    <s v="Mobile cellular subscriptions (per 100 people)"/>
    <n v="30.285837532127498"/>
    <x v="48"/>
  </r>
  <r>
    <x v="22"/>
    <s v="Mobile cellular subscriptions (per 100 people)"/>
    <n v="55.562756168807603"/>
    <x v="48"/>
  </r>
  <r>
    <x v="23"/>
    <s v="Mobile cellular subscriptions (per 100 people)"/>
    <n v="50.255221534918903"/>
    <x v="48"/>
  </r>
  <r>
    <x v="24"/>
    <s v="Mobile cellular subscriptions (per 100 people)"/>
    <n v="30.059509392896899"/>
    <x v="48"/>
  </r>
  <r>
    <x v="25"/>
    <s v="Mobile cellular subscriptions (per 100 people)"/>
    <n v="27.0177239086435"/>
    <x v="48"/>
  </r>
  <r>
    <x v="26"/>
    <s v="Mobile cellular subscriptions (per 100 people)"/>
    <n v="27.051392327638499"/>
    <x v="48"/>
  </r>
  <r>
    <x v="27"/>
    <s v="Mobile cellular subscriptions (per 100 people)"/>
    <n v="12.2043351649806"/>
    <x v="48"/>
  </r>
  <r>
    <x v="0"/>
    <s v="Mobile cellular subscriptions (per 100 people)"/>
    <n v="10.8463380567228"/>
    <x v="49"/>
  </r>
  <r>
    <x v="1"/>
    <s v="Mobile cellular subscriptions (per 100 people)"/>
    <n v="41.189260838302097"/>
    <x v="49"/>
  </r>
  <r>
    <x v="2"/>
    <s v="Mobile cellular subscriptions (per 100 people)"/>
    <n v="19.832760515582901"/>
    <x v="49"/>
  </r>
  <r>
    <x v="3"/>
    <s v="Mobile cellular subscriptions (per 100 people)"/>
    <n v="18.2095262992163"/>
    <x v="49"/>
  </r>
  <r>
    <x v="4"/>
    <s v="Mobile cellular subscriptions (per 100 people)"/>
    <n v="15.388365756895"/>
    <x v="49"/>
  </r>
  <r>
    <x v="5"/>
    <s v="Mobile cellular subscriptions (per 100 people)"/>
    <n v="4.7434801430589602"/>
    <x v="49"/>
  </r>
  <r>
    <x v="6"/>
    <s v="Mobile cellular subscriptions (per 100 people)"/>
    <n v="33.050651900189898"/>
    <x v="49"/>
  </r>
  <r>
    <x v="7"/>
    <s v="Mobile cellular subscriptions (per 100 people)"/>
    <n v="37.024745074277803"/>
    <x v="49"/>
  </r>
  <r>
    <x v="8"/>
    <s v="Mobile cellular subscriptions (per 100 people)"/>
    <n v="48.126005474933102"/>
    <x v="49"/>
  </r>
  <r>
    <x v="9"/>
    <s v="Mobile cellular subscriptions (per 100 people)"/>
    <n v="32.302099349072499"/>
    <x v="49"/>
  </r>
  <r>
    <x v="10"/>
    <s v="Mobile cellular subscriptions (per 100 people)"/>
    <n v="28.4679005375272"/>
    <x v="49"/>
  </r>
  <r>
    <x v="11"/>
    <s v="Mobile cellular subscriptions (per 100 people)"/>
    <n v="30.549672005916101"/>
    <x v="49"/>
  </r>
  <r>
    <x v="12"/>
    <s v="Mobile cellular subscriptions (per 100 people)"/>
    <n v="16.892376701728001"/>
    <x v="49"/>
  </r>
  <r>
    <x v="13"/>
    <s v="Mobile cellular subscriptions (per 100 people)"/>
    <n v="30.537865869784699"/>
    <x v="49"/>
  </r>
  <r>
    <x v="14"/>
    <s v="Mobile cellular subscriptions (per 100 people)"/>
    <n v="52.157913496938498"/>
    <x v="49"/>
  </r>
  <r>
    <x v="15"/>
    <s v="Mobile cellular subscriptions (per 100 people)"/>
    <n v="25.381589056278202"/>
    <x v="49"/>
  </r>
  <r>
    <x v="16"/>
    <s v="Mobile cellular subscriptions (per 100 people)"/>
    <n v="1.00802820201889"/>
    <x v="49"/>
  </r>
  <r>
    <x v="17"/>
    <s v="Mobile cellular subscriptions (per 100 people)"/>
    <n v="20.933616687389399"/>
    <x v="49"/>
  </r>
  <r>
    <x v="18"/>
    <s v="Mobile cellular subscriptions (per 100 people)"/>
    <n v="59.022592282718598"/>
    <x v="49"/>
  </r>
  <r>
    <x v="19"/>
    <s v="Mobile cellular subscriptions (per 100 people)"/>
    <n v="16.4348950193415"/>
    <x v="49"/>
  </r>
  <r>
    <x v="20"/>
    <s v="Mobile cellular subscriptions (per 100 people)"/>
    <n v="24.347433200841198"/>
    <x v="49"/>
  </r>
  <r>
    <x v="21"/>
    <s v="Mobile cellular subscriptions (per 100 people)"/>
    <n v="47.320168839608201"/>
    <x v="49"/>
  </r>
  <r>
    <x v="22"/>
    <s v="Mobile cellular subscriptions (per 100 people)"/>
    <n v="81.222152672222705"/>
    <x v="49"/>
  </r>
  <r>
    <x v="23"/>
    <s v="Mobile cellular subscriptions (per 100 people)"/>
    <n v="65.570971276033802"/>
    <x v="49"/>
  </r>
  <r>
    <x v="24"/>
    <s v="Mobile cellular subscriptions (per 100 people)"/>
    <n v="39.112922374058101"/>
    <x v="49"/>
  </r>
  <r>
    <x v="25"/>
    <s v="Mobile cellular subscriptions (per 100 people)"/>
    <n v="28.6334799986391"/>
    <x v="49"/>
  </r>
  <r>
    <x v="26"/>
    <s v="Mobile cellular subscriptions (per 100 people)"/>
    <n v="32.747810951459101"/>
    <x v="49"/>
  </r>
  <r>
    <x v="27"/>
    <s v="Mobile cellular subscriptions (per 100 people)"/>
    <n v="28.8980948617797"/>
    <x v="49"/>
  </r>
  <r>
    <x v="0"/>
    <s v="Mobile cellular subscriptions (per 100 people)"/>
    <n v="19.140440268144001"/>
    <x v="50"/>
  </r>
  <r>
    <x v="1"/>
    <s v="Mobile cellular subscriptions (per 100 people)"/>
    <n v="43.247060225597799"/>
    <x v="50"/>
  </r>
  <r>
    <x v="2"/>
    <s v="Mobile cellular subscriptions (per 100 people)"/>
    <n v="24.188232016247401"/>
    <x v="50"/>
  </r>
  <r>
    <x v="3"/>
    <s v="Mobile cellular subscriptions (per 100 people)"/>
    <n v="23.9640303207809"/>
    <x v="50"/>
  </r>
  <r>
    <x v="4"/>
    <s v="Mobile cellular subscriptions (per 100 people)"/>
    <n v="19.457648864002199"/>
    <x v="50"/>
  </r>
  <r>
    <x v="5"/>
    <s v="Mobile cellular subscriptions (per 100 people)"/>
    <n v="7.8150414348844803"/>
    <x v="50"/>
  </r>
  <r>
    <x v="6"/>
    <s v="Mobile cellular subscriptions (per 100 people)"/>
    <n v="37.057040976749498"/>
    <x v="50"/>
  </r>
  <r>
    <x v="7"/>
    <s v="Mobile cellular subscriptions (per 100 people)"/>
    <n v="40.001532058677803"/>
    <x v="50"/>
  </r>
  <r>
    <x v="8"/>
    <s v="Mobile cellular subscriptions (per 100 people)"/>
    <n v="60.384036798703903"/>
    <x v="50"/>
  </r>
  <r>
    <x v="9"/>
    <s v="Mobile cellular subscriptions (per 100 people)"/>
    <n v="32.302099349072499"/>
    <x v="50"/>
  </r>
  <r>
    <x v="10"/>
    <s v="Mobile cellular subscriptions (per 100 people)"/>
    <n v="39.798841222099099"/>
    <x v="50"/>
  </r>
  <r>
    <x v="11"/>
    <s v="Mobile cellular subscriptions (per 100 people)"/>
    <n v="36.459210727867898"/>
    <x v="50"/>
  </r>
  <r>
    <x v="12"/>
    <s v="Mobile cellular subscriptions (per 100 people)"/>
    <n v="20.553467885577302"/>
    <x v="50"/>
  </r>
  <r>
    <x v="13"/>
    <s v="Mobile cellular subscriptions (per 100 people)"/>
    <n v="49.355496171331701"/>
    <x v="50"/>
  </r>
  <r>
    <x v="14"/>
    <s v="Mobile cellular subscriptions (per 100 people)"/>
    <n v="62.445926422475701"/>
    <x v="50"/>
  </r>
  <r>
    <x v="15"/>
    <s v="Mobile cellular subscriptions (per 100 people)"/>
    <n v="29.8255860880077"/>
    <x v="50"/>
  </r>
  <r>
    <x v="16"/>
    <s v="Mobile cellular subscriptions (per 100 people)"/>
    <n v="1.1843074241959499"/>
    <x v="50"/>
  </r>
  <r>
    <x v="17"/>
    <s v="Mobile cellular subscriptions (per 100 people)"/>
    <n v="34.028477152745097"/>
    <x v="50"/>
  </r>
  <r>
    <x v="18"/>
    <s v="Mobile cellular subscriptions (per 100 people)"/>
    <n v="69.056087231816505"/>
    <x v="50"/>
  </r>
  <r>
    <x v="19"/>
    <s v="Mobile cellular subscriptions (per 100 people)"/>
    <n v="22.3348304698928"/>
    <x v="50"/>
  </r>
  <r>
    <x v="20"/>
    <s v="Mobile cellular subscriptions (per 100 people)"/>
    <n v="34.632728795857297"/>
    <x v="50"/>
  </r>
  <r>
    <x v="21"/>
    <s v="Mobile cellular subscriptions (per 100 people)"/>
    <n v="58.778093102027697"/>
    <x v="50"/>
  </r>
  <r>
    <x v="22"/>
    <s v="Mobile cellular subscriptions (per 100 people)"/>
    <n v="85.944195549013301"/>
    <x v="50"/>
  </r>
  <r>
    <x v="23"/>
    <s v="Mobile cellular subscriptions (per 100 people)"/>
    <n v="77.743125485007795"/>
    <x v="50"/>
  </r>
  <r>
    <x v="24"/>
    <s v="Mobile cellular subscriptions (per 100 people)"/>
    <n v="45.519510563782703"/>
    <x v="50"/>
  </r>
  <r>
    <x v="25"/>
    <s v="Mobile cellular subscriptions (per 100 people)"/>
    <n v="37.8246017787989"/>
    <x v="50"/>
  </r>
  <r>
    <x v="26"/>
    <s v="Mobile cellular subscriptions (per 100 people)"/>
    <n v="39.328361167081702"/>
    <x v="50"/>
  </r>
  <r>
    <x v="27"/>
    <s v="Mobile cellular subscriptions (per 100 people)"/>
    <n v="54.662975425017102"/>
    <x v="50"/>
  </r>
  <r>
    <x v="0"/>
    <s v="Mobile cellular subscriptions (per 100 people)"/>
    <n v="21.170833265144498"/>
    <x v="51"/>
  </r>
  <r>
    <x v="1"/>
    <s v="Mobile cellular subscriptions (per 100 people)"/>
    <n v="51.103243511215901"/>
    <x v="51"/>
  </r>
  <r>
    <x v="2"/>
    <s v="Mobile cellular subscriptions (per 100 people)"/>
    <n v="29.829645255610199"/>
    <x v="51"/>
  </r>
  <r>
    <x v="3"/>
    <s v="Mobile cellular subscriptions (per 100 people)"/>
    <n v="30.6322524764036"/>
    <x v="51"/>
  </r>
  <r>
    <x v="4"/>
    <s v="Mobile cellular subscriptions (per 100 people)"/>
    <n v="22.2936541572886"/>
    <x v="51"/>
  </r>
  <r>
    <x v="5"/>
    <s v="Mobile cellular subscriptions (per 100 people)"/>
    <n v="15.6881376159736"/>
    <x v="51"/>
  </r>
  <r>
    <x v="6"/>
    <s v="Mobile cellular subscriptions (per 100 people)"/>
    <n v="44.046353613039003"/>
    <x v="51"/>
  </r>
  <r>
    <x v="7"/>
    <s v="Mobile cellular subscriptions (per 100 people)"/>
    <n v="41.399483925861801"/>
    <x v="51"/>
  </r>
  <r>
    <x v="8"/>
    <s v="Mobile cellular subscriptions (per 100 people)"/>
    <n v="66.092869370677306"/>
    <x v="51"/>
  </r>
  <r>
    <x v="9"/>
    <s v="Mobile cellular subscriptions (per 100 people)"/>
    <m/>
    <x v="51"/>
  </r>
  <r>
    <x v="10"/>
    <s v="Mobile cellular subscriptions (per 100 people)"/>
    <n v="49.645063703774298"/>
    <x v="51"/>
  </r>
  <r>
    <x v="11"/>
    <s v="Mobile cellular subscriptions (per 100 people)"/>
    <n v="39.9227021733725"/>
    <x v="51"/>
  </r>
  <r>
    <x v="12"/>
    <s v="Mobile cellular subscriptions (per 100 people)"/>
    <n v="25.285824109598799"/>
    <x v="51"/>
  </r>
  <r>
    <x v="13"/>
    <s v="Mobile cellular subscriptions (per 100 people)"/>
    <n v="69.634757479076796"/>
    <x v="51"/>
  </r>
  <r>
    <x v="14"/>
    <s v="Mobile cellular subscriptions (per 100 people)"/>
    <n v="78.905337953307097"/>
    <x v="51"/>
  </r>
  <r>
    <x v="15"/>
    <s v="Mobile cellular subscriptions (per 100 people)"/>
    <n v="31.498229380041401"/>
    <x v="51"/>
  </r>
  <r>
    <x v="16"/>
    <s v="Mobile cellular subscriptions (per 100 people)"/>
    <n v="2.4600285589206301"/>
    <x v="51"/>
  </r>
  <r>
    <x v="17"/>
    <s v="Mobile cellular subscriptions (per 100 people)"/>
    <n v="48.868903146018098"/>
    <x v="51"/>
  </r>
  <r>
    <x v="18"/>
    <s v="Mobile cellular subscriptions (per 100 people)"/>
    <n v="83.052401761762596"/>
    <x v="51"/>
  </r>
  <r>
    <x v="19"/>
    <s v="Mobile cellular subscriptions (per 100 people)"/>
    <n v="27.7936136463737"/>
    <x v="51"/>
  </r>
  <r>
    <x v="20"/>
    <s v="Mobile cellular subscriptions (per 100 people)"/>
    <n v="42.279992213822098"/>
    <x v="51"/>
  </r>
  <r>
    <x v="21"/>
    <s v="Mobile cellular subscriptions (per 100 people)"/>
    <n v="64.338926174496606"/>
    <x v="51"/>
  </r>
  <r>
    <x v="22"/>
    <s v="Mobile cellular subscriptions (per 100 people)"/>
    <n v="90.176872606111999"/>
    <x v="51"/>
  </r>
  <r>
    <x v="23"/>
    <s v="Mobile cellular subscriptions (per 100 people)"/>
    <n v="80.911479847168906"/>
    <x v="51"/>
  </r>
  <r>
    <x v="24"/>
    <s v="Mobile cellular subscriptions (per 100 people)"/>
    <n v="53.954106230737402"/>
    <x v="51"/>
  </r>
  <r>
    <x v="25"/>
    <s v="Mobile cellular subscriptions (per 100 people)"/>
    <n v="47.578387974940703"/>
    <x v="51"/>
  </r>
  <r>
    <x v="26"/>
    <s v="Mobile cellular subscriptions (per 100 people)"/>
    <n v="57.235840556964298"/>
    <x v="51"/>
  </r>
  <r>
    <x v="27"/>
    <s v="Mobile cellular subscriptions (per 100 people)"/>
    <n v="63.948178620330602"/>
    <x v="51"/>
  </r>
  <r>
    <x v="0"/>
    <s v="Mobile cellular subscriptions (per 100 people)"/>
    <n v="24.111544243329501"/>
    <x v="52"/>
  </r>
  <r>
    <x v="1"/>
    <s v="Mobile cellular subscriptions (per 100 people)"/>
    <n v="62.175409677359497"/>
    <x v="52"/>
  </r>
  <r>
    <x v="2"/>
    <s v="Mobile cellular subscriptions (per 100 people)"/>
    <n v="34.649627886677301"/>
    <x v="52"/>
  </r>
  <r>
    <x v="3"/>
    <s v="Mobile cellular subscriptions (per 100 people)"/>
    <n v="39.166118684622099"/>
    <x v="52"/>
  </r>
  <r>
    <x v="4"/>
    <s v="Mobile cellular subscriptions (per 100 people)"/>
    <n v="24.111622417540001"/>
    <x v="52"/>
  </r>
  <r>
    <x v="5"/>
    <s v="Mobile cellular subscriptions (per 100 people)"/>
    <n v="22.201385023868902"/>
    <x v="52"/>
  </r>
  <r>
    <x v="6"/>
    <s v="Mobile cellular subscriptions (per 100 people)"/>
    <n v="49.503304933072101"/>
    <x v="52"/>
  </r>
  <r>
    <x v="7"/>
    <s v="Mobile cellular subscriptions (per 100 people)"/>
    <n v="59.236297052932201"/>
    <x v="52"/>
  </r>
  <r>
    <x v="8"/>
    <s v="Mobile cellular subscriptions (per 100 people)"/>
    <n v="70.410372356591395"/>
    <x v="52"/>
  </r>
  <r>
    <x v="9"/>
    <s v="Mobile cellular subscriptions (per 100 people)"/>
    <m/>
    <x v="52"/>
  </r>
  <r>
    <x v="10"/>
    <s v="Mobile cellular subscriptions (per 100 people)"/>
    <n v="56.914125172812199"/>
    <x v="52"/>
  </r>
  <r>
    <x v="11"/>
    <s v="Mobile cellular subscriptions (per 100 people)"/>
    <n v="39.283875876627697"/>
    <x v="52"/>
  </r>
  <r>
    <x v="12"/>
    <s v="Mobile cellular subscriptions (per 100 people)"/>
    <n v="28.867527825309899"/>
    <x v="52"/>
  </r>
  <r>
    <x v="13"/>
    <s v="Mobile cellular subscriptions (per 100 people)"/>
    <n v="91.292161330245506"/>
    <x v="52"/>
  </r>
  <r>
    <x v="14"/>
    <s v="Mobile cellular subscriptions (per 100 people)"/>
    <n v="87.985869367501806"/>
    <x v="52"/>
  </r>
  <r>
    <x v="15"/>
    <s v="Mobile cellular subscriptions (per 100 people)"/>
    <n v="34.291860847964102"/>
    <x v="52"/>
  </r>
  <r>
    <x v="16"/>
    <s v="Mobile cellular subscriptions (per 100 people)"/>
    <n v="7.3149088011782899"/>
    <x v="52"/>
  </r>
  <r>
    <x v="17"/>
    <s v="Mobile cellular subscriptions (per 100 people)"/>
    <n v="60.067511937193302"/>
    <x v="52"/>
  </r>
  <r>
    <x v="18"/>
    <s v="Mobile cellular subscriptions (per 100 people)"/>
    <n v="99.568069873822296"/>
    <x v="52"/>
  </r>
  <r>
    <x v="19"/>
    <s v="Mobile cellular subscriptions (per 100 people)"/>
    <n v="30.4288933552317"/>
    <x v="52"/>
  </r>
  <r>
    <x v="20"/>
    <s v="Mobile cellular subscriptions (per 100 people)"/>
    <n v="52.746580197172001"/>
    <x v="52"/>
  </r>
  <r>
    <x v="21"/>
    <s v="Mobile cellular subscriptions (per 100 people)"/>
    <n v="66.801174482883098"/>
    <x v="52"/>
  </r>
  <r>
    <x v="22"/>
    <s v="Mobile cellular subscriptions (per 100 people)"/>
    <n v="94.654909250164806"/>
    <x v="52"/>
  </r>
  <r>
    <x v="23"/>
    <s v="Mobile cellular subscriptions (per 100 people)"/>
    <n v="81.650398708602907"/>
    <x v="52"/>
  </r>
  <r>
    <x v="24"/>
    <s v="Mobile cellular subscriptions (per 100 people)"/>
    <n v="55.455625498989001"/>
    <x v="52"/>
  </r>
  <r>
    <x v="25"/>
    <s v="Mobile cellular subscriptions (per 100 people)"/>
    <n v="45.050483110655101"/>
    <x v="52"/>
  </r>
  <r>
    <x v="26"/>
    <s v="Mobile cellular subscriptions (per 100 people)"/>
    <n v="71.596742217330601"/>
    <x v="52"/>
  </r>
  <r>
    <x v="27"/>
    <s v="Mobile cellular subscriptions (per 100 people)"/>
    <n v="85.745932961208297"/>
    <x v="52"/>
  </r>
  <r>
    <x v="0"/>
    <s v="Mobile cellular subscriptions (per 100 people)"/>
    <n v="26.424810935954799"/>
    <x v="53"/>
  </r>
  <r>
    <x v="1"/>
    <s v="Mobile cellular subscriptions (per 100 people)"/>
    <n v="72.335021032554195"/>
    <x v="53"/>
  </r>
  <r>
    <x v="2"/>
    <s v="Mobile cellular subscriptions (per 100 people)"/>
    <n v="34.7296005684356"/>
    <x v="53"/>
  </r>
  <r>
    <x v="3"/>
    <s v="Mobile cellular subscriptions (per 100 people)"/>
    <n v="46.864463924477398"/>
    <x v="53"/>
  </r>
  <r>
    <x v="4"/>
    <s v="Mobile cellular subscriptions (per 100 people)"/>
    <n v="27.224965651374799"/>
    <x v="53"/>
  </r>
  <r>
    <x v="5"/>
    <s v="Mobile cellular subscriptions (per 100 people)"/>
    <n v="27.028643873890399"/>
    <x v="53"/>
  </r>
  <r>
    <x v="6"/>
    <s v="Mobile cellular subscriptions (per 100 people)"/>
    <n v="64.459731038957301"/>
    <x v="53"/>
  </r>
  <r>
    <x v="7"/>
    <s v="Mobile cellular subscriptions (per 100 people)"/>
    <n v="68.638360332890599"/>
    <x v="53"/>
  </r>
  <r>
    <x v="8"/>
    <s v="Mobile cellular subscriptions (per 100 people)"/>
    <n v="71.006559037865898"/>
    <x v="53"/>
  </r>
  <r>
    <x v="9"/>
    <s v="Mobile cellular subscriptions (per 100 people)"/>
    <m/>
    <x v="53"/>
  </r>
  <r>
    <x v="10"/>
    <s v="Mobile cellular subscriptions (per 100 people)"/>
    <n v="59.510075260872398"/>
    <x v="53"/>
  </r>
  <r>
    <x v="11"/>
    <s v="Mobile cellular subscriptions (per 100 people)"/>
    <n v="36.8497286677242"/>
    <x v="53"/>
  </r>
  <r>
    <x v="12"/>
    <s v="Mobile cellular subscriptions (per 100 people)"/>
    <n v="31.911667309217901"/>
    <x v="53"/>
  </r>
  <r>
    <x v="13"/>
    <s v="Mobile cellular subscriptions (per 100 people)"/>
    <n v="119.854285318602"/>
    <x v="53"/>
  </r>
  <r>
    <x v="14"/>
    <s v="Mobile cellular subscriptions (per 100 people)"/>
    <n v="90.787492227338007"/>
    <x v="53"/>
  </r>
  <r>
    <x v="15"/>
    <s v="Mobile cellular subscriptions (per 100 people)"/>
    <n v="46.9135033735623"/>
    <x v="53"/>
  </r>
  <r>
    <x v="16"/>
    <s v="Mobile cellular subscriptions (per 100 people)"/>
    <n v="13.280115788705199"/>
    <x v="53"/>
  </r>
  <r>
    <x v="17"/>
    <s v="Mobile cellular subscriptions (per 100 people)"/>
    <n v="76.333937340697702"/>
    <x v="53"/>
  </r>
  <r>
    <x v="18"/>
    <s v="Mobile cellular subscriptions (per 100 people)"/>
    <n v="114.51765438388099"/>
    <x v="53"/>
  </r>
  <r>
    <x v="19"/>
    <s v="Mobile cellular subscriptions (per 100 people)"/>
    <n v="38.023220197660201"/>
    <x v="53"/>
  </r>
  <r>
    <x v="20"/>
    <s v="Mobile cellular subscriptions (per 100 people)"/>
    <n v="60.452478235498099"/>
    <x v="53"/>
  </r>
  <r>
    <x v="21"/>
    <s v="Mobile cellular subscriptions (per 100 people)"/>
    <n v="67.004731481728996"/>
    <x v="53"/>
  </r>
  <r>
    <x v="22"/>
    <s v="Mobile cellular subscriptions (per 100 people)"/>
    <n v="98.966821295398205"/>
    <x v="53"/>
  </r>
  <r>
    <x v="23"/>
    <s v="Mobile cellular subscriptions (per 100 people)"/>
    <n v="92.165273118998002"/>
    <x v="53"/>
  </r>
  <r>
    <x v="24"/>
    <s v="Mobile cellular subscriptions (per 100 people)"/>
    <n v="54.195632624981997"/>
    <x v="53"/>
  </r>
  <r>
    <x v="25"/>
    <s v="Mobile cellular subscriptions (per 100 people)"/>
    <n v="48.114128542131901"/>
    <x v="53"/>
  </r>
  <r>
    <x v="26"/>
    <s v="Mobile cellular subscriptions (per 100 people)"/>
    <n v="68.604612488047096"/>
    <x v="53"/>
  </r>
  <r>
    <x v="27"/>
    <s v="Mobile cellular subscriptions (per 100 people)"/>
    <n v="90.558713783102505"/>
    <x v="53"/>
  </r>
  <r>
    <x v="0"/>
    <s v="Mobile cellular subscriptions (per 100 people)"/>
    <n v="32.281892357197201"/>
    <x v="54"/>
  </r>
  <r>
    <x v="1"/>
    <s v="Mobile cellular subscriptions (per 100 people)"/>
    <n v="76.614804632250198"/>
    <x v="54"/>
  </r>
  <r>
    <x v="2"/>
    <s v="Mobile cellular subscriptions (per 100 people)"/>
    <n v="38.701381737401398"/>
    <x v="54"/>
  </r>
  <r>
    <x v="3"/>
    <s v="Mobile cellular subscriptions (per 100 people)"/>
    <n v="50.435549819920098"/>
    <x v="54"/>
  </r>
  <r>
    <x v="4"/>
    <s v="Mobile cellular subscriptions (per 100 people)"/>
    <n v="31.4690121513237"/>
    <x v="54"/>
  </r>
  <r>
    <x v="5"/>
    <s v="Mobile cellular subscriptions (per 100 people)"/>
    <n v="31.3145837613969"/>
    <x v="54"/>
  </r>
  <r>
    <x v="6"/>
    <s v="Mobile cellular subscriptions (per 100 people)"/>
    <n v="73.5546430060745"/>
    <x v="54"/>
  </r>
  <r>
    <x v="7"/>
    <s v="Mobile cellular subscriptions (per 100 people)"/>
    <n v="64.027749060625993"/>
    <x v="54"/>
  </r>
  <r>
    <x v="8"/>
    <s v="Mobile cellular subscriptions (per 100 people)"/>
    <n v="73.075891513712904"/>
    <x v="54"/>
  </r>
  <r>
    <x v="9"/>
    <s v="Mobile cellular subscriptions (per 100 people)"/>
    <m/>
    <x v="54"/>
  </r>
  <r>
    <x v="10"/>
    <s v="Mobile cellular subscriptions (per 100 people)"/>
    <n v="73.455959671462907"/>
    <x v="54"/>
  </r>
  <r>
    <x v="11"/>
    <s v="Mobile cellular subscriptions (per 100 people)"/>
    <n v="41.178316849726698"/>
    <x v="54"/>
  </r>
  <r>
    <x v="12"/>
    <s v="Mobile cellular subscriptions (per 100 people)"/>
    <n v="32.998813393155402"/>
    <x v="54"/>
  </r>
  <r>
    <x v="13"/>
    <s v="Mobile cellular subscriptions (per 100 people)"/>
    <n v="138.570844774515"/>
    <x v="54"/>
  </r>
  <r>
    <x v="14"/>
    <s v="Mobile cellular subscriptions (per 100 people)"/>
    <n v="91.8471996754743"/>
    <x v="54"/>
  </r>
  <r>
    <x v="15"/>
    <s v="Mobile cellular subscriptions (per 100 people)"/>
    <n v="67.919956437477595"/>
    <x v="54"/>
  </r>
  <r>
    <x v="16"/>
    <s v="Mobile cellular subscriptions (per 100 people)"/>
    <n v="55.907172500088699"/>
    <x v="54"/>
  </r>
  <r>
    <x v="17"/>
    <s v="Mobile cellular subscriptions (per 100 people)"/>
    <n v="81.280740435037103"/>
    <x v="54"/>
  </r>
  <r>
    <x v="18"/>
    <s v="Mobile cellular subscriptions (per 100 people)"/>
    <n v="117.52350391927401"/>
    <x v="54"/>
  </r>
  <r>
    <x v="19"/>
    <s v="Mobile cellular subscriptions (per 100 people)"/>
    <n v="43.013922078079403"/>
    <x v="54"/>
  </r>
  <r>
    <x v="20"/>
    <s v="Mobile cellular subscriptions (per 100 people)"/>
    <n v="68.283607117872094"/>
    <x v="54"/>
  </r>
  <r>
    <x v="21"/>
    <s v="Mobile cellular subscriptions (per 100 people)"/>
    <n v="67.183921867974405"/>
    <x v="54"/>
  </r>
  <r>
    <x v="22"/>
    <s v="Mobile cellular subscriptions (per 100 people)"/>
    <n v="107.270498930253"/>
    <x v="54"/>
  </r>
  <r>
    <x v="23"/>
    <s v="Mobile cellular subscriptions (per 100 people)"/>
    <n v="95.6516072174866"/>
    <x v="54"/>
  </r>
  <r>
    <x v="24"/>
    <s v="Mobile cellular subscriptions (per 100 people)"/>
    <n v="60.998824367684399"/>
    <x v="54"/>
  </r>
  <r>
    <x v="25"/>
    <s v="Mobile cellular subscriptions (per 100 people)"/>
    <n v="52.444476959462001"/>
    <x v="54"/>
  </r>
  <r>
    <x v="26"/>
    <s v="Mobile cellular subscriptions (per 100 people)"/>
    <n v="64.751833016302299"/>
    <x v="54"/>
  </r>
  <r>
    <x v="27"/>
    <s v="Mobile cellular subscriptions (per 100 people)"/>
    <n v="76.556584537371805"/>
    <x v="54"/>
  </r>
  <r>
    <x v="0"/>
    <s v="Mobile cellular subscriptions (per 100 people)"/>
    <n v="49.000526508269701"/>
    <x v="55"/>
  </r>
  <r>
    <x v="1"/>
    <s v="Mobile cellular subscriptions (per 100 people)"/>
    <n v="79.531627594394095"/>
    <x v="55"/>
  </r>
  <r>
    <x v="2"/>
    <s v="Mobile cellular subscriptions (per 100 people)"/>
    <n v="39.015175011258499"/>
    <x v="55"/>
  </r>
  <r>
    <x v="3"/>
    <s v="Mobile cellular subscriptions (per 100 people)"/>
    <n v="54.640196340735599"/>
    <x v="55"/>
  </r>
  <r>
    <x v="4"/>
    <s v="Mobile cellular subscriptions (per 100 people)"/>
    <n v="33.895326143448301"/>
    <x v="55"/>
  </r>
  <r>
    <x v="5"/>
    <s v="Mobile cellular subscriptions (per 100 people)"/>
    <n v="42.365419101670803"/>
    <x v="55"/>
  </r>
  <r>
    <x v="6"/>
    <s v="Mobile cellular subscriptions (per 100 people)"/>
    <n v="89.020970293841103"/>
    <x v="55"/>
  </r>
  <r>
    <x v="7"/>
    <s v="Mobile cellular subscriptions (per 100 people)"/>
    <n v="68.1538458234903"/>
    <x v="55"/>
  </r>
  <r>
    <x v="8"/>
    <s v="Mobile cellular subscriptions (per 100 people)"/>
    <n v="79.845323906789503"/>
    <x v="55"/>
  </r>
  <r>
    <x v="9"/>
    <s v="Mobile cellular subscriptions (per 100 people)"/>
    <m/>
    <x v="55"/>
  </r>
  <r>
    <x v="10"/>
    <s v="Mobile cellular subscriptions (per 100 people)"/>
    <n v="81.162391232505996"/>
    <x v="55"/>
  </r>
  <r>
    <x v="11"/>
    <s v="Mobile cellular subscriptions (per 100 people)"/>
    <n v="44.126954560864803"/>
    <x v="55"/>
  </r>
  <r>
    <x v="12"/>
    <s v="Mobile cellular subscriptions (per 100 people)"/>
    <n v="37.366870671456297"/>
    <x v="55"/>
  </r>
  <r>
    <x v="13"/>
    <s v="Mobile cellular subscriptions (per 100 people)"/>
    <n v="129.94640742550399"/>
    <x v="55"/>
  </r>
  <r>
    <x v="14"/>
    <s v="Mobile cellular subscriptions (per 100 people)"/>
    <n v="91.322067496642902"/>
    <x v="55"/>
  </r>
  <r>
    <x v="15"/>
    <s v="Mobile cellular subscriptions (per 100 people)"/>
    <n v="71.883024949295205"/>
    <x v="55"/>
  </r>
  <r>
    <x v="16"/>
    <s v="Mobile cellular subscriptions (per 100 people)"/>
    <n v="78.226806981778296"/>
    <x v="55"/>
  </r>
  <r>
    <x v="17"/>
    <s v="Mobile cellular subscriptions (per 100 people)"/>
    <n v="96.021022545771999"/>
    <x v="55"/>
  </r>
  <r>
    <x v="18"/>
    <s v="Mobile cellular subscriptions (per 100 people)"/>
    <n v="119.43619199823701"/>
    <x v="55"/>
  </r>
  <r>
    <x v="19"/>
    <s v="Mobile cellular subscriptions (per 100 people)"/>
    <n v="45.026967680749301"/>
    <x v="55"/>
  </r>
  <r>
    <x v="20"/>
    <s v="Mobile cellular subscriptions (per 100 people)"/>
    <n v="75.322060959694696"/>
    <x v="55"/>
  </r>
  <r>
    <x v="21"/>
    <s v="Mobile cellular subscriptions (per 100 people)"/>
    <n v="94.588679283876999"/>
    <x v="55"/>
  </r>
  <r>
    <x v="22"/>
    <s v="Mobile cellular subscriptions (per 100 people)"/>
    <n v="115.37895070203599"/>
    <x v="55"/>
  </r>
  <r>
    <x v="23"/>
    <s v="Mobile cellular subscriptions (per 100 people)"/>
    <n v="99.302217390790702"/>
    <x v="55"/>
  </r>
  <r>
    <x v="24"/>
    <s v="Mobile cellular subscriptions (per 100 people)"/>
    <n v="73.618470037012102"/>
    <x v="55"/>
  </r>
  <r>
    <x v="25"/>
    <s v="Mobile cellular subscriptions (per 100 people)"/>
    <n v="50.368261249818502"/>
    <x v="55"/>
  </r>
  <r>
    <x v="26"/>
    <s v="Mobile cellular subscriptions (per 100 people)"/>
    <n v="71.784494565322404"/>
    <x v="55"/>
  </r>
  <r>
    <x v="27"/>
    <s v="Mobile cellular subscriptions (per 100 people)"/>
    <n v="80.858498625665206"/>
    <x v="55"/>
  </r>
  <r>
    <x v="0"/>
    <s v="Mobile cellular subscriptions (per 100 people)"/>
    <n v="50.9098863116022"/>
    <x v="56"/>
  </r>
  <r>
    <x v="1"/>
    <s v="Mobile cellular subscriptions (per 100 people)"/>
    <n v="79.855591419993203"/>
    <x v="56"/>
  </r>
  <r>
    <x v="2"/>
    <s v="Mobile cellular subscriptions (per 100 people)"/>
    <n v="38.648623982644402"/>
    <x v="56"/>
  </r>
  <r>
    <x v="3"/>
    <s v="Mobile cellular subscriptions (per 100 people)"/>
    <n v="57.112673312376401"/>
    <x v="56"/>
  </r>
  <r>
    <x v="4"/>
    <s v="Mobile cellular subscriptions (per 100 people)"/>
    <n v="36.637367045407501"/>
    <x v="56"/>
  </r>
  <r>
    <x v="5"/>
    <s v="Mobile cellular subscriptions (per 100 people)"/>
    <n v="50.021876270346098"/>
    <x v="56"/>
  </r>
  <r>
    <x v="6"/>
    <s v="Mobile cellular subscriptions (per 100 people)"/>
    <n v="87.125413160003205"/>
    <x v="56"/>
  </r>
  <r>
    <x v="7"/>
    <s v="Mobile cellular subscriptions (per 100 people)"/>
    <n v="59.9595255387176"/>
    <x v="56"/>
  </r>
  <r>
    <x v="8"/>
    <s v="Mobile cellular subscriptions (per 100 people)"/>
    <n v="80.439388185693602"/>
    <x v="56"/>
  </r>
  <r>
    <x v="9"/>
    <s v="Mobile cellular subscriptions (per 100 people)"/>
    <m/>
    <x v="56"/>
  </r>
  <r>
    <x v="10"/>
    <s v="Mobile cellular subscriptions (per 100 people)"/>
    <n v="67.557901549322594"/>
    <x v="56"/>
  </r>
  <r>
    <x v="11"/>
    <s v="Mobile cellular subscriptions (per 100 people)"/>
    <n v="32.1285288495462"/>
    <x v="56"/>
  </r>
  <r>
    <x v="12"/>
    <s v="Mobile cellular subscriptions (per 100 people)"/>
    <n v="39.678049036637198"/>
    <x v="56"/>
  </r>
  <r>
    <x v="13"/>
    <s v="Mobile cellular subscriptions (per 100 people)"/>
    <n v="112.35276540709999"/>
    <x v="56"/>
  </r>
  <r>
    <x v="14"/>
    <s v="Mobile cellular subscriptions (per 100 people)"/>
    <n v="93.321571935024295"/>
    <x v="56"/>
  </r>
  <r>
    <x v="15"/>
    <s v="Mobile cellular subscriptions (per 100 people)"/>
    <n v="52.118873058948402"/>
    <x v="56"/>
  </r>
  <r>
    <x v="16"/>
    <s v="Mobile cellular subscriptions (per 100 people)"/>
    <n v="95.653214887644495"/>
    <x v="56"/>
  </r>
  <r>
    <x v="17"/>
    <s v="Mobile cellular subscriptions (per 100 people)"/>
    <n v="110.825514233956"/>
    <x v="56"/>
  </r>
  <r>
    <x v="18"/>
    <s v="Mobile cellular subscriptions (per 100 people)"/>
    <n v="125.94475902807299"/>
    <x v="56"/>
  </r>
  <r>
    <x v="19"/>
    <s v="Mobile cellular subscriptions (per 100 people)"/>
    <n v="36.142827352428597"/>
    <x v="56"/>
  </r>
  <r>
    <x v="20"/>
    <s v="Mobile cellular subscriptions (per 100 people)"/>
    <n v="74.860725916861099"/>
    <x v="56"/>
  </r>
  <r>
    <x v="21"/>
    <s v="Mobile cellular subscriptions (per 100 people)"/>
    <n v="89.063578610374705"/>
    <x v="56"/>
  </r>
  <r>
    <x v="22"/>
    <s v="Mobile cellular subscriptions (per 100 people)"/>
    <n v="124.033987656413"/>
    <x v="56"/>
  </r>
  <r>
    <x v="23"/>
    <s v="Mobile cellular subscriptions (per 100 people)"/>
    <n v="107.61365461580699"/>
    <x v="56"/>
  </r>
  <r>
    <x v="24"/>
    <s v="Mobile cellular subscriptions (per 100 people)"/>
    <n v="72.057944942652199"/>
    <x v="56"/>
  </r>
  <r>
    <x v="25"/>
    <s v="Mobile cellular subscriptions (per 100 people)"/>
    <n v="55.048460439069501"/>
    <x v="56"/>
  </r>
  <r>
    <x v="26"/>
    <s v="Mobile cellular subscriptions (per 100 people)"/>
    <n v="72.429338349589798"/>
    <x v="56"/>
  </r>
  <r>
    <x v="27"/>
    <s v="Mobile cellular subscriptions (per 100 people)"/>
    <n v="79.743884378566904"/>
    <x v="56"/>
  </r>
  <r>
    <x v="0"/>
    <s v="Mobile cellular subscriptions (per 100 people)"/>
    <n v="54.496304161034701"/>
    <x v="57"/>
  </r>
  <r>
    <x v="1"/>
    <s v="Mobile cellular subscriptions (per 100 people)"/>
    <n v="81.925046376389005"/>
    <x v="57"/>
  </r>
  <r>
    <x v="2"/>
    <s v="Mobile cellular subscriptions (per 100 people)"/>
    <m/>
    <x v="57"/>
  </r>
  <r>
    <x v="3"/>
    <s v="Mobile cellular subscriptions (per 100 people)"/>
    <n v="54.903724235543898"/>
    <x v="57"/>
  </r>
  <r>
    <x v="4"/>
    <s v="Mobile cellular subscriptions (per 100 people)"/>
    <n v="38.982011212297003"/>
    <x v="57"/>
  </r>
  <r>
    <x v="5"/>
    <s v="Mobile cellular subscriptions (per 100 people)"/>
    <n v="59.659421183661102"/>
    <x v="57"/>
  </r>
  <r>
    <x v="6"/>
    <s v="Mobile cellular subscriptions (per 100 people)"/>
    <m/>
    <x v="57"/>
  </r>
  <r>
    <x v="7"/>
    <s v="Mobile cellular subscriptions (per 100 people)"/>
    <n v="59.0694265641851"/>
    <x v="57"/>
  </r>
  <r>
    <x v="8"/>
    <s v="Mobile cellular subscriptions (per 100 people)"/>
    <n v="86.147339805490802"/>
    <x v="57"/>
  </r>
  <r>
    <x v="9"/>
    <s v="Mobile cellular subscriptions (per 100 people)"/>
    <m/>
    <x v="57"/>
  </r>
  <r>
    <x v="10"/>
    <s v="Mobile cellular subscriptions (per 100 people)"/>
    <m/>
    <x v="57"/>
  </r>
  <r>
    <x v="11"/>
    <s v="Mobile cellular subscriptions (per 100 people)"/>
    <n v="34.142328612275797"/>
    <x v="57"/>
  </r>
  <r>
    <x v="12"/>
    <s v="Mobile cellular subscriptions (per 100 people)"/>
    <n v="41.738049578071298"/>
    <x v="57"/>
  </r>
  <r>
    <x v="13"/>
    <s v="Mobile cellular subscriptions (per 100 people)"/>
    <m/>
    <x v="57"/>
  </r>
  <r>
    <x v="14"/>
    <s v="Mobile cellular subscriptions (per 100 people)"/>
    <n v="90.416596317349004"/>
    <x v="57"/>
  </r>
  <r>
    <x v="15"/>
    <s v="Mobile cellular subscriptions (per 100 people)"/>
    <n v="40.026871295312802"/>
    <x v="57"/>
  </r>
  <r>
    <x v="16"/>
    <s v="Mobile cellular subscriptions (per 100 people)"/>
    <n v="89.845757615394604"/>
    <x v="57"/>
  </r>
  <r>
    <x v="17"/>
    <s v="Mobile cellular subscriptions (per 100 people)"/>
    <n v="123.174879588799"/>
    <x v="57"/>
  </r>
  <r>
    <x v="18"/>
    <s v="Mobile cellular subscriptions (per 100 people)"/>
    <n v="131.560425187866"/>
    <x v="57"/>
  </r>
  <r>
    <x v="19"/>
    <s v="Mobile cellular subscriptions (per 100 people)"/>
    <n v="40.875083832510398"/>
    <x v="57"/>
  </r>
  <r>
    <x v="20"/>
    <s v="Mobile cellular subscriptions (per 100 people)"/>
    <n v="72.238884237722402"/>
    <x v="57"/>
  </r>
  <r>
    <x v="21"/>
    <s v="Mobile cellular subscriptions (per 100 people)"/>
    <n v="84.984363300004404"/>
    <x v="57"/>
  </r>
  <r>
    <x v="22"/>
    <s v="Mobile cellular subscriptions (per 100 people)"/>
    <n v="135.07302347372499"/>
    <x v="57"/>
  </r>
  <r>
    <x v="23"/>
    <s v="Mobile cellular subscriptions (per 100 people)"/>
    <m/>
    <x v="57"/>
  </r>
  <r>
    <x v="24"/>
    <s v="Mobile cellular subscriptions (per 100 people)"/>
    <n v="69.715314524673303"/>
    <x v="57"/>
  </r>
  <r>
    <x v="25"/>
    <s v="Mobile cellular subscriptions (per 100 people)"/>
    <n v="58.206150868075902"/>
    <x v="57"/>
  </r>
  <r>
    <x v="26"/>
    <s v="Mobile cellular subscriptions (per 100 people)"/>
    <n v="78.614933898361599"/>
    <x v="57"/>
  </r>
  <r>
    <x v="27"/>
    <s v="Mobile cellular subscriptions (per 100 people)"/>
    <n v="85.252182952786697"/>
    <x v="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数据透视表2" cacheId="0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chartFormat="2" rowHeaderCaption="Year" colHeaderCaption="Country name">
  <location ref="J5:K33" firstHeaderRow="1" firstDataRow="2" firstDataCol="1"/>
  <pivotFields count="4">
    <pivotField axis="axisCol" showAll="0">
      <items count="2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t="default"/>
      </items>
    </pivotField>
    <pivotField showAll="0"/>
    <pivotField dataField="1" showAll="0"/>
    <pivotField axis="axisRow" showAll="0">
      <items count="5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h="1" x="57"/>
        <item t="default"/>
      </items>
    </pivotField>
  </pivotFields>
  <rowFields count="1">
    <field x="3"/>
  </rowFields>
  <rowItems count="27"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</rowItems>
  <colFields count="1">
    <field x="0"/>
  </colFields>
  <colItems count="1">
    <i>
      <x v="17"/>
    </i>
  </colItems>
  <dataFields count="1">
    <dataField name="Somme:Data" fld="2" baseField="0" baseItem="0"/>
  </dataFields>
  <formats count="14">
    <format dxfId="99">
      <pivotArea type="topRight" dataOnly="0" labelOnly="1" outline="0" fieldPosition="0"/>
    </format>
    <format dxfId="98">
      <pivotArea dataOnly="0" labelOnly="1" grandCol="1" outline="0" fieldPosition="0"/>
    </format>
    <format dxfId="97">
      <pivotArea dataOnly="0" labelOnly="1" fieldPosition="0">
        <references count="1">
          <reference field="3" count="0"/>
        </references>
      </pivotArea>
    </format>
    <format dxfId="96">
      <pivotArea type="origin" dataOnly="0" labelOnly="1" outline="0" fieldPosition="0"/>
    </format>
    <format dxfId="95">
      <pivotArea field="0" type="button" dataOnly="0" labelOnly="1" outline="0" axis="axisCol" fieldPosition="0"/>
    </format>
    <format dxfId="94">
      <pivotArea field="3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type="origin" dataOnly="0" labelOnly="1" outline="0" fieldPosition="0"/>
    </format>
    <format dxfId="89">
      <pivotArea field="0" type="button" dataOnly="0" labelOnly="1" outline="0" axis="axisCol" fieldPosition="0"/>
    </format>
    <format dxfId="88">
      <pivotArea field="3" type="button" dataOnly="0" labelOnly="1" outline="0" axis="axisRow" fieldPosition="0"/>
    </format>
    <format dxfId="87">
      <pivotArea dataOnly="0" labelOnly="1" fieldPosition="0">
        <references count="1">
          <reference field="3" count="0"/>
        </references>
      </pivotArea>
    </format>
    <format dxfId="86">
      <pivotArea dataOnly="0" labelOnly="1" fieldPosition="0">
        <references count="1">
          <reference field="0" count="0"/>
        </references>
      </pivotArea>
    </format>
  </format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4" cacheId="1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chartFormat="2" rowHeaderCaption="Year" colHeaderCaption="Country name">
  <location ref="J5:K33" firstHeaderRow="1" firstDataRow="2" firstDataCol="1"/>
  <pivotFields count="4">
    <pivotField axis="axisCol" showAll="0">
      <items count="2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t="default"/>
      </items>
    </pivotField>
    <pivotField showAll="0"/>
    <pivotField dataField="1" showAll="0"/>
    <pivotField axis="axisRow" showAll="0">
      <items count="5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h="1" x="57"/>
        <item t="default"/>
      </items>
    </pivotField>
  </pivotFields>
  <rowFields count="1">
    <field x="3"/>
  </rowFields>
  <rowItems count="27"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</rowItems>
  <colFields count="1">
    <field x="0"/>
  </colFields>
  <colItems count="1">
    <i>
      <x v="17"/>
    </i>
  </colItems>
  <dataFields count="1">
    <dataField name="Somme:Data" fld="2" baseField="0" baseItem="0"/>
  </dataFields>
  <formats count="16">
    <format dxfId="85">
      <pivotArea type="topRight" dataOnly="0" labelOnly="1" outline="0" fieldPosition="0"/>
    </format>
    <format dxfId="84">
      <pivotArea dataOnly="0" labelOnly="1" fieldPosition="0">
        <references count="1">
          <reference field="0" count="0"/>
        </references>
      </pivotArea>
    </format>
    <format dxfId="83">
      <pivotArea dataOnly="0" labelOnly="1" grandCol="1" outline="0" fieldPosition="0"/>
    </format>
    <format dxfId="82">
      <pivotArea dataOnly="0" labelOnly="1" fieldPosition="0">
        <references count="1">
          <reference field="0" count="0"/>
        </references>
      </pivotArea>
    </format>
    <format dxfId="81">
      <pivotArea type="origin" dataOnly="0" labelOnly="1" outline="0" fieldPosition="0"/>
    </format>
    <format dxfId="80">
      <pivotArea field="0" type="button" dataOnly="0" labelOnly="1" outline="0" axis="axisCol" fieldPosition="0"/>
    </format>
    <format dxfId="79">
      <pivotArea field="3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type="origin" dataOnly="0" labelOnly="1" outline="0" fieldPosition="0"/>
    </format>
    <format dxfId="74">
      <pivotArea field="0" type="button" dataOnly="0" labelOnly="1" outline="0" axis="axisCol" fieldPosition="0"/>
    </format>
    <format dxfId="73">
      <pivotArea field="3" type="button" dataOnly="0" labelOnly="1" outline="0" axis="axisRow" fieldPosition="0"/>
    </format>
    <format dxfId="72">
      <pivotArea dataOnly="0" labelOnly="1" fieldPosition="0">
        <references count="1">
          <reference field="3" count="0"/>
        </references>
      </pivotArea>
    </format>
    <format dxfId="71">
      <pivotArea dataOnly="0" labelOnly="1" fieldPosition="0">
        <references count="1">
          <reference field="0" count="0"/>
        </references>
      </pivotArea>
    </format>
    <format dxfId="70">
      <pivotArea dataOnly="0" labelOnly="1" fieldPosition="0">
        <references count="1">
          <reference field="3" count="0"/>
        </references>
      </pivotArea>
    </format>
  </format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5" cacheId="2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chartFormat="2" rowHeaderCaption="Year" colHeaderCaption="Country name">
  <location ref="J5:K34" firstHeaderRow="1" firstDataRow="2" firstDataCol="1"/>
  <pivotFields count="4">
    <pivotField axis="axisCol" showAll="0">
      <items count="2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t="default"/>
      </items>
    </pivotField>
    <pivotField showAll="0"/>
    <pivotField dataField="1" showAll="0"/>
    <pivotField axis="axisRow" showAll="0">
      <items count="5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</pivotFields>
  <rowFields count="1">
    <field x="3"/>
  </rowFields>
  <rowItems count="28"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</rowItems>
  <colFields count="1">
    <field x="0"/>
  </colFields>
  <colItems count="1">
    <i>
      <x v="17"/>
    </i>
  </colItems>
  <dataFields count="1">
    <dataField name="Somme:Data" fld="2" baseField="0" baseItem="0"/>
  </dataFields>
  <formats count="20">
    <format dxfId="69">
      <pivotArea type="topRight" dataOnly="0" labelOnly="1" outline="0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Col="1" outline="0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fieldPosition="0">
        <references count="1">
          <reference field="3" count="0"/>
        </references>
      </pivotArea>
    </format>
    <format dxfId="64">
      <pivotArea type="origin" dataOnly="0" labelOnly="1" outline="0" fieldPosition="0"/>
    </format>
    <format dxfId="63">
      <pivotArea field="0" type="button" dataOnly="0" labelOnly="1" outline="0" axis="axisCol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0" count="0"/>
        </references>
      </pivotArea>
    </format>
    <format dxfId="60">
      <pivotArea type="origin" dataOnly="0" labelOnly="1" outline="0" fieldPosition="0"/>
    </format>
    <format dxfId="59">
      <pivotArea field="0" type="button" dataOnly="0" labelOnly="1" outline="0" axis="axisCol" fieldPosition="0"/>
    </format>
    <format dxfId="58">
      <pivotArea field="3" type="button" dataOnly="0" labelOnly="1" outline="0" axis="axisRow" fieldPosition="0"/>
    </format>
    <format dxfId="57">
      <pivotArea dataOnly="0" labelOnly="1" fieldPosition="0">
        <references count="1">
          <reference field="0" count="0"/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0" type="button" dataOnly="0" labelOnly="1" outline="0" axis="axisCol" fieldPosition="0"/>
    </format>
    <format dxfId="52">
      <pivotArea field="3" type="button" dataOnly="0" labelOnly="1" outline="0" axis="axisRow" fieldPosition="0"/>
    </format>
    <format dxfId="51">
      <pivotArea dataOnly="0" labelOnly="1" fieldPosition="0">
        <references count="1">
          <reference field="3" count="0"/>
        </references>
      </pivotArea>
    </format>
    <format dxfId="50">
      <pivotArea dataOnly="0" labelOnly="1" fieldPosition="0">
        <references count="1">
          <reference field="0" count="0"/>
        </references>
      </pivotArea>
    </format>
  </format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ountry_name5" xr10:uid="{00000000-0013-0000-FFFF-FFFF01000000}" sourceName="Country name">
  <pivotTables>
    <pivotTable tabId="3" name="数据透视表2"/>
  </pivotTables>
  <data>
    <tabular pivotCacheId="1108081870">
      <items count="28"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 s="1"/>
        <i x="18"/>
        <i x="19"/>
        <i x="20"/>
        <i x="21"/>
        <i x="22"/>
        <i x="23"/>
        <i x="24"/>
        <i x="25"/>
        <i x="26"/>
        <i x="27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ountry_name6" xr10:uid="{00000000-0013-0000-FFFF-FFFF02000000}" sourceName="Country name">
  <pivotTables>
    <pivotTable tabId="5" name="数据透视表4"/>
  </pivotTables>
  <data>
    <tabular pivotCacheId="1883930254">
      <items count="28">
        <i x="0"/>
        <i x="1"/>
        <i x="2"/>
        <i x="3"/>
        <i x="4"/>
        <i x="5"/>
        <i x="6"/>
        <i x="7"/>
        <i x="8"/>
        <i x="10"/>
        <i x="11"/>
        <i x="12"/>
        <i x="13"/>
        <i x="14"/>
        <i x="15"/>
        <i x="16"/>
        <i x="17" s="1"/>
        <i x="18"/>
        <i x="19"/>
        <i x="20"/>
        <i x="21"/>
        <i x="22"/>
        <i x="23"/>
        <i x="24"/>
        <i x="25"/>
        <i x="26"/>
        <i x="27"/>
        <i x="9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ountry_name7" xr10:uid="{00000000-0013-0000-FFFF-FFFF03000000}" sourceName="Country name">
  <pivotTables>
    <pivotTable tabId="7" name="数据透视表5"/>
  </pivotTables>
  <data>
    <tabular pivotCacheId="1883930255">
      <items count="28"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 s="1"/>
        <i x="18"/>
        <i x="19"/>
        <i x="20"/>
        <i x="21"/>
        <i x="22"/>
        <i x="23"/>
        <i x="24"/>
        <i x="25"/>
        <i x="26"/>
        <i x="27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untry name 6" xr10:uid="{00000000-0014-0000-FFFF-FFFF01000000}" cache="切片器_Country_name5" caption="Country name" style="SlicerStyleLight4" rowHeight="209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untry name 7" xr10:uid="{00000000-0014-0000-FFFF-FFFF02000000}" cache="切片器_Country_name6" caption="Country name" style="SlicerStyleLight4" rowHeight="2095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untry name 8" xr10:uid="{00000000-0014-0000-FFFF-FFFF03000000}" cache="切片器_Country_name7" caption="Country name" style="SlicerStyleLight4" rowHeight="20955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47"/>
  <sheetViews>
    <sheetView showGridLines="0" tabSelected="1" topLeftCell="A33" workbookViewId="0">
      <selection activeCell="O41" sqref="O41"/>
    </sheetView>
  </sheetViews>
  <sheetFormatPr defaultColWidth="11" defaultRowHeight="20.100000000000001" customHeight="1" x14ac:dyDescent="0.25"/>
  <cols>
    <col min="1" max="1" width="11" style="1"/>
    <col min="2" max="2" width="14.59765625" style="1" customWidth="1"/>
    <col min="3" max="3" width="11" style="1"/>
    <col min="4" max="4" width="6.09765625" style="1" customWidth="1"/>
    <col min="5" max="5" width="11" style="1"/>
    <col min="6" max="7" width="10" style="1" customWidth="1"/>
    <col min="8" max="8" width="11" style="1"/>
    <col min="9" max="9" width="10" style="1" customWidth="1"/>
    <col min="10" max="11" width="11" style="1"/>
    <col min="12" max="12" width="11.5" style="1" customWidth="1"/>
    <col min="13" max="13" width="13.19921875" style="1" customWidth="1"/>
    <col min="14" max="16384" width="11" style="1"/>
  </cols>
  <sheetData>
    <row r="2" spans="2:13" ht="24.9" customHeight="1" x14ac:dyDescent="0.25">
      <c r="E2" s="24" t="s">
        <v>0</v>
      </c>
      <c r="F2" s="24"/>
      <c r="G2" s="24"/>
      <c r="H2" s="24"/>
      <c r="I2" s="24"/>
      <c r="J2" s="24"/>
      <c r="K2" s="24"/>
      <c r="L2" s="24"/>
      <c r="M2" s="24"/>
    </row>
    <row r="4" spans="2:13" ht="20.100000000000001" customHeight="1" x14ac:dyDescent="0.25">
      <c r="B4" s="2" t="s">
        <v>1</v>
      </c>
      <c r="C4" s="3" t="s">
        <v>30</v>
      </c>
    </row>
    <row r="30" spans="5:13" ht="20.100000000000001" customHeight="1" x14ac:dyDescent="0.25">
      <c r="E30" s="4" t="s">
        <v>3</v>
      </c>
      <c r="F30" s="4"/>
      <c r="G30" s="4"/>
      <c r="H30" s="4"/>
      <c r="I30" s="4"/>
      <c r="J30" s="4"/>
      <c r="K30" s="4"/>
      <c r="L30" s="4"/>
      <c r="M30" s="4"/>
    </row>
    <row r="31" spans="5:13" ht="20.100000000000001" customHeight="1" x14ac:dyDescent="0.25">
      <c r="E31" s="25"/>
      <c r="F31" s="26"/>
      <c r="G31" s="26"/>
      <c r="H31" s="26"/>
      <c r="I31" s="26"/>
      <c r="J31" s="26"/>
      <c r="K31" s="26"/>
      <c r="L31" s="26"/>
      <c r="M31" s="27"/>
    </row>
    <row r="32" spans="5:13" ht="20.100000000000001" customHeight="1" x14ac:dyDescent="0.25">
      <c r="E32" s="25"/>
      <c r="F32" s="26"/>
      <c r="G32" s="26"/>
      <c r="H32" s="26"/>
      <c r="I32" s="26"/>
      <c r="J32" s="26"/>
      <c r="K32" s="26"/>
      <c r="L32" s="26"/>
      <c r="M32" s="27"/>
    </row>
    <row r="33" spans="5:13" ht="20.100000000000001" customHeight="1" x14ac:dyDescent="0.25">
      <c r="E33" s="25"/>
      <c r="F33" s="26"/>
      <c r="G33" s="26"/>
      <c r="H33" s="26"/>
      <c r="I33" s="26"/>
      <c r="J33" s="26"/>
      <c r="K33" s="26"/>
      <c r="L33" s="26"/>
      <c r="M33" s="27"/>
    </row>
    <row r="34" spans="5:13" ht="20.100000000000001" customHeight="1" x14ac:dyDescent="0.25">
      <c r="E34" s="25"/>
      <c r="F34" s="26"/>
      <c r="G34" s="26"/>
      <c r="H34" s="26"/>
      <c r="I34" s="26"/>
      <c r="J34" s="26"/>
      <c r="K34" s="26"/>
      <c r="L34" s="26"/>
      <c r="M34" s="27"/>
    </row>
    <row r="35" spans="5:13" ht="20.100000000000001" customHeight="1" x14ac:dyDescent="0.25">
      <c r="E35" s="25"/>
      <c r="F35" s="26"/>
      <c r="G35" s="26"/>
      <c r="H35" s="26"/>
      <c r="I35" s="26"/>
      <c r="J35" s="26"/>
      <c r="K35" s="26"/>
      <c r="L35" s="26"/>
      <c r="M35" s="27"/>
    </row>
    <row r="36" spans="5:13" ht="20.100000000000001" customHeight="1" x14ac:dyDescent="0.25">
      <c r="E36" s="25"/>
      <c r="F36" s="26"/>
      <c r="G36" s="26"/>
      <c r="H36" s="26"/>
      <c r="I36" s="26"/>
      <c r="J36" s="26"/>
      <c r="K36" s="26"/>
      <c r="L36" s="26"/>
      <c r="M36" s="27"/>
    </row>
    <row r="37" spans="5:13" ht="20.100000000000001" customHeight="1" x14ac:dyDescent="0.25">
      <c r="E37" s="25"/>
      <c r="F37" s="26"/>
      <c r="G37" s="26"/>
      <c r="H37" s="26"/>
      <c r="I37" s="26"/>
      <c r="J37" s="26"/>
      <c r="K37" s="26"/>
      <c r="L37" s="26"/>
      <c r="M37" s="27"/>
    </row>
    <row r="38" spans="5:13" ht="20.100000000000001" customHeight="1" x14ac:dyDescent="0.25">
      <c r="E38" s="25"/>
      <c r="F38" s="26"/>
      <c r="G38" s="26"/>
      <c r="H38" s="26"/>
      <c r="I38" s="26"/>
      <c r="J38" s="26"/>
      <c r="K38" s="26"/>
      <c r="L38" s="26"/>
      <c r="M38" s="27"/>
    </row>
    <row r="39" spans="5:13" ht="20.100000000000001" customHeight="1" x14ac:dyDescent="0.25">
      <c r="E39" s="25"/>
      <c r="F39" s="26"/>
      <c r="G39" s="26"/>
      <c r="H39" s="26"/>
      <c r="I39" s="26"/>
      <c r="J39" s="26"/>
      <c r="K39" s="26"/>
      <c r="L39" s="26"/>
      <c r="M39" s="27"/>
    </row>
    <row r="40" spans="5:13" ht="20.100000000000001" customHeight="1" x14ac:dyDescent="0.25">
      <c r="E40" s="25"/>
      <c r="F40" s="26"/>
      <c r="G40" s="26"/>
      <c r="H40" s="26"/>
      <c r="I40" s="26"/>
      <c r="J40" s="26"/>
      <c r="K40" s="26"/>
      <c r="L40" s="26"/>
      <c r="M40" s="27"/>
    </row>
    <row r="41" spans="5:13" ht="20.100000000000001" customHeight="1" x14ac:dyDescent="0.25">
      <c r="E41" s="29"/>
      <c r="F41" s="30"/>
      <c r="G41" s="30"/>
      <c r="H41" s="30"/>
      <c r="I41" s="30"/>
      <c r="J41" s="30"/>
      <c r="K41" s="30"/>
      <c r="L41" s="30"/>
      <c r="M41" s="31"/>
    </row>
    <row r="42" spans="5:13" ht="20.100000000000001" customHeight="1" x14ac:dyDescent="0.25">
      <c r="E42" s="29"/>
      <c r="F42" s="30"/>
      <c r="G42" s="30"/>
      <c r="H42" s="30"/>
      <c r="I42" s="30"/>
      <c r="J42" s="30"/>
      <c r="K42" s="30"/>
      <c r="L42" s="30"/>
      <c r="M42" s="31"/>
    </row>
    <row r="43" spans="5:13" ht="20.100000000000001" customHeight="1" x14ac:dyDescent="0.25">
      <c r="E43" s="29"/>
      <c r="F43" s="30"/>
      <c r="G43" s="30"/>
      <c r="H43" s="30"/>
      <c r="I43" s="30"/>
      <c r="J43" s="30"/>
      <c r="K43" s="30"/>
      <c r="L43" s="30"/>
      <c r="M43" s="31"/>
    </row>
    <row r="44" spans="5:13" ht="20.100000000000001" customHeight="1" x14ac:dyDescent="0.25">
      <c r="E44" s="29"/>
      <c r="F44" s="30"/>
      <c r="G44" s="30"/>
      <c r="H44" s="30"/>
      <c r="I44" s="30"/>
      <c r="J44" s="30"/>
      <c r="K44" s="30"/>
      <c r="L44" s="30"/>
      <c r="M44" s="31"/>
    </row>
    <row r="45" spans="5:13" ht="20.100000000000001" customHeight="1" x14ac:dyDescent="0.25">
      <c r="E45" s="29"/>
      <c r="F45" s="30"/>
      <c r="G45" s="30"/>
      <c r="H45" s="30"/>
      <c r="I45" s="30"/>
      <c r="J45" s="30"/>
      <c r="K45" s="30"/>
      <c r="L45" s="30"/>
      <c r="M45" s="31"/>
    </row>
    <row r="46" spans="5:13" ht="20.100000000000001" customHeight="1" x14ac:dyDescent="0.25">
      <c r="E46" s="29"/>
      <c r="F46" s="30"/>
      <c r="G46" s="30"/>
      <c r="H46" s="30"/>
      <c r="I46" s="30"/>
      <c r="J46" s="30"/>
      <c r="K46" s="30"/>
      <c r="L46" s="30"/>
      <c r="M46" s="31"/>
    </row>
    <row r="47" spans="5:13" ht="20.100000000000001" customHeight="1" x14ac:dyDescent="0.25">
      <c r="E47" s="32"/>
      <c r="F47" s="33"/>
      <c r="G47" s="33"/>
      <c r="H47" s="33"/>
      <c r="I47" s="33"/>
      <c r="J47" s="33"/>
      <c r="K47" s="33"/>
      <c r="L47" s="33"/>
      <c r="M47" s="34"/>
    </row>
  </sheetData>
  <mergeCells count="2">
    <mergeCell ref="E2:M2"/>
    <mergeCell ref="E31:M40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Indicateur7">
              <controlPr defaultSize="0" print="0" autoFill="0" autoPict="0" macro="[0]!SelectSheet">
                <anchor moveWithCells="1" sizeWithCells="1">
                  <from>
                    <xdr:col>0</xdr:col>
                    <xdr:colOff>830580</xdr:colOff>
                    <xdr:row>5</xdr:row>
                    <xdr:rowOff>38100</xdr:rowOff>
                  </from>
                  <to>
                    <xdr:col>2</xdr:col>
                    <xdr:colOff>76200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Indicateur8">
              <controlPr defaultSize="0" print="0" autoFill="0" autoPict="0" macro="[0]!SelectSheet">
                <anchor moveWithCells="1" sizeWithCells="1">
                  <from>
                    <xdr:col>0</xdr:col>
                    <xdr:colOff>830580</xdr:colOff>
                    <xdr:row>6</xdr:row>
                    <xdr:rowOff>220980</xdr:rowOff>
                  </from>
                  <to>
                    <xdr:col>2</xdr:col>
                    <xdr:colOff>76200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ndicateur9">
              <controlPr defaultSize="0" print="0" autoFill="0" autoPict="0" macro="[0]!SelectSheet">
                <anchor moveWithCells="1" sizeWithCells="1">
                  <from>
                    <xdr:col>0</xdr:col>
                    <xdr:colOff>830580</xdr:colOff>
                    <xdr:row>8</xdr:row>
                    <xdr:rowOff>175260</xdr:rowOff>
                  </from>
                  <to>
                    <xdr:col>2</xdr:col>
                    <xdr:colOff>76200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prevision7!$A$2:$A$29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2:K1628"/>
  <sheetViews>
    <sheetView showGridLines="0" topLeftCell="E10" zoomScale="80" zoomScaleNormal="80" workbookViewId="0">
      <selection activeCell="G2" sqref="G2:K2"/>
    </sheetView>
  </sheetViews>
  <sheetFormatPr defaultColWidth="8" defaultRowHeight="19.95" customHeight="1" x14ac:dyDescent="0.25"/>
  <cols>
    <col min="1" max="1" width="19.59765625" style="1" hidden="1" customWidth="1"/>
    <col min="2" max="2" width="36.5" style="1" hidden="1" customWidth="1"/>
    <col min="3" max="3" width="17" style="1" hidden="1" customWidth="1"/>
    <col min="4" max="4" width="8" style="1" hidden="1" customWidth="1"/>
    <col min="5" max="5" width="10.59765625" style="1" customWidth="1"/>
    <col min="6" max="6" width="14.5" style="1" customWidth="1"/>
    <col min="7" max="7" width="26.8984375" style="1" customWidth="1"/>
    <col min="8" max="8" width="78.5" style="1" customWidth="1"/>
    <col min="9" max="9" width="5.19921875" style="1" customWidth="1"/>
    <col min="10" max="10" width="13" style="1" bestFit="1" customWidth="1"/>
    <col min="11" max="11" width="16.59765625" style="1" bestFit="1" customWidth="1"/>
    <col min="12" max="25" width="11.09765625" style="1" bestFit="1" customWidth="1"/>
    <col min="26" max="26" width="12.19921875" style="1" bestFit="1" customWidth="1"/>
    <col min="27" max="31" width="11.09765625" style="1" bestFit="1" customWidth="1"/>
    <col min="32" max="32" width="21" style="1" bestFit="1" customWidth="1"/>
    <col min="33" max="38" width="11.09765625" style="1" bestFit="1" customWidth="1"/>
    <col min="39" max="39" width="12.3984375" style="1" bestFit="1" customWidth="1"/>
    <col min="40" max="65" width="21" style="1" bestFit="1" customWidth="1"/>
    <col min="66" max="66" width="14.59765625" style="1" bestFit="1" customWidth="1"/>
    <col min="67" max="67" width="14.5" style="1" bestFit="1" customWidth="1"/>
    <col min="68" max="16384" width="8" style="1"/>
  </cols>
  <sheetData>
    <row r="2" spans="1:11" ht="25.2" customHeight="1" x14ac:dyDescent="0.25">
      <c r="G2" s="24" t="s">
        <v>45</v>
      </c>
      <c r="H2" s="24"/>
      <c r="I2" s="24"/>
      <c r="J2" s="24"/>
      <c r="K2" s="24"/>
    </row>
    <row r="3" spans="1:11" ht="10.199999999999999" customHeight="1" x14ac:dyDescent="0.25"/>
    <row r="4" spans="1:11" ht="22.2" customHeight="1" thickBot="1" x14ac:dyDescent="0.3">
      <c r="A4" s="5" t="s">
        <v>4</v>
      </c>
      <c r="B4" s="5" t="s">
        <v>5</v>
      </c>
      <c r="C4" s="5" t="s">
        <v>6</v>
      </c>
      <c r="D4" s="5" t="s">
        <v>7</v>
      </c>
      <c r="H4" s="6" t="s">
        <v>8</v>
      </c>
      <c r="J4" s="28" t="s">
        <v>9</v>
      </c>
      <c r="K4" s="28"/>
    </row>
    <row r="5" spans="1:11" ht="19.95" customHeight="1" thickTop="1" x14ac:dyDescent="0.25">
      <c r="A5" s="7" t="s">
        <v>10</v>
      </c>
      <c r="B5" s="8" t="s">
        <v>11</v>
      </c>
      <c r="C5" s="8"/>
      <c r="D5" s="8">
        <v>1960</v>
      </c>
      <c r="J5" s="19" t="s">
        <v>12</v>
      </c>
      <c r="K5" s="19" t="s">
        <v>4</v>
      </c>
    </row>
    <row r="6" spans="1:11" ht="19.95" customHeight="1" x14ac:dyDescent="0.25">
      <c r="A6" s="9" t="s">
        <v>13</v>
      </c>
      <c r="B6" s="10" t="s">
        <v>14</v>
      </c>
      <c r="C6" s="10"/>
      <c r="D6" s="10">
        <v>1960</v>
      </c>
      <c r="J6" s="20" t="s">
        <v>7</v>
      </c>
      <c r="K6" s="20" t="s">
        <v>30</v>
      </c>
    </row>
    <row r="7" spans="1:11" ht="19.95" customHeight="1" x14ac:dyDescent="0.25">
      <c r="A7" s="9" t="s">
        <v>15</v>
      </c>
      <c r="B7" s="10" t="s">
        <v>14</v>
      </c>
      <c r="C7" s="10"/>
      <c r="D7" s="10">
        <v>1960</v>
      </c>
      <c r="J7" s="17">
        <v>1990</v>
      </c>
      <c r="K7" s="21">
        <v>9.9999997764825804E-3</v>
      </c>
    </row>
    <row r="8" spans="1:11" ht="19.95" customHeight="1" x14ac:dyDescent="0.25">
      <c r="A8" s="9" t="s">
        <v>16</v>
      </c>
      <c r="B8" s="10" t="s">
        <v>14</v>
      </c>
      <c r="C8" s="10"/>
      <c r="D8" s="10">
        <v>1960</v>
      </c>
      <c r="J8" s="17">
        <v>1991</v>
      </c>
      <c r="K8" s="21">
        <v>6.5060190856456798E-2</v>
      </c>
    </row>
    <row r="9" spans="1:11" ht="19.95" customHeight="1" x14ac:dyDescent="0.25">
      <c r="A9" s="9" t="s">
        <v>17</v>
      </c>
      <c r="B9" s="10" t="s">
        <v>14</v>
      </c>
      <c r="C9" s="10"/>
      <c r="D9" s="10">
        <v>1960</v>
      </c>
      <c r="J9" s="17">
        <v>1992</v>
      </c>
      <c r="K9" s="21">
        <v>0.45856440067291299</v>
      </c>
    </row>
    <row r="10" spans="1:11" ht="19.95" customHeight="1" x14ac:dyDescent="0.25">
      <c r="A10" s="9" t="s">
        <v>2</v>
      </c>
      <c r="B10" s="10" t="s">
        <v>14</v>
      </c>
      <c r="C10" s="10"/>
      <c r="D10" s="10">
        <v>1960</v>
      </c>
      <c r="J10" s="17">
        <v>1993</v>
      </c>
      <c r="K10" s="21">
        <v>1.7262779474258401</v>
      </c>
    </row>
    <row r="11" spans="1:11" ht="19.95" customHeight="1" x14ac:dyDescent="0.25">
      <c r="A11" s="9" t="s">
        <v>18</v>
      </c>
      <c r="B11" s="10" t="s">
        <v>14</v>
      </c>
      <c r="C11" s="10"/>
      <c r="D11" s="10">
        <v>1960</v>
      </c>
      <c r="J11" s="17">
        <v>1994</v>
      </c>
      <c r="K11" s="21">
        <v>3.53385210037231</v>
      </c>
    </row>
    <row r="12" spans="1:11" ht="19.95" customHeight="1" x14ac:dyDescent="0.25">
      <c r="A12" s="9" t="s">
        <v>19</v>
      </c>
      <c r="B12" s="10" t="s">
        <v>14</v>
      </c>
      <c r="C12" s="10"/>
      <c r="D12" s="10">
        <v>1960</v>
      </c>
      <c r="J12" s="17">
        <v>1995</v>
      </c>
      <c r="K12" s="21">
        <v>7.57501268386841</v>
      </c>
    </row>
    <row r="13" spans="1:11" ht="19.95" customHeight="1" x14ac:dyDescent="0.25">
      <c r="A13" s="9" t="s">
        <v>20</v>
      </c>
      <c r="B13" s="10" t="s">
        <v>14</v>
      </c>
      <c r="C13" s="10"/>
      <c r="D13" s="10">
        <v>1960</v>
      </c>
      <c r="J13" s="17">
        <v>1996</v>
      </c>
      <c r="K13" s="21">
        <v>17.899999999999999</v>
      </c>
    </row>
    <row r="14" spans="1:11" ht="19.95" customHeight="1" x14ac:dyDescent="0.25">
      <c r="A14" s="9" t="s">
        <v>21</v>
      </c>
      <c r="B14" s="10" t="s">
        <v>14</v>
      </c>
      <c r="C14" s="10"/>
      <c r="D14" s="10">
        <v>1960</v>
      </c>
      <c r="J14" s="17">
        <v>1997</v>
      </c>
      <c r="K14" s="21">
        <v>15.617564201355</v>
      </c>
    </row>
    <row r="15" spans="1:11" ht="19.95" customHeight="1" x14ac:dyDescent="0.25">
      <c r="A15" s="9" t="s">
        <v>22</v>
      </c>
      <c r="B15" s="10" t="s">
        <v>14</v>
      </c>
      <c r="C15" s="10"/>
      <c r="D15" s="10">
        <v>1960</v>
      </c>
      <c r="J15" s="17">
        <v>1998</v>
      </c>
      <c r="K15" s="21">
        <v>19.612838745117202</v>
      </c>
    </row>
    <row r="16" spans="1:11" ht="19.95" customHeight="1" x14ac:dyDescent="0.25">
      <c r="A16" s="9" t="s">
        <v>23</v>
      </c>
      <c r="B16" s="10" t="s">
        <v>14</v>
      </c>
      <c r="C16" s="10"/>
      <c r="D16" s="10">
        <v>1960</v>
      </c>
      <c r="J16" s="17">
        <v>1999</v>
      </c>
      <c r="K16" s="21">
        <v>23.586698532104499</v>
      </c>
    </row>
    <row r="17" spans="1:11" ht="19.95" customHeight="1" x14ac:dyDescent="0.25">
      <c r="A17" s="9" t="s">
        <v>24</v>
      </c>
      <c r="B17" s="10" t="s">
        <v>14</v>
      </c>
      <c r="C17" s="10"/>
      <c r="D17" s="10">
        <v>1960</v>
      </c>
      <c r="J17" s="17">
        <v>2000</v>
      </c>
      <c r="K17" s="21">
        <v>27.537605285644499</v>
      </c>
    </row>
    <row r="18" spans="1:11" ht="19.95" customHeight="1" x14ac:dyDescent="0.25">
      <c r="A18" s="9" t="s">
        <v>25</v>
      </c>
      <c r="B18" s="10" t="s">
        <v>14</v>
      </c>
      <c r="C18" s="10"/>
      <c r="D18" s="10">
        <v>1960</v>
      </c>
      <c r="J18" s="17">
        <v>2001</v>
      </c>
      <c r="K18" s="21">
        <v>24.6</v>
      </c>
    </row>
    <row r="19" spans="1:11" ht="19.95" customHeight="1" x14ac:dyDescent="0.25">
      <c r="A19" s="9" t="s">
        <v>26</v>
      </c>
      <c r="B19" s="10" t="s">
        <v>14</v>
      </c>
      <c r="C19" s="10"/>
      <c r="D19" s="10">
        <v>1960</v>
      </c>
      <c r="J19" s="17">
        <v>2002</v>
      </c>
      <c r="K19" s="21">
        <v>35.390254974365199</v>
      </c>
    </row>
    <row r="20" spans="1:11" ht="22.2" customHeight="1" x14ac:dyDescent="0.25">
      <c r="A20" s="9" t="s">
        <v>27</v>
      </c>
      <c r="B20" s="10" t="s">
        <v>14</v>
      </c>
      <c r="C20" s="10"/>
      <c r="D20" s="10">
        <v>1960</v>
      </c>
      <c r="H20" s="4" t="s">
        <v>28</v>
      </c>
      <c r="J20" s="17">
        <v>2003</v>
      </c>
      <c r="K20" s="21">
        <v>39.304122924804702</v>
      </c>
    </row>
    <row r="21" spans="1:11" ht="19.95" customHeight="1" x14ac:dyDescent="0.25">
      <c r="A21" s="9" t="s">
        <v>29</v>
      </c>
      <c r="B21" s="10" t="s">
        <v>14</v>
      </c>
      <c r="C21" s="10"/>
      <c r="D21" s="10">
        <v>1960</v>
      </c>
      <c r="J21" s="17">
        <v>2004</v>
      </c>
      <c r="K21" s="21">
        <v>37.200000000000003</v>
      </c>
    </row>
    <row r="22" spans="1:11" ht="19.95" customHeight="1" x14ac:dyDescent="0.25">
      <c r="A22" s="9" t="s">
        <v>30</v>
      </c>
      <c r="B22" s="10" t="s">
        <v>14</v>
      </c>
      <c r="C22" s="10"/>
      <c r="D22" s="10">
        <v>1960</v>
      </c>
      <c r="J22" s="17">
        <v>2005</v>
      </c>
      <c r="K22" s="21">
        <v>47.137256622314503</v>
      </c>
    </row>
    <row r="23" spans="1:11" ht="19.95" customHeight="1" x14ac:dyDescent="0.25">
      <c r="A23" s="9" t="s">
        <v>31</v>
      </c>
      <c r="B23" s="10" t="s">
        <v>14</v>
      </c>
      <c r="C23" s="10"/>
      <c r="D23" s="10">
        <v>1960</v>
      </c>
      <c r="J23" s="17">
        <v>2006</v>
      </c>
      <c r="K23" s="21">
        <v>51.2</v>
      </c>
    </row>
    <row r="24" spans="1:11" ht="19.95" customHeight="1" x14ac:dyDescent="0.25">
      <c r="A24" s="9" t="s">
        <v>32</v>
      </c>
      <c r="B24" s="10" t="s">
        <v>14</v>
      </c>
      <c r="C24" s="10"/>
      <c r="D24" s="10">
        <v>1960</v>
      </c>
      <c r="J24" s="17">
        <v>2007</v>
      </c>
      <c r="K24" s="21">
        <v>55.018013000488303</v>
      </c>
    </row>
    <row r="25" spans="1:11" ht="19.95" customHeight="1" x14ac:dyDescent="0.25">
      <c r="A25" s="9" t="s">
        <v>33</v>
      </c>
      <c r="B25" s="10" t="s">
        <v>14</v>
      </c>
      <c r="C25" s="10"/>
      <c r="D25" s="10">
        <v>1960</v>
      </c>
      <c r="J25" s="17">
        <v>2008</v>
      </c>
      <c r="K25" s="21">
        <v>58.989894866943402</v>
      </c>
    </row>
    <row r="26" spans="1:11" ht="19.95" customHeight="1" x14ac:dyDescent="0.25">
      <c r="A26" s="9" t="s">
        <v>34</v>
      </c>
      <c r="B26" s="10" t="s">
        <v>14</v>
      </c>
      <c r="C26" s="10"/>
      <c r="D26" s="10">
        <v>1960</v>
      </c>
      <c r="J26" s="17">
        <v>2009</v>
      </c>
      <c r="K26" s="21">
        <v>62.9828071594238</v>
      </c>
    </row>
    <row r="27" spans="1:11" ht="19.95" customHeight="1" x14ac:dyDescent="0.25">
      <c r="A27" s="9" t="s">
        <v>35</v>
      </c>
      <c r="B27" s="10" t="s">
        <v>14</v>
      </c>
      <c r="C27" s="10"/>
      <c r="D27" s="10">
        <v>1960</v>
      </c>
      <c r="J27" s="17">
        <v>2010</v>
      </c>
      <c r="K27" s="21">
        <v>66.993743896484403</v>
      </c>
    </row>
    <row r="28" spans="1:11" ht="19.95" customHeight="1" x14ac:dyDescent="0.25">
      <c r="A28" s="9" t="s">
        <v>36</v>
      </c>
      <c r="B28" s="10" t="s">
        <v>14</v>
      </c>
      <c r="C28" s="10"/>
      <c r="D28" s="10">
        <v>1960</v>
      </c>
      <c r="J28" s="17">
        <v>2011</v>
      </c>
      <c r="K28" s="21">
        <v>76.3</v>
      </c>
    </row>
    <row r="29" spans="1:11" ht="19.95" customHeight="1" x14ac:dyDescent="0.25">
      <c r="A29" s="9" t="s">
        <v>37</v>
      </c>
      <c r="B29" s="10" t="s">
        <v>14</v>
      </c>
      <c r="C29" s="10"/>
      <c r="D29" s="10">
        <v>1960</v>
      </c>
      <c r="J29" s="17">
        <v>2012</v>
      </c>
      <c r="K29" s="21">
        <v>75.057662963867202</v>
      </c>
    </row>
    <row r="30" spans="1:11" ht="19.95" customHeight="1" x14ac:dyDescent="0.25">
      <c r="A30" s="9" t="s">
        <v>38</v>
      </c>
      <c r="B30" s="10" t="s">
        <v>14</v>
      </c>
      <c r="C30" s="10"/>
      <c r="D30" s="10">
        <v>1960</v>
      </c>
      <c r="J30" s="17">
        <v>2013</v>
      </c>
      <c r="K30" s="21">
        <v>79.104644775390597</v>
      </c>
    </row>
    <row r="31" spans="1:11" ht="19.95" customHeight="1" x14ac:dyDescent="0.25">
      <c r="A31" s="9" t="s">
        <v>39</v>
      </c>
      <c r="B31" s="10" t="s">
        <v>14</v>
      </c>
      <c r="C31" s="10"/>
      <c r="D31" s="10">
        <v>1960</v>
      </c>
      <c r="J31" s="17">
        <v>2014</v>
      </c>
      <c r="K31" s="21">
        <v>84.9</v>
      </c>
    </row>
    <row r="32" spans="1:11" ht="19.95" customHeight="1" x14ac:dyDescent="0.25">
      <c r="A32" s="9" t="s">
        <v>40</v>
      </c>
      <c r="B32" s="10" t="s">
        <v>14</v>
      </c>
      <c r="C32" s="10"/>
      <c r="D32" s="10">
        <v>1960</v>
      </c>
      <c r="J32" s="17">
        <v>2015</v>
      </c>
      <c r="K32" s="21">
        <v>87.213623046875</v>
      </c>
    </row>
    <row r="33" spans="1:11" ht="19.95" customHeight="1" x14ac:dyDescent="0.25">
      <c r="A33" s="11" t="s">
        <v>10</v>
      </c>
      <c r="B33" s="12" t="s">
        <v>14</v>
      </c>
      <c r="C33" s="12"/>
      <c r="D33" s="12">
        <v>1961</v>
      </c>
      <c r="J33" s="18">
        <v>2016</v>
      </c>
      <c r="K33" s="22">
        <v>90.7</v>
      </c>
    </row>
    <row r="34" spans="1:11" ht="19.95" customHeight="1" x14ac:dyDescent="0.25">
      <c r="A34" s="11" t="s">
        <v>13</v>
      </c>
      <c r="B34" s="12" t="s">
        <v>14</v>
      </c>
      <c r="C34" s="12"/>
      <c r="D34" s="12">
        <v>1961</v>
      </c>
    </row>
    <row r="35" spans="1:11" ht="19.95" customHeight="1" x14ac:dyDescent="0.25">
      <c r="A35" s="11" t="s">
        <v>15</v>
      </c>
      <c r="B35" s="12" t="s">
        <v>14</v>
      </c>
      <c r="C35" s="12"/>
      <c r="D35" s="12">
        <v>1961</v>
      </c>
    </row>
    <row r="36" spans="1:11" ht="22.2" customHeight="1" x14ac:dyDescent="0.25">
      <c r="A36" s="11" t="s">
        <v>16</v>
      </c>
      <c r="B36" s="12" t="s">
        <v>14</v>
      </c>
      <c r="C36" s="12"/>
      <c r="D36" s="12">
        <v>1961</v>
      </c>
    </row>
    <row r="37" spans="1:11" ht="19.95" customHeight="1" x14ac:dyDescent="0.25">
      <c r="A37" s="11" t="s">
        <v>17</v>
      </c>
      <c r="B37" s="12" t="s">
        <v>14</v>
      </c>
      <c r="C37" s="12"/>
      <c r="D37" s="12">
        <v>1961</v>
      </c>
    </row>
    <row r="38" spans="1:11" ht="19.95" customHeight="1" x14ac:dyDescent="0.25">
      <c r="A38" s="11" t="s">
        <v>2</v>
      </c>
      <c r="B38" s="12" t="s">
        <v>14</v>
      </c>
      <c r="C38" s="12"/>
      <c r="D38" s="12">
        <v>1961</v>
      </c>
    </row>
    <row r="39" spans="1:11" ht="19.95" customHeight="1" x14ac:dyDescent="0.25">
      <c r="A39" s="11" t="s">
        <v>18</v>
      </c>
      <c r="B39" s="12" t="s">
        <v>14</v>
      </c>
      <c r="C39" s="12"/>
      <c r="D39" s="12">
        <v>1961</v>
      </c>
    </row>
    <row r="40" spans="1:11" ht="19.95" customHeight="1" x14ac:dyDescent="0.25">
      <c r="A40" s="11" t="s">
        <v>19</v>
      </c>
      <c r="B40" s="12" t="s">
        <v>11</v>
      </c>
      <c r="C40" s="12"/>
      <c r="D40" s="12">
        <v>1961</v>
      </c>
    </row>
    <row r="41" spans="1:11" ht="19.95" customHeight="1" x14ac:dyDescent="0.25">
      <c r="A41" s="11" t="s">
        <v>20</v>
      </c>
      <c r="B41" s="12" t="s">
        <v>14</v>
      </c>
      <c r="C41" s="12"/>
      <c r="D41" s="12">
        <v>1961</v>
      </c>
    </row>
    <row r="42" spans="1:11" ht="19.95" customHeight="1" x14ac:dyDescent="0.25">
      <c r="A42" s="11" t="s">
        <v>21</v>
      </c>
      <c r="B42" s="12" t="s">
        <v>14</v>
      </c>
      <c r="C42" s="12"/>
      <c r="D42" s="12">
        <v>1961</v>
      </c>
    </row>
    <row r="43" spans="1:11" ht="19.95" customHeight="1" x14ac:dyDescent="0.25">
      <c r="A43" s="11" t="s">
        <v>22</v>
      </c>
      <c r="B43" s="12" t="s">
        <v>14</v>
      </c>
      <c r="C43" s="12"/>
      <c r="D43" s="12">
        <v>1961</v>
      </c>
    </row>
    <row r="44" spans="1:11" ht="19.95" customHeight="1" x14ac:dyDescent="0.25">
      <c r="A44" s="11" t="s">
        <v>23</v>
      </c>
      <c r="B44" s="12" t="s">
        <v>14</v>
      </c>
      <c r="C44" s="12"/>
      <c r="D44" s="12">
        <v>1961</v>
      </c>
    </row>
    <row r="45" spans="1:11" ht="19.95" customHeight="1" x14ac:dyDescent="0.25">
      <c r="A45" s="11" t="s">
        <v>24</v>
      </c>
      <c r="B45" s="12" t="s">
        <v>14</v>
      </c>
      <c r="C45" s="12"/>
      <c r="D45" s="12">
        <v>1961</v>
      </c>
    </row>
    <row r="46" spans="1:11" ht="19.95" customHeight="1" x14ac:dyDescent="0.25">
      <c r="A46" s="11" t="s">
        <v>25</v>
      </c>
      <c r="B46" s="12" t="s">
        <v>14</v>
      </c>
      <c r="C46" s="12"/>
      <c r="D46" s="12">
        <v>1961</v>
      </c>
    </row>
    <row r="47" spans="1:11" ht="19.95" customHeight="1" x14ac:dyDescent="0.25">
      <c r="A47" s="11" t="s">
        <v>26</v>
      </c>
      <c r="B47" s="12" t="s">
        <v>14</v>
      </c>
      <c r="C47" s="12"/>
      <c r="D47" s="12">
        <v>1961</v>
      </c>
    </row>
    <row r="48" spans="1:11" ht="19.95" customHeight="1" x14ac:dyDescent="0.25">
      <c r="A48" s="11" t="s">
        <v>27</v>
      </c>
      <c r="B48" s="12" t="s">
        <v>14</v>
      </c>
      <c r="C48" s="12"/>
      <c r="D48" s="12">
        <v>1961</v>
      </c>
    </row>
    <row r="49" spans="1:4" ht="19.95" customHeight="1" x14ac:dyDescent="0.25">
      <c r="A49" s="11" t="s">
        <v>29</v>
      </c>
      <c r="B49" s="12" t="s">
        <v>14</v>
      </c>
      <c r="C49" s="12"/>
      <c r="D49" s="12">
        <v>1961</v>
      </c>
    </row>
    <row r="50" spans="1:4" ht="19.95" customHeight="1" x14ac:dyDescent="0.25">
      <c r="A50" s="11" t="s">
        <v>30</v>
      </c>
      <c r="B50" s="12" t="s">
        <v>14</v>
      </c>
      <c r="C50" s="12"/>
      <c r="D50" s="12">
        <v>1961</v>
      </c>
    </row>
    <row r="51" spans="1:4" ht="19.95" customHeight="1" x14ac:dyDescent="0.25">
      <c r="A51" s="11" t="s">
        <v>31</v>
      </c>
      <c r="B51" s="12" t="s">
        <v>14</v>
      </c>
      <c r="C51" s="12"/>
      <c r="D51" s="12">
        <v>1961</v>
      </c>
    </row>
    <row r="52" spans="1:4" ht="19.95" customHeight="1" x14ac:dyDescent="0.25">
      <c r="A52" s="11" t="s">
        <v>32</v>
      </c>
      <c r="B52" s="12" t="s">
        <v>14</v>
      </c>
      <c r="C52" s="12"/>
      <c r="D52" s="12">
        <v>1961</v>
      </c>
    </row>
    <row r="53" spans="1:4" ht="19.95" customHeight="1" x14ac:dyDescent="0.25">
      <c r="A53" s="11" t="s">
        <v>33</v>
      </c>
      <c r="B53" s="12" t="s">
        <v>14</v>
      </c>
      <c r="C53" s="12"/>
      <c r="D53" s="12">
        <v>1961</v>
      </c>
    </row>
    <row r="54" spans="1:4" ht="19.95" customHeight="1" x14ac:dyDescent="0.25">
      <c r="A54" s="11" t="s">
        <v>34</v>
      </c>
      <c r="B54" s="12" t="s">
        <v>14</v>
      </c>
      <c r="C54" s="12"/>
      <c r="D54" s="12">
        <v>1961</v>
      </c>
    </row>
    <row r="55" spans="1:4" ht="19.95" customHeight="1" x14ac:dyDescent="0.25">
      <c r="A55" s="11" t="s">
        <v>35</v>
      </c>
      <c r="B55" s="12" t="s">
        <v>14</v>
      </c>
      <c r="C55" s="12"/>
      <c r="D55" s="12">
        <v>1961</v>
      </c>
    </row>
    <row r="56" spans="1:4" ht="19.95" customHeight="1" x14ac:dyDescent="0.25">
      <c r="A56" s="11" t="s">
        <v>36</v>
      </c>
      <c r="B56" s="12" t="s">
        <v>14</v>
      </c>
      <c r="C56" s="12"/>
      <c r="D56" s="12">
        <v>1961</v>
      </c>
    </row>
    <row r="57" spans="1:4" ht="19.95" customHeight="1" x14ac:dyDescent="0.25">
      <c r="A57" s="11" t="s">
        <v>37</v>
      </c>
      <c r="B57" s="12" t="s">
        <v>14</v>
      </c>
      <c r="C57" s="12"/>
      <c r="D57" s="12">
        <v>1961</v>
      </c>
    </row>
    <row r="58" spans="1:4" ht="19.95" customHeight="1" x14ac:dyDescent="0.25">
      <c r="A58" s="11" t="s">
        <v>38</v>
      </c>
      <c r="B58" s="12" t="s">
        <v>14</v>
      </c>
      <c r="C58" s="12"/>
      <c r="D58" s="12">
        <v>1961</v>
      </c>
    </row>
    <row r="59" spans="1:4" ht="19.95" customHeight="1" x14ac:dyDescent="0.25">
      <c r="A59" s="11" t="s">
        <v>39</v>
      </c>
      <c r="B59" s="12" t="s">
        <v>14</v>
      </c>
      <c r="C59" s="12"/>
      <c r="D59" s="12">
        <v>1961</v>
      </c>
    </row>
    <row r="60" spans="1:4" ht="19.95" customHeight="1" x14ac:dyDescent="0.25">
      <c r="A60" s="11" t="s">
        <v>40</v>
      </c>
      <c r="B60" s="12" t="s">
        <v>14</v>
      </c>
      <c r="C60" s="12"/>
      <c r="D60" s="12">
        <v>1961</v>
      </c>
    </row>
    <row r="61" spans="1:4" ht="19.95" customHeight="1" x14ac:dyDescent="0.25">
      <c r="A61" s="11" t="s">
        <v>10</v>
      </c>
      <c r="B61" s="12" t="s">
        <v>14</v>
      </c>
      <c r="C61" s="12"/>
      <c r="D61" s="12">
        <v>1962</v>
      </c>
    </row>
    <row r="62" spans="1:4" ht="19.95" customHeight="1" x14ac:dyDescent="0.25">
      <c r="A62" s="11" t="s">
        <v>13</v>
      </c>
      <c r="B62" s="12" t="s">
        <v>14</v>
      </c>
      <c r="C62" s="12"/>
      <c r="D62" s="12">
        <v>1962</v>
      </c>
    </row>
    <row r="63" spans="1:4" ht="19.95" customHeight="1" x14ac:dyDescent="0.25">
      <c r="A63" s="11" t="s">
        <v>15</v>
      </c>
      <c r="B63" s="12" t="s">
        <v>14</v>
      </c>
      <c r="C63" s="12"/>
      <c r="D63" s="12">
        <v>1962</v>
      </c>
    </row>
    <row r="64" spans="1:4" ht="19.95" customHeight="1" x14ac:dyDescent="0.25">
      <c r="A64" s="11" t="s">
        <v>16</v>
      </c>
      <c r="B64" s="12" t="s">
        <v>14</v>
      </c>
      <c r="C64" s="12"/>
      <c r="D64" s="12">
        <v>1962</v>
      </c>
    </row>
    <row r="65" spans="1:4" ht="19.95" customHeight="1" x14ac:dyDescent="0.25">
      <c r="A65" s="11" t="s">
        <v>17</v>
      </c>
      <c r="B65" s="12" t="s">
        <v>14</v>
      </c>
      <c r="C65" s="12"/>
      <c r="D65" s="12">
        <v>1962</v>
      </c>
    </row>
    <row r="66" spans="1:4" ht="19.95" customHeight="1" x14ac:dyDescent="0.25">
      <c r="A66" s="11" t="s">
        <v>2</v>
      </c>
      <c r="B66" s="12" t="s">
        <v>14</v>
      </c>
      <c r="C66" s="12"/>
      <c r="D66" s="12">
        <v>1962</v>
      </c>
    </row>
    <row r="67" spans="1:4" ht="19.95" customHeight="1" x14ac:dyDescent="0.25">
      <c r="A67" s="11" t="s">
        <v>18</v>
      </c>
      <c r="B67" s="12" t="s">
        <v>14</v>
      </c>
      <c r="C67" s="12"/>
      <c r="D67" s="12">
        <v>1962</v>
      </c>
    </row>
    <row r="68" spans="1:4" ht="19.95" customHeight="1" x14ac:dyDescent="0.25">
      <c r="A68" s="11" t="s">
        <v>19</v>
      </c>
      <c r="B68" s="12" t="s">
        <v>14</v>
      </c>
      <c r="C68" s="12"/>
      <c r="D68" s="12">
        <v>1962</v>
      </c>
    </row>
    <row r="69" spans="1:4" ht="19.95" customHeight="1" x14ac:dyDescent="0.25">
      <c r="A69" s="11" t="s">
        <v>20</v>
      </c>
      <c r="B69" s="12" t="s">
        <v>14</v>
      </c>
      <c r="C69" s="12"/>
      <c r="D69" s="12">
        <v>1962</v>
      </c>
    </row>
    <row r="70" spans="1:4" ht="19.95" customHeight="1" x14ac:dyDescent="0.25">
      <c r="A70" s="11" t="s">
        <v>21</v>
      </c>
      <c r="B70" s="12" t="s">
        <v>14</v>
      </c>
      <c r="C70" s="12"/>
      <c r="D70" s="12">
        <v>1962</v>
      </c>
    </row>
    <row r="71" spans="1:4" ht="19.95" customHeight="1" x14ac:dyDescent="0.25">
      <c r="A71" s="11" t="s">
        <v>22</v>
      </c>
      <c r="B71" s="12" t="s">
        <v>14</v>
      </c>
      <c r="C71" s="12"/>
      <c r="D71" s="12">
        <v>1962</v>
      </c>
    </row>
    <row r="72" spans="1:4" ht="19.95" customHeight="1" x14ac:dyDescent="0.25">
      <c r="A72" s="11" t="s">
        <v>23</v>
      </c>
      <c r="B72" s="12" t="s">
        <v>14</v>
      </c>
      <c r="C72" s="12"/>
      <c r="D72" s="12">
        <v>1962</v>
      </c>
    </row>
    <row r="73" spans="1:4" ht="19.95" customHeight="1" x14ac:dyDescent="0.25">
      <c r="A73" s="11" t="s">
        <v>24</v>
      </c>
      <c r="B73" s="12" t="s">
        <v>14</v>
      </c>
      <c r="C73" s="12"/>
      <c r="D73" s="12">
        <v>1962</v>
      </c>
    </row>
    <row r="74" spans="1:4" ht="19.95" customHeight="1" x14ac:dyDescent="0.25">
      <c r="A74" s="11" t="s">
        <v>25</v>
      </c>
      <c r="B74" s="12" t="s">
        <v>14</v>
      </c>
      <c r="C74" s="12"/>
      <c r="D74" s="12">
        <v>1962</v>
      </c>
    </row>
    <row r="75" spans="1:4" ht="19.95" customHeight="1" x14ac:dyDescent="0.25">
      <c r="A75" s="11" t="s">
        <v>26</v>
      </c>
      <c r="B75" s="12" t="s">
        <v>14</v>
      </c>
      <c r="C75" s="12"/>
      <c r="D75" s="12">
        <v>1962</v>
      </c>
    </row>
    <row r="76" spans="1:4" ht="19.95" customHeight="1" x14ac:dyDescent="0.25">
      <c r="A76" s="11" t="s">
        <v>27</v>
      </c>
      <c r="B76" s="12" t="s">
        <v>14</v>
      </c>
      <c r="C76" s="12"/>
      <c r="D76" s="12">
        <v>1962</v>
      </c>
    </row>
    <row r="77" spans="1:4" ht="19.95" customHeight="1" x14ac:dyDescent="0.25">
      <c r="A77" s="11" t="s">
        <v>29</v>
      </c>
      <c r="B77" s="12" t="s">
        <v>14</v>
      </c>
      <c r="C77" s="12"/>
      <c r="D77" s="12">
        <v>1962</v>
      </c>
    </row>
    <row r="78" spans="1:4" ht="19.95" customHeight="1" x14ac:dyDescent="0.25">
      <c r="A78" s="11" t="s">
        <v>30</v>
      </c>
      <c r="B78" s="12" t="s">
        <v>14</v>
      </c>
      <c r="C78" s="12"/>
      <c r="D78" s="12">
        <v>1962</v>
      </c>
    </row>
    <row r="79" spans="1:4" ht="19.95" customHeight="1" x14ac:dyDescent="0.25">
      <c r="A79" s="11" t="s">
        <v>31</v>
      </c>
      <c r="B79" s="12" t="s">
        <v>14</v>
      </c>
      <c r="C79" s="12"/>
      <c r="D79" s="12">
        <v>1962</v>
      </c>
    </row>
    <row r="80" spans="1:4" ht="19.95" customHeight="1" x14ac:dyDescent="0.25">
      <c r="A80" s="11" t="s">
        <v>32</v>
      </c>
      <c r="B80" s="12" t="s">
        <v>14</v>
      </c>
      <c r="C80" s="12"/>
      <c r="D80" s="12">
        <v>1962</v>
      </c>
    </row>
    <row r="81" spans="1:4" ht="19.95" customHeight="1" x14ac:dyDescent="0.25">
      <c r="A81" s="11" t="s">
        <v>33</v>
      </c>
      <c r="B81" s="12" t="s">
        <v>14</v>
      </c>
      <c r="C81" s="12"/>
      <c r="D81" s="12">
        <v>1962</v>
      </c>
    </row>
    <row r="82" spans="1:4" ht="19.95" customHeight="1" x14ac:dyDescent="0.25">
      <c r="A82" s="11" t="s">
        <v>34</v>
      </c>
      <c r="B82" s="12" t="s">
        <v>14</v>
      </c>
      <c r="C82" s="12"/>
      <c r="D82" s="12">
        <v>1962</v>
      </c>
    </row>
    <row r="83" spans="1:4" ht="19.95" customHeight="1" x14ac:dyDescent="0.25">
      <c r="A83" s="11" t="s">
        <v>35</v>
      </c>
      <c r="B83" s="12" t="s">
        <v>14</v>
      </c>
      <c r="C83" s="12"/>
      <c r="D83" s="12">
        <v>1962</v>
      </c>
    </row>
    <row r="84" spans="1:4" ht="19.95" customHeight="1" x14ac:dyDescent="0.25">
      <c r="A84" s="11" t="s">
        <v>36</v>
      </c>
      <c r="B84" s="12" t="s">
        <v>14</v>
      </c>
      <c r="C84" s="12"/>
      <c r="D84" s="12">
        <v>1962</v>
      </c>
    </row>
    <row r="85" spans="1:4" ht="19.95" customHeight="1" x14ac:dyDescent="0.25">
      <c r="A85" s="11" t="s">
        <v>37</v>
      </c>
      <c r="B85" s="12" t="s">
        <v>14</v>
      </c>
      <c r="C85" s="12"/>
      <c r="D85" s="12">
        <v>1962</v>
      </c>
    </row>
    <row r="86" spans="1:4" ht="19.95" customHeight="1" x14ac:dyDescent="0.25">
      <c r="A86" s="11" t="s">
        <v>38</v>
      </c>
      <c r="B86" s="12" t="s">
        <v>14</v>
      </c>
      <c r="C86" s="12"/>
      <c r="D86" s="12">
        <v>1962</v>
      </c>
    </row>
    <row r="87" spans="1:4" ht="19.95" customHeight="1" x14ac:dyDescent="0.25">
      <c r="A87" s="11" t="s">
        <v>39</v>
      </c>
      <c r="B87" s="12" t="s">
        <v>14</v>
      </c>
      <c r="C87" s="12"/>
      <c r="D87" s="12">
        <v>1962</v>
      </c>
    </row>
    <row r="88" spans="1:4" ht="19.95" customHeight="1" x14ac:dyDescent="0.25">
      <c r="A88" s="11" t="s">
        <v>40</v>
      </c>
      <c r="B88" s="12" t="s">
        <v>14</v>
      </c>
      <c r="C88" s="12"/>
      <c r="D88" s="12">
        <v>1962</v>
      </c>
    </row>
    <row r="89" spans="1:4" ht="19.95" customHeight="1" x14ac:dyDescent="0.25">
      <c r="A89" s="11" t="s">
        <v>10</v>
      </c>
      <c r="B89" s="12" t="s">
        <v>14</v>
      </c>
      <c r="C89" s="12"/>
      <c r="D89" s="12">
        <v>1963</v>
      </c>
    </row>
    <row r="90" spans="1:4" ht="19.95" customHeight="1" x14ac:dyDescent="0.25">
      <c r="A90" s="11" t="s">
        <v>13</v>
      </c>
      <c r="B90" s="12" t="s">
        <v>14</v>
      </c>
      <c r="C90" s="12"/>
      <c r="D90" s="12">
        <v>1963</v>
      </c>
    </row>
    <row r="91" spans="1:4" ht="19.95" customHeight="1" x14ac:dyDescent="0.25">
      <c r="A91" s="11" t="s">
        <v>15</v>
      </c>
      <c r="B91" s="12" t="s">
        <v>14</v>
      </c>
      <c r="C91" s="12"/>
      <c r="D91" s="12">
        <v>1963</v>
      </c>
    </row>
    <row r="92" spans="1:4" ht="19.95" customHeight="1" x14ac:dyDescent="0.25">
      <c r="A92" s="11" t="s">
        <v>16</v>
      </c>
      <c r="B92" s="12" t="s">
        <v>14</v>
      </c>
      <c r="C92" s="12"/>
      <c r="D92" s="12">
        <v>1963</v>
      </c>
    </row>
    <row r="93" spans="1:4" ht="19.95" customHeight="1" x14ac:dyDescent="0.25">
      <c r="A93" s="11" t="s">
        <v>17</v>
      </c>
      <c r="B93" s="12" t="s">
        <v>14</v>
      </c>
      <c r="C93" s="12"/>
      <c r="D93" s="12">
        <v>1963</v>
      </c>
    </row>
    <row r="94" spans="1:4" ht="19.95" customHeight="1" x14ac:dyDescent="0.25">
      <c r="A94" s="11" t="s">
        <v>2</v>
      </c>
      <c r="B94" s="12" t="s">
        <v>14</v>
      </c>
      <c r="C94" s="12"/>
      <c r="D94" s="12">
        <v>1963</v>
      </c>
    </row>
    <row r="95" spans="1:4" ht="19.95" customHeight="1" x14ac:dyDescent="0.25">
      <c r="A95" s="11" t="s">
        <v>18</v>
      </c>
      <c r="B95" s="12" t="s">
        <v>14</v>
      </c>
      <c r="C95" s="12"/>
      <c r="D95" s="12">
        <v>1963</v>
      </c>
    </row>
    <row r="96" spans="1:4" ht="19.95" customHeight="1" x14ac:dyDescent="0.25">
      <c r="A96" s="11" t="s">
        <v>19</v>
      </c>
      <c r="B96" s="12" t="s">
        <v>14</v>
      </c>
      <c r="C96" s="12"/>
      <c r="D96" s="12">
        <v>1963</v>
      </c>
    </row>
    <row r="97" spans="1:4" ht="19.95" customHeight="1" x14ac:dyDescent="0.25">
      <c r="A97" s="11" t="s">
        <v>20</v>
      </c>
      <c r="B97" s="12" t="s">
        <v>14</v>
      </c>
      <c r="C97" s="12"/>
      <c r="D97" s="12">
        <v>1963</v>
      </c>
    </row>
    <row r="98" spans="1:4" ht="19.95" customHeight="1" x14ac:dyDescent="0.25">
      <c r="A98" s="11" t="s">
        <v>21</v>
      </c>
      <c r="B98" s="12" t="s">
        <v>14</v>
      </c>
      <c r="C98" s="12"/>
      <c r="D98" s="12">
        <v>1963</v>
      </c>
    </row>
    <row r="99" spans="1:4" ht="19.95" customHeight="1" x14ac:dyDescent="0.25">
      <c r="A99" s="11" t="s">
        <v>22</v>
      </c>
      <c r="B99" s="12" t="s">
        <v>14</v>
      </c>
      <c r="C99" s="12"/>
      <c r="D99" s="12">
        <v>1963</v>
      </c>
    </row>
    <row r="100" spans="1:4" ht="19.95" customHeight="1" x14ac:dyDescent="0.25">
      <c r="A100" s="11" t="s">
        <v>23</v>
      </c>
      <c r="B100" s="12" t="s">
        <v>14</v>
      </c>
      <c r="C100" s="12"/>
      <c r="D100" s="12">
        <v>1963</v>
      </c>
    </row>
    <row r="101" spans="1:4" ht="19.95" customHeight="1" x14ac:dyDescent="0.25">
      <c r="A101" s="11" t="s">
        <v>24</v>
      </c>
      <c r="B101" s="12" t="s">
        <v>14</v>
      </c>
      <c r="C101" s="12"/>
      <c r="D101" s="12">
        <v>1963</v>
      </c>
    </row>
    <row r="102" spans="1:4" ht="19.95" customHeight="1" x14ac:dyDescent="0.25">
      <c r="A102" s="11" t="s">
        <v>25</v>
      </c>
      <c r="B102" s="12" t="s">
        <v>14</v>
      </c>
      <c r="C102" s="12"/>
      <c r="D102" s="12">
        <v>1963</v>
      </c>
    </row>
    <row r="103" spans="1:4" ht="19.95" customHeight="1" x14ac:dyDescent="0.25">
      <c r="A103" s="11" t="s">
        <v>26</v>
      </c>
      <c r="B103" s="12" t="s">
        <v>14</v>
      </c>
      <c r="C103" s="12"/>
      <c r="D103" s="12">
        <v>1963</v>
      </c>
    </row>
    <row r="104" spans="1:4" ht="19.95" customHeight="1" x14ac:dyDescent="0.25">
      <c r="A104" s="11" t="s">
        <v>27</v>
      </c>
      <c r="B104" s="12" t="s">
        <v>14</v>
      </c>
      <c r="C104" s="12"/>
      <c r="D104" s="12">
        <v>1963</v>
      </c>
    </row>
    <row r="105" spans="1:4" ht="19.95" customHeight="1" x14ac:dyDescent="0.25">
      <c r="A105" s="11" t="s">
        <v>29</v>
      </c>
      <c r="B105" s="12" t="s">
        <v>14</v>
      </c>
      <c r="C105" s="12"/>
      <c r="D105" s="12">
        <v>1963</v>
      </c>
    </row>
    <row r="106" spans="1:4" ht="19.95" customHeight="1" x14ac:dyDescent="0.25">
      <c r="A106" s="11" t="s">
        <v>30</v>
      </c>
      <c r="B106" s="12" t="s">
        <v>14</v>
      </c>
      <c r="C106" s="12"/>
      <c r="D106" s="12">
        <v>1963</v>
      </c>
    </row>
    <row r="107" spans="1:4" ht="19.95" customHeight="1" x14ac:dyDescent="0.25">
      <c r="A107" s="11" t="s">
        <v>31</v>
      </c>
      <c r="B107" s="12" t="s">
        <v>14</v>
      </c>
      <c r="C107" s="12"/>
      <c r="D107" s="12">
        <v>1963</v>
      </c>
    </row>
    <row r="108" spans="1:4" ht="19.95" customHeight="1" x14ac:dyDescent="0.25">
      <c r="A108" s="11" t="s">
        <v>32</v>
      </c>
      <c r="B108" s="12" t="s">
        <v>14</v>
      </c>
      <c r="C108" s="12"/>
      <c r="D108" s="12">
        <v>1963</v>
      </c>
    </row>
    <row r="109" spans="1:4" ht="19.95" customHeight="1" x14ac:dyDescent="0.25">
      <c r="A109" s="11" t="s">
        <v>33</v>
      </c>
      <c r="B109" s="12" t="s">
        <v>14</v>
      </c>
      <c r="C109" s="12"/>
      <c r="D109" s="12">
        <v>1963</v>
      </c>
    </row>
    <row r="110" spans="1:4" ht="19.95" customHeight="1" x14ac:dyDescent="0.25">
      <c r="A110" s="11" t="s">
        <v>34</v>
      </c>
      <c r="B110" s="12" t="s">
        <v>14</v>
      </c>
      <c r="C110" s="12"/>
      <c r="D110" s="12">
        <v>1963</v>
      </c>
    </row>
    <row r="111" spans="1:4" ht="19.95" customHeight="1" x14ac:dyDescent="0.25">
      <c r="A111" s="11" t="s">
        <v>35</v>
      </c>
      <c r="B111" s="12" t="s">
        <v>14</v>
      </c>
      <c r="C111" s="12"/>
      <c r="D111" s="12">
        <v>1963</v>
      </c>
    </row>
    <row r="112" spans="1:4" ht="19.95" customHeight="1" x14ac:dyDescent="0.25">
      <c r="A112" s="11" t="s">
        <v>36</v>
      </c>
      <c r="B112" s="12" t="s">
        <v>14</v>
      </c>
      <c r="C112" s="12"/>
      <c r="D112" s="12">
        <v>1963</v>
      </c>
    </row>
    <row r="113" spans="1:4" ht="19.95" customHeight="1" x14ac:dyDescent="0.25">
      <c r="A113" s="11" t="s">
        <v>37</v>
      </c>
      <c r="B113" s="12" t="s">
        <v>14</v>
      </c>
      <c r="C113" s="12"/>
      <c r="D113" s="12">
        <v>1963</v>
      </c>
    </row>
    <row r="114" spans="1:4" ht="19.95" customHeight="1" x14ac:dyDescent="0.25">
      <c r="A114" s="11" t="s">
        <v>38</v>
      </c>
      <c r="B114" s="12" t="s">
        <v>14</v>
      </c>
      <c r="C114" s="12"/>
      <c r="D114" s="12">
        <v>1963</v>
      </c>
    </row>
    <row r="115" spans="1:4" ht="19.95" customHeight="1" x14ac:dyDescent="0.25">
      <c r="A115" s="11" t="s">
        <v>39</v>
      </c>
      <c r="B115" s="12" t="s">
        <v>14</v>
      </c>
      <c r="C115" s="12"/>
      <c r="D115" s="12">
        <v>1963</v>
      </c>
    </row>
    <row r="116" spans="1:4" ht="19.95" customHeight="1" x14ac:dyDescent="0.25">
      <c r="A116" s="11" t="s">
        <v>40</v>
      </c>
      <c r="B116" s="12" t="s">
        <v>14</v>
      </c>
      <c r="C116" s="12"/>
      <c r="D116" s="12">
        <v>1963</v>
      </c>
    </row>
    <row r="117" spans="1:4" ht="19.95" customHeight="1" x14ac:dyDescent="0.25">
      <c r="A117" s="11" t="s">
        <v>10</v>
      </c>
      <c r="B117" s="12" t="s">
        <v>14</v>
      </c>
      <c r="C117" s="12"/>
      <c r="D117" s="12">
        <v>1964</v>
      </c>
    </row>
    <row r="118" spans="1:4" ht="19.95" customHeight="1" x14ac:dyDescent="0.25">
      <c r="A118" s="11" t="s">
        <v>13</v>
      </c>
      <c r="B118" s="12" t="s">
        <v>14</v>
      </c>
      <c r="C118" s="12"/>
      <c r="D118" s="12">
        <v>1964</v>
      </c>
    </row>
    <row r="119" spans="1:4" ht="19.95" customHeight="1" x14ac:dyDescent="0.25">
      <c r="A119" s="11" t="s">
        <v>15</v>
      </c>
      <c r="B119" s="12" t="s">
        <v>14</v>
      </c>
      <c r="C119" s="12"/>
      <c r="D119" s="12">
        <v>1964</v>
      </c>
    </row>
    <row r="120" spans="1:4" ht="19.95" customHeight="1" x14ac:dyDescent="0.25">
      <c r="A120" s="11" t="s">
        <v>16</v>
      </c>
      <c r="B120" s="12" t="s">
        <v>14</v>
      </c>
      <c r="C120" s="12"/>
      <c r="D120" s="12">
        <v>1964</v>
      </c>
    </row>
    <row r="121" spans="1:4" ht="19.95" customHeight="1" x14ac:dyDescent="0.25">
      <c r="A121" s="11" t="s">
        <v>17</v>
      </c>
      <c r="B121" s="12" t="s">
        <v>14</v>
      </c>
      <c r="C121" s="12"/>
      <c r="D121" s="12">
        <v>1964</v>
      </c>
    </row>
    <row r="122" spans="1:4" ht="19.95" customHeight="1" x14ac:dyDescent="0.25">
      <c r="A122" s="11" t="s">
        <v>2</v>
      </c>
      <c r="B122" s="12" t="s">
        <v>14</v>
      </c>
      <c r="C122" s="12"/>
      <c r="D122" s="12">
        <v>1964</v>
      </c>
    </row>
    <row r="123" spans="1:4" ht="19.95" customHeight="1" x14ac:dyDescent="0.25">
      <c r="A123" s="11" t="s">
        <v>18</v>
      </c>
      <c r="B123" s="12" t="s">
        <v>14</v>
      </c>
      <c r="C123" s="12"/>
      <c r="D123" s="12">
        <v>1964</v>
      </c>
    </row>
    <row r="124" spans="1:4" ht="19.95" customHeight="1" x14ac:dyDescent="0.25">
      <c r="A124" s="11" t="s">
        <v>19</v>
      </c>
      <c r="B124" s="12" t="s">
        <v>14</v>
      </c>
      <c r="C124" s="12"/>
      <c r="D124" s="12">
        <v>1964</v>
      </c>
    </row>
    <row r="125" spans="1:4" ht="19.95" customHeight="1" x14ac:dyDescent="0.25">
      <c r="A125" s="11" t="s">
        <v>20</v>
      </c>
      <c r="B125" s="12" t="s">
        <v>14</v>
      </c>
      <c r="C125" s="12"/>
      <c r="D125" s="12">
        <v>1964</v>
      </c>
    </row>
    <row r="126" spans="1:4" ht="19.95" customHeight="1" x14ac:dyDescent="0.25">
      <c r="A126" s="11" t="s">
        <v>21</v>
      </c>
      <c r="B126" s="12" t="s">
        <v>14</v>
      </c>
      <c r="C126" s="12"/>
      <c r="D126" s="12">
        <v>1964</v>
      </c>
    </row>
    <row r="127" spans="1:4" ht="19.95" customHeight="1" x14ac:dyDescent="0.25">
      <c r="A127" s="11" t="s">
        <v>22</v>
      </c>
      <c r="B127" s="12" t="s">
        <v>14</v>
      </c>
      <c r="C127" s="12"/>
      <c r="D127" s="12">
        <v>1964</v>
      </c>
    </row>
    <row r="128" spans="1:4" ht="19.95" customHeight="1" x14ac:dyDescent="0.25">
      <c r="A128" s="11" t="s">
        <v>23</v>
      </c>
      <c r="B128" s="12" t="s">
        <v>14</v>
      </c>
      <c r="C128" s="12"/>
      <c r="D128" s="12">
        <v>1964</v>
      </c>
    </row>
    <row r="129" spans="1:4" ht="19.95" customHeight="1" x14ac:dyDescent="0.25">
      <c r="A129" s="11" t="s">
        <v>24</v>
      </c>
      <c r="B129" s="12" t="s">
        <v>14</v>
      </c>
      <c r="C129" s="12"/>
      <c r="D129" s="12">
        <v>1964</v>
      </c>
    </row>
    <row r="130" spans="1:4" ht="19.95" customHeight="1" x14ac:dyDescent="0.25">
      <c r="A130" s="11" t="s">
        <v>25</v>
      </c>
      <c r="B130" s="12" t="s">
        <v>14</v>
      </c>
      <c r="C130" s="12"/>
      <c r="D130" s="12">
        <v>1964</v>
      </c>
    </row>
    <row r="131" spans="1:4" ht="19.95" customHeight="1" x14ac:dyDescent="0.25">
      <c r="A131" s="11" t="s">
        <v>26</v>
      </c>
      <c r="B131" s="12" t="s">
        <v>14</v>
      </c>
      <c r="C131" s="12"/>
      <c r="D131" s="12">
        <v>1964</v>
      </c>
    </row>
    <row r="132" spans="1:4" ht="19.95" customHeight="1" x14ac:dyDescent="0.25">
      <c r="A132" s="11" t="s">
        <v>27</v>
      </c>
      <c r="B132" s="12" t="s">
        <v>14</v>
      </c>
      <c r="C132" s="12"/>
      <c r="D132" s="12">
        <v>1964</v>
      </c>
    </row>
    <row r="133" spans="1:4" ht="19.95" customHeight="1" x14ac:dyDescent="0.25">
      <c r="A133" s="11" t="s">
        <v>29</v>
      </c>
      <c r="B133" s="12" t="s">
        <v>14</v>
      </c>
      <c r="C133" s="12"/>
      <c r="D133" s="12">
        <v>1964</v>
      </c>
    </row>
    <row r="134" spans="1:4" ht="19.95" customHeight="1" x14ac:dyDescent="0.25">
      <c r="A134" s="11" t="s">
        <v>30</v>
      </c>
      <c r="B134" s="12" t="s">
        <v>14</v>
      </c>
      <c r="C134" s="12"/>
      <c r="D134" s="12">
        <v>1964</v>
      </c>
    </row>
    <row r="135" spans="1:4" ht="19.95" customHeight="1" x14ac:dyDescent="0.25">
      <c r="A135" s="11" t="s">
        <v>31</v>
      </c>
      <c r="B135" s="12" t="s">
        <v>14</v>
      </c>
      <c r="C135" s="12"/>
      <c r="D135" s="12">
        <v>1964</v>
      </c>
    </row>
    <row r="136" spans="1:4" ht="19.95" customHeight="1" x14ac:dyDescent="0.25">
      <c r="A136" s="11" t="s">
        <v>32</v>
      </c>
      <c r="B136" s="12" t="s">
        <v>14</v>
      </c>
      <c r="C136" s="12"/>
      <c r="D136" s="12">
        <v>1964</v>
      </c>
    </row>
    <row r="137" spans="1:4" ht="19.95" customHeight="1" x14ac:dyDescent="0.25">
      <c r="A137" s="11" t="s">
        <v>33</v>
      </c>
      <c r="B137" s="12" t="s">
        <v>14</v>
      </c>
      <c r="C137" s="12"/>
      <c r="D137" s="12">
        <v>1964</v>
      </c>
    </row>
    <row r="138" spans="1:4" ht="19.95" customHeight="1" x14ac:dyDescent="0.25">
      <c r="A138" s="11" t="s">
        <v>34</v>
      </c>
      <c r="B138" s="12" t="s">
        <v>14</v>
      </c>
      <c r="C138" s="12"/>
      <c r="D138" s="12">
        <v>1964</v>
      </c>
    </row>
    <row r="139" spans="1:4" ht="19.95" customHeight="1" x14ac:dyDescent="0.25">
      <c r="A139" s="11" t="s">
        <v>35</v>
      </c>
      <c r="B139" s="12" t="s">
        <v>14</v>
      </c>
      <c r="C139" s="12"/>
      <c r="D139" s="12">
        <v>1964</v>
      </c>
    </row>
    <row r="140" spans="1:4" ht="19.95" customHeight="1" x14ac:dyDescent="0.25">
      <c r="A140" s="11" t="s">
        <v>36</v>
      </c>
      <c r="B140" s="12" t="s">
        <v>14</v>
      </c>
      <c r="C140" s="12"/>
      <c r="D140" s="12">
        <v>1964</v>
      </c>
    </row>
    <row r="141" spans="1:4" ht="19.95" customHeight="1" x14ac:dyDescent="0.25">
      <c r="A141" s="11" t="s">
        <v>37</v>
      </c>
      <c r="B141" s="12" t="s">
        <v>14</v>
      </c>
      <c r="C141" s="12"/>
      <c r="D141" s="12">
        <v>1964</v>
      </c>
    </row>
    <row r="142" spans="1:4" ht="19.95" customHeight="1" x14ac:dyDescent="0.25">
      <c r="A142" s="11" t="s">
        <v>38</v>
      </c>
      <c r="B142" s="12" t="s">
        <v>14</v>
      </c>
      <c r="C142" s="12"/>
      <c r="D142" s="12">
        <v>1964</v>
      </c>
    </row>
    <row r="143" spans="1:4" ht="19.95" customHeight="1" x14ac:dyDescent="0.25">
      <c r="A143" s="11" t="s">
        <v>39</v>
      </c>
      <c r="B143" s="12" t="s">
        <v>14</v>
      </c>
      <c r="C143" s="12"/>
      <c r="D143" s="12">
        <v>1964</v>
      </c>
    </row>
    <row r="144" spans="1:4" ht="19.95" customHeight="1" x14ac:dyDescent="0.25">
      <c r="A144" s="11" t="s">
        <v>40</v>
      </c>
      <c r="B144" s="12" t="s">
        <v>14</v>
      </c>
      <c r="C144" s="12"/>
      <c r="D144" s="12">
        <v>1964</v>
      </c>
    </row>
    <row r="145" spans="1:4" ht="19.95" customHeight="1" x14ac:dyDescent="0.25">
      <c r="A145" s="11" t="s">
        <v>10</v>
      </c>
      <c r="B145" s="12" t="s">
        <v>14</v>
      </c>
      <c r="C145" s="12"/>
      <c r="D145" s="12">
        <v>1965</v>
      </c>
    </row>
    <row r="146" spans="1:4" ht="19.95" customHeight="1" x14ac:dyDescent="0.25">
      <c r="A146" s="11" t="s">
        <v>13</v>
      </c>
      <c r="B146" s="12" t="s">
        <v>14</v>
      </c>
      <c r="C146" s="12"/>
      <c r="D146" s="12">
        <v>1965</v>
      </c>
    </row>
    <row r="147" spans="1:4" ht="19.95" customHeight="1" x14ac:dyDescent="0.25">
      <c r="A147" s="11" t="s">
        <v>15</v>
      </c>
      <c r="B147" s="12" t="s">
        <v>14</v>
      </c>
      <c r="C147" s="12"/>
      <c r="D147" s="12">
        <v>1965</v>
      </c>
    </row>
    <row r="148" spans="1:4" ht="19.95" customHeight="1" x14ac:dyDescent="0.25">
      <c r="A148" s="11" t="s">
        <v>16</v>
      </c>
      <c r="B148" s="12" t="s">
        <v>14</v>
      </c>
      <c r="C148" s="12"/>
      <c r="D148" s="12">
        <v>1965</v>
      </c>
    </row>
    <row r="149" spans="1:4" ht="19.95" customHeight="1" x14ac:dyDescent="0.25">
      <c r="A149" s="11" t="s">
        <v>17</v>
      </c>
      <c r="B149" s="12" t="s">
        <v>14</v>
      </c>
      <c r="C149" s="12"/>
      <c r="D149" s="12">
        <v>1965</v>
      </c>
    </row>
    <row r="150" spans="1:4" ht="19.95" customHeight="1" x14ac:dyDescent="0.25">
      <c r="A150" s="11" t="s">
        <v>2</v>
      </c>
      <c r="B150" s="12" t="s">
        <v>14</v>
      </c>
      <c r="C150" s="12"/>
      <c r="D150" s="12">
        <v>1965</v>
      </c>
    </row>
    <row r="151" spans="1:4" ht="19.95" customHeight="1" x14ac:dyDescent="0.25">
      <c r="A151" s="11" t="s">
        <v>18</v>
      </c>
      <c r="B151" s="12" t="s">
        <v>14</v>
      </c>
      <c r="C151" s="12"/>
      <c r="D151" s="12">
        <v>1965</v>
      </c>
    </row>
    <row r="152" spans="1:4" ht="19.95" customHeight="1" x14ac:dyDescent="0.25">
      <c r="A152" s="11" t="s">
        <v>19</v>
      </c>
      <c r="B152" s="12" t="s">
        <v>14</v>
      </c>
      <c r="C152" s="12"/>
      <c r="D152" s="12">
        <v>1965</v>
      </c>
    </row>
    <row r="153" spans="1:4" ht="19.95" customHeight="1" x14ac:dyDescent="0.25">
      <c r="A153" s="11" t="s">
        <v>20</v>
      </c>
      <c r="B153" s="12" t="s">
        <v>14</v>
      </c>
      <c r="C153" s="12"/>
      <c r="D153" s="12">
        <v>1965</v>
      </c>
    </row>
    <row r="154" spans="1:4" ht="19.95" customHeight="1" x14ac:dyDescent="0.25">
      <c r="A154" s="11" t="s">
        <v>21</v>
      </c>
      <c r="B154" s="12" t="s">
        <v>14</v>
      </c>
      <c r="C154" s="12"/>
      <c r="D154" s="12">
        <v>1965</v>
      </c>
    </row>
    <row r="155" spans="1:4" ht="19.95" customHeight="1" x14ac:dyDescent="0.25">
      <c r="A155" s="11" t="s">
        <v>22</v>
      </c>
      <c r="B155" s="12" t="s">
        <v>14</v>
      </c>
      <c r="C155" s="12"/>
      <c r="D155" s="12">
        <v>1965</v>
      </c>
    </row>
    <row r="156" spans="1:4" ht="19.95" customHeight="1" x14ac:dyDescent="0.25">
      <c r="A156" s="11" t="s">
        <v>23</v>
      </c>
      <c r="B156" s="12" t="s">
        <v>14</v>
      </c>
      <c r="C156" s="12"/>
      <c r="D156" s="12">
        <v>1965</v>
      </c>
    </row>
    <row r="157" spans="1:4" ht="19.95" customHeight="1" x14ac:dyDescent="0.25">
      <c r="A157" s="11" t="s">
        <v>24</v>
      </c>
      <c r="B157" s="12" t="s">
        <v>14</v>
      </c>
      <c r="C157" s="12"/>
      <c r="D157" s="12">
        <v>1965</v>
      </c>
    </row>
    <row r="158" spans="1:4" ht="19.95" customHeight="1" x14ac:dyDescent="0.25">
      <c r="A158" s="11" t="s">
        <v>25</v>
      </c>
      <c r="B158" s="12" t="s">
        <v>14</v>
      </c>
      <c r="C158" s="12"/>
      <c r="D158" s="12">
        <v>1965</v>
      </c>
    </row>
    <row r="159" spans="1:4" ht="19.95" customHeight="1" x14ac:dyDescent="0.25">
      <c r="A159" s="11" t="s">
        <v>26</v>
      </c>
      <c r="B159" s="12" t="s">
        <v>14</v>
      </c>
      <c r="C159" s="12"/>
      <c r="D159" s="12">
        <v>1965</v>
      </c>
    </row>
    <row r="160" spans="1:4" ht="19.95" customHeight="1" x14ac:dyDescent="0.25">
      <c r="A160" s="11" t="s">
        <v>27</v>
      </c>
      <c r="B160" s="12" t="s">
        <v>14</v>
      </c>
      <c r="C160" s="12"/>
      <c r="D160" s="12">
        <v>1965</v>
      </c>
    </row>
    <row r="161" spans="1:4" ht="19.95" customHeight="1" x14ac:dyDescent="0.25">
      <c r="A161" s="11" t="s">
        <v>29</v>
      </c>
      <c r="B161" s="12" t="s">
        <v>14</v>
      </c>
      <c r="C161" s="12"/>
      <c r="D161" s="12">
        <v>1965</v>
      </c>
    </row>
    <row r="162" spans="1:4" ht="19.95" customHeight="1" x14ac:dyDescent="0.25">
      <c r="A162" s="11" t="s">
        <v>30</v>
      </c>
      <c r="B162" s="12" t="s">
        <v>14</v>
      </c>
      <c r="C162" s="12"/>
      <c r="D162" s="12">
        <v>1965</v>
      </c>
    </row>
    <row r="163" spans="1:4" ht="19.95" customHeight="1" x14ac:dyDescent="0.25">
      <c r="A163" s="11" t="s">
        <v>31</v>
      </c>
      <c r="B163" s="12" t="s">
        <v>14</v>
      </c>
      <c r="C163" s="12"/>
      <c r="D163" s="12">
        <v>1965</v>
      </c>
    </row>
    <row r="164" spans="1:4" ht="19.95" customHeight="1" x14ac:dyDescent="0.25">
      <c r="A164" s="11" t="s">
        <v>32</v>
      </c>
      <c r="B164" s="12" t="s">
        <v>14</v>
      </c>
      <c r="C164" s="12"/>
      <c r="D164" s="12">
        <v>1965</v>
      </c>
    </row>
    <row r="165" spans="1:4" ht="19.95" customHeight="1" x14ac:dyDescent="0.25">
      <c r="A165" s="11" t="s">
        <v>33</v>
      </c>
      <c r="B165" s="12" t="s">
        <v>14</v>
      </c>
      <c r="C165" s="12"/>
      <c r="D165" s="12">
        <v>1965</v>
      </c>
    </row>
    <row r="166" spans="1:4" ht="19.95" customHeight="1" x14ac:dyDescent="0.25">
      <c r="A166" s="11" t="s">
        <v>34</v>
      </c>
      <c r="B166" s="12" t="s">
        <v>14</v>
      </c>
      <c r="C166" s="12"/>
      <c r="D166" s="12">
        <v>1965</v>
      </c>
    </row>
    <row r="167" spans="1:4" ht="19.95" customHeight="1" x14ac:dyDescent="0.25">
      <c r="A167" s="11" t="s">
        <v>35</v>
      </c>
      <c r="B167" s="12" t="s">
        <v>14</v>
      </c>
      <c r="C167" s="12"/>
      <c r="D167" s="12">
        <v>1965</v>
      </c>
    </row>
    <row r="168" spans="1:4" ht="19.95" customHeight="1" x14ac:dyDescent="0.25">
      <c r="A168" s="11" t="s">
        <v>36</v>
      </c>
      <c r="B168" s="12" t="s">
        <v>14</v>
      </c>
      <c r="C168" s="12"/>
      <c r="D168" s="12">
        <v>1965</v>
      </c>
    </row>
    <row r="169" spans="1:4" ht="19.95" customHeight="1" x14ac:dyDescent="0.25">
      <c r="A169" s="11" t="s">
        <v>37</v>
      </c>
      <c r="B169" s="12" t="s">
        <v>14</v>
      </c>
      <c r="C169" s="12"/>
      <c r="D169" s="12">
        <v>1965</v>
      </c>
    </row>
    <row r="170" spans="1:4" ht="19.95" customHeight="1" x14ac:dyDescent="0.25">
      <c r="A170" s="11" t="s">
        <v>38</v>
      </c>
      <c r="B170" s="12" t="s">
        <v>14</v>
      </c>
      <c r="C170" s="12"/>
      <c r="D170" s="12">
        <v>1965</v>
      </c>
    </row>
    <row r="171" spans="1:4" ht="19.95" customHeight="1" x14ac:dyDescent="0.25">
      <c r="A171" s="11" t="s">
        <v>39</v>
      </c>
      <c r="B171" s="12" t="s">
        <v>14</v>
      </c>
      <c r="C171" s="12"/>
      <c r="D171" s="12">
        <v>1965</v>
      </c>
    </row>
    <row r="172" spans="1:4" ht="19.95" customHeight="1" x14ac:dyDescent="0.25">
      <c r="A172" s="11" t="s">
        <v>40</v>
      </c>
      <c r="B172" s="12" t="s">
        <v>14</v>
      </c>
      <c r="C172" s="12"/>
      <c r="D172" s="12">
        <v>1965</v>
      </c>
    </row>
    <row r="173" spans="1:4" ht="19.95" customHeight="1" x14ac:dyDescent="0.25">
      <c r="A173" s="11" t="s">
        <v>10</v>
      </c>
      <c r="B173" s="12" t="s">
        <v>14</v>
      </c>
      <c r="C173" s="12"/>
      <c r="D173" s="12">
        <v>1966</v>
      </c>
    </row>
    <row r="174" spans="1:4" ht="19.95" customHeight="1" x14ac:dyDescent="0.25">
      <c r="A174" s="11" t="s">
        <v>13</v>
      </c>
      <c r="B174" s="12" t="s">
        <v>14</v>
      </c>
      <c r="C174" s="12"/>
      <c r="D174" s="12">
        <v>1966</v>
      </c>
    </row>
    <row r="175" spans="1:4" ht="19.95" customHeight="1" x14ac:dyDescent="0.25">
      <c r="A175" s="11" t="s">
        <v>15</v>
      </c>
      <c r="B175" s="12" t="s">
        <v>14</v>
      </c>
      <c r="C175" s="12"/>
      <c r="D175" s="12">
        <v>1966</v>
      </c>
    </row>
    <row r="176" spans="1:4" ht="19.95" customHeight="1" x14ac:dyDescent="0.25">
      <c r="A176" s="11" t="s">
        <v>16</v>
      </c>
      <c r="B176" s="12" t="s">
        <v>14</v>
      </c>
      <c r="C176" s="12"/>
      <c r="D176" s="12">
        <v>1966</v>
      </c>
    </row>
    <row r="177" spans="1:4" ht="19.95" customHeight="1" x14ac:dyDescent="0.25">
      <c r="A177" s="11" t="s">
        <v>17</v>
      </c>
      <c r="B177" s="12" t="s">
        <v>14</v>
      </c>
      <c r="C177" s="12"/>
      <c r="D177" s="12">
        <v>1966</v>
      </c>
    </row>
    <row r="178" spans="1:4" ht="19.95" customHeight="1" x14ac:dyDescent="0.25">
      <c r="A178" s="11" t="s">
        <v>2</v>
      </c>
      <c r="B178" s="12" t="s">
        <v>14</v>
      </c>
      <c r="C178" s="12"/>
      <c r="D178" s="12">
        <v>1966</v>
      </c>
    </row>
    <row r="179" spans="1:4" ht="19.95" customHeight="1" x14ac:dyDescent="0.25">
      <c r="A179" s="11" t="s">
        <v>18</v>
      </c>
      <c r="B179" s="12" t="s">
        <v>14</v>
      </c>
      <c r="C179" s="12"/>
      <c r="D179" s="12">
        <v>1966</v>
      </c>
    </row>
    <row r="180" spans="1:4" ht="19.95" customHeight="1" x14ac:dyDescent="0.25">
      <c r="A180" s="11" t="s">
        <v>19</v>
      </c>
      <c r="B180" s="12" t="s">
        <v>14</v>
      </c>
      <c r="C180" s="12"/>
      <c r="D180" s="12">
        <v>1966</v>
      </c>
    </row>
    <row r="181" spans="1:4" ht="19.95" customHeight="1" x14ac:dyDescent="0.25">
      <c r="A181" s="11" t="s">
        <v>20</v>
      </c>
      <c r="B181" s="12" t="s">
        <v>14</v>
      </c>
      <c r="C181" s="12"/>
      <c r="D181" s="12">
        <v>1966</v>
      </c>
    </row>
    <row r="182" spans="1:4" ht="19.95" customHeight="1" x14ac:dyDescent="0.25">
      <c r="A182" s="11" t="s">
        <v>21</v>
      </c>
      <c r="B182" s="12" t="s">
        <v>14</v>
      </c>
      <c r="C182" s="12"/>
      <c r="D182" s="12">
        <v>1966</v>
      </c>
    </row>
    <row r="183" spans="1:4" ht="19.95" customHeight="1" x14ac:dyDescent="0.25">
      <c r="A183" s="11" t="s">
        <v>22</v>
      </c>
      <c r="B183" s="12" t="s">
        <v>14</v>
      </c>
      <c r="C183" s="12"/>
      <c r="D183" s="12">
        <v>1966</v>
      </c>
    </row>
    <row r="184" spans="1:4" ht="19.95" customHeight="1" x14ac:dyDescent="0.25">
      <c r="A184" s="11" t="s">
        <v>23</v>
      </c>
      <c r="B184" s="12" t="s">
        <v>14</v>
      </c>
      <c r="C184" s="12"/>
      <c r="D184" s="12">
        <v>1966</v>
      </c>
    </row>
    <row r="185" spans="1:4" ht="19.95" customHeight="1" x14ac:dyDescent="0.25">
      <c r="A185" s="11" t="s">
        <v>24</v>
      </c>
      <c r="B185" s="12" t="s">
        <v>14</v>
      </c>
      <c r="C185" s="12"/>
      <c r="D185" s="12">
        <v>1966</v>
      </c>
    </row>
    <row r="186" spans="1:4" ht="19.95" customHeight="1" x14ac:dyDescent="0.25">
      <c r="A186" s="11" t="s">
        <v>25</v>
      </c>
      <c r="B186" s="12" t="s">
        <v>14</v>
      </c>
      <c r="C186" s="12"/>
      <c r="D186" s="12">
        <v>1966</v>
      </c>
    </row>
    <row r="187" spans="1:4" ht="19.95" customHeight="1" x14ac:dyDescent="0.25">
      <c r="A187" s="11" t="s">
        <v>26</v>
      </c>
      <c r="B187" s="12" t="s">
        <v>14</v>
      </c>
      <c r="C187" s="12"/>
      <c r="D187" s="12">
        <v>1966</v>
      </c>
    </row>
    <row r="188" spans="1:4" ht="19.95" customHeight="1" x14ac:dyDescent="0.25">
      <c r="A188" s="11" t="s">
        <v>27</v>
      </c>
      <c r="B188" s="12" t="s">
        <v>14</v>
      </c>
      <c r="C188" s="12"/>
      <c r="D188" s="12">
        <v>1966</v>
      </c>
    </row>
    <row r="189" spans="1:4" ht="19.95" customHeight="1" x14ac:dyDescent="0.25">
      <c r="A189" s="11" t="s">
        <v>29</v>
      </c>
      <c r="B189" s="12" t="s">
        <v>14</v>
      </c>
      <c r="C189" s="12"/>
      <c r="D189" s="12">
        <v>1966</v>
      </c>
    </row>
    <row r="190" spans="1:4" ht="19.95" customHeight="1" x14ac:dyDescent="0.25">
      <c r="A190" s="11" t="s">
        <v>30</v>
      </c>
      <c r="B190" s="12" t="s">
        <v>14</v>
      </c>
      <c r="C190" s="12"/>
      <c r="D190" s="12">
        <v>1966</v>
      </c>
    </row>
    <row r="191" spans="1:4" ht="19.95" customHeight="1" x14ac:dyDescent="0.25">
      <c r="A191" s="11" t="s">
        <v>31</v>
      </c>
      <c r="B191" s="12" t="s">
        <v>14</v>
      </c>
      <c r="C191" s="12"/>
      <c r="D191" s="12">
        <v>1966</v>
      </c>
    </row>
    <row r="192" spans="1:4" ht="19.95" customHeight="1" x14ac:dyDescent="0.25">
      <c r="A192" s="11" t="s">
        <v>32</v>
      </c>
      <c r="B192" s="12" t="s">
        <v>14</v>
      </c>
      <c r="C192" s="12"/>
      <c r="D192" s="12">
        <v>1966</v>
      </c>
    </row>
    <row r="193" spans="1:4" ht="19.95" customHeight="1" x14ac:dyDescent="0.25">
      <c r="A193" s="11" t="s">
        <v>33</v>
      </c>
      <c r="B193" s="12" t="s">
        <v>14</v>
      </c>
      <c r="C193" s="12"/>
      <c r="D193" s="12">
        <v>1966</v>
      </c>
    </row>
    <row r="194" spans="1:4" ht="19.95" customHeight="1" x14ac:dyDescent="0.25">
      <c r="A194" s="11" t="s">
        <v>34</v>
      </c>
      <c r="B194" s="12" t="s">
        <v>14</v>
      </c>
      <c r="C194" s="12"/>
      <c r="D194" s="12">
        <v>1966</v>
      </c>
    </row>
    <row r="195" spans="1:4" ht="19.95" customHeight="1" x14ac:dyDescent="0.25">
      <c r="A195" s="11" t="s">
        <v>35</v>
      </c>
      <c r="B195" s="12" t="s">
        <v>14</v>
      </c>
      <c r="C195" s="12"/>
      <c r="D195" s="12">
        <v>1966</v>
      </c>
    </row>
    <row r="196" spans="1:4" ht="19.95" customHeight="1" x14ac:dyDescent="0.25">
      <c r="A196" s="11" t="s">
        <v>36</v>
      </c>
      <c r="B196" s="12" t="s">
        <v>14</v>
      </c>
      <c r="C196" s="12"/>
      <c r="D196" s="12">
        <v>1966</v>
      </c>
    </row>
    <row r="197" spans="1:4" ht="19.95" customHeight="1" x14ac:dyDescent="0.25">
      <c r="A197" s="11" t="s">
        <v>37</v>
      </c>
      <c r="B197" s="12" t="s">
        <v>14</v>
      </c>
      <c r="C197" s="12"/>
      <c r="D197" s="12">
        <v>1966</v>
      </c>
    </row>
    <row r="198" spans="1:4" ht="19.95" customHeight="1" x14ac:dyDescent="0.25">
      <c r="A198" s="11" t="s">
        <v>38</v>
      </c>
      <c r="B198" s="12" t="s">
        <v>14</v>
      </c>
      <c r="C198" s="12"/>
      <c r="D198" s="12">
        <v>1966</v>
      </c>
    </row>
    <row r="199" spans="1:4" ht="19.95" customHeight="1" x14ac:dyDescent="0.25">
      <c r="A199" s="11" t="s">
        <v>39</v>
      </c>
      <c r="B199" s="12" t="s">
        <v>14</v>
      </c>
      <c r="C199" s="12"/>
      <c r="D199" s="12">
        <v>1966</v>
      </c>
    </row>
    <row r="200" spans="1:4" ht="19.95" customHeight="1" x14ac:dyDescent="0.25">
      <c r="A200" s="11" t="s">
        <v>40</v>
      </c>
      <c r="B200" s="12" t="s">
        <v>14</v>
      </c>
      <c r="C200" s="12"/>
      <c r="D200" s="12">
        <v>1966</v>
      </c>
    </row>
    <row r="201" spans="1:4" ht="19.95" customHeight="1" x14ac:dyDescent="0.25">
      <c r="A201" s="11" t="s">
        <v>10</v>
      </c>
      <c r="B201" s="12" t="s">
        <v>14</v>
      </c>
      <c r="C201" s="12"/>
      <c r="D201" s="12">
        <v>1967</v>
      </c>
    </row>
    <row r="202" spans="1:4" ht="19.95" customHeight="1" x14ac:dyDescent="0.25">
      <c r="A202" s="11" t="s">
        <v>13</v>
      </c>
      <c r="B202" s="12" t="s">
        <v>14</v>
      </c>
      <c r="C202" s="12"/>
      <c r="D202" s="12">
        <v>1967</v>
      </c>
    </row>
    <row r="203" spans="1:4" ht="19.95" customHeight="1" x14ac:dyDescent="0.25">
      <c r="A203" s="11" t="s">
        <v>15</v>
      </c>
      <c r="B203" s="12" t="s">
        <v>14</v>
      </c>
      <c r="C203" s="12"/>
      <c r="D203" s="12">
        <v>1967</v>
      </c>
    </row>
    <row r="204" spans="1:4" ht="19.95" customHeight="1" x14ac:dyDescent="0.25">
      <c r="A204" s="11" t="s">
        <v>16</v>
      </c>
      <c r="B204" s="12" t="s">
        <v>14</v>
      </c>
      <c r="C204" s="12"/>
      <c r="D204" s="12">
        <v>1967</v>
      </c>
    </row>
    <row r="205" spans="1:4" ht="19.95" customHeight="1" x14ac:dyDescent="0.25">
      <c r="A205" s="11" t="s">
        <v>17</v>
      </c>
      <c r="B205" s="12" t="s">
        <v>14</v>
      </c>
      <c r="C205" s="12"/>
      <c r="D205" s="12">
        <v>1967</v>
      </c>
    </row>
    <row r="206" spans="1:4" ht="19.95" customHeight="1" x14ac:dyDescent="0.25">
      <c r="A206" s="11" t="s">
        <v>2</v>
      </c>
      <c r="B206" s="12" t="s">
        <v>14</v>
      </c>
      <c r="C206" s="12"/>
      <c r="D206" s="12">
        <v>1967</v>
      </c>
    </row>
    <row r="207" spans="1:4" ht="19.95" customHeight="1" x14ac:dyDescent="0.25">
      <c r="A207" s="11" t="s">
        <v>18</v>
      </c>
      <c r="B207" s="12" t="s">
        <v>14</v>
      </c>
      <c r="C207" s="12"/>
      <c r="D207" s="12">
        <v>1967</v>
      </c>
    </row>
    <row r="208" spans="1:4" ht="19.95" customHeight="1" x14ac:dyDescent="0.25">
      <c r="A208" s="11" t="s">
        <v>19</v>
      </c>
      <c r="B208" s="12" t="s">
        <v>14</v>
      </c>
      <c r="C208" s="12"/>
      <c r="D208" s="12">
        <v>1967</v>
      </c>
    </row>
    <row r="209" spans="1:4" ht="19.95" customHeight="1" x14ac:dyDescent="0.25">
      <c r="A209" s="11" t="s">
        <v>20</v>
      </c>
      <c r="B209" s="12" t="s">
        <v>14</v>
      </c>
      <c r="C209" s="12"/>
      <c r="D209" s="12">
        <v>1967</v>
      </c>
    </row>
    <row r="210" spans="1:4" ht="19.95" customHeight="1" x14ac:dyDescent="0.25">
      <c r="A210" s="11" t="s">
        <v>21</v>
      </c>
      <c r="B210" s="12" t="s">
        <v>14</v>
      </c>
      <c r="C210" s="12"/>
      <c r="D210" s="12">
        <v>1967</v>
      </c>
    </row>
    <row r="211" spans="1:4" ht="19.95" customHeight="1" x14ac:dyDescent="0.25">
      <c r="A211" s="11" t="s">
        <v>22</v>
      </c>
      <c r="B211" s="12" t="s">
        <v>14</v>
      </c>
      <c r="C211" s="12"/>
      <c r="D211" s="12">
        <v>1967</v>
      </c>
    </row>
    <row r="212" spans="1:4" ht="19.95" customHeight="1" x14ac:dyDescent="0.25">
      <c r="A212" s="11" t="s">
        <v>23</v>
      </c>
      <c r="B212" s="12" t="s">
        <v>14</v>
      </c>
      <c r="C212" s="12"/>
      <c r="D212" s="12">
        <v>1967</v>
      </c>
    </row>
    <row r="213" spans="1:4" ht="19.95" customHeight="1" x14ac:dyDescent="0.25">
      <c r="A213" s="11" t="s">
        <v>24</v>
      </c>
      <c r="B213" s="12" t="s">
        <v>14</v>
      </c>
      <c r="C213" s="12"/>
      <c r="D213" s="12">
        <v>1967</v>
      </c>
    </row>
    <row r="214" spans="1:4" ht="19.95" customHeight="1" x14ac:dyDescent="0.25">
      <c r="A214" s="11" t="s">
        <v>25</v>
      </c>
      <c r="B214" s="12" t="s">
        <v>14</v>
      </c>
      <c r="C214" s="12"/>
      <c r="D214" s="12">
        <v>1967</v>
      </c>
    </row>
    <row r="215" spans="1:4" ht="19.95" customHeight="1" x14ac:dyDescent="0.25">
      <c r="A215" s="11" t="s">
        <v>26</v>
      </c>
      <c r="B215" s="12" t="s">
        <v>14</v>
      </c>
      <c r="C215" s="12"/>
      <c r="D215" s="12">
        <v>1967</v>
      </c>
    </row>
    <row r="216" spans="1:4" ht="19.95" customHeight="1" x14ac:dyDescent="0.25">
      <c r="A216" s="11" t="s">
        <v>27</v>
      </c>
      <c r="B216" s="12" t="s">
        <v>14</v>
      </c>
      <c r="C216" s="12"/>
      <c r="D216" s="12">
        <v>1967</v>
      </c>
    </row>
    <row r="217" spans="1:4" ht="19.95" customHeight="1" x14ac:dyDescent="0.25">
      <c r="A217" s="11" t="s">
        <v>29</v>
      </c>
      <c r="B217" s="12" t="s">
        <v>14</v>
      </c>
      <c r="C217" s="12"/>
      <c r="D217" s="12">
        <v>1967</v>
      </c>
    </row>
    <row r="218" spans="1:4" ht="19.95" customHeight="1" x14ac:dyDescent="0.25">
      <c r="A218" s="11" t="s">
        <v>30</v>
      </c>
      <c r="B218" s="12" t="s">
        <v>14</v>
      </c>
      <c r="C218" s="12"/>
      <c r="D218" s="12">
        <v>1967</v>
      </c>
    </row>
    <row r="219" spans="1:4" ht="19.95" customHeight="1" x14ac:dyDescent="0.25">
      <c r="A219" s="11" t="s">
        <v>31</v>
      </c>
      <c r="B219" s="12" t="s">
        <v>14</v>
      </c>
      <c r="C219" s="12"/>
      <c r="D219" s="12">
        <v>1967</v>
      </c>
    </row>
    <row r="220" spans="1:4" ht="19.95" customHeight="1" x14ac:dyDescent="0.25">
      <c r="A220" s="11" t="s">
        <v>32</v>
      </c>
      <c r="B220" s="12" t="s">
        <v>14</v>
      </c>
      <c r="C220" s="12"/>
      <c r="D220" s="12">
        <v>1967</v>
      </c>
    </row>
    <row r="221" spans="1:4" ht="19.95" customHeight="1" x14ac:dyDescent="0.25">
      <c r="A221" s="11" t="s">
        <v>33</v>
      </c>
      <c r="B221" s="12" t="s">
        <v>14</v>
      </c>
      <c r="C221" s="12"/>
      <c r="D221" s="12">
        <v>1967</v>
      </c>
    </row>
    <row r="222" spans="1:4" ht="19.95" customHeight="1" x14ac:dyDescent="0.25">
      <c r="A222" s="11" t="s">
        <v>34</v>
      </c>
      <c r="B222" s="12" t="s">
        <v>14</v>
      </c>
      <c r="C222" s="12"/>
      <c r="D222" s="12">
        <v>1967</v>
      </c>
    </row>
    <row r="223" spans="1:4" ht="19.95" customHeight="1" x14ac:dyDescent="0.25">
      <c r="A223" s="11" t="s">
        <v>35</v>
      </c>
      <c r="B223" s="12" t="s">
        <v>14</v>
      </c>
      <c r="C223" s="12"/>
      <c r="D223" s="12">
        <v>1967</v>
      </c>
    </row>
    <row r="224" spans="1:4" ht="19.95" customHeight="1" x14ac:dyDescent="0.25">
      <c r="A224" s="11" t="s">
        <v>36</v>
      </c>
      <c r="B224" s="12" t="s">
        <v>14</v>
      </c>
      <c r="C224" s="12"/>
      <c r="D224" s="12">
        <v>1967</v>
      </c>
    </row>
    <row r="225" spans="1:4" ht="19.95" customHeight="1" x14ac:dyDescent="0.25">
      <c r="A225" s="11" t="s">
        <v>37</v>
      </c>
      <c r="B225" s="12" t="s">
        <v>14</v>
      </c>
      <c r="C225" s="12"/>
      <c r="D225" s="12">
        <v>1967</v>
      </c>
    </row>
    <row r="226" spans="1:4" ht="19.95" customHeight="1" x14ac:dyDescent="0.25">
      <c r="A226" s="11" t="s">
        <v>38</v>
      </c>
      <c r="B226" s="12" t="s">
        <v>14</v>
      </c>
      <c r="C226" s="12"/>
      <c r="D226" s="12">
        <v>1967</v>
      </c>
    </row>
    <row r="227" spans="1:4" ht="19.95" customHeight="1" x14ac:dyDescent="0.25">
      <c r="A227" s="11" t="s">
        <v>39</v>
      </c>
      <c r="B227" s="12" t="s">
        <v>14</v>
      </c>
      <c r="C227" s="12"/>
      <c r="D227" s="12">
        <v>1967</v>
      </c>
    </row>
    <row r="228" spans="1:4" ht="19.95" customHeight="1" x14ac:dyDescent="0.25">
      <c r="A228" s="11" t="s">
        <v>40</v>
      </c>
      <c r="B228" s="12" t="s">
        <v>14</v>
      </c>
      <c r="C228" s="12"/>
      <c r="D228" s="12">
        <v>1967</v>
      </c>
    </row>
    <row r="229" spans="1:4" ht="19.95" customHeight="1" x14ac:dyDescent="0.25">
      <c r="A229" s="11" t="s">
        <v>10</v>
      </c>
      <c r="B229" s="12" t="s">
        <v>14</v>
      </c>
      <c r="C229" s="12"/>
      <c r="D229" s="12">
        <v>1968</v>
      </c>
    </row>
    <row r="230" spans="1:4" ht="19.95" customHeight="1" x14ac:dyDescent="0.25">
      <c r="A230" s="11" t="s">
        <v>13</v>
      </c>
      <c r="B230" s="12" t="s">
        <v>14</v>
      </c>
      <c r="C230" s="12"/>
      <c r="D230" s="12">
        <v>1968</v>
      </c>
    </row>
    <row r="231" spans="1:4" ht="19.95" customHeight="1" x14ac:dyDescent="0.25">
      <c r="A231" s="11" t="s">
        <v>15</v>
      </c>
      <c r="B231" s="12" t="s">
        <v>14</v>
      </c>
      <c r="C231" s="12"/>
      <c r="D231" s="12">
        <v>1968</v>
      </c>
    </row>
    <row r="232" spans="1:4" ht="19.95" customHeight="1" x14ac:dyDescent="0.25">
      <c r="A232" s="11" t="s">
        <v>16</v>
      </c>
      <c r="B232" s="12" t="s">
        <v>14</v>
      </c>
      <c r="C232" s="12"/>
      <c r="D232" s="12">
        <v>1968</v>
      </c>
    </row>
    <row r="233" spans="1:4" ht="19.95" customHeight="1" x14ac:dyDescent="0.25">
      <c r="A233" s="11" t="s">
        <v>17</v>
      </c>
      <c r="B233" s="12" t="s">
        <v>14</v>
      </c>
      <c r="C233" s="12"/>
      <c r="D233" s="12">
        <v>1968</v>
      </c>
    </row>
    <row r="234" spans="1:4" ht="19.95" customHeight="1" x14ac:dyDescent="0.25">
      <c r="A234" s="11" t="s">
        <v>2</v>
      </c>
      <c r="B234" s="12" t="s">
        <v>14</v>
      </c>
      <c r="C234" s="12"/>
      <c r="D234" s="12">
        <v>1968</v>
      </c>
    </row>
    <row r="235" spans="1:4" ht="19.95" customHeight="1" x14ac:dyDescent="0.25">
      <c r="A235" s="11" t="s">
        <v>18</v>
      </c>
      <c r="B235" s="12" t="s">
        <v>14</v>
      </c>
      <c r="C235" s="12"/>
      <c r="D235" s="12">
        <v>1968</v>
      </c>
    </row>
    <row r="236" spans="1:4" ht="19.95" customHeight="1" x14ac:dyDescent="0.25">
      <c r="A236" s="11" t="s">
        <v>19</v>
      </c>
      <c r="B236" s="12" t="s">
        <v>14</v>
      </c>
      <c r="C236" s="12"/>
      <c r="D236" s="12">
        <v>1968</v>
      </c>
    </row>
    <row r="237" spans="1:4" ht="19.95" customHeight="1" x14ac:dyDescent="0.25">
      <c r="A237" s="11" t="s">
        <v>20</v>
      </c>
      <c r="B237" s="12" t="s">
        <v>14</v>
      </c>
      <c r="C237" s="12"/>
      <c r="D237" s="12">
        <v>1968</v>
      </c>
    </row>
    <row r="238" spans="1:4" ht="19.95" customHeight="1" x14ac:dyDescent="0.25">
      <c r="A238" s="11" t="s">
        <v>21</v>
      </c>
      <c r="B238" s="12" t="s">
        <v>14</v>
      </c>
      <c r="C238" s="12"/>
      <c r="D238" s="12">
        <v>1968</v>
      </c>
    </row>
    <row r="239" spans="1:4" ht="19.95" customHeight="1" x14ac:dyDescent="0.25">
      <c r="A239" s="11" t="s">
        <v>22</v>
      </c>
      <c r="B239" s="12" t="s">
        <v>14</v>
      </c>
      <c r="C239" s="12"/>
      <c r="D239" s="12">
        <v>1968</v>
      </c>
    </row>
    <row r="240" spans="1:4" ht="19.95" customHeight="1" x14ac:dyDescent="0.25">
      <c r="A240" s="11" t="s">
        <v>23</v>
      </c>
      <c r="B240" s="12" t="s">
        <v>14</v>
      </c>
      <c r="C240" s="12"/>
      <c r="D240" s="12">
        <v>1968</v>
      </c>
    </row>
    <row r="241" spans="1:4" ht="19.95" customHeight="1" x14ac:dyDescent="0.25">
      <c r="A241" s="11" t="s">
        <v>24</v>
      </c>
      <c r="B241" s="12" t="s">
        <v>14</v>
      </c>
      <c r="C241" s="12"/>
      <c r="D241" s="12">
        <v>1968</v>
      </c>
    </row>
    <row r="242" spans="1:4" ht="19.95" customHeight="1" x14ac:dyDescent="0.25">
      <c r="A242" s="11" t="s">
        <v>25</v>
      </c>
      <c r="B242" s="12" t="s">
        <v>14</v>
      </c>
      <c r="C242" s="12"/>
      <c r="D242" s="12">
        <v>1968</v>
      </c>
    </row>
    <row r="243" spans="1:4" ht="19.95" customHeight="1" x14ac:dyDescent="0.25">
      <c r="A243" s="11" t="s">
        <v>26</v>
      </c>
      <c r="B243" s="12" t="s">
        <v>14</v>
      </c>
      <c r="C243" s="12"/>
      <c r="D243" s="12">
        <v>1968</v>
      </c>
    </row>
    <row r="244" spans="1:4" ht="19.95" customHeight="1" x14ac:dyDescent="0.25">
      <c r="A244" s="11" t="s">
        <v>27</v>
      </c>
      <c r="B244" s="12" t="s">
        <v>14</v>
      </c>
      <c r="C244" s="12"/>
      <c r="D244" s="12">
        <v>1968</v>
      </c>
    </row>
    <row r="245" spans="1:4" ht="19.95" customHeight="1" x14ac:dyDescent="0.25">
      <c r="A245" s="11" t="s">
        <v>29</v>
      </c>
      <c r="B245" s="12" t="s">
        <v>14</v>
      </c>
      <c r="C245" s="12"/>
      <c r="D245" s="12">
        <v>1968</v>
      </c>
    </row>
    <row r="246" spans="1:4" ht="19.95" customHeight="1" x14ac:dyDescent="0.25">
      <c r="A246" s="11" t="s">
        <v>30</v>
      </c>
      <c r="B246" s="12" t="s">
        <v>14</v>
      </c>
      <c r="C246" s="12"/>
      <c r="D246" s="12">
        <v>1968</v>
      </c>
    </row>
    <row r="247" spans="1:4" ht="19.95" customHeight="1" x14ac:dyDescent="0.25">
      <c r="A247" s="11" t="s">
        <v>31</v>
      </c>
      <c r="B247" s="12" t="s">
        <v>14</v>
      </c>
      <c r="C247" s="12"/>
      <c r="D247" s="12">
        <v>1968</v>
      </c>
    </row>
    <row r="248" spans="1:4" ht="19.95" customHeight="1" x14ac:dyDescent="0.25">
      <c r="A248" s="11" t="s">
        <v>32</v>
      </c>
      <c r="B248" s="12" t="s">
        <v>14</v>
      </c>
      <c r="C248" s="12"/>
      <c r="D248" s="12">
        <v>1968</v>
      </c>
    </row>
    <row r="249" spans="1:4" ht="19.95" customHeight="1" x14ac:dyDescent="0.25">
      <c r="A249" s="11" t="s">
        <v>33</v>
      </c>
      <c r="B249" s="12" t="s">
        <v>14</v>
      </c>
      <c r="C249" s="12"/>
      <c r="D249" s="12">
        <v>1968</v>
      </c>
    </row>
    <row r="250" spans="1:4" ht="19.95" customHeight="1" x14ac:dyDescent="0.25">
      <c r="A250" s="11" t="s">
        <v>34</v>
      </c>
      <c r="B250" s="12" t="s">
        <v>14</v>
      </c>
      <c r="C250" s="12"/>
      <c r="D250" s="12">
        <v>1968</v>
      </c>
    </row>
    <row r="251" spans="1:4" ht="19.95" customHeight="1" x14ac:dyDescent="0.25">
      <c r="A251" s="11" t="s">
        <v>35</v>
      </c>
      <c r="B251" s="12" t="s">
        <v>14</v>
      </c>
      <c r="C251" s="12"/>
      <c r="D251" s="12">
        <v>1968</v>
      </c>
    </row>
    <row r="252" spans="1:4" ht="19.95" customHeight="1" x14ac:dyDescent="0.25">
      <c r="A252" s="11" t="s">
        <v>36</v>
      </c>
      <c r="B252" s="12" t="s">
        <v>14</v>
      </c>
      <c r="C252" s="12"/>
      <c r="D252" s="12">
        <v>1968</v>
      </c>
    </row>
    <row r="253" spans="1:4" ht="19.95" customHeight="1" x14ac:dyDescent="0.25">
      <c r="A253" s="11" t="s">
        <v>37</v>
      </c>
      <c r="B253" s="12" t="s">
        <v>14</v>
      </c>
      <c r="C253" s="12"/>
      <c r="D253" s="12">
        <v>1968</v>
      </c>
    </row>
    <row r="254" spans="1:4" ht="19.95" customHeight="1" x14ac:dyDescent="0.25">
      <c r="A254" s="11" t="s">
        <v>38</v>
      </c>
      <c r="B254" s="12" t="s">
        <v>14</v>
      </c>
      <c r="C254" s="12"/>
      <c r="D254" s="12">
        <v>1968</v>
      </c>
    </row>
    <row r="255" spans="1:4" ht="19.95" customHeight="1" x14ac:dyDescent="0.25">
      <c r="A255" s="11" t="s">
        <v>39</v>
      </c>
      <c r="B255" s="12" t="s">
        <v>14</v>
      </c>
      <c r="C255" s="12"/>
      <c r="D255" s="12">
        <v>1968</v>
      </c>
    </row>
    <row r="256" spans="1:4" ht="19.95" customHeight="1" x14ac:dyDescent="0.25">
      <c r="A256" s="11" t="s">
        <v>40</v>
      </c>
      <c r="B256" s="12" t="s">
        <v>14</v>
      </c>
      <c r="C256" s="12"/>
      <c r="D256" s="12">
        <v>1968</v>
      </c>
    </row>
    <row r="257" spans="1:4" ht="19.95" customHeight="1" x14ac:dyDescent="0.25">
      <c r="A257" s="11" t="s">
        <v>10</v>
      </c>
      <c r="B257" s="12" t="s">
        <v>14</v>
      </c>
      <c r="C257" s="12"/>
      <c r="D257" s="12">
        <v>1969</v>
      </c>
    </row>
    <row r="258" spans="1:4" ht="19.95" customHeight="1" x14ac:dyDescent="0.25">
      <c r="A258" s="11" t="s">
        <v>13</v>
      </c>
      <c r="B258" s="12" t="s">
        <v>14</v>
      </c>
      <c r="C258" s="12"/>
      <c r="D258" s="12">
        <v>1969</v>
      </c>
    </row>
    <row r="259" spans="1:4" ht="19.95" customHeight="1" x14ac:dyDescent="0.25">
      <c r="A259" s="11" t="s">
        <v>15</v>
      </c>
      <c r="B259" s="12" t="s">
        <v>14</v>
      </c>
      <c r="C259" s="12"/>
      <c r="D259" s="12">
        <v>1969</v>
      </c>
    </row>
    <row r="260" spans="1:4" ht="19.95" customHeight="1" x14ac:dyDescent="0.25">
      <c r="A260" s="11" t="s">
        <v>16</v>
      </c>
      <c r="B260" s="12" t="s">
        <v>14</v>
      </c>
      <c r="C260" s="12"/>
      <c r="D260" s="12">
        <v>1969</v>
      </c>
    </row>
    <row r="261" spans="1:4" ht="19.95" customHeight="1" x14ac:dyDescent="0.25">
      <c r="A261" s="11" t="s">
        <v>17</v>
      </c>
      <c r="B261" s="12" t="s">
        <v>14</v>
      </c>
      <c r="C261" s="12"/>
      <c r="D261" s="12">
        <v>1969</v>
      </c>
    </row>
    <row r="262" spans="1:4" ht="19.95" customHeight="1" x14ac:dyDescent="0.25">
      <c r="A262" s="11" t="s">
        <v>2</v>
      </c>
      <c r="B262" s="12" t="s">
        <v>14</v>
      </c>
      <c r="C262" s="12"/>
      <c r="D262" s="12">
        <v>1969</v>
      </c>
    </row>
    <row r="263" spans="1:4" ht="19.95" customHeight="1" x14ac:dyDescent="0.25">
      <c r="A263" s="11" t="s">
        <v>18</v>
      </c>
      <c r="B263" s="12" t="s">
        <v>14</v>
      </c>
      <c r="C263" s="12"/>
      <c r="D263" s="12">
        <v>1969</v>
      </c>
    </row>
    <row r="264" spans="1:4" ht="19.95" customHeight="1" x14ac:dyDescent="0.25">
      <c r="A264" s="11" t="s">
        <v>19</v>
      </c>
      <c r="B264" s="12" t="s">
        <v>14</v>
      </c>
      <c r="C264" s="12"/>
      <c r="D264" s="12">
        <v>1969</v>
      </c>
    </row>
    <row r="265" spans="1:4" ht="19.95" customHeight="1" x14ac:dyDescent="0.25">
      <c r="A265" s="11" t="s">
        <v>20</v>
      </c>
      <c r="B265" s="12" t="s">
        <v>14</v>
      </c>
      <c r="C265" s="12"/>
      <c r="D265" s="12">
        <v>1969</v>
      </c>
    </row>
    <row r="266" spans="1:4" ht="19.95" customHeight="1" x14ac:dyDescent="0.25">
      <c r="A266" s="11" t="s">
        <v>21</v>
      </c>
      <c r="B266" s="12" t="s">
        <v>14</v>
      </c>
      <c r="C266" s="12"/>
      <c r="D266" s="12">
        <v>1969</v>
      </c>
    </row>
    <row r="267" spans="1:4" ht="19.95" customHeight="1" x14ac:dyDescent="0.25">
      <c r="A267" s="11" t="s">
        <v>22</v>
      </c>
      <c r="B267" s="12" t="s">
        <v>14</v>
      </c>
      <c r="C267" s="12"/>
      <c r="D267" s="12">
        <v>1969</v>
      </c>
    </row>
    <row r="268" spans="1:4" ht="19.95" customHeight="1" x14ac:dyDescent="0.25">
      <c r="A268" s="11" t="s">
        <v>23</v>
      </c>
      <c r="B268" s="12" t="s">
        <v>14</v>
      </c>
      <c r="C268" s="12"/>
      <c r="D268" s="12">
        <v>1969</v>
      </c>
    </row>
    <row r="269" spans="1:4" ht="19.95" customHeight="1" x14ac:dyDescent="0.25">
      <c r="A269" s="11" t="s">
        <v>24</v>
      </c>
      <c r="B269" s="12" t="s">
        <v>14</v>
      </c>
      <c r="C269" s="12"/>
      <c r="D269" s="12">
        <v>1969</v>
      </c>
    </row>
    <row r="270" spans="1:4" ht="19.95" customHeight="1" x14ac:dyDescent="0.25">
      <c r="A270" s="11" t="s">
        <v>25</v>
      </c>
      <c r="B270" s="12" t="s">
        <v>14</v>
      </c>
      <c r="C270" s="12"/>
      <c r="D270" s="12">
        <v>1969</v>
      </c>
    </row>
    <row r="271" spans="1:4" ht="19.95" customHeight="1" x14ac:dyDescent="0.25">
      <c r="A271" s="11" t="s">
        <v>26</v>
      </c>
      <c r="B271" s="12" t="s">
        <v>14</v>
      </c>
      <c r="C271" s="12"/>
      <c r="D271" s="12">
        <v>1969</v>
      </c>
    </row>
    <row r="272" spans="1:4" ht="19.95" customHeight="1" x14ac:dyDescent="0.25">
      <c r="A272" s="11" t="s">
        <v>27</v>
      </c>
      <c r="B272" s="12" t="s">
        <v>14</v>
      </c>
      <c r="C272" s="12"/>
      <c r="D272" s="12">
        <v>1969</v>
      </c>
    </row>
    <row r="273" spans="1:4" ht="19.95" customHeight="1" x14ac:dyDescent="0.25">
      <c r="A273" s="11" t="s">
        <v>29</v>
      </c>
      <c r="B273" s="12" t="s">
        <v>14</v>
      </c>
      <c r="C273" s="12"/>
      <c r="D273" s="12">
        <v>1969</v>
      </c>
    </row>
    <row r="274" spans="1:4" ht="19.95" customHeight="1" x14ac:dyDescent="0.25">
      <c r="A274" s="11" t="s">
        <v>30</v>
      </c>
      <c r="B274" s="12" t="s">
        <v>14</v>
      </c>
      <c r="C274" s="12"/>
      <c r="D274" s="12">
        <v>1969</v>
      </c>
    </row>
    <row r="275" spans="1:4" ht="19.95" customHeight="1" x14ac:dyDescent="0.25">
      <c r="A275" s="11" t="s">
        <v>31</v>
      </c>
      <c r="B275" s="12" t="s">
        <v>14</v>
      </c>
      <c r="C275" s="12"/>
      <c r="D275" s="12">
        <v>1969</v>
      </c>
    </row>
    <row r="276" spans="1:4" ht="19.95" customHeight="1" x14ac:dyDescent="0.25">
      <c r="A276" s="11" t="s">
        <v>32</v>
      </c>
      <c r="B276" s="12" t="s">
        <v>14</v>
      </c>
      <c r="C276" s="12"/>
      <c r="D276" s="12">
        <v>1969</v>
      </c>
    </row>
    <row r="277" spans="1:4" ht="19.95" customHeight="1" x14ac:dyDescent="0.25">
      <c r="A277" s="11" t="s">
        <v>33</v>
      </c>
      <c r="B277" s="12" t="s">
        <v>14</v>
      </c>
      <c r="C277" s="12"/>
      <c r="D277" s="12">
        <v>1969</v>
      </c>
    </row>
    <row r="278" spans="1:4" ht="19.95" customHeight="1" x14ac:dyDescent="0.25">
      <c r="A278" s="11" t="s">
        <v>34</v>
      </c>
      <c r="B278" s="12" t="s">
        <v>14</v>
      </c>
      <c r="C278" s="12"/>
      <c r="D278" s="12">
        <v>1969</v>
      </c>
    </row>
    <row r="279" spans="1:4" ht="19.95" customHeight="1" x14ac:dyDescent="0.25">
      <c r="A279" s="11" t="s">
        <v>35</v>
      </c>
      <c r="B279" s="12" t="s">
        <v>14</v>
      </c>
      <c r="C279" s="12"/>
      <c r="D279" s="12">
        <v>1969</v>
      </c>
    </row>
    <row r="280" spans="1:4" ht="19.95" customHeight="1" x14ac:dyDescent="0.25">
      <c r="A280" s="11" t="s">
        <v>36</v>
      </c>
      <c r="B280" s="12" t="s">
        <v>14</v>
      </c>
      <c r="C280" s="12"/>
      <c r="D280" s="12">
        <v>1969</v>
      </c>
    </row>
    <row r="281" spans="1:4" ht="19.95" customHeight="1" x14ac:dyDescent="0.25">
      <c r="A281" s="11" t="s">
        <v>37</v>
      </c>
      <c r="B281" s="12" t="s">
        <v>14</v>
      </c>
      <c r="C281" s="12"/>
      <c r="D281" s="12">
        <v>1969</v>
      </c>
    </row>
    <row r="282" spans="1:4" ht="19.95" customHeight="1" x14ac:dyDescent="0.25">
      <c r="A282" s="11" t="s">
        <v>38</v>
      </c>
      <c r="B282" s="12" t="s">
        <v>14</v>
      </c>
      <c r="C282" s="12"/>
      <c r="D282" s="12">
        <v>1969</v>
      </c>
    </row>
    <row r="283" spans="1:4" ht="19.95" customHeight="1" x14ac:dyDescent="0.25">
      <c r="A283" s="11" t="s">
        <v>39</v>
      </c>
      <c r="B283" s="12" t="s">
        <v>14</v>
      </c>
      <c r="C283" s="12"/>
      <c r="D283" s="12">
        <v>1969</v>
      </c>
    </row>
    <row r="284" spans="1:4" ht="19.95" customHeight="1" x14ac:dyDescent="0.25">
      <c r="A284" s="11" t="s">
        <v>40</v>
      </c>
      <c r="B284" s="12" t="s">
        <v>14</v>
      </c>
      <c r="C284" s="12"/>
      <c r="D284" s="12">
        <v>1969</v>
      </c>
    </row>
    <row r="285" spans="1:4" ht="19.95" customHeight="1" x14ac:dyDescent="0.25">
      <c r="A285" s="11" t="s">
        <v>10</v>
      </c>
      <c r="B285" s="12" t="s">
        <v>14</v>
      </c>
      <c r="C285" s="12"/>
      <c r="D285" s="12">
        <v>1970</v>
      </c>
    </row>
    <row r="286" spans="1:4" ht="19.95" customHeight="1" x14ac:dyDescent="0.25">
      <c r="A286" s="11" t="s">
        <v>13</v>
      </c>
      <c r="B286" s="12" t="s">
        <v>14</v>
      </c>
      <c r="C286" s="12"/>
      <c r="D286" s="12">
        <v>1970</v>
      </c>
    </row>
    <row r="287" spans="1:4" ht="19.95" customHeight="1" x14ac:dyDescent="0.25">
      <c r="A287" s="11" t="s">
        <v>15</v>
      </c>
      <c r="B287" s="12" t="s">
        <v>14</v>
      </c>
      <c r="C287" s="12"/>
      <c r="D287" s="12">
        <v>1970</v>
      </c>
    </row>
    <row r="288" spans="1:4" ht="19.95" customHeight="1" x14ac:dyDescent="0.25">
      <c r="A288" s="11" t="s">
        <v>16</v>
      </c>
      <c r="B288" s="12" t="s">
        <v>14</v>
      </c>
      <c r="C288" s="12"/>
      <c r="D288" s="12">
        <v>1970</v>
      </c>
    </row>
    <row r="289" spans="1:4" ht="19.95" customHeight="1" x14ac:dyDescent="0.25">
      <c r="A289" s="11" t="s">
        <v>17</v>
      </c>
      <c r="B289" s="12" t="s">
        <v>14</v>
      </c>
      <c r="C289" s="12"/>
      <c r="D289" s="12">
        <v>1970</v>
      </c>
    </row>
    <row r="290" spans="1:4" ht="19.95" customHeight="1" x14ac:dyDescent="0.25">
      <c r="A290" s="11" t="s">
        <v>2</v>
      </c>
      <c r="B290" s="12" t="s">
        <v>14</v>
      </c>
      <c r="C290" s="12"/>
      <c r="D290" s="12">
        <v>1970</v>
      </c>
    </row>
    <row r="291" spans="1:4" ht="19.95" customHeight="1" x14ac:dyDescent="0.25">
      <c r="A291" s="11" t="s">
        <v>18</v>
      </c>
      <c r="B291" s="12" t="s">
        <v>14</v>
      </c>
      <c r="C291" s="12"/>
      <c r="D291" s="12">
        <v>1970</v>
      </c>
    </row>
    <row r="292" spans="1:4" ht="19.95" customHeight="1" x14ac:dyDescent="0.25">
      <c r="A292" s="11" t="s">
        <v>19</v>
      </c>
      <c r="B292" s="12" t="s">
        <v>14</v>
      </c>
      <c r="C292" s="12"/>
      <c r="D292" s="12">
        <v>1970</v>
      </c>
    </row>
    <row r="293" spans="1:4" ht="19.95" customHeight="1" x14ac:dyDescent="0.25">
      <c r="A293" s="11" t="s">
        <v>20</v>
      </c>
      <c r="B293" s="12" t="s">
        <v>14</v>
      </c>
      <c r="C293" s="12"/>
      <c r="D293" s="12">
        <v>1970</v>
      </c>
    </row>
    <row r="294" spans="1:4" ht="19.95" customHeight="1" x14ac:dyDescent="0.25">
      <c r="A294" s="11" t="s">
        <v>21</v>
      </c>
      <c r="B294" s="12" t="s">
        <v>14</v>
      </c>
      <c r="C294" s="12"/>
      <c r="D294" s="12">
        <v>1970</v>
      </c>
    </row>
    <row r="295" spans="1:4" ht="19.95" customHeight="1" x14ac:dyDescent="0.25">
      <c r="A295" s="11" t="s">
        <v>22</v>
      </c>
      <c r="B295" s="12" t="s">
        <v>14</v>
      </c>
      <c r="C295" s="12"/>
      <c r="D295" s="12">
        <v>1970</v>
      </c>
    </row>
    <row r="296" spans="1:4" ht="19.95" customHeight="1" x14ac:dyDescent="0.25">
      <c r="A296" s="11" t="s">
        <v>23</v>
      </c>
      <c r="B296" s="12" t="s">
        <v>14</v>
      </c>
      <c r="C296" s="12"/>
      <c r="D296" s="12">
        <v>1970</v>
      </c>
    </row>
    <row r="297" spans="1:4" ht="19.95" customHeight="1" x14ac:dyDescent="0.25">
      <c r="A297" s="11" t="s">
        <v>24</v>
      </c>
      <c r="B297" s="12" t="s">
        <v>14</v>
      </c>
      <c r="C297" s="12"/>
      <c r="D297" s="12">
        <v>1970</v>
      </c>
    </row>
    <row r="298" spans="1:4" ht="19.95" customHeight="1" x14ac:dyDescent="0.25">
      <c r="A298" s="11" t="s">
        <v>25</v>
      </c>
      <c r="B298" s="12" t="s">
        <v>14</v>
      </c>
      <c r="C298" s="12"/>
      <c r="D298" s="12">
        <v>1970</v>
      </c>
    </row>
    <row r="299" spans="1:4" ht="19.95" customHeight="1" x14ac:dyDescent="0.25">
      <c r="A299" s="11" t="s">
        <v>26</v>
      </c>
      <c r="B299" s="12" t="s">
        <v>14</v>
      </c>
      <c r="C299" s="12"/>
      <c r="D299" s="12">
        <v>1970</v>
      </c>
    </row>
    <row r="300" spans="1:4" ht="19.95" customHeight="1" x14ac:dyDescent="0.25">
      <c r="A300" s="11" t="s">
        <v>27</v>
      </c>
      <c r="B300" s="12" t="s">
        <v>14</v>
      </c>
      <c r="C300" s="12"/>
      <c r="D300" s="12">
        <v>1970</v>
      </c>
    </row>
    <row r="301" spans="1:4" ht="19.95" customHeight="1" x14ac:dyDescent="0.25">
      <c r="A301" s="11" t="s">
        <v>29</v>
      </c>
      <c r="B301" s="12" t="s">
        <v>14</v>
      </c>
      <c r="C301" s="12"/>
      <c r="D301" s="12">
        <v>1970</v>
      </c>
    </row>
    <row r="302" spans="1:4" ht="19.95" customHeight="1" x14ac:dyDescent="0.25">
      <c r="A302" s="11" t="s">
        <v>30</v>
      </c>
      <c r="B302" s="12" t="s">
        <v>14</v>
      </c>
      <c r="C302" s="12"/>
      <c r="D302" s="12">
        <v>1970</v>
      </c>
    </row>
    <row r="303" spans="1:4" ht="19.95" customHeight="1" x14ac:dyDescent="0.25">
      <c r="A303" s="11" t="s">
        <v>31</v>
      </c>
      <c r="B303" s="12" t="s">
        <v>14</v>
      </c>
      <c r="C303" s="12"/>
      <c r="D303" s="12">
        <v>1970</v>
      </c>
    </row>
    <row r="304" spans="1:4" ht="19.95" customHeight="1" x14ac:dyDescent="0.25">
      <c r="A304" s="11" t="s">
        <v>32</v>
      </c>
      <c r="B304" s="12" t="s">
        <v>14</v>
      </c>
      <c r="C304" s="12"/>
      <c r="D304" s="12">
        <v>1970</v>
      </c>
    </row>
    <row r="305" spans="1:4" ht="19.95" customHeight="1" x14ac:dyDescent="0.25">
      <c r="A305" s="11" t="s">
        <v>33</v>
      </c>
      <c r="B305" s="12" t="s">
        <v>14</v>
      </c>
      <c r="C305" s="12"/>
      <c r="D305" s="12">
        <v>1970</v>
      </c>
    </row>
    <row r="306" spans="1:4" ht="19.95" customHeight="1" x14ac:dyDescent="0.25">
      <c r="A306" s="11" t="s">
        <v>34</v>
      </c>
      <c r="B306" s="12" t="s">
        <v>14</v>
      </c>
      <c r="C306" s="12"/>
      <c r="D306" s="12">
        <v>1970</v>
      </c>
    </row>
    <row r="307" spans="1:4" ht="19.95" customHeight="1" x14ac:dyDescent="0.25">
      <c r="A307" s="11" t="s">
        <v>35</v>
      </c>
      <c r="B307" s="12" t="s">
        <v>14</v>
      </c>
      <c r="C307" s="12"/>
      <c r="D307" s="12">
        <v>1970</v>
      </c>
    </row>
    <row r="308" spans="1:4" ht="19.95" customHeight="1" x14ac:dyDescent="0.25">
      <c r="A308" s="11" t="s">
        <v>36</v>
      </c>
      <c r="B308" s="12" t="s">
        <v>14</v>
      </c>
      <c r="C308" s="12"/>
      <c r="D308" s="12">
        <v>1970</v>
      </c>
    </row>
    <row r="309" spans="1:4" ht="19.95" customHeight="1" x14ac:dyDescent="0.25">
      <c r="A309" s="11" t="s">
        <v>37</v>
      </c>
      <c r="B309" s="12" t="s">
        <v>14</v>
      </c>
      <c r="C309" s="12"/>
      <c r="D309" s="12">
        <v>1970</v>
      </c>
    </row>
    <row r="310" spans="1:4" ht="19.95" customHeight="1" x14ac:dyDescent="0.25">
      <c r="A310" s="11" t="s">
        <v>38</v>
      </c>
      <c r="B310" s="12" t="s">
        <v>14</v>
      </c>
      <c r="C310" s="12"/>
      <c r="D310" s="12">
        <v>1970</v>
      </c>
    </row>
    <row r="311" spans="1:4" ht="19.95" customHeight="1" x14ac:dyDescent="0.25">
      <c r="A311" s="11" t="s">
        <v>39</v>
      </c>
      <c r="B311" s="12" t="s">
        <v>14</v>
      </c>
      <c r="C311" s="12"/>
      <c r="D311" s="12">
        <v>1970</v>
      </c>
    </row>
    <row r="312" spans="1:4" ht="19.95" customHeight="1" x14ac:dyDescent="0.25">
      <c r="A312" s="11" t="s">
        <v>40</v>
      </c>
      <c r="B312" s="12" t="s">
        <v>14</v>
      </c>
      <c r="C312" s="12"/>
      <c r="D312" s="12">
        <v>1970</v>
      </c>
    </row>
    <row r="313" spans="1:4" ht="19.95" customHeight="1" x14ac:dyDescent="0.25">
      <c r="A313" s="11" t="s">
        <v>10</v>
      </c>
      <c r="B313" s="12" t="s">
        <v>14</v>
      </c>
      <c r="C313" s="12"/>
      <c r="D313" s="12">
        <v>1971</v>
      </c>
    </row>
    <row r="314" spans="1:4" ht="19.95" customHeight="1" x14ac:dyDescent="0.25">
      <c r="A314" s="11" t="s">
        <v>13</v>
      </c>
      <c r="B314" s="12" t="s">
        <v>14</v>
      </c>
      <c r="C314" s="12"/>
      <c r="D314" s="12">
        <v>1971</v>
      </c>
    </row>
    <row r="315" spans="1:4" ht="19.95" customHeight="1" x14ac:dyDescent="0.25">
      <c r="A315" s="11" t="s">
        <v>15</v>
      </c>
      <c r="B315" s="12" t="s">
        <v>14</v>
      </c>
      <c r="C315" s="12"/>
      <c r="D315" s="12">
        <v>1971</v>
      </c>
    </row>
    <row r="316" spans="1:4" ht="19.95" customHeight="1" x14ac:dyDescent="0.25">
      <c r="A316" s="11" t="s">
        <v>16</v>
      </c>
      <c r="B316" s="12" t="s">
        <v>14</v>
      </c>
      <c r="C316" s="12"/>
      <c r="D316" s="12">
        <v>1971</v>
      </c>
    </row>
    <row r="317" spans="1:4" ht="19.95" customHeight="1" x14ac:dyDescent="0.25">
      <c r="A317" s="11" t="s">
        <v>17</v>
      </c>
      <c r="B317" s="12" t="s">
        <v>14</v>
      </c>
      <c r="C317" s="12"/>
      <c r="D317" s="12">
        <v>1971</v>
      </c>
    </row>
    <row r="318" spans="1:4" ht="19.95" customHeight="1" x14ac:dyDescent="0.25">
      <c r="A318" s="11" t="s">
        <v>2</v>
      </c>
      <c r="B318" s="12" t="s">
        <v>14</v>
      </c>
      <c r="C318" s="12"/>
      <c r="D318" s="12">
        <v>1971</v>
      </c>
    </row>
    <row r="319" spans="1:4" ht="19.95" customHeight="1" x14ac:dyDescent="0.25">
      <c r="A319" s="11" t="s">
        <v>18</v>
      </c>
      <c r="B319" s="12" t="s">
        <v>14</v>
      </c>
      <c r="C319" s="12"/>
      <c r="D319" s="12">
        <v>1971</v>
      </c>
    </row>
    <row r="320" spans="1:4" ht="19.95" customHeight="1" x14ac:dyDescent="0.25">
      <c r="A320" s="11" t="s">
        <v>19</v>
      </c>
      <c r="B320" s="12" t="s">
        <v>14</v>
      </c>
      <c r="C320" s="12"/>
      <c r="D320" s="12">
        <v>1971</v>
      </c>
    </row>
    <row r="321" spans="1:4" ht="19.95" customHeight="1" x14ac:dyDescent="0.25">
      <c r="A321" s="11" t="s">
        <v>20</v>
      </c>
      <c r="B321" s="12" t="s">
        <v>14</v>
      </c>
      <c r="C321" s="12"/>
      <c r="D321" s="12">
        <v>1971</v>
      </c>
    </row>
    <row r="322" spans="1:4" ht="19.95" customHeight="1" x14ac:dyDescent="0.25">
      <c r="A322" s="11" t="s">
        <v>21</v>
      </c>
      <c r="B322" s="12" t="s">
        <v>14</v>
      </c>
      <c r="C322" s="12"/>
      <c r="D322" s="12">
        <v>1971</v>
      </c>
    </row>
    <row r="323" spans="1:4" ht="19.95" customHeight="1" x14ac:dyDescent="0.25">
      <c r="A323" s="11" t="s">
        <v>22</v>
      </c>
      <c r="B323" s="12" t="s">
        <v>14</v>
      </c>
      <c r="C323" s="12"/>
      <c r="D323" s="12">
        <v>1971</v>
      </c>
    </row>
    <row r="324" spans="1:4" ht="19.95" customHeight="1" x14ac:dyDescent="0.25">
      <c r="A324" s="11" t="s">
        <v>23</v>
      </c>
      <c r="B324" s="12" t="s">
        <v>14</v>
      </c>
      <c r="C324" s="12"/>
      <c r="D324" s="12">
        <v>1971</v>
      </c>
    </row>
    <row r="325" spans="1:4" ht="19.95" customHeight="1" x14ac:dyDescent="0.25">
      <c r="A325" s="11" t="s">
        <v>24</v>
      </c>
      <c r="B325" s="12" t="s">
        <v>14</v>
      </c>
      <c r="C325" s="12"/>
      <c r="D325" s="12">
        <v>1971</v>
      </c>
    </row>
    <row r="326" spans="1:4" ht="19.95" customHeight="1" x14ac:dyDescent="0.25">
      <c r="A326" s="11" t="s">
        <v>25</v>
      </c>
      <c r="B326" s="12" t="s">
        <v>14</v>
      </c>
      <c r="C326" s="12"/>
      <c r="D326" s="12">
        <v>1971</v>
      </c>
    </row>
    <row r="327" spans="1:4" ht="19.95" customHeight="1" x14ac:dyDescent="0.25">
      <c r="A327" s="11" t="s">
        <v>26</v>
      </c>
      <c r="B327" s="12" t="s">
        <v>14</v>
      </c>
      <c r="C327" s="12"/>
      <c r="D327" s="12">
        <v>1971</v>
      </c>
    </row>
    <row r="328" spans="1:4" ht="19.95" customHeight="1" x14ac:dyDescent="0.25">
      <c r="A328" s="11" t="s">
        <v>27</v>
      </c>
      <c r="B328" s="12" t="s">
        <v>14</v>
      </c>
      <c r="C328" s="12"/>
      <c r="D328" s="12">
        <v>1971</v>
      </c>
    </row>
    <row r="329" spans="1:4" ht="19.95" customHeight="1" x14ac:dyDescent="0.25">
      <c r="A329" s="11" t="s">
        <v>29</v>
      </c>
      <c r="B329" s="12" t="s">
        <v>14</v>
      </c>
      <c r="C329" s="12"/>
      <c r="D329" s="12">
        <v>1971</v>
      </c>
    </row>
    <row r="330" spans="1:4" ht="19.95" customHeight="1" x14ac:dyDescent="0.25">
      <c r="A330" s="11" t="s">
        <v>30</v>
      </c>
      <c r="B330" s="12" t="s">
        <v>14</v>
      </c>
      <c r="C330" s="12"/>
      <c r="D330" s="12">
        <v>1971</v>
      </c>
    </row>
    <row r="331" spans="1:4" ht="19.95" customHeight="1" x14ac:dyDescent="0.25">
      <c r="A331" s="11" t="s">
        <v>31</v>
      </c>
      <c r="B331" s="12" t="s">
        <v>14</v>
      </c>
      <c r="C331" s="12"/>
      <c r="D331" s="12">
        <v>1971</v>
      </c>
    </row>
    <row r="332" spans="1:4" ht="19.95" customHeight="1" x14ac:dyDescent="0.25">
      <c r="A332" s="11" t="s">
        <v>32</v>
      </c>
      <c r="B332" s="12" t="s">
        <v>14</v>
      </c>
      <c r="C332" s="12"/>
      <c r="D332" s="12">
        <v>1971</v>
      </c>
    </row>
    <row r="333" spans="1:4" ht="19.95" customHeight="1" x14ac:dyDescent="0.25">
      <c r="A333" s="11" t="s">
        <v>33</v>
      </c>
      <c r="B333" s="12" t="s">
        <v>14</v>
      </c>
      <c r="C333" s="12"/>
      <c r="D333" s="12">
        <v>1971</v>
      </c>
    </row>
    <row r="334" spans="1:4" ht="19.95" customHeight="1" x14ac:dyDescent="0.25">
      <c r="A334" s="11" t="s">
        <v>34</v>
      </c>
      <c r="B334" s="12" t="s">
        <v>14</v>
      </c>
      <c r="C334" s="12"/>
      <c r="D334" s="12">
        <v>1971</v>
      </c>
    </row>
    <row r="335" spans="1:4" ht="19.95" customHeight="1" x14ac:dyDescent="0.25">
      <c r="A335" s="11" t="s">
        <v>35</v>
      </c>
      <c r="B335" s="12" t="s">
        <v>14</v>
      </c>
      <c r="C335" s="12"/>
      <c r="D335" s="12">
        <v>1971</v>
      </c>
    </row>
    <row r="336" spans="1:4" ht="19.95" customHeight="1" x14ac:dyDescent="0.25">
      <c r="A336" s="11" t="s">
        <v>36</v>
      </c>
      <c r="B336" s="12" t="s">
        <v>14</v>
      </c>
      <c r="C336" s="12"/>
      <c r="D336" s="12">
        <v>1971</v>
      </c>
    </row>
    <row r="337" spans="1:4" ht="19.95" customHeight="1" x14ac:dyDescent="0.25">
      <c r="A337" s="11" t="s">
        <v>37</v>
      </c>
      <c r="B337" s="12" t="s">
        <v>14</v>
      </c>
      <c r="C337" s="12"/>
      <c r="D337" s="12">
        <v>1971</v>
      </c>
    </row>
    <row r="338" spans="1:4" ht="19.95" customHeight="1" x14ac:dyDescent="0.25">
      <c r="A338" s="11" t="s">
        <v>38</v>
      </c>
      <c r="B338" s="12" t="s">
        <v>14</v>
      </c>
      <c r="C338" s="12"/>
      <c r="D338" s="12">
        <v>1971</v>
      </c>
    </row>
    <row r="339" spans="1:4" ht="19.95" customHeight="1" x14ac:dyDescent="0.25">
      <c r="A339" s="11" t="s">
        <v>39</v>
      </c>
      <c r="B339" s="12" t="s">
        <v>14</v>
      </c>
      <c r="C339" s="12"/>
      <c r="D339" s="12">
        <v>1971</v>
      </c>
    </row>
    <row r="340" spans="1:4" ht="19.95" customHeight="1" x14ac:dyDescent="0.25">
      <c r="A340" s="11" t="s">
        <v>40</v>
      </c>
      <c r="B340" s="12" t="s">
        <v>14</v>
      </c>
      <c r="C340" s="12"/>
      <c r="D340" s="12">
        <v>1971</v>
      </c>
    </row>
    <row r="341" spans="1:4" ht="19.95" customHeight="1" x14ac:dyDescent="0.25">
      <c r="A341" s="11" t="s">
        <v>10</v>
      </c>
      <c r="B341" s="12" t="s">
        <v>14</v>
      </c>
      <c r="C341" s="12"/>
      <c r="D341" s="12">
        <v>1972</v>
      </c>
    </row>
    <row r="342" spans="1:4" ht="19.95" customHeight="1" x14ac:dyDescent="0.25">
      <c r="A342" s="11" t="s">
        <v>13</v>
      </c>
      <c r="B342" s="12" t="s">
        <v>14</v>
      </c>
      <c r="C342" s="12"/>
      <c r="D342" s="12">
        <v>1972</v>
      </c>
    </row>
    <row r="343" spans="1:4" ht="19.95" customHeight="1" x14ac:dyDescent="0.25">
      <c r="A343" s="11" t="s">
        <v>15</v>
      </c>
      <c r="B343" s="12" t="s">
        <v>14</v>
      </c>
      <c r="C343" s="12"/>
      <c r="D343" s="12">
        <v>1972</v>
      </c>
    </row>
    <row r="344" spans="1:4" ht="19.95" customHeight="1" x14ac:dyDescent="0.25">
      <c r="A344" s="11" t="s">
        <v>16</v>
      </c>
      <c r="B344" s="12" t="s">
        <v>14</v>
      </c>
      <c r="C344" s="12"/>
      <c r="D344" s="12">
        <v>1972</v>
      </c>
    </row>
    <row r="345" spans="1:4" ht="19.95" customHeight="1" x14ac:dyDescent="0.25">
      <c r="A345" s="11" t="s">
        <v>17</v>
      </c>
      <c r="B345" s="12" t="s">
        <v>14</v>
      </c>
      <c r="C345" s="12"/>
      <c r="D345" s="12">
        <v>1972</v>
      </c>
    </row>
    <row r="346" spans="1:4" ht="19.95" customHeight="1" x14ac:dyDescent="0.25">
      <c r="A346" s="11" t="s">
        <v>2</v>
      </c>
      <c r="B346" s="12" t="s">
        <v>14</v>
      </c>
      <c r="C346" s="12"/>
      <c r="D346" s="12">
        <v>1972</v>
      </c>
    </row>
    <row r="347" spans="1:4" ht="19.95" customHeight="1" x14ac:dyDescent="0.25">
      <c r="A347" s="11" t="s">
        <v>18</v>
      </c>
      <c r="B347" s="12" t="s">
        <v>14</v>
      </c>
      <c r="C347" s="12"/>
      <c r="D347" s="12">
        <v>1972</v>
      </c>
    </row>
    <row r="348" spans="1:4" ht="19.95" customHeight="1" x14ac:dyDescent="0.25">
      <c r="A348" s="11" t="s">
        <v>19</v>
      </c>
      <c r="B348" s="12" t="s">
        <v>14</v>
      </c>
      <c r="C348" s="12"/>
      <c r="D348" s="12">
        <v>1972</v>
      </c>
    </row>
    <row r="349" spans="1:4" ht="19.95" customHeight="1" x14ac:dyDescent="0.25">
      <c r="A349" s="11" t="s">
        <v>20</v>
      </c>
      <c r="B349" s="12" t="s">
        <v>14</v>
      </c>
      <c r="C349" s="12"/>
      <c r="D349" s="12">
        <v>1972</v>
      </c>
    </row>
    <row r="350" spans="1:4" ht="19.95" customHeight="1" x14ac:dyDescent="0.25">
      <c r="A350" s="11" t="s">
        <v>21</v>
      </c>
      <c r="B350" s="12" t="s">
        <v>14</v>
      </c>
      <c r="C350" s="12"/>
      <c r="D350" s="12">
        <v>1972</v>
      </c>
    </row>
    <row r="351" spans="1:4" ht="19.95" customHeight="1" x14ac:dyDescent="0.25">
      <c r="A351" s="11" t="s">
        <v>22</v>
      </c>
      <c r="B351" s="12" t="s">
        <v>14</v>
      </c>
      <c r="C351" s="12"/>
      <c r="D351" s="12">
        <v>1972</v>
      </c>
    </row>
    <row r="352" spans="1:4" ht="19.95" customHeight="1" x14ac:dyDescent="0.25">
      <c r="A352" s="11" t="s">
        <v>23</v>
      </c>
      <c r="B352" s="12" t="s">
        <v>14</v>
      </c>
      <c r="C352" s="12"/>
      <c r="D352" s="12">
        <v>1972</v>
      </c>
    </row>
    <row r="353" spans="1:4" ht="19.95" customHeight="1" x14ac:dyDescent="0.25">
      <c r="A353" s="11" t="s">
        <v>24</v>
      </c>
      <c r="B353" s="12" t="s">
        <v>14</v>
      </c>
      <c r="C353" s="12"/>
      <c r="D353" s="12">
        <v>1972</v>
      </c>
    </row>
    <row r="354" spans="1:4" ht="19.95" customHeight="1" x14ac:dyDescent="0.25">
      <c r="A354" s="11" t="s">
        <v>25</v>
      </c>
      <c r="B354" s="12" t="s">
        <v>14</v>
      </c>
      <c r="C354" s="12"/>
      <c r="D354" s="12">
        <v>1972</v>
      </c>
    </row>
    <row r="355" spans="1:4" ht="19.95" customHeight="1" x14ac:dyDescent="0.25">
      <c r="A355" s="11" t="s">
        <v>26</v>
      </c>
      <c r="B355" s="12" t="s">
        <v>14</v>
      </c>
      <c r="C355" s="12"/>
      <c r="D355" s="12">
        <v>1972</v>
      </c>
    </row>
    <row r="356" spans="1:4" ht="19.95" customHeight="1" x14ac:dyDescent="0.25">
      <c r="A356" s="11" t="s">
        <v>27</v>
      </c>
      <c r="B356" s="12" t="s">
        <v>14</v>
      </c>
      <c r="C356" s="12"/>
      <c r="D356" s="12">
        <v>1972</v>
      </c>
    </row>
    <row r="357" spans="1:4" ht="19.95" customHeight="1" x14ac:dyDescent="0.25">
      <c r="A357" s="11" t="s">
        <v>29</v>
      </c>
      <c r="B357" s="12" t="s">
        <v>14</v>
      </c>
      <c r="C357" s="12"/>
      <c r="D357" s="12">
        <v>1972</v>
      </c>
    </row>
    <row r="358" spans="1:4" ht="19.95" customHeight="1" x14ac:dyDescent="0.25">
      <c r="A358" s="11" t="s">
        <v>30</v>
      </c>
      <c r="B358" s="12" t="s">
        <v>14</v>
      </c>
      <c r="C358" s="12"/>
      <c r="D358" s="12">
        <v>1972</v>
      </c>
    </row>
    <row r="359" spans="1:4" ht="19.95" customHeight="1" x14ac:dyDescent="0.25">
      <c r="A359" s="11" t="s">
        <v>31</v>
      </c>
      <c r="B359" s="12" t="s">
        <v>14</v>
      </c>
      <c r="C359" s="12"/>
      <c r="D359" s="12">
        <v>1972</v>
      </c>
    </row>
    <row r="360" spans="1:4" ht="19.95" customHeight="1" x14ac:dyDescent="0.25">
      <c r="A360" s="11" t="s">
        <v>32</v>
      </c>
      <c r="B360" s="12" t="s">
        <v>14</v>
      </c>
      <c r="C360" s="12"/>
      <c r="D360" s="12">
        <v>1972</v>
      </c>
    </row>
    <row r="361" spans="1:4" ht="19.95" customHeight="1" x14ac:dyDescent="0.25">
      <c r="A361" s="11" t="s">
        <v>33</v>
      </c>
      <c r="B361" s="12" t="s">
        <v>14</v>
      </c>
      <c r="C361" s="12"/>
      <c r="D361" s="12">
        <v>1972</v>
      </c>
    </row>
    <row r="362" spans="1:4" ht="19.95" customHeight="1" x14ac:dyDescent="0.25">
      <c r="A362" s="11" t="s">
        <v>34</v>
      </c>
      <c r="B362" s="12" t="s">
        <v>14</v>
      </c>
      <c r="C362" s="12"/>
      <c r="D362" s="12">
        <v>1972</v>
      </c>
    </row>
    <row r="363" spans="1:4" ht="19.95" customHeight="1" x14ac:dyDescent="0.25">
      <c r="A363" s="11" t="s">
        <v>35</v>
      </c>
      <c r="B363" s="12" t="s">
        <v>14</v>
      </c>
      <c r="C363" s="12"/>
      <c r="D363" s="12">
        <v>1972</v>
      </c>
    </row>
    <row r="364" spans="1:4" ht="19.95" customHeight="1" x14ac:dyDescent="0.25">
      <c r="A364" s="11" t="s">
        <v>36</v>
      </c>
      <c r="B364" s="12" t="s">
        <v>14</v>
      </c>
      <c r="C364" s="12"/>
      <c r="D364" s="12">
        <v>1972</v>
      </c>
    </row>
    <row r="365" spans="1:4" ht="19.95" customHeight="1" x14ac:dyDescent="0.25">
      <c r="A365" s="11" t="s">
        <v>37</v>
      </c>
      <c r="B365" s="12" t="s">
        <v>14</v>
      </c>
      <c r="C365" s="12"/>
      <c r="D365" s="12">
        <v>1972</v>
      </c>
    </row>
    <row r="366" spans="1:4" ht="19.95" customHeight="1" x14ac:dyDescent="0.25">
      <c r="A366" s="11" t="s">
        <v>38</v>
      </c>
      <c r="B366" s="12" t="s">
        <v>14</v>
      </c>
      <c r="C366" s="12"/>
      <c r="D366" s="12">
        <v>1972</v>
      </c>
    </row>
    <row r="367" spans="1:4" ht="19.95" customHeight="1" x14ac:dyDescent="0.25">
      <c r="A367" s="11" t="s">
        <v>39</v>
      </c>
      <c r="B367" s="12" t="s">
        <v>14</v>
      </c>
      <c r="C367" s="12"/>
      <c r="D367" s="12">
        <v>1972</v>
      </c>
    </row>
    <row r="368" spans="1:4" ht="19.95" customHeight="1" x14ac:dyDescent="0.25">
      <c r="A368" s="11" t="s">
        <v>40</v>
      </c>
      <c r="B368" s="12" t="s">
        <v>14</v>
      </c>
      <c r="C368" s="12"/>
      <c r="D368" s="12">
        <v>1972</v>
      </c>
    </row>
    <row r="369" spans="1:4" ht="19.95" customHeight="1" x14ac:dyDescent="0.25">
      <c r="A369" s="11" t="s">
        <v>10</v>
      </c>
      <c r="B369" s="12" t="s">
        <v>14</v>
      </c>
      <c r="C369" s="12"/>
      <c r="D369" s="12">
        <v>1973</v>
      </c>
    </row>
    <row r="370" spans="1:4" ht="19.95" customHeight="1" x14ac:dyDescent="0.25">
      <c r="A370" s="11" t="s">
        <v>13</v>
      </c>
      <c r="B370" s="12" t="s">
        <v>14</v>
      </c>
      <c r="C370" s="12"/>
      <c r="D370" s="12">
        <v>1973</v>
      </c>
    </row>
    <row r="371" spans="1:4" ht="19.95" customHeight="1" x14ac:dyDescent="0.25">
      <c r="A371" s="11" t="s">
        <v>15</v>
      </c>
      <c r="B371" s="12" t="s">
        <v>14</v>
      </c>
      <c r="C371" s="12"/>
      <c r="D371" s="12">
        <v>1973</v>
      </c>
    </row>
    <row r="372" spans="1:4" ht="19.95" customHeight="1" x14ac:dyDescent="0.25">
      <c r="A372" s="11" t="s">
        <v>16</v>
      </c>
      <c r="B372" s="12" t="s">
        <v>14</v>
      </c>
      <c r="C372" s="12"/>
      <c r="D372" s="12">
        <v>1973</v>
      </c>
    </row>
    <row r="373" spans="1:4" ht="19.95" customHeight="1" x14ac:dyDescent="0.25">
      <c r="A373" s="11" t="s">
        <v>17</v>
      </c>
      <c r="B373" s="12" t="s">
        <v>14</v>
      </c>
      <c r="C373" s="12"/>
      <c r="D373" s="12">
        <v>1973</v>
      </c>
    </row>
    <row r="374" spans="1:4" ht="19.95" customHeight="1" x14ac:dyDescent="0.25">
      <c r="A374" s="11" t="s">
        <v>2</v>
      </c>
      <c r="B374" s="12" t="s">
        <v>14</v>
      </c>
      <c r="C374" s="12"/>
      <c r="D374" s="12">
        <v>1973</v>
      </c>
    </row>
    <row r="375" spans="1:4" ht="19.95" customHeight="1" x14ac:dyDescent="0.25">
      <c r="A375" s="11" t="s">
        <v>18</v>
      </c>
      <c r="B375" s="12" t="s">
        <v>14</v>
      </c>
      <c r="C375" s="12"/>
      <c r="D375" s="12">
        <v>1973</v>
      </c>
    </row>
    <row r="376" spans="1:4" ht="19.95" customHeight="1" x14ac:dyDescent="0.25">
      <c r="A376" s="11" t="s">
        <v>19</v>
      </c>
      <c r="B376" s="12" t="s">
        <v>14</v>
      </c>
      <c r="C376" s="12"/>
      <c r="D376" s="12">
        <v>1973</v>
      </c>
    </row>
    <row r="377" spans="1:4" ht="19.95" customHeight="1" x14ac:dyDescent="0.25">
      <c r="A377" s="11" t="s">
        <v>20</v>
      </c>
      <c r="B377" s="12" t="s">
        <v>14</v>
      </c>
      <c r="C377" s="12"/>
      <c r="D377" s="12">
        <v>1973</v>
      </c>
    </row>
    <row r="378" spans="1:4" ht="19.95" customHeight="1" x14ac:dyDescent="0.25">
      <c r="A378" s="11" t="s">
        <v>21</v>
      </c>
      <c r="B378" s="12" t="s">
        <v>14</v>
      </c>
      <c r="C378" s="12"/>
      <c r="D378" s="12">
        <v>1973</v>
      </c>
    </row>
    <row r="379" spans="1:4" ht="19.95" customHeight="1" x14ac:dyDescent="0.25">
      <c r="A379" s="11" t="s">
        <v>22</v>
      </c>
      <c r="B379" s="12" t="s">
        <v>14</v>
      </c>
      <c r="C379" s="12"/>
      <c r="D379" s="12">
        <v>1973</v>
      </c>
    </row>
    <row r="380" spans="1:4" ht="19.95" customHeight="1" x14ac:dyDescent="0.25">
      <c r="A380" s="11" t="s">
        <v>23</v>
      </c>
      <c r="B380" s="12" t="s">
        <v>14</v>
      </c>
      <c r="C380" s="12"/>
      <c r="D380" s="12">
        <v>1973</v>
      </c>
    </row>
    <row r="381" spans="1:4" ht="19.95" customHeight="1" x14ac:dyDescent="0.25">
      <c r="A381" s="11" t="s">
        <v>24</v>
      </c>
      <c r="B381" s="12" t="s">
        <v>14</v>
      </c>
      <c r="C381" s="12"/>
      <c r="D381" s="12">
        <v>1973</v>
      </c>
    </row>
    <row r="382" spans="1:4" ht="19.95" customHeight="1" x14ac:dyDescent="0.25">
      <c r="A382" s="11" t="s">
        <v>25</v>
      </c>
      <c r="B382" s="12" t="s">
        <v>14</v>
      </c>
      <c r="C382" s="12"/>
      <c r="D382" s="12">
        <v>1973</v>
      </c>
    </row>
    <row r="383" spans="1:4" ht="19.95" customHeight="1" x14ac:dyDescent="0.25">
      <c r="A383" s="11" t="s">
        <v>26</v>
      </c>
      <c r="B383" s="12" t="s">
        <v>14</v>
      </c>
      <c r="C383" s="12"/>
      <c r="D383" s="12">
        <v>1973</v>
      </c>
    </row>
    <row r="384" spans="1:4" ht="19.95" customHeight="1" x14ac:dyDescent="0.25">
      <c r="A384" s="11" t="s">
        <v>27</v>
      </c>
      <c r="B384" s="12" t="s">
        <v>14</v>
      </c>
      <c r="C384" s="12"/>
      <c r="D384" s="12">
        <v>1973</v>
      </c>
    </row>
    <row r="385" spans="1:4" ht="19.95" customHeight="1" x14ac:dyDescent="0.25">
      <c r="A385" s="11" t="s">
        <v>29</v>
      </c>
      <c r="B385" s="12" t="s">
        <v>14</v>
      </c>
      <c r="C385" s="12"/>
      <c r="D385" s="12">
        <v>1973</v>
      </c>
    </row>
    <row r="386" spans="1:4" ht="19.95" customHeight="1" x14ac:dyDescent="0.25">
      <c r="A386" s="11" t="s">
        <v>30</v>
      </c>
      <c r="B386" s="12" t="s">
        <v>14</v>
      </c>
      <c r="C386" s="12"/>
      <c r="D386" s="12">
        <v>1973</v>
      </c>
    </row>
    <row r="387" spans="1:4" ht="19.95" customHeight="1" x14ac:dyDescent="0.25">
      <c r="A387" s="11" t="s">
        <v>31</v>
      </c>
      <c r="B387" s="12" t="s">
        <v>14</v>
      </c>
      <c r="C387" s="12"/>
      <c r="D387" s="12">
        <v>1973</v>
      </c>
    </row>
    <row r="388" spans="1:4" ht="19.95" customHeight="1" x14ac:dyDescent="0.25">
      <c r="A388" s="11" t="s">
        <v>32</v>
      </c>
      <c r="B388" s="12" t="s">
        <v>14</v>
      </c>
      <c r="C388" s="12"/>
      <c r="D388" s="12">
        <v>1973</v>
      </c>
    </row>
    <row r="389" spans="1:4" ht="19.95" customHeight="1" x14ac:dyDescent="0.25">
      <c r="A389" s="11" t="s">
        <v>33</v>
      </c>
      <c r="B389" s="12" t="s">
        <v>14</v>
      </c>
      <c r="C389" s="12"/>
      <c r="D389" s="12">
        <v>1973</v>
      </c>
    </row>
    <row r="390" spans="1:4" ht="19.95" customHeight="1" x14ac:dyDescent="0.25">
      <c r="A390" s="11" t="s">
        <v>34</v>
      </c>
      <c r="B390" s="12" t="s">
        <v>14</v>
      </c>
      <c r="C390" s="12"/>
      <c r="D390" s="12">
        <v>1973</v>
      </c>
    </row>
    <row r="391" spans="1:4" ht="19.95" customHeight="1" x14ac:dyDescent="0.25">
      <c r="A391" s="11" t="s">
        <v>35</v>
      </c>
      <c r="B391" s="12" t="s">
        <v>14</v>
      </c>
      <c r="C391" s="12"/>
      <c r="D391" s="12">
        <v>1973</v>
      </c>
    </row>
    <row r="392" spans="1:4" ht="19.95" customHeight="1" x14ac:dyDescent="0.25">
      <c r="A392" s="11" t="s">
        <v>36</v>
      </c>
      <c r="B392" s="12" t="s">
        <v>14</v>
      </c>
      <c r="C392" s="12"/>
      <c r="D392" s="12">
        <v>1973</v>
      </c>
    </row>
    <row r="393" spans="1:4" ht="19.95" customHeight="1" x14ac:dyDescent="0.25">
      <c r="A393" s="11" t="s">
        <v>37</v>
      </c>
      <c r="B393" s="12" t="s">
        <v>14</v>
      </c>
      <c r="C393" s="12"/>
      <c r="D393" s="12">
        <v>1973</v>
      </c>
    </row>
    <row r="394" spans="1:4" ht="19.95" customHeight="1" x14ac:dyDescent="0.25">
      <c r="A394" s="11" t="s">
        <v>38</v>
      </c>
      <c r="B394" s="12" t="s">
        <v>14</v>
      </c>
      <c r="C394" s="12"/>
      <c r="D394" s="12">
        <v>1973</v>
      </c>
    </row>
    <row r="395" spans="1:4" ht="19.95" customHeight="1" x14ac:dyDescent="0.25">
      <c r="A395" s="11" t="s">
        <v>39</v>
      </c>
      <c r="B395" s="12" t="s">
        <v>14</v>
      </c>
      <c r="C395" s="12"/>
      <c r="D395" s="12">
        <v>1973</v>
      </c>
    </row>
    <row r="396" spans="1:4" ht="19.95" customHeight="1" x14ac:dyDescent="0.25">
      <c r="A396" s="11" t="s">
        <v>40</v>
      </c>
      <c r="B396" s="12" t="s">
        <v>14</v>
      </c>
      <c r="C396" s="12"/>
      <c r="D396" s="12">
        <v>1973</v>
      </c>
    </row>
    <row r="397" spans="1:4" ht="19.95" customHeight="1" x14ac:dyDescent="0.25">
      <c r="A397" s="11" t="s">
        <v>10</v>
      </c>
      <c r="B397" s="12" t="s">
        <v>14</v>
      </c>
      <c r="C397" s="12"/>
      <c r="D397" s="12">
        <v>1974</v>
      </c>
    </row>
    <row r="398" spans="1:4" ht="19.95" customHeight="1" x14ac:dyDescent="0.25">
      <c r="A398" s="11" t="s">
        <v>13</v>
      </c>
      <c r="B398" s="12" t="s">
        <v>14</v>
      </c>
      <c r="C398" s="12"/>
      <c r="D398" s="12">
        <v>1974</v>
      </c>
    </row>
    <row r="399" spans="1:4" ht="19.95" customHeight="1" x14ac:dyDescent="0.25">
      <c r="A399" s="11" t="s">
        <v>15</v>
      </c>
      <c r="B399" s="12" t="s">
        <v>14</v>
      </c>
      <c r="C399" s="12"/>
      <c r="D399" s="12">
        <v>1974</v>
      </c>
    </row>
    <row r="400" spans="1:4" ht="19.95" customHeight="1" x14ac:dyDescent="0.25">
      <c r="A400" s="11" t="s">
        <v>16</v>
      </c>
      <c r="B400" s="12" t="s">
        <v>14</v>
      </c>
      <c r="C400" s="12"/>
      <c r="D400" s="12">
        <v>1974</v>
      </c>
    </row>
    <row r="401" spans="1:4" ht="19.95" customHeight="1" x14ac:dyDescent="0.25">
      <c r="A401" s="11" t="s">
        <v>17</v>
      </c>
      <c r="B401" s="12" t="s">
        <v>14</v>
      </c>
      <c r="C401" s="12"/>
      <c r="D401" s="12">
        <v>1974</v>
      </c>
    </row>
    <row r="402" spans="1:4" ht="19.95" customHeight="1" x14ac:dyDescent="0.25">
      <c r="A402" s="11" t="s">
        <v>2</v>
      </c>
      <c r="B402" s="12" t="s">
        <v>14</v>
      </c>
      <c r="C402" s="12"/>
      <c r="D402" s="12">
        <v>1974</v>
      </c>
    </row>
    <row r="403" spans="1:4" ht="19.95" customHeight="1" x14ac:dyDescent="0.25">
      <c r="A403" s="11" t="s">
        <v>18</v>
      </c>
      <c r="B403" s="12" t="s">
        <v>14</v>
      </c>
      <c r="C403" s="12"/>
      <c r="D403" s="12">
        <v>1974</v>
      </c>
    </row>
    <row r="404" spans="1:4" ht="19.95" customHeight="1" x14ac:dyDescent="0.25">
      <c r="A404" s="11" t="s">
        <v>19</v>
      </c>
      <c r="B404" s="12" t="s">
        <v>14</v>
      </c>
      <c r="C404" s="12"/>
      <c r="D404" s="12">
        <v>1974</v>
      </c>
    </row>
    <row r="405" spans="1:4" ht="19.95" customHeight="1" x14ac:dyDescent="0.25">
      <c r="A405" s="11" t="s">
        <v>20</v>
      </c>
      <c r="B405" s="12" t="s">
        <v>14</v>
      </c>
      <c r="C405" s="12"/>
      <c r="D405" s="12">
        <v>1974</v>
      </c>
    </row>
    <row r="406" spans="1:4" ht="19.95" customHeight="1" x14ac:dyDescent="0.25">
      <c r="A406" s="11" t="s">
        <v>21</v>
      </c>
      <c r="B406" s="12" t="s">
        <v>14</v>
      </c>
      <c r="C406" s="12"/>
      <c r="D406" s="12">
        <v>1974</v>
      </c>
    </row>
    <row r="407" spans="1:4" ht="19.95" customHeight="1" x14ac:dyDescent="0.25">
      <c r="A407" s="11" t="s">
        <v>22</v>
      </c>
      <c r="B407" s="12" t="s">
        <v>14</v>
      </c>
      <c r="C407" s="12"/>
      <c r="D407" s="12">
        <v>1974</v>
      </c>
    </row>
    <row r="408" spans="1:4" ht="19.95" customHeight="1" x14ac:dyDescent="0.25">
      <c r="A408" s="11" t="s">
        <v>23</v>
      </c>
      <c r="B408" s="12" t="s">
        <v>14</v>
      </c>
      <c r="C408" s="12"/>
      <c r="D408" s="12">
        <v>1974</v>
      </c>
    </row>
    <row r="409" spans="1:4" ht="19.95" customHeight="1" x14ac:dyDescent="0.25">
      <c r="A409" s="11" t="s">
        <v>24</v>
      </c>
      <c r="B409" s="12" t="s">
        <v>14</v>
      </c>
      <c r="C409" s="12"/>
      <c r="D409" s="12">
        <v>1974</v>
      </c>
    </row>
    <row r="410" spans="1:4" ht="19.95" customHeight="1" x14ac:dyDescent="0.25">
      <c r="A410" s="11" t="s">
        <v>25</v>
      </c>
      <c r="B410" s="12" t="s">
        <v>14</v>
      </c>
      <c r="C410" s="12"/>
      <c r="D410" s="12">
        <v>1974</v>
      </c>
    </row>
    <row r="411" spans="1:4" ht="19.95" customHeight="1" x14ac:dyDescent="0.25">
      <c r="A411" s="11" t="s">
        <v>26</v>
      </c>
      <c r="B411" s="12" t="s">
        <v>14</v>
      </c>
      <c r="C411" s="12"/>
      <c r="D411" s="12">
        <v>1974</v>
      </c>
    </row>
    <row r="412" spans="1:4" ht="19.95" customHeight="1" x14ac:dyDescent="0.25">
      <c r="A412" s="11" t="s">
        <v>27</v>
      </c>
      <c r="B412" s="12" t="s">
        <v>14</v>
      </c>
      <c r="C412" s="12"/>
      <c r="D412" s="12">
        <v>1974</v>
      </c>
    </row>
    <row r="413" spans="1:4" ht="19.95" customHeight="1" x14ac:dyDescent="0.25">
      <c r="A413" s="11" t="s">
        <v>29</v>
      </c>
      <c r="B413" s="12" t="s">
        <v>14</v>
      </c>
      <c r="C413" s="12"/>
      <c r="D413" s="12">
        <v>1974</v>
      </c>
    </row>
    <row r="414" spans="1:4" ht="19.95" customHeight="1" x14ac:dyDescent="0.25">
      <c r="A414" s="11" t="s">
        <v>30</v>
      </c>
      <c r="B414" s="12" t="s">
        <v>14</v>
      </c>
      <c r="C414" s="12"/>
      <c r="D414" s="12">
        <v>1974</v>
      </c>
    </row>
    <row r="415" spans="1:4" ht="19.95" customHeight="1" x14ac:dyDescent="0.25">
      <c r="A415" s="11" t="s">
        <v>31</v>
      </c>
      <c r="B415" s="12" t="s">
        <v>14</v>
      </c>
      <c r="C415" s="12"/>
      <c r="D415" s="12">
        <v>1974</v>
      </c>
    </row>
    <row r="416" spans="1:4" ht="19.95" customHeight="1" x14ac:dyDescent="0.25">
      <c r="A416" s="11" t="s">
        <v>32</v>
      </c>
      <c r="B416" s="12" t="s">
        <v>14</v>
      </c>
      <c r="C416" s="12"/>
      <c r="D416" s="12">
        <v>1974</v>
      </c>
    </row>
    <row r="417" spans="1:4" ht="19.95" customHeight="1" x14ac:dyDescent="0.25">
      <c r="A417" s="11" t="s">
        <v>33</v>
      </c>
      <c r="B417" s="12" t="s">
        <v>14</v>
      </c>
      <c r="C417" s="12"/>
      <c r="D417" s="12">
        <v>1974</v>
      </c>
    </row>
    <row r="418" spans="1:4" ht="19.95" customHeight="1" x14ac:dyDescent="0.25">
      <c r="A418" s="11" t="s">
        <v>34</v>
      </c>
      <c r="B418" s="12" t="s">
        <v>14</v>
      </c>
      <c r="C418" s="12"/>
      <c r="D418" s="12">
        <v>1974</v>
      </c>
    </row>
    <row r="419" spans="1:4" ht="19.95" customHeight="1" x14ac:dyDescent="0.25">
      <c r="A419" s="11" t="s">
        <v>35</v>
      </c>
      <c r="B419" s="12" t="s">
        <v>14</v>
      </c>
      <c r="C419" s="12"/>
      <c r="D419" s="12">
        <v>1974</v>
      </c>
    </row>
    <row r="420" spans="1:4" ht="19.95" customHeight="1" x14ac:dyDescent="0.25">
      <c r="A420" s="11" t="s">
        <v>36</v>
      </c>
      <c r="B420" s="12" t="s">
        <v>14</v>
      </c>
      <c r="C420" s="12"/>
      <c r="D420" s="12">
        <v>1974</v>
      </c>
    </row>
    <row r="421" spans="1:4" ht="19.95" customHeight="1" x14ac:dyDescent="0.25">
      <c r="A421" s="11" t="s">
        <v>37</v>
      </c>
      <c r="B421" s="12" t="s">
        <v>14</v>
      </c>
      <c r="C421" s="12"/>
      <c r="D421" s="12">
        <v>1974</v>
      </c>
    </row>
    <row r="422" spans="1:4" ht="19.95" customHeight="1" x14ac:dyDescent="0.25">
      <c r="A422" s="11" t="s">
        <v>38</v>
      </c>
      <c r="B422" s="12" t="s">
        <v>14</v>
      </c>
      <c r="C422" s="12"/>
      <c r="D422" s="12">
        <v>1974</v>
      </c>
    </row>
    <row r="423" spans="1:4" ht="19.95" customHeight="1" x14ac:dyDescent="0.25">
      <c r="A423" s="11" t="s">
        <v>39</v>
      </c>
      <c r="B423" s="12" t="s">
        <v>14</v>
      </c>
      <c r="C423" s="12"/>
      <c r="D423" s="12">
        <v>1974</v>
      </c>
    </row>
    <row r="424" spans="1:4" ht="19.95" customHeight="1" x14ac:dyDescent="0.25">
      <c r="A424" s="11" t="s">
        <v>40</v>
      </c>
      <c r="B424" s="12" t="s">
        <v>14</v>
      </c>
      <c r="C424" s="12"/>
      <c r="D424" s="12">
        <v>1974</v>
      </c>
    </row>
    <row r="425" spans="1:4" ht="19.95" customHeight="1" x14ac:dyDescent="0.25">
      <c r="A425" s="11" t="s">
        <v>10</v>
      </c>
      <c r="B425" s="12" t="s">
        <v>14</v>
      </c>
      <c r="C425" s="12"/>
      <c r="D425" s="12">
        <v>1975</v>
      </c>
    </row>
    <row r="426" spans="1:4" ht="19.95" customHeight="1" x14ac:dyDescent="0.25">
      <c r="A426" s="11" t="s">
        <v>13</v>
      </c>
      <c r="B426" s="12" t="s">
        <v>14</v>
      </c>
      <c r="C426" s="12"/>
      <c r="D426" s="12">
        <v>1975</v>
      </c>
    </row>
    <row r="427" spans="1:4" ht="19.95" customHeight="1" x14ac:dyDescent="0.25">
      <c r="A427" s="11" t="s">
        <v>15</v>
      </c>
      <c r="B427" s="12" t="s">
        <v>14</v>
      </c>
      <c r="C427" s="12"/>
      <c r="D427" s="12">
        <v>1975</v>
      </c>
    </row>
    <row r="428" spans="1:4" ht="19.95" customHeight="1" x14ac:dyDescent="0.25">
      <c r="A428" s="11" t="s">
        <v>16</v>
      </c>
      <c r="B428" s="12" t="s">
        <v>14</v>
      </c>
      <c r="C428" s="12"/>
      <c r="D428" s="12">
        <v>1975</v>
      </c>
    </row>
    <row r="429" spans="1:4" ht="19.95" customHeight="1" x14ac:dyDescent="0.25">
      <c r="A429" s="11" t="s">
        <v>17</v>
      </c>
      <c r="B429" s="12" t="s">
        <v>14</v>
      </c>
      <c r="C429" s="12"/>
      <c r="D429" s="12">
        <v>1975</v>
      </c>
    </row>
    <row r="430" spans="1:4" ht="19.95" customHeight="1" x14ac:dyDescent="0.25">
      <c r="A430" s="11" t="s">
        <v>2</v>
      </c>
      <c r="B430" s="12" t="s">
        <v>14</v>
      </c>
      <c r="C430" s="12"/>
      <c r="D430" s="12">
        <v>1975</v>
      </c>
    </row>
    <row r="431" spans="1:4" ht="19.95" customHeight="1" x14ac:dyDescent="0.25">
      <c r="A431" s="11" t="s">
        <v>18</v>
      </c>
      <c r="B431" s="12" t="s">
        <v>14</v>
      </c>
      <c r="C431" s="12"/>
      <c r="D431" s="12">
        <v>1975</v>
      </c>
    </row>
    <row r="432" spans="1:4" ht="19.95" customHeight="1" x14ac:dyDescent="0.25">
      <c r="A432" s="11" t="s">
        <v>19</v>
      </c>
      <c r="B432" s="12" t="s">
        <v>14</v>
      </c>
      <c r="C432" s="12"/>
      <c r="D432" s="12">
        <v>1975</v>
      </c>
    </row>
    <row r="433" spans="1:4" ht="19.95" customHeight="1" x14ac:dyDescent="0.25">
      <c r="A433" s="11" t="s">
        <v>20</v>
      </c>
      <c r="B433" s="12" t="s">
        <v>14</v>
      </c>
      <c r="C433" s="12"/>
      <c r="D433" s="12">
        <v>1975</v>
      </c>
    </row>
    <row r="434" spans="1:4" ht="19.95" customHeight="1" x14ac:dyDescent="0.25">
      <c r="A434" s="11" t="s">
        <v>21</v>
      </c>
      <c r="B434" s="12" t="s">
        <v>14</v>
      </c>
      <c r="C434" s="12"/>
      <c r="D434" s="12">
        <v>1975</v>
      </c>
    </row>
    <row r="435" spans="1:4" ht="19.95" customHeight="1" x14ac:dyDescent="0.25">
      <c r="A435" s="11" t="s">
        <v>22</v>
      </c>
      <c r="B435" s="12" t="s">
        <v>14</v>
      </c>
      <c r="C435" s="12"/>
      <c r="D435" s="12">
        <v>1975</v>
      </c>
    </row>
    <row r="436" spans="1:4" ht="19.95" customHeight="1" x14ac:dyDescent="0.25">
      <c r="A436" s="11" t="s">
        <v>23</v>
      </c>
      <c r="B436" s="12" t="s">
        <v>14</v>
      </c>
      <c r="C436" s="12"/>
      <c r="D436" s="12">
        <v>1975</v>
      </c>
    </row>
    <row r="437" spans="1:4" ht="19.95" customHeight="1" x14ac:dyDescent="0.25">
      <c r="A437" s="11" t="s">
        <v>24</v>
      </c>
      <c r="B437" s="12" t="s">
        <v>14</v>
      </c>
      <c r="C437" s="12"/>
      <c r="D437" s="12">
        <v>1975</v>
      </c>
    </row>
    <row r="438" spans="1:4" ht="19.95" customHeight="1" x14ac:dyDescent="0.25">
      <c r="A438" s="11" t="s">
        <v>25</v>
      </c>
      <c r="B438" s="12" t="s">
        <v>14</v>
      </c>
      <c r="C438" s="12"/>
      <c r="D438" s="12">
        <v>1975</v>
      </c>
    </row>
    <row r="439" spans="1:4" ht="19.95" customHeight="1" x14ac:dyDescent="0.25">
      <c r="A439" s="11" t="s">
        <v>26</v>
      </c>
      <c r="B439" s="12" t="s">
        <v>14</v>
      </c>
      <c r="C439" s="12"/>
      <c r="D439" s="12">
        <v>1975</v>
      </c>
    </row>
    <row r="440" spans="1:4" ht="19.95" customHeight="1" x14ac:dyDescent="0.25">
      <c r="A440" s="11" t="s">
        <v>27</v>
      </c>
      <c r="B440" s="12" t="s">
        <v>14</v>
      </c>
      <c r="C440" s="12"/>
      <c r="D440" s="12">
        <v>1975</v>
      </c>
    </row>
    <row r="441" spans="1:4" ht="19.95" customHeight="1" x14ac:dyDescent="0.25">
      <c r="A441" s="11" t="s">
        <v>29</v>
      </c>
      <c r="B441" s="12" t="s">
        <v>14</v>
      </c>
      <c r="C441" s="12"/>
      <c r="D441" s="12">
        <v>1975</v>
      </c>
    </row>
    <row r="442" spans="1:4" ht="19.95" customHeight="1" x14ac:dyDescent="0.25">
      <c r="A442" s="11" t="s">
        <v>30</v>
      </c>
      <c r="B442" s="12" t="s">
        <v>14</v>
      </c>
      <c r="C442" s="12"/>
      <c r="D442" s="12">
        <v>1975</v>
      </c>
    </row>
    <row r="443" spans="1:4" ht="19.95" customHeight="1" x14ac:dyDescent="0.25">
      <c r="A443" s="11" t="s">
        <v>31</v>
      </c>
      <c r="B443" s="12" t="s">
        <v>14</v>
      </c>
      <c r="C443" s="12"/>
      <c r="D443" s="12">
        <v>1975</v>
      </c>
    </row>
    <row r="444" spans="1:4" ht="19.95" customHeight="1" x14ac:dyDescent="0.25">
      <c r="A444" s="11" t="s">
        <v>32</v>
      </c>
      <c r="B444" s="12" t="s">
        <v>14</v>
      </c>
      <c r="C444" s="12"/>
      <c r="D444" s="12">
        <v>1975</v>
      </c>
    </row>
    <row r="445" spans="1:4" ht="19.95" customHeight="1" x14ac:dyDescent="0.25">
      <c r="A445" s="11" t="s">
        <v>33</v>
      </c>
      <c r="B445" s="12" t="s">
        <v>14</v>
      </c>
      <c r="C445" s="12"/>
      <c r="D445" s="12">
        <v>1975</v>
      </c>
    </row>
    <row r="446" spans="1:4" ht="19.95" customHeight="1" x14ac:dyDescent="0.25">
      <c r="A446" s="11" t="s">
        <v>34</v>
      </c>
      <c r="B446" s="12" t="s">
        <v>14</v>
      </c>
      <c r="C446" s="12"/>
      <c r="D446" s="12">
        <v>1975</v>
      </c>
    </row>
    <row r="447" spans="1:4" ht="19.95" customHeight="1" x14ac:dyDescent="0.25">
      <c r="A447" s="11" t="s">
        <v>35</v>
      </c>
      <c r="B447" s="12" t="s">
        <v>14</v>
      </c>
      <c r="C447" s="12"/>
      <c r="D447" s="12">
        <v>1975</v>
      </c>
    </row>
    <row r="448" spans="1:4" ht="19.95" customHeight="1" x14ac:dyDescent="0.25">
      <c r="A448" s="11" t="s">
        <v>36</v>
      </c>
      <c r="B448" s="12" t="s">
        <v>14</v>
      </c>
      <c r="C448" s="12"/>
      <c r="D448" s="12">
        <v>1975</v>
      </c>
    </row>
    <row r="449" spans="1:4" ht="19.95" customHeight="1" x14ac:dyDescent="0.25">
      <c r="A449" s="11" t="s">
        <v>37</v>
      </c>
      <c r="B449" s="12" t="s">
        <v>14</v>
      </c>
      <c r="C449" s="12"/>
      <c r="D449" s="12">
        <v>1975</v>
      </c>
    </row>
    <row r="450" spans="1:4" ht="19.95" customHeight="1" x14ac:dyDescent="0.25">
      <c r="A450" s="11" t="s">
        <v>38</v>
      </c>
      <c r="B450" s="12" t="s">
        <v>14</v>
      </c>
      <c r="C450" s="12"/>
      <c r="D450" s="12">
        <v>1975</v>
      </c>
    </row>
    <row r="451" spans="1:4" ht="19.95" customHeight="1" x14ac:dyDescent="0.25">
      <c r="A451" s="11" t="s">
        <v>39</v>
      </c>
      <c r="B451" s="12" t="s">
        <v>14</v>
      </c>
      <c r="C451" s="12"/>
      <c r="D451" s="12">
        <v>1975</v>
      </c>
    </row>
    <row r="452" spans="1:4" ht="19.95" customHeight="1" x14ac:dyDescent="0.25">
      <c r="A452" s="11" t="s">
        <v>40</v>
      </c>
      <c r="B452" s="12" t="s">
        <v>14</v>
      </c>
      <c r="C452" s="12"/>
      <c r="D452" s="12">
        <v>1975</v>
      </c>
    </row>
    <row r="453" spans="1:4" ht="19.95" customHeight="1" x14ac:dyDescent="0.25">
      <c r="A453" s="11" t="s">
        <v>10</v>
      </c>
      <c r="B453" s="12" t="s">
        <v>14</v>
      </c>
      <c r="C453" s="12"/>
      <c r="D453" s="12">
        <v>1976</v>
      </c>
    </row>
    <row r="454" spans="1:4" ht="19.95" customHeight="1" x14ac:dyDescent="0.25">
      <c r="A454" s="11" t="s">
        <v>13</v>
      </c>
      <c r="B454" s="12" t="s">
        <v>14</v>
      </c>
      <c r="C454" s="12"/>
      <c r="D454" s="12">
        <v>1976</v>
      </c>
    </row>
    <row r="455" spans="1:4" ht="19.95" customHeight="1" x14ac:dyDescent="0.25">
      <c r="A455" s="11" t="s">
        <v>15</v>
      </c>
      <c r="B455" s="12" t="s">
        <v>14</v>
      </c>
      <c r="C455" s="12"/>
      <c r="D455" s="12">
        <v>1976</v>
      </c>
    </row>
    <row r="456" spans="1:4" ht="19.95" customHeight="1" x14ac:dyDescent="0.25">
      <c r="A456" s="11" t="s">
        <v>16</v>
      </c>
      <c r="B456" s="12" t="s">
        <v>14</v>
      </c>
      <c r="C456" s="12"/>
      <c r="D456" s="12">
        <v>1976</v>
      </c>
    </row>
    <row r="457" spans="1:4" ht="19.95" customHeight="1" x14ac:dyDescent="0.25">
      <c r="A457" s="11" t="s">
        <v>17</v>
      </c>
      <c r="B457" s="12" t="s">
        <v>14</v>
      </c>
      <c r="C457" s="12"/>
      <c r="D457" s="12">
        <v>1976</v>
      </c>
    </row>
    <row r="458" spans="1:4" ht="19.95" customHeight="1" x14ac:dyDescent="0.25">
      <c r="A458" s="11" t="s">
        <v>2</v>
      </c>
      <c r="B458" s="12" t="s">
        <v>14</v>
      </c>
      <c r="C458" s="12"/>
      <c r="D458" s="12">
        <v>1976</v>
      </c>
    </row>
    <row r="459" spans="1:4" ht="19.95" customHeight="1" x14ac:dyDescent="0.25">
      <c r="A459" s="11" t="s">
        <v>18</v>
      </c>
      <c r="B459" s="12" t="s">
        <v>14</v>
      </c>
      <c r="C459" s="12"/>
      <c r="D459" s="12">
        <v>1976</v>
      </c>
    </row>
    <row r="460" spans="1:4" ht="19.95" customHeight="1" x14ac:dyDescent="0.25">
      <c r="A460" s="11" t="s">
        <v>19</v>
      </c>
      <c r="B460" s="12" t="s">
        <v>14</v>
      </c>
      <c r="C460" s="12"/>
      <c r="D460" s="12">
        <v>1976</v>
      </c>
    </row>
    <row r="461" spans="1:4" ht="19.95" customHeight="1" x14ac:dyDescent="0.25">
      <c r="A461" s="11" t="s">
        <v>20</v>
      </c>
      <c r="B461" s="12" t="s">
        <v>14</v>
      </c>
      <c r="C461" s="12"/>
      <c r="D461" s="12">
        <v>1976</v>
      </c>
    </row>
    <row r="462" spans="1:4" ht="19.95" customHeight="1" x14ac:dyDescent="0.25">
      <c r="A462" s="11" t="s">
        <v>21</v>
      </c>
      <c r="B462" s="12" t="s">
        <v>14</v>
      </c>
      <c r="C462" s="12"/>
      <c r="D462" s="12">
        <v>1976</v>
      </c>
    </row>
    <row r="463" spans="1:4" ht="19.95" customHeight="1" x14ac:dyDescent="0.25">
      <c r="A463" s="11" t="s">
        <v>22</v>
      </c>
      <c r="B463" s="12" t="s">
        <v>14</v>
      </c>
      <c r="C463" s="12"/>
      <c r="D463" s="12">
        <v>1976</v>
      </c>
    </row>
    <row r="464" spans="1:4" ht="19.95" customHeight="1" x14ac:dyDescent="0.25">
      <c r="A464" s="11" t="s">
        <v>23</v>
      </c>
      <c r="B464" s="12" t="s">
        <v>14</v>
      </c>
      <c r="C464" s="12"/>
      <c r="D464" s="12">
        <v>1976</v>
      </c>
    </row>
    <row r="465" spans="1:4" ht="19.95" customHeight="1" x14ac:dyDescent="0.25">
      <c r="A465" s="11" t="s">
        <v>24</v>
      </c>
      <c r="B465" s="12" t="s">
        <v>14</v>
      </c>
      <c r="C465" s="12"/>
      <c r="D465" s="12">
        <v>1976</v>
      </c>
    </row>
    <row r="466" spans="1:4" ht="19.95" customHeight="1" x14ac:dyDescent="0.25">
      <c r="A466" s="11" t="s">
        <v>25</v>
      </c>
      <c r="B466" s="12" t="s">
        <v>14</v>
      </c>
      <c r="C466" s="12"/>
      <c r="D466" s="12">
        <v>1976</v>
      </c>
    </row>
    <row r="467" spans="1:4" ht="19.95" customHeight="1" x14ac:dyDescent="0.25">
      <c r="A467" s="11" t="s">
        <v>26</v>
      </c>
      <c r="B467" s="12" t="s">
        <v>14</v>
      </c>
      <c r="C467" s="12"/>
      <c r="D467" s="12">
        <v>1976</v>
      </c>
    </row>
    <row r="468" spans="1:4" ht="19.95" customHeight="1" x14ac:dyDescent="0.25">
      <c r="A468" s="11" t="s">
        <v>27</v>
      </c>
      <c r="B468" s="12" t="s">
        <v>14</v>
      </c>
      <c r="C468" s="12"/>
      <c r="D468" s="12">
        <v>1976</v>
      </c>
    </row>
    <row r="469" spans="1:4" ht="19.95" customHeight="1" x14ac:dyDescent="0.25">
      <c r="A469" s="11" t="s">
        <v>29</v>
      </c>
      <c r="B469" s="12" t="s">
        <v>14</v>
      </c>
      <c r="C469" s="12"/>
      <c r="D469" s="12">
        <v>1976</v>
      </c>
    </row>
    <row r="470" spans="1:4" ht="19.95" customHeight="1" x14ac:dyDescent="0.25">
      <c r="A470" s="11" t="s">
        <v>30</v>
      </c>
      <c r="B470" s="12" t="s">
        <v>14</v>
      </c>
      <c r="C470" s="12"/>
      <c r="D470" s="12">
        <v>1976</v>
      </c>
    </row>
    <row r="471" spans="1:4" ht="19.95" customHeight="1" x14ac:dyDescent="0.25">
      <c r="A471" s="11" t="s">
        <v>31</v>
      </c>
      <c r="B471" s="12" t="s">
        <v>14</v>
      </c>
      <c r="C471" s="12"/>
      <c r="D471" s="12">
        <v>1976</v>
      </c>
    </row>
    <row r="472" spans="1:4" ht="19.95" customHeight="1" x14ac:dyDescent="0.25">
      <c r="A472" s="11" t="s">
        <v>32</v>
      </c>
      <c r="B472" s="12" t="s">
        <v>14</v>
      </c>
      <c r="C472" s="12"/>
      <c r="D472" s="12">
        <v>1976</v>
      </c>
    </row>
    <row r="473" spans="1:4" ht="19.95" customHeight="1" x14ac:dyDescent="0.25">
      <c r="A473" s="11" t="s">
        <v>33</v>
      </c>
      <c r="B473" s="12" t="s">
        <v>14</v>
      </c>
      <c r="C473" s="12"/>
      <c r="D473" s="12">
        <v>1976</v>
      </c>
    </row>
    <row r="474" spans="1:4" ht="19.95" customHeight="1" x14ac:dyDescent="0.25">
      <c r="A474" s="11" t="s">
        <v>34</v>
      </c>
      <c r="B474" s="12" t="s">
        <v>14</v>
      </c>
      <c r="C474" s="12"/>
      <c r="D474" s="12">
        <v>1976</v>
      </c>
    </row>
    <row r="475" spans="1:4" ht="19.95" customHeight="1" x14ac:dyDescent="0.25">
      <c r="A475" s="11" t="s">
        <v>35</v>
      </c>
      <c r="B475" s="12" t="s">
        <v>14</v>
      </c>
      <c r="C475" s="12"/>
      <c r="D475" s="12">
        <v>1976</v>
      </c>
    </row>
    <row r="476" spans="1:4" ht="19.95" customHeight="1" x14ac:dyDescent="0.25">
      <c r="A476" s="11" t="s">
        <v>36</v>
      </c>
      <c r="B476" s="12" t="s">
        <v>14</v>
      </c>
      <c r="C476" s="12"/>
      <c r="D476" s="12">
        <v>1976</v>
      </c>
    </row>
    <row r="477" spans="1:4" ht="19.95" customHeight="1" x14ac:dyDescent="0.25">
      <c r="A477" s="11" t="s">
        <v>37</v>
      </c>
      <c r="B477" s="12" t="s">
        <v>14</v>
      </c>
      <c r="C477" s="12"/>
      <c r="D477" s="12">
        <v>1976</v>
      </c>
    </row>
    <row r="478" spans="1:4" ht="19.95" customHeight="1" x14ac:dyDescent="0.25">
      <c r="A478" s="11" t="s">
        <v>38</v>
      </c>
      <c r="B478" s="12" t="s">
        <v>14</v>
      </c>
      <c r="C478" s="12"/>
      <c r="D478" s="12">
        <v>1976</v>
      </c>
    </row>
    <row r="479" spans="1:4" ht="19.95" customHeight="1" x14ac:dyDescent="0.25">
      <c r="A479" s="11" t="s">
        <v>39</v>
      </c>
      <c r="B479" s="12" t="s">
        <v>14</v>
      </c>
      <c r="C479" s="12"/>
      <c r="D479" s="12">
        <v>1976</v>
      </c>
    </row>
    <row r="480" spans="1:4" ht="19.95" customHeight="1" x14ac:dyDescent="0.25">
      <c r="A480" s="11" t="s">
        <v>40</v>
      </c>
      <c r="B480" s="12" t="s">
        <v>14</v>
      </c>
      <c r="C480" s="12"/>
      <c r="D480" s="12">
        <v>1976</v>
      </c>
    </row>
    <row r="481" spans="1:4" ht="19.95" customHeight="1" x14ac:dyDescent="0.25">
      <c r="A481" s="11" t="s">
        <v>10</v>
      </c>
      <c r="B481" s="12" t="s">
        <v>14</v>
      </c>
      <c r="C481" s="12"/>
      <c r="D481" s="12">
        <v>1977</v>
      </c>
    </row>
    <row r="482" spans="1:4" ht="19.95" customHeight="1" x14ac:dyDescent="0.25">
      <c r="A482" s="11" t="s">
        <v>13</v>
      </c>
      <c r="B482" s="12" t="s">
        <v>14</v>
      </c>
      <c r="C482" s="12"/>
      <c r="D482" s="12">
        <v>1977</v>
      </c>
    </row>
    <row r="483" spans="1:4" ht="19.95" customHeight="1" x14ac:dyDescent="0.25">
      <c r="A483" s="11" t="s">
        <v>15</v>
      </c>
      <c r="B483" s="12" t="s">
        <v>14</v>
      </c>
      <c r="C483" s="12"/>
      <c r="D483" s="12">
        <v>1977</v>
      </c>
    </row>
    <row r="484" spans="1:4" ht="19.95" customHeight="1" x14ac:dyDescent="0.25">
      <c r="A484" s="11" t="s">
        <v>16</v>
      </c>
      <c r="B484" s="12" t="s">
        <v>14</v>
      </c>
      <c r="C484" s="12"/>
      <c r="D484" s="12">
        <v>1977</v>
      </c>
    </row>
    <row r="485" spans="1:4" ht="19.95" customHeight="1" x14ac:dyDescent="0.25">
      <c r="A485" s="11" t="s">
        <v>17</v>
      </c>
      <c r="B485" s="12" t="s">
        <v>14</v>
      </c>
      <c r="C485" s="12"/>
      <c r="D485" s="12">
        <v>1977</v>
      </c>
    </row>
    <row r="486" spans="1:4" ht="19.95" customHeight="1" x14ac:dyDescent="0.25">
      <c r="A486" s="11" t="s">
        <v>2</v>
      </c>
      <c r="B486" s="12" t="s">
        <v>14</v>
      </c>
      <c r="C486" s="12"/>
      <c r="D486" s="12">
        <v>1977</v>
      </c>
    </row>
    <row r="487" spans="1:4" ht="19.95" customHeight="1" x14ac:dyDescent="0.25">
      <c r="A487" s="11" t="s">
        <v>18</v>
      </c>
      <c r="B487" s="12" t="s">
        <v>14</v>
      </c>
      <c r="C487" s="12"/>
      <c r="D487" s="12">
        <v>1977</v>
      </c>
    </row>
    <row r="488" spans="1:4" ht="19.95" customHeight="1" x14ac:dyDescent="0.25">
      <c r="A488" s="11" t="s">
        <v>19</v>
      </c>
      <c r="B488" s="12" t="s">
        <v>14</v>
      </c>
      <c r="C488" s="12"/>
      <c r="D488" s="12">
        <v>1977</v>
      </c>
    </row>
    <row r="489" spans="1:4" ht="19.95" customHeight="1" x14ac:dyDescent="0.25">
      <c r="A489" s="11" t="s">
        <v>20</v>
      </c>
      <c r="B489" s="12" t="s">
        <v>14</v>
      </c>
      <c r="C489" s="12"/>
      <c r="D489" s="12">
        <v>1977</v>
      </c>
    </row>
    <row r="490" spans="1:4" ht="19.95" customHeight="1" x14ac:dyDescent="0.25">
      <c r="A490" s="11" t="s">
        <v>21</v>
      </c>
      <c r="B490" s="12" t="s">
        <v>14</v>
      </c>
      <c r="C490" s="12"/>
      <c r="D490" s="12">
        <v>1977</v>
      </c>
    </row>
    <row r="491" spans="1:4" ht="19.95" customHeight="1" x14ac:dyDescent="0.25">
      <c r="A491" s="11" t="s">
        <v>22</v>
      </c>
      <c r="B491" s="12" t="s">
        <v>14</v>
      </c>
      <c r="C491" s="12"/>
      <c r="D491" s="12">
        <v>1977</v>
      </c>
    </row>
    <row r="492" spans="1:4" ht="19.95" customHeight="1" x14ac:dyDescent="0.25">
      <c r="A492" s="11" t="s">
        <v>23</v>
      </c>
      <c r="B492" s="12" t="s">
        <v>14</v>
      </c>
      <c r="C492" s="12"/>
      <c r="D492" s="12">
        <v>1977</v>
      </c>
    </row>
    <row r="493" spans="1:4" ht="19.95" customHeight="1" x14ac:dyDescent="0.25">
      <c r="A493" s="11" t="s">
        <v>24</v>
      </c>
      <c r="B493" s="12" t="s">
        <v>14</v>
      </c>
      <c r="C493" s="12"/>
      <c r="D493" s="12">
        <v>1977</v>
      </c>
    </row>
    <row r="494" spans="1:4" ht="19.95" customHeight="1" x14ac:dyDescent="0.25">
      <c r="A494" s="11" t="s">
        <v>25</v>
      </c>
      <c r="B494" s="12" t="s">
        <v>14</v>
      </c>
      <c r="C494" s="12"/>
      <c r="D494" s="12">
        <v>1977</v>
      </c>
    </row>
    <row r="495" spans="1:4" ht="19.95" customHeight="1" x14ac:dyDescent="0.25">
      <c r="A495" s="11" t="s">
        <v>26</v>
      </c>
      <c r="B495" s="12" t="s">
        <v>14</v>
      </c>
      <c r="C495" s="12"/>
      <c r="D495" s="12">
        <v>1977</v>
      </c>
    </row>
    <row r="496" spans="1:4" ht="19.95" customHeight="1" x14ac:dyDescent="0.25">
      <c r="A496" s="11" t="s">
        <v>27</v>
      </c>
      <c r="B496" s="12" t="s">
        <v>14</v>
      </c>
      <c r="C496" s="12"/>
      <c r="D496" s="12">
        <v>1977</v>
      </c>
    </row>
    <row r="497" spans="1:4" ht="19.95" customHeight="1" x14ac:dyDescent="0.25">
      <c r="A497" s="11" t="s">
        <v>29</v>
      </c>
      <c r="B497" s="12" t="s">
        <v>14</v>
      </c>
      <c r="C497" s="12"/>
      <c r="D497" s="12">
        <v>1977</v>
      </c>
    </row>
    <row r="498" spans="1:4" ht="19.95" customHeight="1" x14ac:dyDescent="0.25">
      <c r="A498" s="11" t="s">
        <v>30</v>
      </c>
      <c r="B498" s="12" t="s">
        <v>14</v>
      </c>
      <c r="C498" s="12"/>
      <c r="D498" s="12">
        <v>1977</v>
      </c>
    </row>
    <row r="499" spans="1:4" ht="19.95" customHeight="1" x14ac:dyDescent="0.25">
      <c r="A499" s="11" t="s">
        <v>31</v>
      </c>
      <c r="B499" s="12" t="s">
        <v>14</v>
      </c>
      <c r="C499" s="12"/>
      <c r="D499" s="12">
        <v>1977</v>
      </c>
    </row>
    <row r="500" spans="1:4" ht="19.95" customHeight="1" x14ac:dyDescent="0.25">
      <c r="A500" s="11" t="s">
        <v>32</v>
      </c>
      <c r="B500" s="12" t="s">
        <v>14</v>
      </c>
      <c r="C500" s="12"/>
      <c r="D500" s="12">
        <v>1977</v>
      </c>
    </row>
    <row r="501" spans="1:4" ht="19.95" customHeight="1" x14ac:dyDescent="0.25">
      <c r="A501" s="11" t="s">
        <v>33</v>
      </c>
      <c r="B501" s="12" t="s">
        <v>14</v>
      </c>
      <c r="C501" s="12"/>
      <c r="D501" s="12">
        <v>1977</v>
      </c>
    </row>
    <row r="502" spans="1:4" ht="19.95" customHeight="1" x14ac:dyDescent="0.25">
      <c r="A502" s="11" t="s">
        <v>34</v>
      </c>
      <c r="B502" s="12" t="s">
        <v>14</v>
      </c>
      <c r="C502" s="12"/>
      <c r="D502" s="12">
        <v>1977</v>
      </c>
    </row>
    <row r="503" spans="1:4" ht="19.95" customHeight="1" x14ac:dyDescent="0.25">
      <c r="A503" s="11" t="s">
        <v>35</v>
      </c>
      <c r="B503" s="12" t="s">
        <v>14</v>
      </c>
      <c r="C503" s="12"/>
      <c r="D503" s="12">
        <v>1977</v>
      </c>
    </row>
    <row r="504" spans="1:4" ht="19.95" customHeight="1" x14ac:dyDescent="0.25">
      <c r="A504" s="11" t="s">
        <v>36</v>
      </c>
      <c r="B504" s="12" t="s">
        <v>14</v>
      </c>
      <c r="C504" s="12"/>
      <c r="D504" s="12">
        <v>1977</v>
      </c>
    </row>
    <row r="505" spans="1:4" ht="19.95" customHeight="1" x14ac:dyDescent="0.25">
      <c r="A505" s="11" t="s">
        <v>37</v>
      </c>
      <c r="B505" s="12" t="s">
        <v>14</v>
      </c>
      <c r="C505" s="12"/>
      <c r="D505" s="12">
        <v>1977</v>
      </c>
    </row>
    <row r="506" spans="1:4" ht="19.95" customHeight="1" x14ac:dyDescent="0.25">
      <c r="A506" s="11" t="s">
        <v>38</v>
      </c>
      <c r="B506" s="12" t="s">
        <v>14</v>
      </c>
      <c r="C506" s="12"/>
      <c r="D506" s="12">
        <v>1977</v>
      </c>
    </row>
    <row r="507" spans="1:4" ht="19.95" customHeight="1" x14ac:dyDescent="0.25">
      <c r="A507" s="11" t="s">
        <v>39</v>
      </c>
      <c r="B507" s="12" t="s">
        <v>14</v>
      </c>
      <c r="C507" s="12"/>
      <c r="D507" s="12">
        <v>1977</v>
      </c>
    </row>
    <row r="508" spans="1:4" ht="19.95" customHeight="1" x14ac:dyDescent="0.25">
      <c r="A508" s="11" t="s">
        <v>40</v>
      </c>
      <c r="B508" s="12" t="s">
        <v>14</v>
      </c>
      <c r="C508" s="12"/>
      <c r="D508" s="12">
        <v>1977</v>
      </c>
    </row>
    <row r="509" spans="1:4" ht="19.95" customHeight="1" x14ac:dyDescent="0.25">
      <c r="A509" s="11" t="s">
        <v>10</v>
      </c>
      <c r="B509" s="12" t="s">
        <v>14</v>
      </c>
      <c r="C509" s="12"/>
      <c r="D509" s="12">
        <v>1978</v>
      </c>
    </row>
    <row r="510" spans="1:4" ht="19.95" customHeight="1" x14ac:dyDescent="0.25">
      <c r="A510" s="11" t="s">
        <v>13</v>
      </c>
      <c r="B510" s="12" t="s">
        <v>14</v>
      </c>
      <c r="C510" s="12"/>
      <c r="D510" s="12">
        <v>1978</v>
      </c>
    </row>
    <row r="511" spans="1:4" ht="19.95" customHeight="1" x14ac:dyDescent="0.25">
      <c r="A511" s="11" t="s">
        <v>15</v>
      </c>
      <c r="B511" s="12" t="s">
        <v>14</v>
      </c>
      <c r="C511" s="12"/>
      <c r="D511" s="12">
        <v>1978</v>
      </c>
    </row>
    <row r="512" spans="1:4" ht="19.95" customHeight="1" x14ac:dyDescent="0.25">
      <c r="A512" s="11" t="s">
        <v>16</v>
      </c>
      <c r="B512" s="12" t="s">
        <v>14</v>
      </c>
      <c r="C512" s="12"/>
      <c r="D512" s="12">
        <v>1978</v>
      </c>
    </row>
    <row r="513" spans="1:4" ht="19.95" customHeight="1" x14ac:dyDescent="0.25">
      <c r="A513" s="11" t="s">
        <v>17</v>
      </c>
      <c r="B513" s="12" t="s">
        <v>14</v>
      </c>
      <c r="C513" s="12"/>
      <c r="D513" s="12">
        <v>1978</v>
      </c>
    </row>
    <row r="514" spans="1:4" ht="19.95" customHeight="1" x14ac:dyDescent="0.25">
      <c r="A514" s="11" t="s">
        <v>2</v>
      </c>
      <c r="B514" s="12" t="s">
        <v>14</v>
      </c>
      <c r="C514" s="12"/>
      <c r="D514" s="12">
        <v>1978</v>
      </c>
    </row>
    <row r="515" spans="1:4" ht="19.95" customHeight="1" x14ac:dyDescent="0.25">
      <c r="A515" s="11" t="s">
        <v>18</v>
      </c>
      <c r="B515" s="12" t="s">
        <v>14</v>
      </c>
      <c r="C515" s="12"/>
      <c r="D515" s="12">
        <v>1978</v>
      </c>
    </row>
    <row r="516" spans="1:4" ht="19.95" customHeight="1" x14ac:dyDescent="0.25">
      <c r="A516" s="11" t="s">
        <v>19</v>
      </c>
      <c r="B516" s="12" t="s">
        <v>14</v>
      </c>
      <c r="C516" s="12"/>
      <c r="D516" s="12">
        <v>1978</v>
      </c>
    </row>
    <row r="517" spans="1:4" ht="19.95" customHeight="1" x14ac:dyDescent="0.25">
      <c r="A517" s="11" t="s">
        <v>20</v>
      </c>
      <c r="B517" s="12" t="s">
        <v>14</v>
      </c>
      <c r="C517" s="12"/>
      <c r="D517" s="12">
        <v>1978</v>
      </c>
    </row>
    <row r="518" spans="1:4" ht="19.95" customHeight="1" x14ac:dyDescent="0.25">
      <c r="A518" s="11" t="s">
        <v>21</v>
      </c>
      <c r="B518" s="12" t="s">
        <v>14</v>
      </c>
      <c r="C518" s="12"/>
      <c r="D518" s="12">
        <v>1978</v>
      </c>
    </row>
    <row r="519" spans="1:4" ht="19.95" customHeight="1" x14ac:dyDescent="0.25">
      <c r="A519" s="11" t="s">
        <v>22</v>
      </c>
      <c r="B519" s="12" t="s">
        <v>14</v>
      </c>
      <c r="C519" s="12"/>
      <c r="D519" s="12">
        <v>1978</v>
      </c>
    </row>
    <row r="520" spans="1:4" ht="19.95" customHeight="1" x14ac:dyDescent="0.25">
      <c r="A520" s="11" t="s">
        <v>23</v>
      </c>
      <c r="B520" s="12" t="s">
        <v>14</v>
      </c>
      <c r="C520" s="12"/>
      <c r="D520" s="12">
        <v>1978</v>
      </c>
    </row>
    <row r="521" spans="1:4" ht="19.95" customHeight="1" x14ac:dyDescent="0.25">
      <c r="A521" s="11" t="s">
        <v>24</v>
      </c>
      <c r="B521" s="12" t="s">
        <v>14</v>
      </c>
      <c r="C521" s="12"/>
      <c r="D521" s="12">
        <v>1978</v>
      </c>
    </row>
    <row r="522" spans="1:4" ht="19.95" customHeight="1" x14ac:dyDescent="0.25">
      <c r="A522" s="11" t="s">
        <v>25</v>
      </c>
      <c r="B522" s="12" t="s">
        <v>14</v>
      </c>
      <c r="C522" s="12"/>
      <c r="D522" s="12">
        <v>1978</v>
      </c>
    </row>
    <row r="523" spans="1:4" ht="19.95" customHeight="1" x14ac:dyDescent="0.25">
      <c r="A523" s="11" t="s">
        <v>26</v>
      </c>
      <c r="B523" s="12" t="s">
        <v>14</v>
      </c>
      <c r="C523" s="12"/>
      <c r="D523" s="12">
        <v>1978</v>
      </c>
    </row>
    <row r="524" spans="1:4" ht="19.95" customHeight="1" x14ac:dyDescent="0.25">
      <c r="A524" s="11" t="s">
        <v>27</v>
      </c>
      <c r="B524" s="12" t="s">
        <v>14</v>
      </c>
      <c r="C524" s="12"/>
      <c r="D524" s="12">
        <v>1978</v>
      </c>
    </row>
    <row r="525" spans="1:4" ht="19.95" customHeight="1" x14ac:dyDescent="0.25">
      <c r="A525" s="11" t="s">
        <v>29</v>
      </c>
      <c r="B525" s="12" t="s">
        <v>14</v>
      </c>
      <c r="C525" s="12"/>
      <c r="D525" s="12">
        <v>1978</v>
      </c>
    </row>
    <row r="526" spans="1:4" ht="19.95" customHeight="1" x14ac:dyDescent="0.25">
      <c r="A526" s="11" t="s">
        <v>30</v>
      </c>
      <c r="B526" s="12" t="s">
        <v>14</v>
      </c>
      <c r="C526" s="12"/>
      <c r="D526" s="12">
        <v>1978</v>
      </c>
    </row>
    <row r="527" spans="1:4" ht="19.95" customHeight="1" x14ac:dyDescent="0.25">
      <c r="A527" s="11" t="s">
        <v>31</v>
      </c>
      <c r="B527" s="12" t="s">
        <v>14</v>
      </c>
      <c r="C527" s="12"/>
      <c r="D527" s="12">
        <v>1978</v>
      </c>
    </row>
    <row r="528" spans="1:4" ht="19.95" customHeight="1" x14ac:dyDescent="0.25">
      <c r="A528" s="11" t="s">
        <v>32</v>
      </c>
      <c r="B528" s="12" t="s">
        <v>14</v>
      </c>
      <c r="C528" s="12"/>
      <c r="D528" s="12">
        <v>1978</v>
      </c>
    </row>
    <row r="529" spans="1:4" ht="19.95" customHeight="1" x14ac:dyDescent="0.25">
      <c r="A529" s="11" t="s">
        <v>33</v>
      </c>
      <c r="B529" s="12" t="s">
        <v>14</v>
      </c>
      <c r="C529" s="12"/>
      <c r="D529" s="12">
        <v>1978</v>
      </c>
    </row>
    <row r="530" spans="1:4" ht="19.95" customHeight="1" x14ac:dyDescent="0.25">
      <c r="A530" s="11" t="s">
        <v>34</v>
      </c>
      <c r="B530" s="12" t="s">
        <v>14</v>
      </c>
      <c r="C530" s="12"/>
      <c r="D530" s="12">
        <v>1978</v>
      </c>
    </row>
    <row r="531" spans="1:4" ht="19.95" customHeight="1" x14ac:dyDescent="0.25">
      <c r="A531" s="11" t="s">
        <v>35</v>
      </c>
      <c r="B531" s="12" t="s">
        <v>14</v>
      </c>
      <c r="C531" s="12"/>
      <c r="D531" s="12">
        <v>1978</v>
      </c>
    </row>
    <row r="532" spans="1:4" ht="19.95" customHeight="1" x14ac:dyDescent="0.25">
      <c r="A532" s="11" t="s">
        <v>36</v>
      </c>
      <c r="B532" s="12" t="s">
        <v>14</v>
      </c>
      <c r="C532" s="12"/>
      <c r="D532" s="12">
        <v>1978</v>
      </c>
    </row>
    <row r="533" spans="1:4" ht="19.95" customHeight="1" x14ac:dyDescent="0.25">
      <c r="A533" s="11" t="s">
        <v>37</v>
      </c>
      <c r="B533" s="12" t="s">
        <v>14</v>
      </c>
      <c r="C533" s="12"/>
      <c r="D533" s="12">
        <v>1978</v>
      </c>
    </row>
    <row r="534" spans="1:4" ht="19.95" customHeight="1" x14ac:dyDescent="0.25">
      <c r="A534" s="11" t="s">
        <v>38</v>
      </c>
      <c r="B534" s="12" t="s">
        <v>14</v>
      </c>
      <c r="C534" s="12"/>
      <c r="D534" s="12">
        <v>1978</v>
      </c>
    </row>
    <row r="535" spans="1:4" ht="19.95" customHeight="1" x14ac:dyDescent="0.25">
      <c r="A535" s="11" t="s">
        <v>39</v>
      </c>
      <c r="B535" s="12" t="s">
        <v>14</v>
      </c>
      <c r="C535" s="12"/>
      <c r="D535" s="12">
        <v>1978</v>
      </c>
    </row>
    <row r="536" spans="1:4" ht="19.95" customHeight="1" x14ac:dyDescent="0.25">
      <c r="A536" s="11" t="s">
        <v>40</v>
      </c>
      <c r="B536" s="12" t="s">
        <v>14</v>
      </c>
      <c r="C536" s="12"/>
      <c r="D536" s="12">
        <v>1978</v>
      </c>
    </row>
    <row r="537" spans="1:4" ht="19.95" customHeight="1" x14ac:dyDescent="0.25">
      <c r="A537" s="11" t="s">
        <v>10</v>
      </c>
      <c r="B537" s="12" t="s">
        <v>14</v>
      </c>
      <c r="C537" s="12"/>
      <c r="D537" s="12">
        <v>1979</v>
      </c>
    </row>
    <row r="538" spans="1:4" ht="19.95" customHeight="1" x14ac:dyDescent="0.25">
      <c r="A538" s="11" t="s">
        <v>13</v>
      </c>
      <c r="B538" s="12" t="s">
        <v>14</v>
      </c>
      <c r="C538" s="12"/>
      <c r="D538" s="12">
        <v>1979</v>
      </c>
    </row>
    <row r="539" spans="1:4" ht="19.95" customHeight="1" x14ac:dyDescent="0.25">
      <c r="A539" s="11" t="s">
        <v>15</v>
      </c>
      <c r="B539" s="12" t="s">
        <v>14</v>
      </c>
      <c r="C539" s="12"/>
      <c r="D539" s="12">
        <v>1979</v>
      </c>
    </row>
    <row r="540" spans="1:4" ht="19.95" customHeight="1" x14ac:dyDescent="0.25">
      <c r="A540" s="11" t="s">
        <v>16</v>
      </c>
      <c r="B540" s="12" t="s">
        <v>14</v>
      </c>
      <c r="C540" s="12"/>
      <c r="D540" s="12">
        <v>1979</v>
      </c>
    </row>
    <row r="541" spans="1:4" ht="19.95" customHeight="1" x14ac:dyDescent="0.25">
      <c r="A541" s="11" t="s">
        <v>17</v>
      </c>
      <c r="B541" s="12" t="s">
        <v>14</v>
      </c>
      <c r="C541" s="12"/>
      <c r="D541" s="12">
        <v>1979</v>
      </c>
    </row>
    <row r="542" spans="1:4" ht="19.95" customHeight="1" x14ac:dyDescent="0.25">
      <c r="A542" s="11" t="s">
        <v>2</v>
      </c>
      <c r="B542" s="12" t="s">
        <v>14</v>
      </c>
      <c r="C542" s="12"/>
      <c r="D542" s="12">
        <v>1979</v>
      </c>
    </row>
    <row r="543" spans="1:4" ht="19.95" customHeight="1" x14ac:dyDescent="0.25">
      <c r="A543" s="11" t="s">
        <v>18</v>
      </c>
      <c r="B543" s="12" t="s">
        <v>14</v>
      </c>
      <c r="C543" s="12"/>
      <c r="D543" s="12">
        <v>1979</v>
      </c>
    </row>
    <row r="544" spans="1:4" ht="19.95" customHeight="1" x14ac:dyDescent="0.25">
      <c r="A544" s="11" t="s">
        <v>19</v>
      </c>
      <c r="B544" s="12" t="s">
        <v>14</v>
      </c>
      <c r="C544" s="12"/>
      <c r="D544" s="12">
        <v>1979</v>
      </c>
    </row>
    <row r="545" spans="1:4" ht="19.95" customHeight="1" x14ac:dyDescent="0.25">
      <c r="A545" s="11" t="s">
        <v>20</v>
      </c>
      <c r="B545" s="12" t="s">
        <v>14</v>
      </c>
      <c r="C545" s="12"/>
      <c r="D545" s="12">
        <v>1979</v>
      </c>
    </row>
    <row r="546" spans="1:4" ht="19.95" customHeight="1" x14ac:dyDescent="0.25">
      <c r="A546" s="11" t="s">
        <v>21</v>
      </c>
      <c r="B546" s="12" t="s">
        <v>14</v>
      </c>
      <c r="C546" s="12"/>
      <c r="D546" s="12">
        <v>1979</v>
      </c>
    </row>
    <row r="547" spans="1:4" ht="19.95" customHeight="1" x14ac:dyDescent="0.25">
      <c r="A547" s="11" t="s">
        <v>22</v>
      </c>
      <c r="B547" s="12" t="s">
        <v>14</v>
      </c>
      <c r="C547" s="12"/>
      <c r="D547" s="12">
        <v>1979</v>
      </c>
    </row>
    <row r="548" spans="1:4" ht="19.95" customHeight="1" x14ac:dyDescent="0.25">
      <c r="A548" s="11" t="s">
        <v>23</v>
      </c>
      <c r="B548" s="12" t="s">
        <v>14</v>
      </c>
      <c r="C548" s="12"/>
      <c r="D548" s="12">
        <v>1979</v>
      </c>
    </row>
    <row r="549" spans="1:4" ht="19.95" customHeight="1" x14ac:dyDescent="0.25">
      <c r="A549" s="11" t="s">
        <v>24</v>
      </c>
      <c r="B549" s="12" t="s">
        <v>14</v>
      </c>
      <c r="C549" s="12"/>
      <c r="D549" s="12">
        <v>1979</v>
      </c>
    </row>
    <row r="550" spans="1:4" ht="19.95" customHeight="1" x14ac:dyDescent="0.25">
      <c r="A550" s="11" t="s">
        <v>25</v>
      </c>
      <c r="B550" s="12" t="s">
        <v>14</v>
      </c>
      <c r="C550" s="12"/>
      <c r="D550" s="12">
        <v>1979</v>
      </c>
    </row>
    <row r="551" spans="1:4" ht="19.95" customHeight="1" x14ac:dyDescent="0.25">
      <c r="A551" s="11" t="s">
        <v>26</v>
      </c>
      <c r="B551" s="12" t="s">
        <v>14</v>
      </c>
      <c r="C551" s="12"/>
      <c r="D551" s="12">
        <v>1979</v>
      </c>
    </row>
    <row r="552" spans="1:4" ht="19.95" customHeight="1" x14ac:dyDescent="0.25">
      <c r="A552" s="11" t="s">
        <v>27</v>
      </c>
      <c r="B552" s="12" t="s">
        <v>14</v>
      </c>
      <c r="C552" s="12"/>
      <c r="D552" s="12">
        <v>1979</v>
      </c>
    </row>
    <row r="553" spans="1:4" ht="19.95" customHeight="1" x14ac:dyDescent="0.25">
      <c r="A553" s="11" t="s">
        <v>29</v>
      </c>
      <c r="B553" s="12" t="s">
        <v>14</v>
      </c>
      <c r="C553" s="12"/>
      <c r="D553" s="12">
        <v>1979</v>
      </c>
    </row>
    <row r="554" spans="1:4" ht="19.95" customHeight="1" x14ac:dyDescent="0.25">
      <c r="A554" s="11" t="s">
        <v>30</v>
      </c>
      <c r="B554" s="12" t="s">
        <v>14</v>
      </c>
      <c r="C554" s="12"/>
      <c r="D554" s="12">
        <v>1979</v>
      </c>
    </row>
    <row r="555" spans="1:4" ht="19.95" customHeight="1" x14ac:dyDescent="0.25">
      <c r="A555" s="11" t="s">
        <v>31</v>
      </c>
      <c r="B555" s="12" t="s">
        <v>14</v>
      </c>
      <c r="C555" s="12"/>
      <c r="D555" s="12">
        <v>1979</v>
      </c>
    </row>
    <row r="556" spans="1:4" ht="19.95" customHeight="1" x14ac:dyDescent="0.25">
      <c r="A556" s="11" t="s">
        <v>32</v>
      </c>
      <c r="B556" s="12" t="s">
        <v>14</v>
      </c>
      <c r="C556" s="12"/>
      <c r="D556" s="12">
        <v>1979</v>
      </c>
    </row>
    <row r="557" spans="1:4" ht="19.95" customHeight="1" x14ac:dyDescent="0.25">
      <c r="A557" s="11" t="s">
        <v>33</v>
      </c>
      <c r="B557" s="12" t="s">
        <v>14</v>
      </c>
      <c r="C557" s="12"/>
      <c r="D557" s="12">
        <v>1979</v>
      </c>
    </row>
    <row r="558" spans="1:4" ht="19.95" customHeight="1" x14ac:dyDescent="0.25">
      <c r="A558" s="11" t="s">
        <v>34</v>
      </c>
      <c r="B558" s="12" t="s">
        <v>14</v>
      </c>
      <c r="C558" s="12"/>
      <c r="D558" s="12">
        <v>1979</v>
      </c>
    </row>
    <row r="559" spans="1:4" ht="19.95" customHeight="1" x14ac:dyDescent="0.25">
      <c r="A559" s="11" t="s">
        <v>35</v>
      </c>
      <c r="B559" s="12" t="s">
        <v>14</v>
      </c>
      <c r="C559" s="12"/>
      <c r="D559" s="12">
        <v>1979</v>
      </c>
    </row>
    <row r="560" spans="1:4" ht="19.95" customHeight="1" x14ac:dyDescent="0.25">
      <c r="A560" s="11" t="s">
        <v>36</v>
      </c>
      <c r="B560" s="12" t="s">
        <v>14</v>
      </c>
      <c r="C560" s="12"/>
      <c r="D560" s="12">
        <v>1979</v>
      </c>
    </row>
    <row r="561" spans="1:4" ht="19.95" customHeight="1" x14ac:dyDescent="0.25">
      <c r="A561" s="11" t="s">
        <v>37</v>
      </c>
      <c r="B561" s="12" t="s">
        <v>14</v>
      </c>
      <c r="C561" s="12"/>
      <c r="D561" s="12">
        <v>1979</v>
      </c>
    </row>
    <row r="562" spans="1:4" ht="19.95" customHeight="1" x14ac:dyDescent="0.25">
      <c r="A562" s="11" t="s">
        <v>38</v>
      </c>
      <c r="B562" s="12" t="s">
        <v>14</v>
      </c>
      <c r="C562" s="12"/>
      <c r="D562" s="12">
        <v>1979</v>
      </c>
    </row>
    <row r="563" spans="1:4" ht="19.95" customHeight="1" x14ac:dyDescent="0.25">
      <c r="A563" s="11" t="s">
        <v>39</v>
      </c>
      <c r="B563" s="12" t="s">
        <v>14</v>
      </c>
      <c r="C563" s="12"/>
      <c r="D563" s="12">
        <v>1979</v>
      </c>
    </row>
    <row r="564" spans="1:4" ht="19.95" customHeight="1" x14ac:dyDescent="0.25">
      <c r="A564" s="11" t="s">
        <v>40</v>
      </c>
      <c r="B564" s="12" t="s">
        <v>14</v>
      </c>
      <c r="C564" s="12"/>
      <c r="D564" s="12">
        <v>1979</v>
      </c>
    </row>
    <row r="565" spans="1:4" ht="19.95" customHeight="1" x14ac:dyDescent="0.25">
      <c r="A565" s="11" t="s">
        <v>10</v>
      </c>
      <c r="B565" s="12" t="s">
        <v>14</v>
      </c>
      <c r="C565" s="12"/>
      <c r="D565" s="12">
        <v>1980</v>
      </c>
    </row>
    <row r="566" spans="1:4" ht="19.95" customHeight="1" x14ac:dyDescent="0.25">
      <c r="A566" s="11" t="s">
        <v>13</v>
      </c>
      <c r="B566" s="12" t="s">
        <v>14</v>
      </c>
      <c r="C566" s="12"/>
      <c r="D566" s="12">
        <v>1980</v>
      </c>
    </row>
    <row r="567" spans="1:4" ht="19.95" customHeight="1" x14ac:dyDescent="0.25">
      <c r="A567" s="11" t="s">
        <v>15</v>
      </c>
      <c r="B567" s="12" t="s">
        <v>14</v>
      </c>
      <c r="C567" s="12"/>
      <c r="D567" s="12">
        <v>1980</v>
      </c>
    </row>
    <row r="568" spans="1:4" ht="19.95" customHeight="1" x14ac:dyDescent="0.25">
      <c r="A568" s="11" t="s">
        <v>16</v>
      </c>
      <c r="B568" s="12" t="s">
        <v>14</v>
      </c>
      <c r="C568" s="12"/>
      <c r="D568" s="12">
        <v>1980</v>
      </c>
    </row>
    <row r="569" spans="1:4" ht="19.95" customHeight="1" x14ac:dyDescent="0.25">
      <c r="A569" s="11" t="s">
        <v>17</v>
      </c>
      <c r="B569" s="12" t="s">
        <v>14</v>
      </c>
      <c r="C569" s="12"/>
      <c r="D569" s="12">
        <v>1980</v>
      </c>
    </row>
    <row r="570" spans="1:4" ht="19.95" customHeight="1" x14ac:dyDescent="0.25">
      <c r="A570" s="11" t="s">
        <v>2</v>
      </c>
      <c r="B570" s="12" t="s">
        <v>14</v>
      </c>
      <c r="C570" s="12"/>
      <c r="D570" s="12">
        <v>1980</v>
      </c>
    </row>
    <row r="571" spans="1:4" ht="19.95" customHeight="1" x14ac:dyDescent="0.25">
      <c r="A571" s="11" t="s">
        <v>18</v>
      </c>
      <c r="B571" s="12" t="s">
        <v>14</v>
      </c>
      <c r="C571" s="12"/>
      <c r="D571" s="12">
        <v>1980</v>
      </c>
    </row>
    <row r="572" spans="1:4" ht="19.95" customHeight="1" x14ac:dyDescent="0.25">
      <c r="A572" s="11" t="s">
        <v>19</v>
      </c>
      <c r="B572" s="12" t="s">
        <v>14</v>
      </c>
      <c r="C572" s="12"/>
      <c r="D572" s="12">
        <v>1980</v>
      </c>
    </row>
    <row r="573" spans="1:4" ht="19.95" customHeight="1" x14ac:dyDescent="0.25">
      <c r="A573" s="11" t="s">
        <v>20</v>
      </c>
      <c r="B573" s="12" t="s">
        <v>14</v>
      </c>
      <c r="C573" s="12"/>
      <c r="D573" s="12">
        <v>1980</v>
      </c>
    </row>
    <row r="574" spans="1:4" ht="19.95" customHeight="1" x14ac:dyDescent="0.25">
      <c r="A574" s="11" t="s">
        <v>21</v>
      </c>
      <c r="B574" s="12" t="s">
        <v>14</v>
      </c>
      <c r="C574" s="12"/>
      <c r="D574" s="12">
        <v>1980</v>
      </c>
    </row>
    <row r="575" spans="1:4" ht="19.95" customHeight="1" x14ac:dyDescent="0.25">
      <c r="A575" s="11" t="s">
        <v>22</v>
      </c>
      <c r="B575" s="12" t="s">
        <v>14</v>
      </c>
      <c r="C575" s="12"/>
      <c r="D575" s="12">
        <v>1980</v>
      </c>
    </row>
    <row r="576" spans="1:4" ht="19.95" customHeight="1" x14ac:dyDescent="0.25">
      <c r="A576" s="11" t="s">
        <v>23</v>
      </c>
      <c r="B576" s="12" t="s">
        <v>14</v>
      </c>
      <c r="C576" s="12"/>
      <c r="D576" s="12">
        <v>1980</v>
      </c>
    </row>
    <row r="577" spans="1:4" ht="19.95" customHeight="1" x14ac:dyDescent="0.25">
      <c r="A577" s="11" t="s">
        <v>24</v>
      </c>
      <c r="B577" s="12" t="s">
        <v>14</v>
      </c>
      <c r="C577" s="12"/>
      <c r="D577" s="12">
        <v>1980</v>
      </c>
    </row>
    <row r="578" spans="1:4" ht="19.95" customHeight="1" x14ac:dyDescent="0.25">
      <c r="A578" s="11" t="s">
        <v>25</v>
      </c>
      <c r="B578" s="12" t="s">
        <v>14</v>
      </c>
      <c r="C578" s="12"/>
      <c r="D578" s="12">
        <v>1980</v>
      </c>
    </row>
    <row r="579" spans="1:4" ht="19.95" customHeight="1" x14ac:dyDescent="0.25">
      <c r="A579" s="11" t="s">
        <v>26</v>
      </c>
      <c r="B579" s="12" t="s">
        <v>14</v>
      </c>
      <c r="C579" s="12"/>
      <c r="D579" s="12">
        <v>1980</v>
      </c>
    </row>
    <row r="580" spans="1:4" ht="19.95" customHeight="1" x14ac:dyDescent="0.25">
      <c r="A580" s="11" t="s">
        <v>27</v>
      </c>
      <c r="B580" s="12" t="s">
        <v>14</v>
      </c>
      <c r="C580" s="12"/>
      <c r="D580" s="12">
        <v>1980</v>
      </c>
    </row>
    <row r="581" spans="1:4" ht="19.95" customHeight="1" x14ac:dyDescent="0.25">
      <c r="A581" s="11" t="s">
        <v>29</v>
      </c>
      <c r="B581" s="12" t="s">
        <v>14</v>
      </c>
      <c r="C581" s="12"/>
      <c r="D581" s="12">
        <v>1980</v>
      </c>
    </row>
    <row r="582" spans="1:4" ht="19.95" customHeight="1" x14ac:dyDescent="0.25">
      <c r="A582" s="11" t="s">
        <v>30</v>
      </c>
      <c r="B582" s="12" t="s">
        <v>14</v>
      </c>
      <c r="C582" s="12"/>
      <c r="D582" s="12">
        <v>1980</v>
      </c>
    </row>
    <row r="583" spans="1:4" ht="19.95" customHeight="1" x14ac:dyDescent="0.25">
      <c r="A583" s="11" t="s">
        <v>31</v>
      </c>
      <c r="B583" s="12" t="s">
        <v>14</v>
      </c>
      <c r="C583" s="12"/>
      <c r="D583" s="12">
        <v>1980</v>
      </c>
    </row>
    <row r="584" spans="1:4" ht="19.95" customHeight="1" x14ac:dyDescent="0.25">
      <c r="A584" s="11" t="s">
        <v>32</v>
      </c>
      <c r="B584" s="12" t="s">
        <v>14</v>
      </c>
      <c r="C584" s="12"/>
      <c r="D584" s="12">
        <v>1980</v>
      </c>
    </row>
    <row r="585" spans="1:4" ht="19.95" customHeight="1" x14ac:dyDescent="0.25">
      <c r="A585" s="11" t="s">
        <v>33</v>
      </c>
      <c r="B585" s="12" t="s">
        <v>14</v>
      </c>
      <c r="C585" s="12"/>
      <c r="D585" s="12">
        <v>1980</v>
      </c>
    </row>
    <row r="586" spans="1:4" ht="19.95" customHeight="1" x14ac:dyDescent="0.25">
      <c r="A586" s="11" t="s">
        <v>34</v>
      </c>
      <c r="B586" s="12" t="s">
        <v>14</v>
      </c>
      <c r="C586" s="12"/>
      <c r="D586" s="12">
        <v>1980</v>
      </c>
    </row>
    <row r="587" spans="1:4" ht="19.95" customHeight="1" x14ac:dyDescent="0.25">
      <c r="A587" s="11" t="s">
        <v>35</v>
      </c>
      <c r="B587" s="12" t="s">
        <v>14</v>
      </c>
      <c r="C587" s="12"/>
      <c r="D587" s="12">
        <v>1980</v>
      </c>
    </row>
    <row r="588" spans="1:4" ht="19.95" customHeight="1" x14ac:dyDescent="0.25">
      <c r="A588" s="11" t="s">
        <v>36</v>
      </c>
      <c r="B588" s="12" t="s">
        <v>14</v>
      </c>
      <c r="C588" s="12"/>
      <c r="D588" s="12">
        <v>1980</v>
      </c>
    </row>
    <row r="589" spans="1:4" ht="19.95" customHeight="1" x14ac:dyDescent="0.25">
      <c r="A589" s="11" t="s">
        <v>37</v>
      </c>
      <c r="B589" s="12" t="s">
        <v>14</v>
      </c>
      <c r="C589" s="12"/>
      <c r="D589" s="12">
        <v>1980</v>
      </c>
    </row>
    <row r="590" spans="1:4" ht="19.95" customHeight="1" x14ac:dyDescent="0.25">
      <c r="A590" s="11" t="s">
        <v>38</v>
      </c>
      <c r="B590" s="12" t="s">
        <v>14</v>
      </c>
      <c r="C590" s="12"/>
      <c r="D590" s="12">
        <v>1980</v>
      </c>
    </row>
    <row r="591" spans="1:4" ht="19.95" customHeight="1" x14ac:dyDescent="0.25">
      <c r="A591" s="11" t="s">
        <v>39</v>
      </c>
      <c r="B591" s="12" t="s">
        <v>14</v>
      </c>
      <c r="C591" s="12"/>
      <c r="D591" s="12">
        <v>1980</v>
      </c>
    </row>
    <row r="592" spans="1:4" ht="19.95" customHeight="1" x14ac:dyDescent="0.25">
      <c r="A592" s="11" t="s">
        <v>40</v>
      </c>
      <c r="B592" s="12" t="s">
        <v>14</v>
      </c>
      <c r="C592" s="12"/>
      <c r="D592" s="12">
        <v>1980</v>
      </c>
    </row>
    <row r="593" spans="1:4" ht="19.95" customHeight="1" x14ac:dyDescent="0.25">
      <c r="A593" s="11" t="s">
        <v>10</v>
      </c>
      <c r="B593" s="12" t="s">
        <v>14</v>
      </c>
      <c r="C593" s="12"/>
      <c r="D593" s="12">
        <v>1981</v>
      </c>
    </row>
    <row r="594" spans="1:4" ht="19.95" customHeight="1" x14ac:dyDescent="0.25">
      <c r="A594" s="11" t="s">
        <v>13</v>
      </c>
      <c r="B594" s="12" t="s">
        <v>14</v>
      </c>
      <c r="C594" s="12"/>
      <c r="D594" s="12">
        <v>1981</v>
      </c>
    </row>
    <row r="595" spans="1:4" ht="19.95" customHeight="1" x14ac:dyDescent="0.25">
      <c r="A595" s="11" t="s">
        <v>15</v>
      </c>
      <c r="B595" s="12" t="s">
        <v>14</v>
      </c>
      <c r="C595" s="12"/>
      <c r="D595" s="12">
        <v>1981</v>
      </c>
    </row>
    <row r="596" spans="1:4" ht="19.95" customHeight="1" x14ac:dyDescent="0.25">
      <c r="A596" s="11" t="s">
        <v>16</v>
      </c>
      <c r="B596" s="12" t="s">
        <v>14</v>
      </c>
      <c r="C596" s="12"/>
      <c r="D596" s="12">
        <v>1981</v>
      </c>
    </row>
    <row r="597" spans="1:4" ht="19.95" customHeight="1" x14ac:dyDescent="0.25">
      <c r="A597" s="11" t="s">
        <v>17</v>
      </c>
      <c r="B597" s="12" t="s">
        <v>14</v>
      </c>
      <c r="C597" s="12"/>
      <c r="D597" s="12">
        <v>1981</v>
      </c>
    </row>
    <row r="598" spans="1:4" ht="19.95" customHeight="1" x14ac:dyDescent="0.25">
      <c r="A598" s="11" t="s">
        <v>2</v>
      </c>
      <c r="B598" s="12" t="s">
        <v>14</v>
      </c>
      <c r="C598" s="12"/>
      <c r="D598" s="12">
        <v>1981</v>
      </c>
    </row>
    <row r="599" spans="1:4" ht="19.95" customHeight="1" x14ac:dyDescent="0.25">
      <c r="A599" s="11" t="s">
        <v>18</v>
      </c>
      <c r="B599" s="12" t="s">
        <v>14</v>
      </c>
      <c r="C599" s="12"/>
      <c r="D599" s="12">
        <v>1981</v>
      </c>
    </row>
    <row r="600" spans="1:4" ht="19.95" customHeight="1" x14ac:dyDescent="0.25">
      <c r="A600" s="11" t="s">
        <v>19</v>
      </c>
      <c r="B600" s="12" t="s">
        <v>14</v>
      </c>
      <c r="C600" s="12"/>
      <c r="D600" s="12">
        <v>1981</v>
      </c>
    </row>
    <row r="601" spans="1:4" ht="19.95" customHeight="1" x14ac:dyDescent="0.25">
      <c r="A601" s="11" t="s">
        <v>20</v>
      </c>
      <c r="B601" s="12" t="s">
        <v>14</v>
      </c>
      <c r="C601" s="12"/>
      <c r="D601" s="12">
        <v>1981</v>
      </c>
    </row>
    <row r="602" spans="1:4" ht="19.95" customHeight="1" x14ac:dyDescent="0.25">
      <c r="A602" s="11" t="s">
        <v>21</v>
      </c>
      <c r="B602" s="12" t="s">
        <v>14</v>
      </c>
      <c r="C602" s="12"/>
      <c r="D602" s="12">
        <v>1981</v>
      </c>
    </row>
    <row r="603" spans="1:4" ht="19.95" customHeight="1" x14ac:dyDescent="0.25">
      <c r="A603" s="11" t="s">
        <v>22</v>
      </c>
      <c r="B603" s="12" t="s">
        <v>14</v>
      </c>
      <c r="C603" s="12"/>
      <c r="D603" s="12">
        <v>1981</v>
      </c>
    </row>
    <row r="604" spans="1:4" ht="19.95" customHeight="1" x14ac:dyDescent="0.25">
      <c r="A604" s="11" t="s">
        <v>23</v>
      </c>
      <c r="B604" s="12" t="s">
        <v>14</v>
      </c>
      <c r="C604" s="12"/>
      <c r="D604" s="12">
        <v>1981</v>
      </c>
    </row>
    <row r="605" spans="1:4" ht="19.95" customHeight="1" x14ac:dyDescent="0.25">
      <c r="A605" s="11" t="s">
        <v>24</v>
      </c>
      <c r="B605" s="12" t="s">
        <v>14</v>
      </c>
      <c r="C605" s="12"/>
      <c r="D605" s="12">
        <v>1981</v>
      </c>
    </row>
    <row r="606" spans="1:4" ht="19.95" customHeight="1" x14ac:dyDescent="0.25">
      <c r="A606" s="11" t="s">
        <v>25</v>
      </c>
      <c r="B606" s="12" t="s">
        <v>14</v>
      </c>
      <c r="C606" s="12"/>
      <c r="D606" s="12">
        <v>1981</v>
      </c>
    </row>
    <row r="607" spans="1:4" ht="19.95" customHeight="1" x14ac:dyDescent="0.25">
      <c r="A607" s="11" t="s">
        <v>26</v>
      </c>
      <c r="B607" s="12" t="s">
        <v>14</v>
      </c>
      <c r="C607" s="12"/>
      <c r="D607" s="12">
        <v>1981</v>
      </c>
    </row>
    <row r="608" spans="1:4" ht="19.95" customHeight="1" x14ac:dyDescent="0.25">
      <c r="A608" s="11" t="s">
        <v>27</v>
      </c>
      <c r="B608" s="12" t="s">
        <v>14</v>
      </c>
      <c r="C608" s="12"/>
      <c r="D608" s="12">
        <v>1981</v>
      </c>
    </row>
    <row r="609" spans="1:4" ht="19.95" customHeight="1" x14ac:dyDescent="0.25">
      <c r="A609" s="11" t="s">
        <v>29</v>
      </c>
      <c r="B609" s="12" t="s">
        <v>14</v>
      </c>
      <c r="C609" s="12"/>
      <c r="D609" s="12">
        <v>1981</v>
      </c>
    </row>
    <row r="610" spans="1:4" ht="19.95" customHeight="1" x14ac:dyDescent="0.25">
      <c r="A610" s="11" t="s">
        <v>30</v>
      </c>
      <c r="B610" s="12" t="s">
        <v>14</v>
      </c>
      <c r="C610" s="12"/>
      <c r="D610" s="12">
        <v>1981</v>
      </c>
    </row>
    <row r="611" spans="1:4" ht="19.95" customHeight="1" x14ac:dyDescent="0.25">
      <c r="A611" s="11" t="s">
        <v>31</v>
      </c>
      <c r="B611" s="12" t="s">
        <v>14</v>
      </c>
      <c r="C611" s="12"/>
      <c r="D611" s="12">
        <v>1981</v>
      </c>
    </row>
    <row r="612" spans="1:4" ht="19.95" customHeight="1" x14ac:dyDescent="0.25">
      <c r="A612" s="11" t="s">
        <v>32</v>
      </c>
      <c r="B612" s="12" t="s">
        <v>14</v>
      </c>
      <c r="C612" s="12"/>
      <c r="D612" s="12">
        <v>1981</v>
      </c>
    </row>
    <row r="613" spans="1:4" ht="19.95" customHeight="1" x14ac:dyDescent="0.25">
      <c r="A613" s="11" t="s">
        <v>33</v>
      </c>
      <c r="B613" s="12" t="s">
        <v>14</v>
      </c>
      <c r="C613" s="12"/>
      <c r="D613" s="12">
        <v>1981</v>
      </c>
    </row>
    <row r="614" spans="1:4" ht="19.95" customHeight="1" x14ac:dyDescent="0.25">
      <c r="A614" s="11" t="s">
        <v>34</v>
      </c>
      <c r="B614" s="12" t="s">
        <v>14</v>
      </c>
      <c r="C614" s="12"/>
      <c r="D614" s="12">
        <v>1981</v>
      </c>
    </row>
    <row r="615" spans="1:4" ht="19.95" customHeight="1" x14ac:dyDescent="0.25">
      <c r="A615" s="11" t="s">
        <v>35</v>
      </c>
      <c r="B615" s="12" t="s">
        <v>14</v>
      </c>
      <c r="C615" s="12"/>
      <c r="D615" s="12">
        <v>1981</v>
      </c>
    </row>
    <row r="616" spans="1:4" ht="19.95" customHeight="1" x14ac:dyDescent="0.25">
      <c r="A616" s="11" t="s">
        <v>36</v>
      </c>
      <c r="B616" s="12" t="s">
        <v>14</v>
      </c>
      <c r="C616" s="12"/>
      <c r="D616" s="12">
        <v>1981</v>
      </c>
    </row>
    <row r="617" spans="1:4" ht="19.95" customHeight="1" x14ac:dyDescent="0.25">
      <c r="A617" s="11" t="s">
        <v>37</v>
      </c>
      <c r="B617" s="12" t="s">
        <v>14</v>
      </c>
      <c r="C617" s="12"/>
      <c r="D617" s="12">
        <v>1981</v>
      </c>
    </row>
    <row r="618" spans="1:4" ht="19.95" customHeight="1" x14ac:dyDescent="0.25">
      <c r="A618" s="11" t="s">
        <v>38</v>
      </c>
      <c r="B618" s="12" t="s">
        <v>14</v>
      </c>
      <c r="C618" s="12"/>
      <c r="D618" s="12">
        <v>1981</v>
      </c>
    </row>
    <row r="619" spans="1:4" ht="19.95" customHeight="1" x14ac:dyDescent="0.25">
      <c r="A619" s="11" t="s">
        <v>39</v>
      </c>
      <c r="B619" s="12" t="s">
        <v>14</v>
      </c>
      <c r="C619" s="12"/>
      <c r="D619" s="12">
        <v>1981</v>
      </c>
    </row>
    <row r="620" spans="1:4" ht="19.95" customHeight="1" x14ac:dyDescent="0.25">
      <c r="A620" s="11" t="s">
        <v>40</v>
      </c>
      <c r="B620" s="12" t="s">
        <v>14</v>
      </c>
      <c r="C620" s="12"/>
      <c r="D620" s="12">
        <v>1981</v>
      </c>
    </row>
    <row r="621" spans="1:4" ht="19.95" customHeight="1" x14ac:dyDescent="0.25">
      <c r="A621" s="11" t="s">
        <v>10</v>
      </c>
      <c r="B621" s="12" t="s">
        <v>14</v>
      </c>
      <c r="C621" s="12"/>
      <c r="D621" s="12">
        <v>1982</v>
      </c>
    </row>
    <row r="622" spans="1:4" ht="19.95" customHeight="1" x14ac:dyDescent="0.25">
      <c r="A622" s="11" t="s">
        <v>13</v>
      </c>
      <c r="B622" s="12" t="s">
        <v>14</v>
      </c>
      <c r="C622" s="12"/>
      <c r="D622" s="12">
        <v>1982</v>
      </c>
    </row>
    <row r="623" spans="1:4" ht="19.95" customHeight="1" x14ac:dyDescent="0.25">
      <c r="A623" s="11" t="s">
        <v>15</v>
      </c>
      <c r="B623" s="12" t="s">
        <v>14</v>
      </c>
      <c r="C623" s="12"/>
      <c r="D623" s="12">
        <v>1982</v>
      </c>
    </row>
    <row r="624" spans="1:4" ht="19.95" customHeight="1" x14ac:dyDescent="0.25">
      <c r="A624" s="11" t="s">
        <v>16</v>
      </c>
      <c r="B624" s="12" t="s">
        <v>14</v>
      </c>
      <c r="C624" s="12"/>
      <c r="D624" s="12">
        <v>1982</v>
      </c>
    </row>
    <row r="625" spans="1:4" ht="19.95" customHeight="1" x14ac:dyDescent="0.25">
      <c r="A625" s="11" t="s">
        <v>17</v>
      </c>
      <c r="B625" s="12" t="s">
        <v>14</v>
      </c>
      <c r="C625" s="12"/>
      <c r="D625" s="12">
        <v>1982</v>
      </c>
    </row>
    <row r="626" spans="1:4" ht="19.95" customHeight="1" x14ac:dyDescent="0.25">
      <c r="A626" s="11" t="s">
        <v>2</v>
      </c>
      <c r="B626" s="12" t="s">
        <v>14</v>
      </c>
      <c r="C626" s="12"/>
      <c r="D626" s="12">
        <v>1982</v>
      </c>
    </row>
    <row r="627" spans="1:4" ht="19.95" customHeight="1" x14ac:dyDescent="0.25">
      <c r="A627" s="11" t="s">
        <v>18</v>
      </c>
      <c r="B627" s="12" t="s">
        <v>14</v>
      </c>
      <c r="C627" s="12"/>
      <c r="D627" s="12">
        <v>1982</v>
      </c>
    </row>
    <row r="628" spans="1:4" ht="19.95" customHeight="1" x14ac:dyDescent="0.25">
      <c r="A628" s="11" t="s">
        <v>19</v>
      </c>
      <c r="B628" s="12" t="s">
        <v>14</v>
      </c>
      <c r="C628" s="12"/>
      <c r="D628" s="12">
        <v>1982</v>
      </c>
    </row>
    <row r="629" spans="1:4" ht="19.95" customHeight="1" x14ac:dyDescent="0.25">
      <c r="A629" s="11" t="s">
        <v>20</v>
      </c>
      <c r="B629" s="12" t="s">
        <v>14</v>
      </c>
      <c r="C629" s="12"/>
      <c r="D629" s="12">
        <v>1982</v>
      </c>
    </row>
    <row r="630" spans="1:4" ht="19.95" customHeight="1" x14ac:dyDescent="0.25">
      <c r="A630" s="11" t="s">
        <v>21</v>
      </c>
      <c r="B630" s="12" t="s">
        <v>14</v>
      </c>
      <c r="C630" s="12"/>
      <c r="D630" s="12">
        <v>1982</v>
      </c>
    </row>
    <row r="631" spans="1:4" ht="19.95" customHeight="1" x14ac:dyDescent="0.25">
      <c r="A631" s="11" t="s">
        <v>22</v>
      </c>
      <c r="B631" s="12" t="s">
        <v>14</v>
      </c>
      <c r="C631" s="12"/>
      <c r="D631" s="12">
        <v>1982</v>
      </c>
    </row>
    <row r="632" spans="1:4" ht="19.95" customHeight="1" x14ac:dyDescent="0.25">
      <c r="A632" s="11" t="s">
        <v>23</v>
      </c>
      <c r="B632" s="12" t="s">
        <v>14</v>
      </c>
      <c r="C632" s="12"/>
      <c r="D632" s="12">
        <v>1982</v>
      </c>
    </row>
    <row r="633" spans="1:4" ht="19.95" customHeight="1" x14ac:dyDescent="0.25">
      <c r="A633" s="11" t="s">
        <v>24</v>
      </c>
      <c r="B633" s="12" t="s">
        <v>14</v>
      </c>
      <c r="C633" s="12"/>
      <c r="D633" s="12">
        <v>1982</v>
      </c>
    </row>
    <row r="634" spans="1:4" ht="19.95" customHeight="1" x14ac:dyDescent="0.25">
      <c r="A634" s="11" t="s">
        <v>25</v>
      </c>
      <c r="B634" s="12" t="s">
        <v>14</v>
      </c>
      <c r="C634" s="12"/>
      <c r="D634" s="12">
        <v>1982</v>
      </c>
    </row>
    <row r="635" spans="1:4" ht="19.95" customHeight="1" x14ac:dyDescent="0.25">
      <c r="A635" s="11" t="s">
        <v>26</v>
      </c>
      <c r="B635" s="12" t="s">
        <v>14</v>
      </c>
      <c r="C635" s="12"/>
      <c r="D635" s="12">
        <v>1982</v>
      </c>
    </row>
    <row r="636" spans="1:4" ht="19.95" customHeight="1" x14ac:dyDescent="0.25">
      <c r="A636" s="11" t="s">
        <v>27</v>
      </c>
      <c r="B636" s="12" t="s">
        <v>14</v>
      </c>
      <c r="C636" s="12"/>
      <c r="D636" s="12">
        <v>1982</v>
      </c>
    </row>
    <row r="637" spans="1:4" ht="19.95" customHeight="1" x14ac:dyDescent="0.25">
      <c r="A637" s="11" t="s">
        <v>29</v>
      </c>
      <c r="B637" s="12" t="s">
        <v>14</v>
      </c>
      <c r="C637" s="12"/>
      <c r="D637" s="12">
        <v>1982</v>
      </c>
    </row>
    <row r="638" spans="1:4" ht="19.95" customHeight="1" x14ac:dyDescent="0.25">
      <c r="A638" s="11" t="s">
        <v>30</v>
      </c>
      <c r="B638" s="12" t="s">
        <v>14</v>
      </c>
      <c r="C638" s="12"/>
      <c r="D638" s="12">
        <v>1982</v>
      </c>
    </row>
    <row r="639" spans="1:4" ht="19.95" customHeight="1" x14ac:dyDescent="0.25">
      <c r="A639" s="11" t="s">
        <v>31</v>
      </c>
      <c r="B639" s="12" t="s">
        <v>14</v>
      </c>
      <c r="C639" s="12"/>
      <c r="D639" s="12">
        <v>1982</v>
      </c>
    </row>
    <row r="640" spans="1:4" ht="19.95" customHeight="1" x14ac:dyDescent="0.25">
      <c r="A640" s="11" t="s">
        <v>32</v>
      </c>
      <c r="B640" s="12" t="s">
        <v>14</v>
      </c>
      <c r="C640" s="12"/>
      <c r="D640" s="12">
        <v>1982</v>
      </c>
    </row>
    <row r="641" spans="1:4" ht="19.95" customHeight="1" x14ac:dyDescent="0.25">
      <c r="A641" s="11" t="s">
        <v>33</v>
      </c>
      <c r="B641" s="12" t="s">
        <v>14</v>
      </c>
      <c r="C641" s="12"/>
      <c r="D641" s="12">
        <v>1982</v>
      </c>
    </row>
    <row r="642" spans="1:4" ht="19.95" customHeight="1" x14ac:dyDescent="0.25">
      <c r="A642" s="11" t="s">
        <v>34</v>
      </c>
      <c r="B642" s="12" t="s">
        <v>14</v>
      </c>
      <c r="C642" s="12"/>
      <c r="D642" s="12">
        <v>1982</v>
      </c>
    </row>
    <row r="643" spans="1:4" ht="19.95" customHeight="1" x14ac:dyDescent="0.25">
      <c r="A643" s="11" t="s">
        <v>35</v>
      </c>
      <c r="B643" s="12" t="s">
        <v>14</v>
      </c>
      <c r="C643" s="12"/>
      <c r="D643" s="12">
        <v>1982</v>
      </c>
    </row>
    <row r="644" spans="1:4" ht="19.95" customHeight="1" x14ac:dyDescent="0.25">
      <c r="A644" s="11" t="s">
        <v>36</v>
      </c>
      <c r="B644" s="12" t="s">
        <v>14</v>
      </c>
      <c r="C644" s="12"/>
      <c r="D644" s="12">
        <v>1982</v>
      </c>
    </row>
    <row r="645" spans="1:4" ht="19.95" customHeight="1" x14ac:dyDescent="0.25">
      <c r="A645" s="11" t="s">
        <v>37</v>
      </c>
      <c r="B645" s="12" t="s">
        <v>14</v>
      </c>
      <c r="C645" s="12"/>
      <c r="D645" s="12">
        <v>1982</v>
      </c>
    </row>
    <row r="646" spans="1:4" ht="19.95" customHeight="1" x14ac:dyDescent="0.25">
      <c r="A646" s="11" t="s">
        <v>38</v>
      </c>
      <c r="B646" s="12" t="s">
        <v>14</v>
      </c>
      <c r="C646" s="12"/>
      <c r="D646" s="12">
        <v>1982</v>
      </c>
    </row>
    <row r="647" spans="1:4" ht="19.95" customHeight="1" x14ac:dyDescent="0.25">
      <c r="A647" s="11" t="s">
        <v>39</v>
      </c>
      <c r="B647" s="12" t="s">
        <v>14</v>
      </c>
      <c r="C647" s="12"/>
      <c r="D647" s="12">
        <v>1982</v>
      </c>
    </row>
    <row r="648" spans="1:4" ht="19.95" customHeight="1" x14ac:dyDescent="0.25">
      <c r="A648" s="11" t="s">
        <v>40</v>
      </c>
      <c r="B648" s="12" t="s">
        <v>14</v>
      </c>
      <c r="C648" s="12"/>
      <c r="D648" s="12">
        <v>1982</v>
      </c>
    </row>
    <row r="649" spans="1:4" ht="19.95" customHeight="1" x14ac:dyDescent="0.25">
      <c r="A649" s="11" t="s">
        <v>10</v>
      </c>
      <c r="B649" s="12" t="s">
        <v>14</v>
      </c>
      <c r="C649" s="12"/>
      <c r="D649" s="12">
        <v>1983</v>
      </c>
    </row>
    <row r="650" spans="1:4" ht="19.95" customHeight="1" x14ac:dyDescent="0.25">
      <c r="A650" s="11" t="s">
        <v>13</v>
      </c>
      <c r="B650" s="12" t="s">
        <v>14</v>
      </c>
      <c r="C650" s="12"/>
      <c r="D650" s="12">
        <v>1983</v>
      </c>
    </row>
    <row r="651" spans="1:4" ht="19.95" customHeight="1" x14ac:dyDescent="0.25">
      <c r="A651" s="11" t="s">
        <v>15</v>
      </c>
      <c r="B651" s="12" t="s">
        <v>14</v>
      </c>
      <c r="C651" s="12"/>
      <c r="D651" s="12">
        <v>1983</v>
      </c>
    </row>
    <row r="652" spans="1:4" ht="19.95" customHeight="1" x14ac:dyDescent="0.25">
      <c r="A652" s="11" t="s">
        <v>16</v>
      </c>
      <c r="B652" s="12" t="s">
        <v>14</v>
      </c>
      <c r="C652" s="12"/>
      <c r="D652" s="12">
        <v>1983</v>
      </c>
    </row>
    <row r="653" spans="1:4" ht="19.95" customHeight="1" x14ac:dyDescent="0.25">
      <c r="A653" s="11" t="s">
        <v>17</v>
      </c>
      <c r="B653" s="12" t="s">
        <v>14</v>
      </c>
      <c r="C653" s="12"/>
      <c r="D653" s="12">
        <v>1983</v>
      </c>
    </row>
    <row r="654" spans="1:4" ht="19.95" customHeight="1" x14ac:dyDescent="0.25">
      <c r="A654" s="11" t="s">
        <v>2</v>
      </c>
      <c r="B654" s="12" t="s">
        <v>14</v>
      </c>
      <c r="C654" s="12"/>
      <c r="D654" s="12">
        <v>1983</v>
      </c>
    </row>
    <row r="655" spans="1:4" ht="19.95" customHeight="1" x14ac:dyDescent="0.25">
      <c r="A655" s="11" t="s">
        <v>18</v>
      </c>
      <c r="B655" s="12" t="s">
        <v>14</v>
      </c>
      <c r="C655" s="12"/>
      <c r="D655" s="12">
        <v>1983</v>
      </c>
    </row>
    <row r="656" spans="1:4" ht="19.95" customHeight="1" x14ac:dyDescent="0.25">
      <c r="A656" s="11" t="s">
        <v>19</v>
      </c>
      <c r="B656" s="12" t="s">
        <v>14</v>
      </c>
      <c r="C656" s="12"/>
      <c r="D656" s="12">
        <v>1983</v>
      </c>
    </row>
    <row r="657" spans="1:4" ht="19.95" customHeight="1" x14ac:dyDescent="0.25">
      <c r="A657" s="11" t="s">
        <v>20</v>
      </c>
      <c r="B657" s="12" t="s">
        <v>14</v>
      </c>
      <c r="C657" s="12"/>
      <c r="D657" s="12">
        <v>1983</v>
      </c>
    </row>
    <row r="658" spans="1:4" ht="19.95" customHeight="1" x14ac:dyDescent="0.25">
      <c r="A658" s="11" t="s">
        <v>21</v>
      </c>
      <c r="B658" s="12" t="s">
        <v>14</v>
      </c>
      <c r="C658" s="12"/>
      <c r="D658" s="12">
        <v>1983</v>
      </c>
    </row>
    <row r="659" spans="1:4" ht="19.95" customHeight="1" x14ac:dyDescent="0.25">
      <c r="A659" s="11" t="s">
        <v>22</v>
      </c>
      <c r="B659" s="12" t="s">
        <v>14</v>
      </c>
      <c r="C659" s="12"/>
      <c r="D659" s="12">
        <v>1983</v>
      </c>
    </row>
    <row r="660" spans="1:4" ht="19.95" customHeight="1" x14ac:dyDescent="0.25">
      <c r="A660" s="11" t="s">
        <v>23</v>
      </c>
      <c r="B660" s="12" t="s">
        <v>14</v>
      </c>
      <c r="C660" s="12"/>
      <c r="D660" s="12">
        <v>1983</v>
      </c>
    </row>
    <row r="661" spans="1:4" ht="19.95" customHeight="1" x14ac:dyDescent="0.25">
      <c r="A661" s="11" t="s">
        <v>24</v>
      </c>
      <c r="B661" s="12" t="s">
        <v>14</v>
      </c>
      <c r="C661" s="12"/>
      <c r="D661" s="12">
        <v>1983</v>
      </c>
    </row>
    <row r="662" spans="1:4" ht="19.95" customHeight="1" x14ac:dyDescent="0.25">
      <c r="A662" s="11" t="s">
        <v>25</v>
      </c>
      <c r="B662" s="12" t="s">
        <v>14</v>
      </c>
      <c r="C662" s="12"/>
      <c r="D662" s="12">
        <v>1983</v>
      </c>
    </row>
    <row r="663" spans="1:4" ht="19.95" customHeight="1" x14ac:dyDescent="0.25">
      <c r="A663" s="11" t="s">
        <v>26</v>
      </c>
      <c r="B663" s="12" t="s">
        <v>14</v>
      </c>
      <c r="C663" s="12"/>
      <c r="D663" s="12">
        <v>1983</v>
      </c>
    </row>
    <row r="664" spans="1:4" ht="19.95" customHeight="1" x14ac:dyDescent="0.25">
      <c r="A664" s="11" t="s">
        <v>27</v>
      </c>
      <c r="B664" s="12" t="s">
        <v>14</v>
      </c>
      <c r="C664" s="12"/>
      <c r="D664" s="12">
        <v>1983</v>
      </c>
    </row>
    <row r="665" spans="1:4" ht="19.95" customHeight="1" x14ac:dyDescent="0.25">
      <c r="A665" s="11" t="s">
        <v>29</v>
      </c>
      <c r="B665" s="12" t="s">
        <v>14</v>
      </c>
      <c r="C665" s="12"/>
      <c r="D665" s="12">
        <v>1983</v>
      </c>
    </row>
    <row r="666" spans="1:4" ht="19.95" customHeight="1" x14ac:dyDescent="0.25">
      <c r="A666" s="11" t="s">
        <v>30</v>
      </c>
      <c r="B666" s="12" t="s">
        <v>14</v>
      </c>
      <c r="C666" s="12"/>
      <c r="D666" s="12">
        <v>1983</v>
      </c>
    </row>
    <row r="667" spans="1:4" ht="19.95" customHeight="1" x14ac:dyDescent="0.25">
      <c r="A667" s="11" t="s">
        <v>31</v>
      </c>
      <c r="B667" s="12" t="s">
        <v>14</v>
      </c>
      <c r="C667" s="12"/>
      <c r="D667" s="12">
        <v>1983</v>
      </c>
    </row>
    <row r="668" spans="1:4" ht="19.95" customHeight="1" x14ac:dyDescent="0.25">
      <c r="A668" s="11" t="s">
        <v>32</v>
      </c>
      <c r="B668" s="12" t="s">
        <v>14</v>
      </c>
      <c r="C668" s="12"/>
      <c r="D668" s="12">
        <v>1983</v>
      </c>
    </row>
    <row r="669" spans="1:4" ht="19.95" customHeight="1" x14ac:dyDescent="0.25">
      <c r="A669" s="11" t="s">
        <v>33</v>
      </c>
      <c r="B669" s="12" t="s">
        <v>14</v>
      </c>
      <c r="C669" s="12"/>
      <c r="D669" s="12">
        <v>1983</v>
      </c>
    </row>
    <row r="670" spans="1:4" ht="19.95" customHeight="1" x14ac:dyDescent="0.25">
      <c r="A670" s="11" t="s">
        <v>34</v>
      </c>
      <c r="B670" s="12" t="s">
        <v>14</v>
      </c>
      <c r="C670" s="12"/>
      <c r="D670" s="12">
        <v>1983</v>
      </c>
    </row>
    <row r="671" spans="1:4" ht="19.95" customHeight="1" x14ac:dyDescent="0.25">
      <c r="A671" s="11" t="s">
        <v>35</v>
      </c>
      <c r="B671" s="12" t="s">
        <v>14</v>
      </c>
      <c r="C671" s="12"/>
      <c r="D671" s="12">
        <v>1983</v>
      </c>
    </row>
    <row r="672" spans="1:4" ht="19.95" customHeight="1" x14ac:dyDescent="0.25">
      <c r="A672" s="11" t="s">
        <v>36</v>
      </c>
      <c r="B672" s="12" t="s">
        <v>14</v>
      </c>
      <c r="C672" s="12"/>
      <c r="D672" s="12">
        <v>1983</v>
      </c>
    </row>
    <row r="673" spans="1:4" ht="19.95" customHeight="1" x14ac:dyDescent="0.25">
      <c r="A673" s="11" t="s">
        <v>37</v>
      </c>
      <c r="B673" s="12" t="s">
        <v>14</v>
      </c>
      <c r="C673" s="12"/>
      <c r="D673" s="12">
        <v>1983</v>
      </c>
    </row>
    <row r="674" spans="1:4" ht="19.95" customHeight="1" x14ac:dyDescent="0.25">
      <c r="A674" s="11" t="s">
        <v>38</v>
      </c>
      <c r="B674" s="12" t="s">
        <v>14</v>
      </c>
      <c r="C674" s="12"/>
      <c r="D674" s="12">
        <v>1983</v>
      </c>
    </row>
    <row r="675" spans="1:4" ht="19.95" customHeight="1" x14ac:dyDescent="0.25">
      <c r="A675" s="11" t="s">
        <v>39</v>
      </c>
      <c r="B675" s="12" t="s">
        <v>14</v>
      </c>
      <c r="C675" s="12"/>
      <c r="D675" s="12">
        <v>1983</v>
      </c>
    </row>
    <row r="676" spans="1:4" ht="19.95" customHeight="1" x14ac:dyDescent="0.25">
      <c r="A676" s="11" t="s">
        <v>40</v>
      </c>
      <c r="B676" s="12" t="s">
        <v>14</v>
      </c>
      <c r="C676" s="12"/>
      <c r="D676" s="12">
        <v>1983</v>
      </c>
    </row>
    <row r="677" spans="1:4" ht="19.95" customHeight="1" x14ac:dyDescent="0.25">
      <c r="A677" s="11" t="s">
        <v>10</v>
      </c>
      <c r="B677" s="12" t="s">
        <v>14</v>
      </c>
      <c r="C677" s="12"/>
      <c r="D677" s="12">
        <v>1984</v>
      </c>
    </row>
    <row r="678" spans="1:4" ht="19.95" customHeight="1" x14ac:dyDescent="0.25">
      <c r="A678" s="11" t="s">
        <v>13</v>
      </c>
      <c r="B678" s="12" t="s">
        <v>14</v>
      </c>
      <c r="C678" s="12"/>
      <c r="D678" s="12">
        <v>1984</v>
      </c>
    </row>
    <row r="679" spans="1:4" ht="19.95" customHeight="1" x14ac:dyDescent="0.25">
      <c r="A679" s="11" t="s">
        <v>15</v>
      </c>
      <c r="B679" s="12" t="s">
        <v>14</v>
      </c>
      <c r="C679" s="12"/>
      <c r="D679" s="12">
        <v>1984</v>
      </c>
    </row>
    <row r="680" spans="1:4" ht="19.95" customHeight="1" x14ac:dyDescent="0.25">
      <c r="A680" s="11" t="s">
        <v>16</v>
      </c>
      <c r="B680" s="12" t="s">
        <v>14</v>
      </c>
      <c r="C680" s="12"/>
      <c r="D680" s="12">
        <v>1984</v>
      </c>
    </row>
    <row r="681" spans="1:4" ht="19.95" customHeight="1" x14ac:dyDescent="0.25">
      <c r="A681" s="11" t="s">
        <v>17</v>
      </c>
      <c r="B681" s="12" t="s">
        <v>14</v>
      </c>
      <c r="C681" s="12"/>
      <c r="D681" s="12">
        <v>1984</v>
      </c>
    </row>
    <row r="682" spans="1:4" ht="19.95" customHeight="1" x14ac:dyDescent="0.25">
      <c r="A682" s="11" t="s">
        <v>2</v>
      </c>
      <c r="B682" s="12" t="s">
        <v>14</v>
      </c>
      <c r="C682" s="12"/>
      <c r="D682" s="12">
        <v>1984</v>
      </c>
    </row>
    <row r="683" spans="1:4" ht="19.95" customHeight="1" x14ac:dyDescent="0.25">
      <c r="A683" s="11" t="s">
        <v>18</v>
      </c>
      <c r="B683" s="12" t="s">
        <v>14</v>
      </c>
      <c r="C683" s="12"/>
      <c r="D683" s="12">
        <v>1984</v>
      </c>
    </row>
    <row r="684" spans="1:4" ht="19.95" customHeight="1" x14ac:dyDescent="0.25">
      <c r="A684" s="11" t="s">
        <v>19</v>
      </c>
      <c r="B684" s="12" t="s">
        <v>14</v>
      </c>
      <c r="C684" s="12"/>
      <c r="D684" s="12">
        <v>1984</v>
      </c>
    </row>
    <row r="685" spans="1:4" ht="19.95" customHeight="1" x14ac:dyDescent="0.25">
      <c r="A685" s="11" t="s">
        <v>20</v>
      </c>
      <c r="B685" s="12" t="s">
        <v>14</v>
      </c>
      <c r="C685" s="12"/>
      <c r="D685" s="12">
        <v>1984</v>
      </c>
    </row>
    <row r="686" spans="1:4" ht="19.95" customHeight="1" x14ac:dyDescent="0.25">
      <c r="A686" s="11" t="s">
        <v>21</v>
      </c>
      <c r="B686" s="12" t="s">
        <v>14</v>
      </c>
      <c r="C686" s="12"/>
      <c r="D686" s="12">
        <v>1984</v>
      </c>
    </row>
    <row r="687" spans="1:4" ht="19.95" customHeight="1" x14ac:dyDescent="0.25">
      <c r="A687" s="11" t="s">
        <v>22</v>
      </c>
      <c r="B687" s="12" t="s">
        <v>14</v>
      </c>
      <c r="C687" s="12"/>
      <c r="D687" s="12">
        <v>1984</v>
      </c>
    </row>
    <row r="688" spans="1:4" ht="19.95" customHeight="1" x14ac:dyDescent="0.25">
      <c r="A688" s="11" t="s">
        <v>23</v>
      </c>
      <c r="B688" s="12" t="s">
        <v>14</v>
      </c>
      <c r="C688" s="12"/>
      <c r="D688" s="12">
        <v>1984</v>
      </c>
    </row>
    <row r="689" spans="1:4" ht="19.95" customHeight="1" x14ac:dyDescent="0.25">
      <c r="A689" s="11" t="s">
        <v>24</v>
      </c>
      <c r="B689" s="12" t="s">
        <v>14</v>
      </c>
      <c r="C689" s="12"/>
      <c r="D689" s="12">
        <v>1984</v>
      </c>
    </row>
    <row r="690" spans="1:4" ht="19.95" customHeight="1" x14ac:dyDescent="0.25">
      <c r="A690" s="11" t="s">
        <v>25</v>
      </c>
      <c r="B690" s="12" t="s">
        <v>14</v>
      </c>
      <c r="C690" s="12"/>
      <c r="D690" s="12">
        <v>1984</v>
      </c>
    </row>
    <row r="691" spans="1:4" ht="19.95" customHeight="1" x14ac:dyDescent="0.25">
      <c r="A691" s="11" t="s">
        <v>26</v>
      </c>
      <c r="B691" s="12" t="s">
        <v>14</v>
      </c>
      <c r="C691" s="12"/>
      <c r="D691" s="12">
        <v>1984</v>
      </c>
    </row>
    <row r="692" spans="1:4" ht="19.95" customHeight="1" x14ac:dyDescent="0.25">
      <c r="A692" s="11" t="s">
        <v>27</v>
      </c>
      <c r="B692" s="12" t="s">
        <v>14</v>
      </c>
      <c r="C692" s="12"/>
      <c r="D692" s="12">
        <v>1984</v>
      </c>
    </row>
    <row r="693" spans="1:4" ht="19.95" customHeight="1" x14ac:dyDescent="0.25">
      <c r="A693" s="11" t="s">
        <v>29</v>
      </c>
      <c r="B693" s="12" t="s">
        <v>14</v>
      </c>
      <c r="C693" s="12"/>
      <c r="D693" s="12">
        <v>1984</v>
      </c>
    </row>
    <row r="694" spans="1:4" ht="19.95" customHeight="1" x14ac:dyDescent="0.25">
      <c r="A694" s="11" t="s">
        <v>30</v>
      </c>
      <c r="B694" s="12" t="s">
        <v>14</v>
      </c>
      <c r="C694" s="12"/>
      <c r="D694" s="12">
        <v>1984</v>
      </c>
    </row>
    <row r="695" spans="1:4" ht="19.95" customHeight="1" x14ac:dyDescent="0.25">
      <c r="A695" s="11" t="s">
        <v>31</v>
      </c>
      <c r="B695" s="12" t="s">
        <v>14</v>
      </c>
      <c r="C695" s="12"/>
      <c r="D695" s="12">
        <v>1984</v>
      </c>
    </row>
    <row r="696" spans="1:4" ht="19.95" customHeight="1" x14ac:dyDescent="0.25">
      <c r="A696" s="11" t="s">
        <v>32</v>
      </c>
      <c r="B696" s="12" t="s">
        <v>14</v>
      </c>
      <c r="C696" s="12"/>
      <c r="D696" s="12">
        <v>1984</v>
      </c>
    </row>
    <row r="697" spans="1:4" ht="19.95" customHeight="1" x14ac:dyDescent="0.25">
      <c r="A697" s="11" t="s">
        <v>33</v>
      </c>
      <c r="B697" s="12" t="s">
        <v>14</v>
      </c>
      <c r="C697" s="12"/>
      <c r="D697" s="12">
        <v>1984</v>
      </c>
    </row>
    <row r="698" spans="1:4" ht="19.95" customHeight="1" x14ac:dyDescent="0.25">
      <c r="A698" s="11" t="s">
        <v>34</v>
      </c>
      <c r="B698" s="12" t="s">
        <v>14</v>
      </c>
      <c r="C698" s="12"/>
      <c r="D698" s="12">
        <v>1984</v>
      </c>
    </row>
    <row r="699" spans="1:4" ht="19.95" customHeight="1" x14ac:dyDescent="0.25">
      <c r="A699" s="11" t="s">
        <v>35</v>
      </c>
      <c r="B699" s="12" t="s">
        <v>14</v>
      </c>
      <c r="C699" s="12"/>
      <c r="D699" s="12">
        <v>1984</v>
      </c>
    </row>
    <row r="700" spans="1:4" ht="19.95" customHeight="1" x14ac:dyDescent="0.25">
      <c r="A700" s="11" t="s">
        <v>36</v>
      </c>
      <c r="B700" s="12" t="s">
        <v>14</v>
      </c>
      <c r="C700" s="12"/>
      <c r="D700" s="12">
        <v>1984</v>
      </c>
    </row>
    <row r="701" spans="1:4" ht="19.95" customHeight="1" x14ac:dyDescent="0.25">
      <c r="A701" s="11" t="s">
        <v>37</v>
      </c>
      <c r="B701" s="12" t="s">
        <v>14</v>
      </c>
      <c r="C701" s="12"/>
      <c r="D701" s="12">
        <v>1984</v>
      </c>
    </row>
    <row r="702" spans="1:4" ht="19.95" customHeight="1" x14ac:dyDescent="0.25">
      <c r="A702" s="11" t="s">
        <v>38</v>
      </c>
      <c r="B702" s="12" t="s">
        <v>14</v>
      </c>
      <c r="C702" s="12"/>
      <c r="D702" s="12">
        <v>1984</v>
      </c>
    </row>
    <row r="703" spans="1:4" ht="19.95" customHeight="1" x14ac:dyDescent="0.25">
      <c r="A703" s="11" t="s">
        <v>39</v>
      </c>
      <c r="B703" s="12" t="s">
        <v>14</v>
      </c>
      <c r="C703" s="12"/>
      <c r="D703" s="12">
        <v>1984</v>
      </c>
    </row>
    <row r="704" spans="1:4" ht="19.95" customHeight="1" x14ac:dyDescent="0.25">
      <c r="A704" s="11" t="s">
        <v>40</v>
      </c>
      <c r="B704" s="12" t="s">
        <v>14</v>
      </c>
      <c r="C704" s="12"/>
      <c r="D704" s="12">
        <v>1984</v>
      </c>
    </row>
    <row r="705" spans="1:4" ht="19.95" customHeight="1" x14ac:dyDescent="0.25">
      <c r="A705" s="11" t="s">
        <v>10</v>
      </c>
      <c r="B705" s="12" t="s">
        <v>14</v>
      </c>
      <c r="C705" s="12"/>
      <c r="D705" s="12">
        <v>1985</v>
      </c>
    </row>
    <row r="706" spans="1:4" ht="19.95" customHeight="1" x14ac:dyDescent="0.25">
      <c r="A706" s="11" t="s">
        <v>13</v>
      </c>
      <c r="B706" s="12" t="s">
        <v>14</v>
      </c>
      <c r="C706" s="12"/>
      <c r="D706" s="12">
        <v>1985</v>
      </c>
    </row>
    <row r="707" spans="1:4" ht="19.95" customHeight="1" x14ac:dyDescent="0.25">
      <c r="A707" s="11" t="s">
        <v>15</v>
      </c>
      <c r="B707" s="12" t="s">
        <v>14</v>
      </c>
      <c r="C707" s="12"/>
      <c r="D707" s="12">
        <v>1985</v>
      </c>
    </row>
    <row r="708" spans="1:4" ht="19.95" customHeight="1" x14ac:dyDescent="0.25">
      <c r="A708" s="11" t="s">
        <v>16</v>
      </c>
      <c r="B708" s="12" t="s">
        <v>14</v>
      </c>
      <c r="C708" s="12"/>
      <c r="D708" s="12">
        <v>1985</v>
      </c>
    </row>
    <row r="709" spans="1:4" ht="19.95" customHeight="1" x14ac:dyDescent="0.25">
      <c r="A709" s="11" t="s">
        <v>17</v>
      </c>
      <c r="B709" s="12" t="s">
        <v>14</v>
      </c>
      <c r="C709" s="12"/>
      <c r="D709" s="12">
        <v>1985</v>
      </c>
    </row>
    <row r="710" spans="1:4" ht="19.95" customHeight="1" x14ac:dyDescent="0.25">
      <c r="A710" s="11" t="s">
        <v>2</v>
      </c>
      <c r="B710" s="12" t="s">
        <v>14</v>
      </c>
      <c r="C710" s="12"/>
      <c r="D710" s="12">
        <v>1985</v>
      </c>
    </row>
    <row r="711" spans="1:4" ht="19.95" customHeight="1" x14ac:dyDescent="0.25">
      <c r="A711" s="11" t="s">
        <v>18</v>
      </c>
      <c r="B711" s="12" t="s">
        <v>14</v>
      </c>
      <c r="C711" s="12"/>
      <c r="D711" s="12">
        <v>1985</v>
      </c>
    </row>
    <row r="712" spans="1:4" ht="19.95" customHeight="1" x14ac:dyDescent="0.25">
      <c r="A712" s="11" t="s">
        <v>19</v>
      </c>
      <c r="B712" s="12" t="s">
        <v>14</v>
      </c>
      <c r="C712" s="12"/>
      <c r="D712" s="12">
        <v>1985</v>
      </c>
    </row>
    <row r="713" spans="1:4" ht="19.95" customHeight="1" x14ac:dyDescent="0.25">
      <c r="A713" s="11" t="s">
        <v>20</v>
      </c>
      <c r="B713" s="12" t="s">
        <v>14</v>
      </c>
      <c r="C713" s="12"/>
      <c r="D713" s="12">
        <v>1985</v>
      </c>
    </row>
    <row r="714" spans="1:4" ht="19.95" customHeight="1" x14ac:dyDescent="0.25">
      <c r="A714" s="11" t="s">
        <v>21</v>
      </c>
      <c r="B714" s="12" t="s">
        <v>14</v>
      </c>
      <c r="C714" s="12"/>
      <c r="D714" s="12">
        <v>1985</v>
      </c>
    </row>
    <row r="715" spans="1:4" ht="19.95" customHeight="1" x14ac:dyDescent="0.25">
      <c r="A715" s="11" t="s">
        <v>22</v>
      </c>
      <c r="B715" s="12" t="s">
        <v>14</v>
      </c>
      <c r="C715" s="12"/>
      <c r="D715" s="12">
        <v>1985</v>
      </c>
    </row>
    <row r="716" spans="1:4" ht="19.95" customHeight="1" x14ac:dyDescent="0.25">
      <c r="A716" s="11" t="s">
        <v>23</v>
      </c>
      <c r="B716" s="12" t="s">
        <v>14</v>
      </c>
      <c r="C716" s="12"/>
      <c r="D716" s="12">
        <v>1985</v>
      </c>
    </row>
    <row r="717" spans="1:4" ht="19.95" customHeight="1" x14ac:dyDescent="0.25">
      <c r="A717" s="11" t="s">
        <v>24</v>
      </c>
      <c r="B717" s="12" t="s">
        <v>14</v>
      </c>
      <c r="C717" s="12"/>
      <c r="D717" s="12">
        <v>1985</v>
      </c>
    </row>
    <row r="718" spans="1:4" ht="19.95" customHeight="1" x14ac:dyDescent="0.25">
      <c r="A718" s="11" t="s">
        <v>25</v>
      </c>
      <c r="B718" s="12" t="s">
        <v>14</v>
      </c>
      <c r="C718" s="12"/>
      <c r="D718" s="12">
        <v>1985</v>
      </c>
    </row>
    <row r="719" spans="1:4" ht="19.95" customHeight="1" x14ac:dyDescent="0.25">
      <c r="A719" s="11" t="s">
        <v>26</v>
      </c>
      <c r="B719" s="12" t="s">
        <v>14</v>
      </c>
      <c r="C719" s="12"/>
      <c r="D719" s="12">
        <v>1985</v>
      </c>
    </row>
    <row r="720" spans="1:4" ht="19.95" customHeight="1" x14ac:dyDescent="0.25">
      <c r="A720" s="11" t="s">
        <v>27</v>
      </c>
      <c r="B720" s="12" t="s">
        <v>14</v>
      </c>
      <c r="C720" s="12"/>
      <c r="D720" s="12">
        <v>1985</v>
      </c>
    </row>
    <row r="721" spans="1:4" ht="19.95" customHeight="1" x14ac:dyDescent="0.25">
      <c r="A721" s="11" t="s">
        <v>29</v>
      </c>
      <c r="B721" s="12" t="s">
        <v>14</v>
      </c>
      <c r="C721" s="12"/>
      <c r="D721" s="12">
        <v>1985</v>
      </c>
    </row>
    <row r="722" spans="1:4" ht="19.95" customHeight="1" x14ac:dyDescent="0.25">
      <c r="A722" s="11" t="s">
        <v>30</v>
      </c>
      <c r="B722" s="12" t="s">
        <v>14</v>
      </c>
      <c r="C722" s="12"/>
      <c r="D722" s="12">
        <v>1985</v>
      </c>
    </row>
    <row r="723" spans="1:4" ht="19.95" customHeight="1" x14ac:dyDescent="0.25">
      <c r="A723" s="11" t="s">
        <v>31</v>
      </c>
      <c r="B723" s="12" t="s">
        <v>14</v>
      </c>
      <c r="C723" s="12"/>
      <c r="D723" s="12">
        <v>1985</v>
      </c>
    </row>
    <row r="724" spans="1:4" ht="19.95" customHeight="1" x14ac:dyDescent="0.25">
      <c r="A724" s="11" t="s">
        <v>32</v>
      </c>
      <c r="B724" s="12" t="s">
        <v>14</v>
      </c>
      <c r="C724" s="12"/>
      <c r="D724" s="12">
        <v>1985</v>
      </c>
    </row>
    <row r="725" spans="1:4" ht="19.95" customHeight="1" x14ac:dyDescent="0.25">
      <c r="A725" s="11" t="s">
        <v>33</v>
      </c>
      <c r="B725" s="12" t="s">
        <v>14</v>
      </c>
      <c r="C725" s="12"/>
      <c r="D725" s="12">
        <v>1985</v>
      </c>
    </row>
    <row r="726" spans="1:4" ht="19.95" customHeight="1" x14ac:dyDescent="0.25">
      <c r="A726" s="11" t="s">
        <v>34</v>
      </c>
      <c r="B726" s="12" t="s">
        <v>14</v>
      </c>
      <c r="C726" s="12"/>
      <c r="D726" s="12">
        <v>1985</v>
      </c>
    </row>
    <row r="727" spans="1:4" ht="19.95" customHeight="1" x14ac:dyDescent="0.25">
      <c r="A727" s="11" t="s">
        <v>35</v>
      </c>
      <c r="B727" s="12" t="s">
        <v>14</v>
      </c>
      <c r="C727" s="12"/>
      <c r="D727" s="12">
        <v>1985</v>
      </c>
    </row>
    <row r="728" spans="1:4" ht="19.95" customHeight="1" x14ac:dyDescent="0.25">
      <c r="A728" s="11" t="s">
        <v>36</v>
      </c>
      <c r="B728" s="12" t="s">
        <v>14</v>
      </c>
      <c r="C728" s="12"/>
      <c r="D728" s="12">
        <v>1985</v>
      </c>
    </row>
    <row r="729" spans="1:4" ht="19.95" customHeight="1" x14ac:dyDescent="0.25">
      <c r="A729" s="11" t="s">
        <v>37</v>
      </c>
      <c r="B729" s="12" t="s">
        <v>14</v>
      </c>
      <c r="C729" s="12"/>
      <c r="D729" s="12">
        <v>1985</v>
      </c>
    </row>
    <row r="730" spans="1:4" ht="19.95" customHeight="1" x14ac:dyDescent="0.25">
      <c r="A730" s="11" t="s">
        <v>38</v>
      </c>
      <c r="B730" s="12" t="s">
        <v>14</v>
      </c>
      <c r="C730" s="12"/>
      <c r="D730" s="12">
        <v>1985</v>
      </c>
    </row>
    <row r="731" spans="1:4" ht="19.95" customHeight="1" x14ac:dyDescent="0.25">
      <c r="A731" s="11" t="s">
        <v>39</v>
      </c>
      <c r="B731" s="12" t="s">
        <v>14</v>
      </c>
      <c r="C731" s="12"/>
      <c r="D731" s="12">
        <v>1985</v>
      </c>
    </row>
    <row r="732" spans="1:4" ht="19.95" customHeight="1" x14ac:dyDescent="0.25">
      <c r="A732" s="11" t="s">
        <v>40</v>
      </c>
      <c r="B732" s="12" t="s">
        <v>14</v>
      </c>
      <c r="C732" s="12"/>
      <c r="D732" s="12">
        <v>1985</v>
      </c>
    </row>
    <row r="733" spans="1:4" ht="19.95" customHeight="1" x14ac:dyDescent="0.25">
      <c r="A733" s="11" t="s">
        <v>10</v>
      </c>
      <c r="B733" s="12" t="s">
        <v>14</v>
      </c>
      <c r="C733" s="12"/>
      <c r="D733" s="12">
        <v>1986</v>
      </c>
    </row>
    <row r="734" spans="1:4" ht="19.95" customHeight="1" x14ac:dyDescent="0.25">
      <c r="A734" s="11" t="s">
        <v>13</v>
      </c>
      <c r="B734" s="12" t="s">
        <v>14</v>
      </c>
      <c r="C734" s="12"/>
      <c r="D734" s="12">
        <v>1986</v>
      </c>
    </row>
    <row r="735" spans="1:4" ht="19.95" customHeight="1" x14ac:dyDescent="0.25">
      <c r="A735" s="11" t="s">
        <v>15</v>
      </c>
      <c r="B735" s="12" t="s">
        <v>14</v>
      </c>
      <c r="C735" s="12"/>
      <c r="D735" s="12">
        <v>1986</v>
      </c>
    </row>
    <row r="736" spans="1:4" ht="19.95" customHeight="1" x14ac:dyDescent="0.25">
      <c r="A736" s="11" t="s">
        <v>16</v>
      </c>
      <c r="B736" s="12" t="s">
        <v>14</v>
      </c>
      <c r="C736" s="12"/>
      <c r="D736" s="12">
        <v>1986</v>
      </c>
    </row>
    <row r="737" spans="1:4" ht="19.95" customHeight="1" x14ac:dyDescent="0.25">
      <c r="A737" s="11" t="s">
        <v>17</v>
      </c>
      <c r="B737" s="12" t="s">
        <v>14</v>
      </c>
      <c r="C737" s="12"/>
      <c r="D737" s="12">
        <v>1986</v>
      </c>
    </row>
    <row r="738" spans="1:4" ht="19.95" customHeight="1" x14ac:dyDescent="0.25">
      <c r="A738" s="11" t="s">
        <v>2</v>
      </c>
      <c r="B738" s="12" t="s">
        <v>14</v>
      </c>
      <c r="C738" s="12"/>
      <c r="D738" s="12">
        <v>1986</v>
      </c>
    </row>
    <row r="739" spans="1:4" ht="19.95" customHeight="1" x14ac:dyDescent="0.25">
      <c r="A739" s="11" t="s">
        <v>18</v>
      </c>
      <c r="B739" s="12" t="s">
        <v>14</v>
      </c>
      <c r="C739" s="12"/>
      <c r="D739" s="12">
        <v>1986</v>
      </c>
    </row>
    <row r="740" spans="1:4" ht="19.95" customHeight="1" x14ac:dyDescent="0.25">
      <c r="A740" s="11" t="s">
        <v>19</v>
      </c>
      <c r="B740" s="12" t="s">
        <v>14</v>
      </c>
      <c r="C740" s="12"/>
      <c r="D740" s="12">
        <v>1986</v>
      </c>
    </row>
    <row r="741" spans="1:4" ht="19.95" customHeight="1" x14ac:dyDescent="0.25">
      <c r="A741" s="11" t="s">
        <v>20</v>
      </c>
      <c r="B741" s="12" t="s">
        <v>14</v>
      </c>
      <c r="C741" s="12"/>
      <c r="D741" s="12">
        <v>1986</v>
      </c>
    </row>
    <row r="742" spans="1:4" ht="19.95" customHeight="1" x14ac:dyDescent="0.25">
      <c r="A742" s="11" t="s">
        <v>21</v>
      </c>
      <c r="B742" s="12" t="s">
        <v>14</v>
      </c>
      <c r="C742" s="12"/>
      <c r="D742" s="12">
        <v>1986</v>
      </c>
    </row>
    <row r="743" spans="1:4" ht="19.95" customHeight="1" x14ac:dyDescent="0.25">
      <c r="A743" s="11" t="s">
        <v>22</v>
      </c>
      <c r="B743" s="12" t="s">
        <v>14</v>
      </c>
      <c r="C743" s="12"/>
      <c r="D743" s="12">
        <v>1986</v>
      </c>
    </row>
    <row r="744" spans="1:4" ht="19.95" customHeight="1" x14ac:dyDescent="0.25">
      <c r="A744" s="11" t="s">
        <v>23</v>
      </c>
      <c r="B744" s="12" t="s">
        <v>14</v>
      </c>
      <c r="C744" s="12"/>
      <c r="D744" s="12">
        <v>1986</v>
      </c>
    </row>
    <row r="745" spans="1:4" ht="19.95" customHeight="1" x14ac:dyDescent="0.25">
      <c r="A745" s="11" t="s">
        <v>24</v>
      </c>
      <c r="B745" s="12" t="s">
        <v>14</v>
      </c>
      <c r="C745" s="12"/>
      <c r="D745" s="12">
        <v>1986</v>
      </c>
    </row>
    <row r="746" spans="1:4" ht="19.95" customHeight="1" x14ac:dyDescent="0.25">
      <c r="A746" s="11" t="s">
        <v>25</v>
      </c>
      <c r="B746" s="12" t="s">
        <v>14</v>
      </c>
      <c r="C746" s="12"/>
      <c r="D746" s="12">
        <v>1986</v>
      </c>
    </row>
    <row r="747" spans="1:4" ht="19.95" customHeight="1" x14ac:dyDescent="0.25">
      <c r="A747" s="11" t="s">
        <v>26</v>
      </c>
      <c r="B747" s="12" t="s">
        <v>14</v>
      </c>
      <c r="C747" s="12"/>
      <c r="D747" s="12">
        <v>1986</v>
      </c>
    </row>
    <row r="748" spans="1:4" ht="19.95" customHeight="1" x14ac:dyDescent="0.25">
      <c r="A748" s="11" t="s">
        <v>27</v>
      </c>
      <c r="B748" s="12" t="s">
        <v>14</v>
      </c>
      <c r="C748" s="12"/>
      <c r="D748" s="12">
        <v>1986</v>
      </c>
    </row>
    <row r="749" spans="1:4" ht="19.95" customHeight="1" x14ac:dyDescent="0.25">
      <c r="A749" s="11" t="s">
        <v>29</v>
      </c>
      <c r="B749" s="12" t="s">
        <v>14</v>
      </c>
      <c r="C749" s="12"/>
      <c r="D749" s="12">
        <v>1986</v>
      </c>
    </row>
    <row r="750" spans="1:4" ht="19.95" customHeight="1" x14ac:dyDescent="0.25">
      <c r="A750" s="11" t="s">
        <v>30</v>
      </c>
      <c r="B750" s="12" t="s">
        <v>14</v>
      </c>
      <c r="C750" s="12"/>
      <c r="D750" s="12">
        <v>1986</v>
      </c>
    </row>
    <row r="751" spans="1:4" ht="19.95" customHeight="1" x14ac:dyDescent="0.25">
      <c r="A751" s="11" t="s">
        <v>31</v>
      </c>
      <c r="B751" s="12" t="s">
        <v>14</v>
      </c>
      <c r="C751" s="12"/>
      <c r="D751" s="12">
        <v>1986</v>
      </c>
    </row>
    <row r="752" spans="1:4" ht="19.95" customHeight="1" x14ac:dyDescent="0.25">
      <c r="A752" s="11" t="s">
        <v>32</v>
      </c>
      <c r="B752" s="12" t="s">
        <v>14</v>
      </c>
      <c r="C752" s="12"/>
      <c r="D752" s="12">
        <v>1986</v>
      </c>
    </row>
    <row r="753" spans="1:4" ht="19.95" customHeight="1" x14ac:dyDescent="0.25">
      <c r="A753" s="11" t="s">
        <v>33</v>
      </c>
      <c r="B753" s="12" t="s">
        <v>14</v>
      </c>
      <c r="C753" s="12"/>
      <c r="D753" s="12">
        <v>1986</v>
      </c>
    </row>
    <row r="754" spans="1:4" ht="19.95" customHeight="1" x14ac:dyDescent="0.25">
      <c r="A754" s="11" t="s">
        <v>34</v>
      </c>
      <c r="B754" s="12" t="s">
        <v>14</v>
      </c>
      <c r="C754" s="12"/>
      <c r="D754" s="12">
        <v>1986</v>
      </c>
    </row>
    <row r="755" spans="1:4" ht="19.95" customHeight="1" x14ac:dyDescent="0.25">
      <c r="A755" s="11" t="s">
        <v>35</v>
      </c>
      <c r="B755" s="12" t="s">
        <v>14</v>
      </c>
      <c r="C755" s="12"/>
      <c r="D755" s="12">
        <v>1986</v>
      </c>
    </row>
    <row r="756" spans="1:4" ht="19.95" customHeight="1" x14ac:dyDescent="0.25">
      <c r="A756" s="11" t="s">
        <v>36</v>
      </c>
      <c r="B756" s="12" t="s">
        <v>14</v>
      </c>
      <c r="C756" s="12"/>
      <c r="D756" s="12">
        <v>1986</v>
      </c>
    </row>
    <row r="757" spans="1:4" ht="19.95" customHeight="1" x14ac:dyDescent="0.25">
      <c r="A757" s="11" t="s">
        <v>37</v>
      </c>
      <c r="B757" s="12" t="s">
        <v>14</v>
      </c>
      <c r="C757" s="12"/>
      <c r="D757" s="12">
        <v>1986</v>
      </c>
    </row>
    <row r="758" spans="1:4" ht="19.95" customHeight="1" x14ac:dyDescent="0.25">
      <c r="A758" s="11" t="s">
        <v>38</v>
      </c>
      <c r="B758" s="12" t="s">
        <v>14</v>
      </c>
      <c r="C758" s="12"/>
      <c r="D758" s="12">
        <v>1986</v>
      </c>
    </row>
    <row r="759" spans="1:4" ht="19.95" customHeight="1" x14ac:dyDescent="0.25">
      <c r="A759" s="11" t="s">
        <v>39</v>
      </c>
      <c r="B759" s="12" t="s">
        <v>14</v>
      </c>
      <c r="C759" s="12"/>
      <c r="D759" s="12">
        <v>1986</v>
      </c>
    </row>
    <row r="760" spans="1:4" ht="19.95" customHeight="1" x14ac:dyDescent="0.25">
      <c r="A760" s="11" t="s">
        <v>40</v>
      </c>
      <c r="B760" s="12" t="s">
        <v>14</v>
      </c>
      <c r="C760" s="12"/>
      <c r="D760" s="12">
        <v>1986</v>
      </c>
    </row>
    <row r="761" spans="1:4" ht="19.95" customHeight="1" x14ac:dyDescent="0.25">
      <c r="A761" s="11" t="s">
        <v>10</v>
      </c>
      <c r="B761" s="12" t="s">
        <v>14</v>
      </c>
      <c r="C761" s="12"/>
      <c r="D761" s="12">
        <v>1987</v>
      </c>
    </row>
    <row r="762" spans="1:4" ht="19.95" customHeight="1" x14ac:dyDescent="0.25">
      <c r="A762" s="11" t="s">
        <v>13</v>
      </c>
      <c r="B762" s="12" t="s">
        <v>14</v>
      </c>
      <c r="C762" s="12"/>
      <c r="D762" s="12">
        <v>1987</v>
      </c>
    </row>
    <row r="763" spans="1:4" ht="19.95" customHeight="1" x14ac:dyDescent="0.25">
      <c r="A763" s="11" t="s">
        <v>15</v>
      </c>
      <c r="B763" s="12" t="s">
        <v>14</v>
      </c>
      <c r="C763" s="12"/>
      <c r="D763" s="12">
        <v>1987</v>
      </c>
    </row>
    <row r="764" spans="1:4" ht="19.95" customHeight="1" x14ac:dyDescent="0.25">
      <c r="A764" s="11" t="s">
        <v>16</v>
      </c>
      <c r="B764" s="12" t="s">
        <v>14</v>
      </c>
      <c r="C764" s="12"/>
      <c r="D764" s="12">
        <v>1987</v>
      </c>
    </row>
    <row r="765" spans="1:4" ht="19.95" customHeight="1" x14ac:dyDescent="0.25">
      <c r="A765" s="11" t="s">
        <v>17</v>
      </c>
      <c r="B765" s="12" t="s">
        <v>14</v>
      </c>
      <c r="C765" s="12"/>
      <c r="D765" s="12">
        <v>1987</v>
      </c>
    </row>
    <row r="766" spans="1:4" ht="19.95" customHeight="1" x14ac:dyDescent="0.25">
      <c r="A766" s="11" t="s">
        <v>2</v>
      </c>
      <c r="B766" s="12" t="s">
        <v>14</v>
      </c>
      <c r="C766" s="12"/>
      <c r="D766" s="12">
        <v>1987</v>
      </c>
    </row>
    <row r="767" spans="1:4" ht="19.95" customHeight="1" x14ac:dyDescent="0.25">
      <c r="A767" s="11" t="s">
        <v>18</v>
      </c>
      <c r="B767" s="12" t="s">
        <v>14</v>
      </c>
      <c r="C767" s="12"/>
      <c r="D767" s="12">
        <v>1987</v>
      </c>
    </row>
    <row r="768" spans="1:4" ht="19.95" customHeight="1" x14ac:dyDescent="0.25">
      <c r="A768" s="11" t="s">
        <v>19</v>
      </c>
      <c r="B768" s="12" t="s">
        <v>14</v>
      </c>
      <c r="C768" s="12"/>
      <c r="D768" s="12">
        <v>1987</v>
      </c>
    </row>
    <row r="769" spans="1:4" ht="19.95" customHeight="1" x14ac:dyDescent="0.25">
      <c r="A769" s="11" t="s">
        <v>20</v>
      </c>
      <c r="B769" s="12" t="s">
        <v>14</v>
      </c>
      <c r="C769" s="12"/>
      <c r="D769" s="12">
        <v>1987</v>
      </c>
    </row>
    <row r="770" spans="1:4" ht="19.95" customHeight="1" x14ac:dyDescent="0.25">
      <c r="A770" s="11" t="s">
        <v>21</v>
      </c>
      <c r="B770" s="12" t="s">
        <v>14</v>
      </c>
      <c r="C770" s="12"/>
      <c r="D770" s="12">
        <v>1987</v>
      </c>
    </row>
    <row r="771" spans="1:4" ht="19.95" customHeight="1" x14ac:dyDescent="0.25">
      <c r="A771" s="11" t="s">
        <v>22</v>
      </c>
      <c r="B771" s="12" t="s">
        <v>14</v>
      </c>
      <c r="C771" s="12"/>
      <c r="D771" s="12">
        <v>1987</v>
      </c>
    </row>
    <row r="772" spans="1:4" ht="19.95" customHeight="1" x14ac:dyDescent="0.25">
      <c r="A772" s="11" t="s">
        <v>23</v>
      </c>
      <c r="B772" s="12" t="s">
        <v>14</v>
      </c>
      <c r="C772" s="12"/>
      <c r="D772" s="12">
        <v>1987</v>
      </c>
    </row>
    <row r="773" spans="1:4" ht="19.95" customHeight="1" x14ac:dyDescent="0.25">
      <c r="A773" s="11" t="s">
        <v>24</v>
      </c>
      <c r="B773" s="12" t="s">
        <v>14</v>
      </c>
      <c r="C773" s="12"/>
      <c r="D773" s="12">
        <v>1987</v>
      </c>
    </row>
    <row r="774" spans="1:4" ht="19.95" customHeight="1" x14ac:dyDescent="0.25">
      <c r="A774" s="11" t="s">
        <v>25</v>
      </c>
      <c r="B774" s="12" t="s">
        <v>14</v>
      </c>
      <c r="C774" s="12"/>
      <c r="D774" s="12">
        <v>1987</v>
      </c>
    </row>
    <row r="775" spans="1:4" ht="19.95" customHeight="1" x14ac:dyDescent="0.25">
      <c r="A775" s="11" t="s">
        <v>26</v>
      </c>
      <c r="B775" s="12" t="s">
        <v>14</v>
      </c>
      <c r="C775" s="12"/>
      <c r="D775" s="12">
        <v>1987</v>
      </c>
    </row>
    <row r="776" spans="1:4" ht="19.95" customHeight="1" x14ac:dyDescent="0.25">
      <c r="A776" s="11" t="s">
        <v>27</v>
      </c>
      <c r="B776" s="12" t="s">
        <v>14</v>
      </c>
      <c r="C776" s="12"/>
      <c r="D776" s="12">
        <v>1987</v>
      </c>
    </row>
    <row r="777" spans="1:4" ht="19.95" customHeight="1" x14ac:dyDescent="0.25">
      <c r="A777" s="11" t="s">
        <v>29</v>
      </c>
      <c r="B777" s="12" t="s">
        <v>14</v>
      </c>
      <c r="C777" s="12"/>
      <c r="D777" s="12">
        <v>1987</v>
      </c>
    </row>
    <row r="778" spans="1:4" ht="19.95" customHeight="1" x14ac:dyDescent="0.25">
      <c r="A778" s="11" t="s">
        <v>30</v>
      </c>
      <c r="B778" s="12" t="s">
        <v>14</v>
      </c>
      <c r="C778" s="12"/>
      <c r="D778" s="12">
        <v>1987</v>
      </c>
    </row>
    <row r="779" spans="1:4" ht="19.95" customHeight="1" x14ac:dyDescent="0.25">
      <c r="A779" s="11" t="s">
        <v>31</v>
      </c>
      <c r="B779" s="12" t="s">
        <v>14</v>
      </c>
      <c r="C779" s="12"/>
      <c r="D779" s="12">
        <v>1987</v>
      </c>
    </row>
    <row r="780" spans="1:4" ht="19.95" customHeight="1" x14ac:dyDescent="0.25">
      <c r="A780" s="11" t="s">
        <v>32</v>
      </c>
      <c r="B780" s="12" t="s">
        <v>14</v>
      </c>
      <c r="C780" s="12"/>
      <c r="D780" s="12">
        <v>1987</v>
      </c>
    </row>
    <row r="781" spans="1:4" ht="19.95" customHeight="1" x14ac:dyDescent="0.25">
      <c r="A781" s="11" t="s">
        <v>33</v>
      </c>
      <c r="B781" s="12" t="s">
        <v>14</v>
      </c>
      <c r="C781" s="12"/>
      <c r="D781" s="12">
        <v>1987</v>
      </c>
    </row>
    <row r="782" spans="1:4" ht="19.95" customHeight="1" x14ac:dyDescent="0.25">
      <c r="A782" s="11" t="s">
        <v>34</v>
      </c>
      <c r="B782" s="12" t="s">
        <v>14</v>
      </c>
      <c r="C782" s="12"/>
      <c r="D782" s="12">
        <v>1987</v>
      </c>
    </row>
    <row r="783" spans="1:4" ht="19.95" customHeight="1" x14ac:dyDescent="0.25">
      <c r="A783" s="11" t="s">
        <v>35</v>
      </c>
      <c r="B783" s="12" t="s">
        <v>14</v>
      </c>
      <c r="C783" s="12"/>
      <c r="D783" s="12">
        <v>1987</v>
      </c>
    </row>
    <row r="784" spans="1:4" ht="19.95" customHeight="1" x14ac:dyDescent="0.25">
      <c r="A784" s="11" t="s">
        <v>36</v>
      </c>
      <c r="B784" s="12" t="s">
        <v>14</v>
      </c>
      <c r="C784" s="12"/>
      <c r="D784" s="12">
        <v>1987</v>
      </c>
    </row>
    <row r="785" spans="1:4" ht="19.95" customHeight="1" x14ac:dyDescent="0.25">
      <c r="A785" s="11" t="s">
        <v>37</v>
      </c>
      <c r="B785" s="12" t="s">
        <v>14</v>
      </c>
      <c r="C785" s="12"/>
      <c r="D785" s="12">
        <v>1987</v>
      </c>
    </row>
    <row r="786" spans="1:4" ht="19.95" customHeight="1" x14ac:dyDescent="0.25">
      <c r="A786" s="11" t="s">
        <v>38</v>
      </c>
      <c r="B786" s="12" t="s">
        <v>14</v>
      </c>
      <c r="C786" s="12"/>
      <c r="D786" s="12">
        <v>1987</v>
      </c>
    </row>
    <row r="787" spans="1:4" ht="19.95" customHeight="1" x14ac:dyDescent="0.25">
      <c r="A787" s="11" t="s">
        <v>39</v>
      </c>
      <c r="B787" s="12" t="s">
        <v>14</v>
      </c>
      <c r="C787" s="12"/>
      <c r="D787" s="12">
        <v>1987</v>
      </c>
    </row>
    <row r="788" spans="1:4" ht="19.95" customHeight="1" x14ac:dyDescent="0.25">
      <c r="A788" s="11" t="s">
        <v>40</v>
      </c>
      <c r="B788" s="12" t="s">
        <v>14</v>
      </c>
      <c r="C788" s="12"/>
      <c r="D788" s="12">
        <v>1987</v>
      </c>
    </row>
    <row r="789" spans="1:4" ht="19.95" customHeight="1" x14ac:dyDescent="0.25">
      <c r="A789" s="11" t="s">
        <v>10</v>
      </c>
      <c r="B789" s="12" t="s">
        <v>14</v>
      </c>
      <c r="C789" s="12"/>
      <c r="D789" s="12">
        <v>1988</v>
      </c>
    </row>
    <row r="790" spans="1:4" ht="19.95" customHeight="1" x14ac:dyDescent="0.25">
      <c r="A790" s="11" t="s">
        <v>13</v>
      </c>
      <c r="B790" s="12" t="s">
        <v>14</v>
      </c>
      <c r="C790" s="12"/>
      <c r="D790" s="12">
        <v>1988</v>
      </c>
    </row>
    <row r="791" spans="1:4" ht="19.95" customHeight="1" x14ac:dyDescent="0.25">
      <c r="A791" s="11" t="s">
        <v>15</v>
      </c>
      <c r="B791" s="12" t="s">
        <v>14</v>
      </c>
      <c r="C791" s="12"/>
      <c r="D791" s="12">
        <v>1988</v>
      </c>
    </row>
    <row r="792" spans="1:4" ht="19.95" customHeight="1" x14ac:dyDescent="0.25">
      <c r="A792" s="11" t="s">
        <v>16</v>
      </c>
      <c r="B792" s="12" t="s">
        <v>14</v>
      </c>
      <c r="C792" s="12"/>
      <c r="D792" s="12">
        <v>1988</v>
      </c>
    </row>
    <row r="793" spans="1:4" ht="19.95" customHeight="1" x14ac:dyDescent="0.25">
      <c r="A793" s="11" t="s">
        <v>17</v>
      </c>
      <c r="B793" s="12" t="s">
        <v>14</v>
      </c>
      <c r="C793" s="12"/>
      <c r="D793" s="12">
        <v>1988</v>
      </c>
    </row>
    <row r="794" spans="1:4" ht="19.95" customHeight="1" x14ac:dyDescent="0.25">
      <c r="A794" s="11" t="s">
        <v>2</v>
      </c>
      <c r="B794" s="12" t="s">
        <v>14</v>
      </c>
      <c r="C794" s="12"/>
      <c r="D794" s="12">
        <v>1988</v>
      </c>
    </row>
    <row r="795" spans="1:4" ht="19.95" customHeight="1" x14ac:dyDescent="0.25">
      <c r="A795" s="11" t="s">
        <v>18</v>
      </c>
      <c r="B795" s="12" t="s">
        <v>14</v>
      </c>
      <c r="C795" s="12"/>
      <c r="D795" s="12">
        <v>1988</v>
      </c>
    </row>
    <row r="796" spans="1:4" ht="19.95" customHeight="1" x14ac:dyDescent="0.25">
      <c r="A796" s="11" t="s">
        <v>19</v>
      </c>
      <c r="B796" s="12" t="s">
        <v>14</v>
      </c>
      <c r="C796" s="12"/>
      <c r="D796" s="12">
        <v>1988</v>
      </c>
    </row>
    <row r="797" spans="1:4" ht="19.95" customHeight="1" x14ac:dyDescent="0.25">
      <c r="A797" s="11" t="s">
        <v>20</v>
      </c>
      <c r="B797" s="12" t="s">
        <v>14</v>
      </c>
      <c r="C797" s="12"/>
      <c r="D797" s="12">
        <v>1988</v>
      </c>
    </row>
    <row r="798" spans="1:4" ht="19.95" customHeight="1" x14ac:dyDescent="0.25">
      <c r="A798" s="11" t="s">
        <v>21</v>
      </c>
      <c r="B798" s="12" t="s">
        <v>14</v>
      </c>
      <c r="C798" s="12"/>
      <c r="D798" s="12">
        <v>1988</v>
      </c>
    </row>
    <row r="799" spans="1:4" ht="19.95" customHeight="1" x14ac:dyDescent="0.25">
      <c r="A799" s="11" t="s">
        <v>22</v>
      </c>
      <c r="B799" s="12" t="s">
        <v>14</v>
      </c>
      <c r="C799" s="12"/>
      <c r="D799" s="12">
        <v>1988</v>
      </c>
    </row>
    <row r="800" spans="1:4" ht="19.95" customHeight="1" x14ac:dyDescent="0.25">
      <c r="A800" s="11" t="s">
        <v>23</v>
      </c>
      <c r="B800" s="12" t="s">
        <v>14</v>
      </c>
      <c r="C800" s="12"/>
      <c r="D800" s="12">
        <v>1988</v>
      </c>
    </row>
    <row r="801" spans="1:4" ht="19.95" customHeight="1" x14ac:dyDescent="0.25">
      <c r="A801" s="11" t="s">
        <v>24</v>
      </c>
      <c r="B801" s="12" t="s">
        <v>14</v>
      </c>
      <c r="C801" s="12"/>
      <c r="D801" s="12">
        <v>1988</v>
      </c>
    </row>
    <row r="802" spans="1:4" ht="19.95" customHeight="1" x14ac:dyDescent="0.25">
      <c r="A802" s="11" t="s">
        <v>25</v>
      </c>
      <c r="B802" s="12" t="s">
        <v>14</v>
      </c>
      <c r="C802" s="12"/>
      <c r="D802" s="12">
        <v>1988</v>
      </c>
    </row>
    <row r="803" spans="1:4" ht="19.95" customHeight="1" x14ac:dyDescent="0.25">
      <c r="A803" s="11" t="s">
        <v>26</v>
      </c>
      <c r="B803" s="12" t="s">
        <v>14</v>
      </c>
      <c r="C803" s="12"/>
      <c r="D803" s="12">
        <v>1988</v>
      </c>
    </row>
    <row r="804" spans="1:4" ht="19.95" customHeight="1" x14ac:dyDescent="0.25">
      <c r="A804" s="11" t="s">
        <v>27</v>
      </c>
      <c r="B804" s="12" t="s">
        <v>14</v>
      </c>
      <c r="C804" s="12"/>
      <c r="D804" s="12">
        <v>1988</v>
      </c>
    </row>
    <row r="805" spans="1:4" ht="19.95" customHeight="1" x14ac:dyDescent="0.25">
      <c r="A805" s="11" t="s">
        <v>29</v>
      </c>
      <c r="B805" s="12" t="s">
        <v>14</v>
      </c>
      <c r="C805" s="12"/>
      <c r="D805" s="12">
        <v>1988</v>
      </c>
    </row>
    <row r="806" spans="1:4" ht="19.95" customHeight="1" x14ac:dyDescent="0.25">
      <c r="A806" s="11" t="s">
        <v>30</v>
      </c>
      <c r="B806" s="12" t="s">
        <v>14</v>
      </c>
      <c r="C806" s="12"/>
      <c r="D806" s="12">
        <v>1988</v>
      </c>
    </row>
    <row r="807" spans="1:4" ht="19.95" customHeight="1" x14ac:dyDescent="0.25">
      <c r="A807" s="11" t="s">
        <v>31</v>
      </c>
      <c r="B807" s="12" t="s">
        <v>14</v>
      </c>
      <c r="C807" s="12"/>
      <c r="D807" s="12">
        <v>1988</v>
      </c>
    </row>
    <row r="808" spans="1:4" ht="19.95" customHeight="1" x14ac:dyDescent="0.25">
      <c r="A808" s="11" t="s">
        <v>32</v>
      </c>
      <c r="B808" s="12" t="s">
        <v>14</v>
      </c>
      <c r="C808" s="12"/>
      <c r="D808" s="12">
        <v>1988</v>
      </c>
    </row>
    <row r="809" spans="1:4" ht="19.95" customHeight="1" x14ac:dyDescent="0.25">
      <c r="A809" s="11" t="s">
        <v>33</v>
      </c>
      <c r="B809" s="12" t="s">
        <v>14</v>
      </c>
      <c r="C809" s="12"/>
      <c r="D809" s="12">
        <v>1988</v>
      </c>
    </row>
    <row r="810" spans="1:4" ht="19.95" customHeight="1" x14ac:dyDescent="0.25">
      <c r="A810" s="11" t="s">
        <v>34</v>
      </c>
      <c r="B810" s="12" t="s">
        <v>14</v>
      </c>
      <c r="C810" s="12"/>
      <c r="D810" s="12">
        <v>1988</v>
      </c>
    </row>
    <row r="811" spans="1:4" ht="19.95" customHeight="1" x14ac:dyDescent="0.25">
      <c r="A811" s="11" t="s">
        <v>35</v>
      </c>
      <c r="B811" s="12" t="s">
        <v>14</v>
      </c>
      <c r="C811" s="12"/>
      <c r="D811" s="12">
        <v>1988</v>
      </c>
    </row>
    <row r="812" spans="1:4" ht="19.95" customHeight="1" x14ac:dyDescent="0.25">
      <c r="A812" s="11" t="s">
        <v>36</v>
      </c>
      <c r="B812" s="12" t="s">
        <v>14</v>
      </c>
      <c r="C812" s="12"/>
      <c r="D812" s="12">
        <v>1988</v>
      </c>
    </row>
    <row r="813" spans="1:4" ht="19.95" customHeight="1" x14ac:dyDescent="0.25">
      <c r="A813" s="11" t="s">
        <v>37</v>
      </c>
      <c r="B813" s="12" t="s">
        <v>14</v>
      </c>
      <c r="C813" s="12"/>
      <c r="D813" s="12">
        <v>1988</v>
      </c>
    </row>
    <row r="814" spans="1:4" ht="19.95" customHeight="1" x14ac:dyDescent="0.25">
      <c r="A814" s="11" t="s">
        <v>38</v>
      </c>
      <c r="B814" s="12" t="s">
        <v>14</v>
      </c>
      <c r="C814" s="12"/>
      <c r="D814" s="12">
        <v>1988</v>
      </c>
    </row>
    <row r="815" spans="1:4" ht="19.95" customHeight="1" x14ac:dyDescent="0.25">
      <c r="A815" s="11" t="s">
        <v>39</v>
      </c>
      <c r="B815" s="12" t="s">
        <v>14</v>
      </c>
      <c r="C815" s="12"/>
      <c r="D815" s="12">
        <v>1988</v>
      </c>
    </row>
    <row r="816" spans="1:4" ht="19.95" customHeight="1" x14ac:dyDescent="0.25">
      <c r="A816" s="11" t="s">
        <v>40</v>
      </c>
      <c r="B816" s="12" t="s">
        <v>14</v>
      </c>
      <c r="C816" s="12"/>
      <c r="D816" s="12">
        <v>1988</v>
      </c>
    </row>
    <row r="817" spans="1:4" ht="19.95" customHeight="1" x14ac:dyDescent="0.25">
      <c r="A817" s="11" t="s">
        <v>10</v>
      </c>
      <c r="B817" s="12" t="s">
        <v>14</v>
      </c>
      <c r="C817" s="12"/>
      <c r="D817" s="12">
        <v>1989</v>
      </c>
    </row>
    <row r="818" spans="1:4" ht="19.95" customHeight="1" x14ac:dyDescent="0.25">
      <c r="A818" s="11" t="s">
        <v>13</v>
      </c>
      <c r="B818" s="12" t="s">
        <v>14</v>
      </c>
      <c r="C818" s="12"/>
      <c r="D818" s="12">
        <v>1989</v>
      </c>
    </row>
    <row r="819" spans="1:4" ht="19.95" customHeight="1" x14ac:dyDescent="0.25">
      <c r="A819" s="11" t="s">
        <v>15</v>
      </c>
      <c r="B819" s="12" t="s">
        <v>14</v>
      </c>
      <c r="C819" s="12"/>
      <c r="D819" s="12">
        <v>1989</v>
      </c>
    </row>
    <row r="820" spans="1:4" ht="19.95" customHeight="1" x14ac:dyDescent="0.25">
      <c r="A820" s="11" t="s">
        <v>16</v>
      </c>
      <c r="B820" s="12" t="s">
        <v>14</v>
      </c>
      <c r="C820" s="12"/>
      <c r="D820" s="12">
        <v>1989</v>
      </c>
    </row>
    <row r="821" spans="1:4" ht="19.95" customHeight="1" x14ac:dyDescent="0.25">
      <c r="A821" s="11" t="s">
        <v>17</v>
      </c>
      <c r="B821" s="12" t="s">
        <v>14</v>
      </c>
      <c r="C821" s="12"/>
      <c r="D821" s="12">
        <v>1989</v>
      </c>
    </row>
    <row r="822" spans="1:4" ht="19.95" customHeight="1" x14ac:dyDescent="0.25">
      <c r="A822" s="11" t="s">
        <v>2</v>
      </c>
      <c r="B822" s="12" t="s">
        <v>14</v>
      </c>
      <c r="C822" s="12"/>
      <c r="D822" s="12">
        <v>1989</v>
      </c>
    </row>
    <row r="823" spans="1:4" ht="19.95" customHeight="1" x14ac:dyDescent="0.25">
      <c r="A823" s="11" t="s">
        <v>18</v>
      </c>
      <c r="B823" s="12" t="s">
        <v>14</v>
      </c>
      <c r="C823" s="12"/>
      <c r="D823" s="12">
        <v>1989</v>
      </c>
    </row>
    <row r="824" spans="1:4" ht="19.95" customHeight="1" x14ac:dyDescent="0.25">
      <c r="A824" s="11" t="s">
        <v>19</v>
      </c>
      <c r="B824" s="12" t="s">
        <v>14</v>
      </c>
      <c r="C824" s="12"/>
      <c r="D824" s="12">
        <v>1989</v>
      </c>
    </row>
    <row r="825" spans="1:4" ht="19.95" customHeight="1" x14ac:dyDescent="0.25">
      <c r="A825" s="11" t="s">
        <v>20</v>
      </c>
      <c r="B825" s="12" t="s">
        <v>14</v>
      </c>
      <c r="C825" s="12"/>
      <c r="D825" s="12">
        <v>1989</v>
      </c>
    </row>
    <row r="826" spans="1:4" ht="19.95" customHeight="1" x14ac:dyDescent="0.25">
      <c r="A826" s="11" t="s">
        <v>21</v>
      </c>
      <c r="B826" s="12" t="s">
        <v>14</v>
      </c>
      <c r="C826" s="12"/>
      <c r="D826" s="12">
        <v>1989</v>
      </c>
    </row>
    <row r="827" spans="1:4" ht="19.95" customHeight="1" x14ac:dyDescent="0.25">
      <c r="A827" s="11" t="s">
        <v>22</v>
      </c>
      <c r="B827" s="12" t="s">
        <v>14</v>
      </c>
      <c r="C827" s="12"/>
      <c r="D827" s="12">
        <v>1989</v>
      </c>
    </row>
    <row r="828" spans="1:4" ht="19.95" customHeight="1" x14ac:dyDescent="0.25">
      <c r="A828" s="11" t="s">
        <v>23</v>
      </c>
      <c r="B828" s="12" t="s">
        <v>14</v>
      </c>
      <c r="C828" s="12"/>
      <c r="D828" s="12">
        <v>1989</v>
      </c>
    </row>
    <row r="829" spans="1:4" ht="19.95" customHeight="1" x14ac:dyDescent="0.25">
      <c r="A829" s="11" t="s">
        <v>24</v>
      </c>
      <c r="B829" s="12" t="s">
        <v>14</v>
      </c>
      <c r="C829" s="12"/>
      <c r="D829" s="12">
        <v>1989</v>
      </c>
    </row>
    <row r="830" spans="1:4" ht="19.95" customHeight="1" x14ac:dyDescent="0.25">
      <c r="A830" s="11" t="s">
        <v>25</v>
      </c>
      <c r="B830" s="12" t="s">
        <v>14</v>
      </c>
      <c r="C830" s="12"/>
      <c r="D830" s="12">
        <v>1989</v>
      </c>
    </row>
    <row r="831" spans="1:4" ht="19.95" customHeight="1" x14ac:dyDescent="0.25">
      <c r="A831" s="11" t="s">
        <v>26</v>
      </c>
      <c r="B831" s="12" t="s">
        <v>14</v>
      </c>
      <c r="C831" s="12"/>
      <c r="D831" s="12">
        <v>1989</v>
      </c>
    </row>
    <row r="832" spans="1:4" ht="19.95" customHeight="1" x14ac:dyDescent="0.25">
      <c r="A832" s="11" t="s">
        <v>27</v>
      </c>
      <c r="B832" s="12" t="s">
        <v>14</v>
      </c>
      <c r="C832" s="12"/>
      <c r="D832" s="12">
        <v>1989</v>
      </c>
    </row>
    <row r="833" spans="1:4" ht="19.95" customHeight="1" x14ac:dyDescent="0.25">
      <c r="A833" s="11" t="s">
        <v>29</v>
      </c>
      <c r="B833" s="12" t="s">
        <v>14</v>
      </c>
      <c r="C833" s="12"/>
      <c r="D833" s="12">
        <v>1989</v>
      </c>
    </row>
    <row r="834" spans="1:4" ht="19.95" customHeight="1" x14ac:dyDescent="0.25">
      <c r="A834" s="11" t="s">
        <v>30</v>
      </c>
      <c r="B834" s="12" t="s">
        <v>14</v>
      </c>
      <c r="C834" s="12"/>
      <c r="D834" s="12">
        <v>1989</v>
      </c>
    </row>
    <row r="835" spans="1:4" ht="19.95" customHeight="1" x14ac:dyDescent="0.25">
      <c r="A835" s="11" t="s">
        <v>31</v>
      </c>
      <c r="B835" s="12" t="s">
        <v>14</v>
      </c>
      <c r="C835" s="12"/>
      <c r="D835" s="12">
        <v>1989</v>
      </c>
    </row>
    <row r="836" spans="1:4" ht="19.95" customHeight="1" x14ac:dyDescent="0.25">
      <c r="A836" s="11" t="s">
        <v>32</v>
      </c>
      <c r="B836" s="12" t="s">
        <v>14</v>
      </c>
      <c r="C836" s="12"/>
      <c r="D836" s="12">
        <v>1989</v>
      </c>
    </row>
    <row r="837" spans="1:4" ht="19.95" customHeight="1" x14ac:dyDescent="0.25">
      <c r="A837" s="11" t="s">
        <v>33</v>
      </c>
      <c r="B837" s="12" t="s">
        <v>14</v>
      </c>
      <c r="C837" s="12"/>
      <c r="D837" s="12">
        <v>1989</v>
      </c>
    </row>
    <row r="838" spans="1:4" ht="19.95" customHeight="1" x14ac:dyDescent="0.25">
      <c r="A838" s="11" t="s">
        <v>34</v>
      </c>
      <c r="B838" s="12" t="s">
        <v>14</v>
      </c>
      <c r="C838" s="12"/>
      <c r="D838" s="12">
        <v>1989</v>
      </c>
    </row>
    <row r="839" spans="1:4" ht="19.95" customHeight="1" x14ac:dyDescent="0.25">
      <c r="A839" s="11" t="s">
        <v>35</v>
      </c>
      <c r="B839" s="12" t="s">
        <v>14</v>
      </c>
      <c r="C839" s="12"/>
      <c r="D839" s="12">
        <v>1989</v>
      </c>
    </row>
    <row r="840" spans="1:4" ht="19.95" customHeight="1" x14ac:dyDescent="0.25">
      <c r="A840" s="11" t="s">
        <v>36</v>
      </c>
      <c r="B840" s="12" t="s">
        <v>14</v>
      </c>
      <c r="C840" s="12"/>
      <c r="D840" s="12">
        <v>1989</v>
      </c>
    </row>
    <row r="841" spans="1:4" ht="19.95" customHeight="1" x14ac:dyDescent="0.25">
      <c r="A841" s="11" t="s">
        <v>37</v>
      </c>
      <c r="B841" s="12" t="s">
        <v>14</v>
      </c>
      <c r="C841" s="12"/>
      <c r="D841" s="12">
        <v>1989</v>
      </c>
    </row>
    <row r="842" spans="1:4" ht="19.95" customHeight="1" x14ac:dyDescent="0.25">
      <c r="A842" s="11" t="s">
        <v>38</v>
      </c>
      <c r="B842" s="12" t="s">
        <v>14</v>
      </c>
      <c r="C842" s="12"/>
      <c r="D842" s="12">
        <v>1989</v>
      </c>
    </row>
    <row r="843" spans="1:4" ht="19.95" customHeight="1" x14ac:dyDescent="0.25">
      <c r="A843" s="11" t="s">
        <v>39</v>
      </c>
      <c r="B843" s="12" t="s">
        <v>14</v>
      </c>
      <c r="C843" s="12"/>
      <c r="D843" s="12">
        <v>1989</v>
      </c>
    </row>
    <row r="844" spans="1:4" ht="19.95" customHeight="1" x14ac:dyDescent="0.25">
      <c r="A844" s="11" t="s">
        <v>40</v>
      </c>
      <c r="B844" s="12" t="s">
        <v>14</v>
      </c>
      <c r="C844" s="12"/>
      <c r="D844" s="12">
        <v>1989</v>
      </c>
    </row>
    <row r="845" spans="1:4" ht="19.95" customHeight="1" x14ac:dyDescent="0.25">
      <c r="A845" s="11" t="s">
        <v>10</v>
      </c>
      <c r="B845" s="12" t="s">
        <v>14</v>
      </c>
      <c r="C845" s="12">
        <v>0.34862706065177901</v>
      </c>
      <c r="D845" s="12">
        <v>1990</v>
      </c>
    </row>
    <row r="846" spans="1:4" ht="19.95" customHeight="1" x14ac:dyDescent="0.25">
      <c r="A846" s="11" t="s">
        <v>13</v>
      </c>
      <c r="B846" s="12" t="s">
        <v>14</v>
      </c>
      <c r="C846" s="12">
        <v>30.129716873168899</v>
      </c>
      <c r="D846" s="12">
        <v>1990</v>
      </c>
    </row>
    <row r="847" spans="1:4" ht="19.95" customHeight="1" x14ac:dyDescent="0.25">
      <c r="A847" s="11" t="s">
        <v>15</v>
      </c>
      <c r="B847" s="12" t="s">
        <v>14</v>
      </c>
      <c r="C847" s="12">
        <v>9.9999997764825804E-3</v>
      </c>
      <c r="D847" s="12">
        <v>1990</v>
      </c>
    </row>
    <row r="848" spans="1:4" ht="19.95" customHeight="1" x14ac:dyDescent="0.25">
      <c r="A848" s="11" t="s">
        <v>16</v>
      </c>
      <c r="B848" s="12" t="s">
        <v>14</v>
      </c>
      <c r="C848" s="12">
        <v>15.2995491027832</v>
      </c>
      <c r="D848" s="12">
        <v>1990</v>
      </c>
    </row>
    <row r="849" spans="1:4" ht="19.95" customHeight="1" x14ac:dyDescent="0.25">
      <c r="A849" s="11" t="s">
        <v>17</v>
      </c>
      <c r="B849" s="12" t="s">
        <v>14</v>
      </c>
      <c r="C849" s="12">
        <v>59.609077453613303</v>
      </c>
      <c r="D849" s="12">
        <v>1990</v>
      </c>
    </row>
    <row r="850" spans="1:4" ht="19.95" customHeight="1" x14ac:dyDescent="0.25">
      <c r="A850" s="11" t="s">
        <v>2</v>
      </c>
      <c r="B850" s="12" t="s">
        <v>14</v>
      </c>
      <c r="C850" s="12">
        <v>9.9999997764825804E-3</v>
      </c>
      <c r="D850" s="12">
        <v>1990</v>
      </c>
    </row>
    <row r="851" spans="1:4" ht="19.95" customHeight="1" x14ac:dyDescent="0.25">
      <c r="A851" s="11" t="s">
        <v>18</v>
      </c>
      <c r="B851" s="12" t="s">
        <v>14</v>
      </c>
      <c r="C851" s="12">
        <v>6.4290671348571804</v>
      </c>
      <c r="D851" s="12">
        <v>1990</v>
      </c>
    </row>
    <row r="852" spans="1:4" ht="19.95" customHeight="1" x14ac:dyDescent="0.25">
      <c r="A852" s="11" t="s">
        <v>19</v>
      </c>
      <c r="B852" s="12" t="s">
        <v>14</v>
      </c>
      <c r="C852" s="12">
        <v>28.001398086547901</v>
      </c>
      <c r="D852" s="12">
        <v>1990</v>
      </c>
    </row>
    <row r="853" spans="1:4" ht="19.95" customHeight="1" x14ac:dyDescent="0.25">
      <c r="A853" s="11" t="s">
        <v>20</v>
      </c>
      <c r="B853" s="12" t="s">
        <v>14</v>
      </c>
      <c r="C853" s="12">
        <v>3.3183898925781201</v>
      </c>
      <c r="D853" s="12">
        <v>1990</v>
      </c>
    </row>
    <row r="854" spans="1:4" ht="19.95" customHeight="1" x14ac:dyDescent="0.25">
      <c r="A854" s="11" t="s">
        <v>21</v>
      </c>
      <c r="B854" s="12" t="s">
        <v>14</v>
      </c>
      <c r="C854" s="12">
        <v>87.694694519042997</v>
      </c>
      <c r="D854" s="12">
        <v>1990</v>
      </c>
    </row>
    <row r="855" spans="1:4" ht="19.95" customHeight="1" x14ac:dyDescent="0.25">
      <c r="A855" s="11" t="s">
        <v>22</v>
      </c>
      <c r="B855" s="12" t="s">
        <v>14</v>
      </c>
      <c r="C855" s="12">
        <v>9.9999997764825804E-3</v>
      </c>
      <c r="D855" s="12">
        <v>1990</v>
      </c>
    </row>
    <row r="856" spans="1:4" ht="19.95" customHeight="1" x14ac:dyDescent="0.25">
      <c r="A856" s="11" t="s">
        <v>23</v>
      </c>
      <c r="B856" s="12" t="s">
        <v>14</v>
      </c>
      <c r="C856" s="12">
        <v>9.5717821121215803</v>
      </c>
      <c r="D856" s="12">
        <v>1990</v>
      </c>
    </row>
    <row r="857" spans="1:4" ht="19.95" customHeight="1" x14ac:dyDescent="0.25">
      <c r="A857" s="11" t="s">
        <v>24</v>
      </c>
      <c r="B857" s="12" t="s">
        <v>14</v>
      </c>
      <c r="C857" s="12">
        <v>1.1207196712493901</v>
      </c>
      <c r="D857" s="12">
        <v>1990</v>
      </c>
    </row>
    <row r="858" spans="1:4" ht="19.95" customHeight="1" x14ac:dyDescent="0.25">
      <c r="A858" s="11" t="s">
        <v>25</v>
      </c>
      <c r="B858" s="12" t="s">
        <v>14</v>
      </c>
      <c r="C858" s="12">
        <v>9.9999997764825804E-3</v>
      </c>
      <c r="D858" s="12">
        <v>1990</v>
      </c>
    </row>
    <row r="859" spans="1:4" ht="19.95" customHeight="1" x14ac:dyDescent="0.25">
      <c r="A859" s="11" t="s">
        <v>26</v>
      </c>
      <c r="B859" s="12" t="s">
        <v>14</v>
      </c>
      <c r="C859" s="12">
        <v>94.91943359375</v>
      </c>
      <c r="D859" s="12">
        <v>1990</v>
      </c>
    </row>
    <row r="860" spans="1:4" ht="19.95" customHeight="1" x14ac:dyDescent="0.25">
      <c r="A860" s="11" t="s">
        <v>27</v>
      </c>
      <c r="B860" s="12" t="s">
        <v>14</v>
      </c>
      <c r="C860" s="12">
        <v>9.9999997764825804E-3</v>
      </c>
      <c r="D860" s="12">
        <v>1990</v>
      </c>
    </row>
    <row r="861" spans="1:4" ht="19.95" customHeight="1" x14ac:dyDescent="0.25">
      <c r="A861" s="11" t="s">
        <v>29</v>
      </c>
      <c r="B861" s="12" t="s">
        <v>14</v>
      </c>
      <c r="C861" s="12">
        <v>35.652030944824197</v>
      </c>
      <c r="D861" s="12">
        <v>1990</v>
      </c>
    </row>
    <row r="862" spans="1:4" ht="19.95" customHeight="1" x14ac:dyDescent="0.25">
      <c r="A862" s="11" t="s">
        <v>30</v>
      </c>
      <c r="B862" s="12" t="s">
        <v>14</v>
      </c>
      <c r="C862" s="12">
        <v>9.9999997764825804E-3</v>
      </c>
      <c r="D862" s="12">
        <v>1990</v>
      </c>
    </row>
    <row r="863" spans="1:4" ht="19.95" customHeight="1" x14ac:dyDescent="0.25">
      <c r="A863" s="11" t="s">
        <v>31</v>
      </c>
      <c r="B863" s="12" t="s">
        <v>14</v>
      </c>
      <c r="C863" s="12">
        <v>66.828041076660199</v>
      </c>
      <c r="D863" s="12">
        <v>1990</v>
      </c>
    </row>
    <row r="864" spans="1:4" ht="19.95" customHeight="1" x14ac:dyDescent="0.25">
      <c r="A864" s="11" t="s">
        <v>32</v>
      </c>
      <c r="B864" s="12" t="s">
        <v>14</v>
      </c>
      <c r="C864" s="12">
        <v>2.2900023460388201</v>
      </c>
      <c r="D864" s="12">
        <v>1990</v>
      </c>
    </row>
    <row r="865" spans="1:4" ht="19.95" customHeight="1" x14ac:dyDescent="0.25">
      <c r="A865" s="11" t="s">
        <v>33</v>
      </c>
      <c r="B865" s="12" t="s">
        <v>14</v>
      </c>
      <c r="C865" s="12">
        <v>9.9999997764825804E-3</v>
      </c>
      <c r="D865" s="12">
        <v>1990</v>
      </c>
    </row>
    <row r="866" spans="1:4" ht="19.95" customHeight="1" x14ac:dyDescent="0.25">
      <c r="A866" s="11" t="s">
        <v>34</v>
      </c>
      <c r="B866" s="12" t="s">
        <v>14</v>
      </c>
      <c r="C866" s="12">
        <v>42.757965087890597</v>
      </c>
      <c r="D866" s="12">
        <v>1990</v>
      </c>
    </row>
    <row r="867" spans="1:4" ht="19.95" customHeight="1" x14ac:dyDescent="0.25">
      <c r="A867" s="11" t="s">
        <v>35</v>
      </c>
      <c r="B867" s="12" t="s">
        <v>14</v>
      </c>
      <c r="C867" s="12">
        <v>52.9376411437988</v>
      </c>
      <c r="D867" s="12">
        <v>1990</v>
      </c>
    </row>
    <row r="868" spans="1:4" ht="19.95" customHeight="1" x14ac:dyDescent="0.25">
      <c r="A868" s="11" t="s">
        <v>36</v>
      </c>
      <c r="B868" s="12" t="s">
        <v>14</v>
      </c>
      <c r="C868" s="12">
        <v>96.603431701660199</v>
      </c>
      <c r="D868" s="12">
        <v>1990</v>
      </c>
    </row>
    <row r="869" spans="1:4" ht="19.95" customHeight="1" x14ac:dyDescent="0.25">
      <c r="A869" s="11" t="s">
        <v>37</v>
      </c>
      <c r="B869" s="12" t="s">
        <v>14</v>
      </c>
      <c r="C869" s="12">
        <v>2.4837088584899898</v>
      </c>
      <c r="D869" s="12">
        <v>1990</v>
      </c>
    </row>
    <row r="870" spans="1:4" ht="19.95" customHeight="1" x14ac:dyDescent="0.25">
      <c r="A870" s="11" t="s">
        <v>38</v>
      </c>
      <c r="B870" s="12" t="s">
        <v>14</v>
      </c>
      <c r="C870" s="12">
        <v>1.26645708084106</v>
      </c>
      <c r="D870" s="12">
        <v>1990</v>
      </c>
    </row>
    <row r="871" spans="1:4" ht="19.95" customHeight="1" x14ac:dyDescent="0.25">
      <c r="A871" s="11" t="s">
        <v>39</v>
      </c>
      <c r="B871" s="12" t="s">
        <v>14</v>
      </c>
      <c r="C871" s="12">
        <v>13.9</v>
      </c>
      <c r="D871" s="12">
        <v>1990</v>
      </c>
    </row>
    <row r="872" spans="1:4" ht="19.95" customHeight="1" x14ac:dyDescent="0.25">
      <c r="A872" s="11" t="s">
        <v>40</v>
      </c>
      <c r="B872" s="12" t="s">
        <v>14</v>
      </c>
      <c r="C872" s="12">
        <v>30.357831954956101</v>
      </c>
      <c r="D872" s="12">
        <v>1990</v>
      </c>
    </row>
    <row r="873" spans="1:4" ht="19.95" customHeight="1" x14ac:dyDescent="0.25">
      <c r="A873" s="11" t="s">
        <v>10</v>
      </c>
      <c r="B873" s="12" t="s">
        <v>14</v>
      </c>
      <c r="C873" s="12">
        <v>0.688546001911163</v>
      </c>
      <c r="D873" s="12">
        <v>1991</v>
      </c>
    </row>
    <row r="874" spans="1:4" ht="19.95" customHeight="1" x14ac:dyDescent="0.25">
      <c r="A874" s="11" t="s">
        <v>13</v>
      </c>
      <c r="B874" s="12" t="s">
        <v>14</v>
      </c>
      <c r="C874" s="12">
        <v>29</v>
      </c>
      <c r="D874" s="12">
        <v>1991</v>
      </c>
    </row>
    <row r="875" spans="1:4" ht="19.95" customHeight="1" x14ac:dyDescent="0.25">
      <c r="A875" s="11" t="s">
        <v>15</v>
      </c>
      <c r="B875" s="12" t="s">
        <v>14</v>
      </c>
      <c r="C875" s="12">
        <v>3.0787270516157199E-2</v>
      </c>
      <c r="D875" s="12">
        <v>1991</v>
      </c>
    </row>
    <row r="876" spans="1:4" ht="19.95" customHeight="1" x14ac:dyDescent="0.25">
      <c r="A876" s="11" t="s">
        <v>16</v>
      </c>
      <c r="B876" s="12" t="s">
        <v>14</v>
      </c>
      <c r="C876" s="12">
        <v>17.766576766967798</v>
      </c>
      <c r="D876" s="12">
        <v>1991</v>
      </c>
    </row>
    <row r="877" spans="1:4" ht="19.95" customHeight="1" x14ac:dyDescent="0.25">
      <c r="A877" s="11" t="s">
        <v>17</v>
      </c>
      <c r="B877" s="12" t="s">
        <v>14</v>
      </c>
      <c r="C877" s="12">
        <v>59.3695259094238</v>
      </c>
      <c r="D877" s="12">
        <v>1991</v>
      </c>
    </row>
    <row r="878" spans="1:4" ht="19.95" customHeight="1" x14ac:dyDescent="0.25">
      <c r="A878" s="11" t="s">
        <v>2</v>
      </c>
      <c r="B878" s="12" t="s">
        <v>14</v>
      </c>
      <c r="C878" s="12">
        <v>9.9999997764825804E-3</v>
      </c>
      <c r="D878" s="12">
        <v>1991</v>
      </c>
    </row>
    <row r="879" spans="1:4" ht="19.95" customHeight="1" x14ac:dyDescent="0.25">
      <c r="A879" s="11" t="s">
        <v>18</v>
      </c>
      <c r="B879" s="12" t="s">
        <v>14</v>
      </c>
      <c r="C879" s="12">
        <v>7.4742112159729004</v>
      </c>
      <c r="D879" s="12">
        <v>1991</v>
      </c>
    </row>
    <row r="880" spans="1:4" ht="19.95" customHeight="1" x14ac:dyDescent="0.25">
      <c r="A880" s="11" t="s">
        <v>19</v>
      </c>
      <c r="B880" s="12" t="s">
        <v>14</v>
      </c>
      <c r="C880" s="12">
        <v>28.4739665985107</v>
      </c>
      <c r="D880" s="12">
        <v>1991</v>
      </c>
    </row>
    <row r="881" spans="1:4" ht="19.95" customHeight="1" x14ac:dyDescent="0.25">
      <c r="A881" s="11" t="s">
        <v>20</v>
      </c>
      <c r="B881" s="12" t="s">
        <v>14</v>
      </c>
      <c r="C881" s="12">
        <v>4.61489009857178</v>
      </c>
      <c r="D881" s="12">
        <v>1991</v>
      </c>
    </row>
    <row r="882" spans="1:4" ht="19.95" customHeight="1" x14ac:dyDescent="0.25">
      <c r="A882" s="11" t="s">
        <v>21</v>
      </c>
      <c r="B882" s="12" t="s">
        <v>14</v>
      </c>
      <c r="C882" s="12">
        <v>88.333473205566406</v>
      </c>
      <c r="D882" s="12">
        <v>1991</v>
      </c>
    </row>
    <row r="883" spans="1:4" ht="19.95" customHeight="1" x14ac:dyDescent="0.25">
      <c r="A883" s="11" t="s">
        <v>22</v>
      </c>
      <c r="B883" s="12" t="s">
        <v>14</v>
      </c>
      <c r="C883" s="12">
        <v>9.9999997764825804E-3</v>
      </c>
      <c r="D883" s="12">
        <v>1991</v>
      </c>
    </row>
    <row r="884" spans="1:4" ht="19.95" customHeight="1" x14ac:dyDescent="0.25">
      <c r="A884" s="11" t="s">
        <v>23</v>
      </c>
      <c r="B884" s="12" t="s">
        <v>14</v>
      </c>
      <c r="C884" s="12">
        <v>10.0140933990479</v>
      </c>
      <c r="D884" s="12">
        <v>1991</v>
      </c>
    </row>
    <row r="885" spans="1:4" ht="19.95" customHeight="1" x14ac:dyDescent="0.25">
      <c r="A885" s="11" t="s">
        <v>24</v>
      </c>
      <c r="B885" s="12" t="s">
        <v>14</v>
      </c>
      <c r="C885" s="12">
        <v>1.5494590997695901</v>
      </c>
      <c r="D885" s="12">
        <v>1991</v>
      </c>
    </row>
    <row r="886" spans="1:4" ht="19.95" customHeight="1" x14ac:dyDescent="0.25">
      <c r="A886" s="11" t="s">
        <v>25</v>
      </c>
      <c r="B886" s="12" t="s">
        <v>14</v>
      </c>
      <c r="C886" s="12">
        <v>2.36798115074635E-2</v>
      </c>
      <c r="D886" s="12">
        <v>1991</v>
      </c>
    </row>
    <row r="887" spans="1:4" ht="19.95" customHeight="1" x14ac:dyDescent="0.25">
      <c r="A887" s="11" t="s">
        <v>26</v>
      </c>
      <c r="B887" s="12" t="s">
        <v>14</v>
      </c>
      <c r="C887" s="12">
        <v>95.274398803710895</v>
      </c>
      <c r="D887" s="12">
        <v>1991</v>
      </c>
    </row>
    <row r="888" spans="1:4" ht="19.95" customHeight="1" x14ac:dyDescent="0.25">
      <c r="A888" s="11" t="s">
        <v>27</v>
      </c>
      <c r="B888" s="12" t="s">
        <v>14</v>
      </c>
      <c r="C888" s="12">
        <v>1.0269812308251899E-2</v>
      </c>
      <c r="D888" s="12">
        <v>1991</v>
      </c>
    </row>
    <row r="889" spans="1:4" ht="19.95" customHeight="1" x14ac:dyDescent="0.25">
      <c r="A889" s="11" t="s">
        <v>29</v>
      </c>
      <c r="B889" s="12" t="s">
        <v>14</v>
      </c>
      <c r="C889" s="12">
        <v>36.5349311828613</v>
      </c>
      <c r="D889" s="12">
        <v>1991</v>
      </c>
    </row>
    <row r="890" spans="1:4" ht="19.95" customHeight="1" x14ac:dyDescent="0.25">
      <c r="A890" s="11" t="s">
        <v>30</v>
      </c>
      <c r="B890" s="12" t="s">
        <v>14</v>
      </c>
      <c r="C890" s="12">
        <v>6.5060190856456798E-2</v>
      </c>
      <c r="D890" s="12">
        <v>1991</v>
      </c>
    </row>
    <row r="891" spans="1:4" ht="19.95" customHeight="1" x14ac:dyDescent="0.25">
      <c r="A891" s="11" t="s">
        <v>31</v>
      </c>
      <c r="B891" s="12" t="s">
        <v>14</v>
      </c>
      <c r="C891" s="12">
        <v>67.465225219726506</v>
      </c>
      <c r="D891" s="12">
        <v>1991</v>
      </c>
    </row>
    <row r="892" spans="1:4" ht="19.95" customHeight="1" x14ac:dyDescent="0.25">
      <c r="A892" s="11" t="s">
        <v>32</v>
      </c>
      <c r="B892" s="12" t="s">
        <v>14</v>
      </c>
      <c r="C892" s="12">
        <v>2.88712811470032</v>
      </c>
      <c r="D892" s="12">
        <v>1991</v>
      </c>
    </row>
    <row r="893" spans="1:4" ht="19.95" customHeight="1" x14ac:dyDescent="0.25">
      <c r="A893" s="11" t="s">
        <v>33</v>
      </c>
      <c r="B893" s="12" t="s">
        <v>14</v>
      </c>
      <c r="C893" s="12">
        <v>9.9999997764825804E-3</v>
      </c>
      <c r="D893" s="12">
        <v>1991</v>
      </c>
    </row>
    <row r="894" spans="1:4" ht="19.95" customHeight="1" x14ac:dyDescent="0.25">
      <c r="A894" s="11" t="s">
        <v>34</v>
      </c>
      <c r="B894" s="12" t="s">
        <v>14</v>
      </c>
      <c r="C894" s="12">
        <v>43.6918334960938</v>
      </c>
      <c r="D894" s="12">
        <v>1991</v>
      </c>
    </row>
    <row r="895" spans="1:4" ht="19.95" customHeight="1" x14ac:dyDescent="0.25">
      <c r="A895" s="11" t="s">
        <v>35</v>
      </c>
      <c r="B895" s="12" t="s">
        <v>14</v>
      </c>
      <c r="C895" s="12">
        <v>54.639511108398402</v>
      </c>
      <c r="D895" s="12">
        <v>1991</v>
      </c>
    </row>
    <row r="896" spans="1:4" ht="19.95" customHeight="1" x14ac:dyDescent="0.25">
      <c r="A896" s="11" t="s">
        <v>36</v>
      </c>
      <c r="B896" s="12" t="s">
        <v>14</v>
      </c>
      <c r="C896" s="12">
        <v>96.821502685546903</v>
      </c>
      <c r="D896" s="12">
        <v>1991</v>
      </c>
    </row>
    <row r="897" spans="1:4" ht="19.95" customHeight="1" x14ac:dyDescent="0.25">
      <c r="A897" s="11" t="s">
        <v>37</v>
      </c>
      <c r="B897" s="12" t="s">
        <v>14</v>
      </c>
      <c r="C897" s="12">
        <v>3.2344152927398699</v>
      </c>
      <c r="D897" s="12">
        <v>1991</v>
      </c>
    </row>
    <row r="898" spans="1:4" ht="19.95" customHeight="1" x14ac:dyDescent="0.25">
      <c r="A898" s="11" t="s">
        <v>38</v>
      </c>
      <c r="B898" s="12" t="s">
        <v>14</v>
      </c>
      <c r="C898" s="12">
        <v>5.6</v>
      </c>
      <c r="D898" s="12">
        <v>1991</v>
      </c>
    </row>
    <row r="899" spans="1:4" ht="19.95" customHeight="1" x14ac:dyDescent="0.25">
      <c r="A899" s="11" t="s">
        <v>39</v>
      </c>
      <c r="B899" s="12" t="s">
        <v>14</v>
      </c>
      <c r="C899" s="12">
        <v>14.115426063537599</v>
      </c>
      <c r="D899" s="12">
        <v>1991</v>
      </c>
    </row>
    <row r="900" spans="1:4" ht="19.95" customHeight="1" x14ac:dyDescent="0.25">
      <c r="A900" s="11" t="s">
        <v>40</v>
      </c>
      <c r="B900" s="12" t="s">
        <v>14</v>
      </c>
      <c r="C900" s="12">
        <v>30.718805313110401</v>
      </c>
      <c r="D900" s="12">
        <v>1991</v>
      </c>
    </row>
    <row r="901" spans="1:4" ht="19.95" customHeight="1" x14ac:dyDescent="0.25">
      <c r="A901" s="11" t="s">
        <v>10</v>
      </c>
      <c r="B901" s="12" t="s">
        <v>14</v>
      </c>
      <c r="C901" s="12">
        <v>1.02795505523682</v>
      </c>
      <c r="D901" s="12">
        <v>1992</v>
      </c>
    </row>
    <row r="902" spans="1:4" ht="19.95" customHeight="1" x14ac:dyDescent="0.25">
      <c r="A902" s="11" t="s">
        <v>13</v>
      </c>
      <c r="B902" s="12" t="s">
        <v>14</v>
      </c>
      <c r="C902" s="12">
        <v>32.555599212646499</v>
      </c>
      <c r="D902" s="12">
        <v>1992</v>
      </c>
    </row>
    <row r="903" spans="1:4" ht="19.95" customHeight="1" x14ac:dyDescent="0.25">
      <c r="A903" s="11" t="s">
        <v>15</v>
      </c>
      <c r="B903" s="12" t="s">
        <v>14</v>
      </c>
      <c r="C903" s="12">
        <v>0.108397804200649</v>
      </c>
      <c r="D903" s="12">
        <v>1992</v>
      </c>
    </row>
    <row r="904" spans="1:4" ht="19.95" customHeight="1" x14ac:dyDescent="0.25">
      <c r="A904" s="11" t="s">
        <v>16</v>
      </c>
      <c r="B904" s="12" t="s">
        <v>14</v>
      </c>
      <c r="C904" s="12">
        <v>20.2330932617188</v>
      </c>
      <c r="D904" s="12">
        <v>1992</v>
      </c>
    </row>
    <row r="905" spans="1:4" ht="19.95" customHeight="1" x14ac:dyDescent="0.25">
      <c r="A905" s="11" t="s">
        <v>17</v>
      </c>
      <c r="B905" s="12" t="s">
        <v>14</v>
      </c>
      <c r="C905" s="12">
        <v>59.129463195800803</v>
      </c>
      <c r="D905" s="12">
        <v>1992</v>
      </c>
    </row>
    <row r="906" spans="1:4" ht="19.95" customHeight="1" x14ac:dyDescent="0.25">
      <c r="A906" s="11" t="s">
        <v>2</v>
      </c>
      <c r="B906" s="12" t="s">
        <v>14</v>
      </c>
      <c r="C906" s="12">
        <v>2.73247733712196E-2</v>
      </c>
      <c r="D906" s="12">
        <v>1992</v>
      </c>
    </row>
    <row r="907" spans="1:4" ht="19.95" customHeight="1" x14ac:dyDescent="0.25">
      <c r="A907" s="11" t="s">
        <v>18</v>
      </c>
      <c r="B907" s="12" t="s">
        <v>14</v>
      </c>
      <c r="C907" s="12">
        <v>8.5188455581665004</v>
      </c>
      <c r="D907" s="12">
        <v>1992</v>
      </c>
    </row>
    <row r="908" spans="1:4" ht="19.95" customHeight="1" x14ac:dyDescent="0.25">
      <c r="A908" s="11" t="s">
        <v>19</v>
      </c>
      <c r="B908" s="12" t="s">
        <v>14</v>
      </c>
      <c r="C908" s="12">
        <v>28.946027755737301</v>
      </c>
      <c r="D908" s="12">
        <v>1992</v>
      </c>
    </row>
    <row r="909" spans="1:4" ht="19.95" customHeight="1" x14ac:dyDescent="0.25">
      <c r="A909" s="11" t="s">
        <v>20</v>
      </c>
      <c r="B909" s="12" t="s">
        <v>14</v>
      </c>
      <c r="C909" s="12">
        <v>5.9108810424804696</v>
      </c>
      <c r="D909" s="12">
        <v>1992</v>
      </c>
    </row>
    <row r="910" spans="1:4" ht="19.95" customHeight="1" x14ac:dyDescent="0.25">
      <c r="A910" s="11" t="s">
        <v>21</v>
      </c>
      <c r="B910" s="12" t="s">
        <v>14</v>
      </c>
      <c r="C910" s="12">
        <v>88.971748352050795</v>
      </c>
      <c r="D910" s="12">
        <v>1992</v>
      </c>
    </row>
    <row r="911" spans="1:4" ht="19.95" customHeight="1" x14ac:dyDescent="0.25">
      <c r="A911" s="11" t="s">
        <v>22</v>
      </c>
      <c r="B911" s="12" t="s">
        <v>14</v>
      </c>
      <c r="C911" s="12">
        <v>9.9999997764825804E-3</v>
      </c>
      <c r="D911" s="12">
        <v>1992</v>
      </c>
    </row>
    <row r="912" spans="1:4" ht="19.95" customHeight="1" x14ac:dyDescent="0.25">
      <c r="A912" s="11" t="s">
        <v>23</v>
      </c>
      <c r="B912" s="12" t="s">
        <v>14</v>
      </c>
      <c r="C912" s="12">
        <v>9.1999999999999993</v>
      </c>
      <c r="D912" s="12">
        <v>1992</v>
      </c>
    </row>
    <row r="913" spans="1:4" ht="19.95" customHeight="1" x14ac:dyDescent="0.25">
      <c r="A913" s="11" t="s">
        <v>24</v>
      </c>
      <c r="B913" s="12" t="s">
        <v>14</v>
      </c>
      <c r="C913" s="12">
        <v>3.2</v>
      </c>
      <c r="D913" s="12">
        <v>1992</v>
      </c>
    </row>
    <row r="914" spans="1:4" ht="19.95" customHeight="1" x14ac:dyDescent="0.25">
      <c r="A914" s="11" t="s">
        <v>25</v>
      </c>
      <c r="B914" s="12" t="s">
        <v>14</v>
      </c>
      <c r="C914" s="12">
        <v>0.13086751103401201</v>
      </c>
      <c r="D914" s="12">
        <v>1992</v>
      </c>
    </row>
    <row r="915" spans="1:4" ht="19.95" customHeight="1" x14ac:dyDescent="0.25">
      <c r="A915" s="11" t="s">
        <v>26</v>
      </c>
      <c r="B915" s="12" t="s">
        <v>14</v>
      </c>
      <c r="C915" s="12">
        <v>95.628852844238295</v>
      </c>
      <c r="D915" s="12">
        <v>1992</v>
      </c>
    </row>
    <row r="916" spans="1:4" ht="19.95" customHeight="1" x14ac:dyDescent="0.25">
      <c r="A916" s="11" t="s">
        <v>27</v>
      </c>
      <c r="B916" s="12" t="s">
        <v>14</v>
      </c>
      <c r="C916" s="12">
        <v>2.9886074364185299E-2</v>
      </c>
      <c r="D916" s="12">
        <v>1992</v>
      </c>
    </row>
    <row r="917" spans="1:4" ht="19.95" customHeight="1" x14ac:dyDescent="0.25">
      <c r="A917" s="11" t="s">
        <v>29</v>
      </c>
      <c r="B917" s="12" t="s">
        <v>14</v>
      </c>
      <c r="C917" s="12">
        <v>37.417320251464801</v>
      </c>
      <c r="D917" s="12">
        <v>1992</v>
      </c>
    </row>
    <row r="918" spans="1:4" ht="19.95" customHeight="1" x14ac:dyDescent="0.25">
      <c r="A918" s="11" t="s">
        <v>30</v>
      </c>
      <c r="B918" s="12" t="s">
        <v>14</v>
      </c>
      <c r="C918" s="12">
        <v>0.45856440067291299</v>
      </c>
      <c r="D918" s="12">
        <v>1992</v>
      </c>
    </row>
    <row r="919" spans="1:4" ht="19.95" customHeight="1" x14ac:dyDescent="0.25">
      <c r="A919" s="11" t="s">
        <v>31</v>
      </c>
      <c r="B919" s="12" t="s">
        <v>14</v>
      </c>
      <c r="C919" s="12">
        <v>68.101898193359403</v>
      </c>
      <c r="D919" s="12">
        <v>1992</v>
      </c>
    </row>
    <row r="920" spans="1:4" ht="19.95" customHeight="1" x14ac:dyDescent="0.25">
      <c r="A920" s="11" t="s">
        <v>32</v>
      </c>
      <c r="B920" s="12" t="s">
        <v>14</v>
      </c>
      <c r="C920" s="12">
        <v>4.4000000000000004</v>
      </c>
      <c r="D920" s="12">
        <v>1992</v>
      </c>
    </row>
    <row r="921" spans="1:4" ht="19.95" customHeight="1" x14ac:dyDescent="0.25">
      <c r="A921" s="11" t="s">
        <v>33</v>
      </c>
      <c r="B921" s="12" t="s">
        <v>14</v>
      </c>
      <c r="C921" s="12">
        <v>2.2999999999999998</v>
      </c>
      <c r="D921" s="12">
        <v>1992</v>
      </c>
    </row>
    <row r="922" spans="1:4" ht="19.95" customHeight="1" x14ac:dyDescent="0.25">
      <c r="A922" s="11" t="s">
        <v>34</v>
      </c>
      <c r="B922" s="12" t="s">
        <v>14</v>
      </c>
      <c r="C922" s="12">
        <v>44.625190734863303</v>
      </c>
      <c r="D922" s="12">
        <v>1992</v>
      </c>
    </row>
    <row r="923" spans="1:4" ht="19.95" customHeight="1" x14ac:dyDescent="0.25">
      <c r="A923" s="11" t="s">
        <v>35</v>
      </c>
      <c r="B923" s="12" t="s">
        <v>14</v>
      </c>
      <c r="C923" s="12">
        <v>56.340873718261697</v>
      </c>
      <c r="D923" s="12">
        <v>1992</v>
      </c>
    </row>
    <row r="924" spans="1:4" ht="19.95" customHeight="1" x14ac:dyDescent="0.25">
      <c r="A924" s="11" t="s">
        <v>36</v>
      </c>
      <c r="B924" s="12" t="s">
        <v>14</v>
      </c>
      <c r="C924" s="12">
        <v>97.0390625</v>
      </c>
      <c r="D924" s="12">
        <v>1992</v>
      </c>
    </row>
    <row r="925" spans="1:4" ht="19.95" customHeight="1" x14ac:dyDescent="0.25">
      <c r="A925" s="11" t="s">
        <v>37</v>
      </c>
      <c r="B925" s="12" t="s">
        <v>14</v>
      </c>
      <c r="C925" s="12">
        <v>6.8</v>
      </c>
      <c r="D925" s="12">
        <v>1992</v>
      </c>
    </row>
    <row r="926" spans="1:4" ht="19.95" customHeight="1" x14ac:dyDescent="0.25">
      <c r="A926" s="11" t="s">
        <v>38</v>
      </c>
      <c r="B926" s="12" t="s">
        <v>14</v>
      </c>
      <c r="C926" s="12">
        <v>2.7676658630371098</v>
      </c>
      <c r="D926" s="12">
        <v>1992</v>
      </c>
    </row>
    <row r="927" spans="1:4" ht="19.95" customHeight="1" x14ac:dyDescent="0.25">
      <c r="A927" s="11" t="s">
        <v>39</v>
      </c>
      <c r="B927" s="12" t="s">
        <v>14</v>
      </c>
      <c r="C927" s="12">
        <v>19.2</v>
      </c>
      <c r="D927" s="12">
        <v>1992</v>
      </c>
    </row>
    <row r="928" spans="1:4" ht="19.95" customHeight="1" x14ac:dyDescent="0.25">
      <c r="A928" s="11" t="s">
        <v>40</v>
      </c>
      <c r="B928" s="12" t="s">
        <v>14</v>
      </c>
      <c r="C928" s="12">
        <v>28.2</v>
      </c>
      <c r="D928" s="12">
        <v>1992</v>
      </c>
    </row>
    <row r="929" spans="1:4" ht="19.95" customHeight="1" x14ac:dyDescent="0.25">
      <c r="A929" s="11" t="s">
        <v>10</v>
      </c>
      <c r="B929" s="12" t="s">
        <v>14</v>
      </c>
      <c r="C929" s="12">
        <v>1.3643051385879501</v>
      </c>
      <c r="D929" s="12">
        <v>1993</v>
      </c>
    </row>
    <row r="930" spans="1:4" ht="19.95" customHeight="1" x14ac:dyDescent="0.25">
      <c r="A930" s="11" t="s">
        <v>13</v>
      </c>
      <c r="B930" s="12" t="s">
        <v>14</v>
      </c>
      <c r="C930" s="12">
        <v>33.765224456787102</v>
      </c>
      <c r="D930" s="12">
        <v>1993</v>
      </c>
    </row>
    <row r="931" spans="1:4" ht="19.95" customHeight="1" x14ac:dyDescent="0.25">
      <c r="A931" s="11" t="s">
        <v>15</v>
      </c>
      <c r="B931" s="12" t="s">
        <v>14</v>
      </c>
      <c r="C931" s="12">
        <v>0.29748061299324002</v>
      </c>
      <c r="D931" s="12">
        <v>1993</v>
      </c>
    </row>
    <row r="932" spans="1:4" ht="19.95" customHeight="1" x14ac:dyDescent="0.25">
      <c r="A932" s="11" t="s">
        <v>16</v>
      </c>
      <c r="B932" s="12" t="s">
        <v>14</v>
      </c>
      <c r="C932" s="12">
        <v>22.6965522766113</v>
      </c>
      <c r="D932" s="12">
        <v>1993</v>
      </c>
    </row>
    <row r="933" spans="1:4" ht="19.95" customHeight="1" x14ac:dyDescent="0.25">
      <c r="A933" s="11" t="s">
        <v>17</v>
      </c>
      <c r="B933" s="12" t="s">
        <v>14</v>
      </c>
      <c r="C933" s="12">
        <v>58.886344909667997</v>
      </c>
      <c r="D933" s="12">
        <v>1993</v>
      </c>
    </row>
    <row r="934" spans="1:4" ht="19.95" customHeight="1" x14ac:dyDescent="0.25">
      <c r="A934" s="11" t="s">
        <v>2</v>
      </c>
      <c r="B934" s="12" t="s">
        <v>14</v>
      </c>
      <c r="C934" s="12">
        <v>0.15724191069603</v>
      </c>
      <c r="D934" s="12">
        <v>1993</v>
      </c>
    </row>
    <row r="935" spans="1:4" ht="19.95" customHeight="1" x14ac:dyDescent="0.25">
      <c r="A935" s="11" t="s">
        <v>18</v>
      </c>
      <c r="B935" s="12" t="s">
        <v>14</v>
      </c>
      <c r="C935" s="12">
        <v>9.5604200363159197</v>
      </c>
      <c r="D935" s="12">
        <v>1993</v>
      </c>
    </row>
    <row r="936" spans="1:4" ht="19.95" customHeight="1" x14ac:dyDescent="0.25">
      <c r="A936" s="11" t="s">
        <v>19</v>
      </c>
      <c r="B936" s="12" t="s">
        <v>14</v>
      </c>
      <c r="C936" s="12">
        <v>29.4150276184082</v>
      </c>
      <c r="D936" s="12">
        <v>1993</v>
      </c>
    </row>
    <row r="937" spans="1:4" ht="19.95" customHeight="1" x14ac:dyDescent="0.25">
      <c r="A937" s="11" t="s">
        <v>20</v>
      </c>
      <c r="B937" s="12" t="s">
        <v>14</v>
      </c>
      <c r="C937" s="12">
        <v>10.9</v>
      </c>
      <c r="D937" s="12">
        <v>1993</v>
      </c>
    </row>
    <row r="938" spans="1:4" ht="19.95" customHeight="1" x14ac:dyDescent="0.25">
      <c r="A938" s="11" t="s">
        <v>21</v>
      </c>
      <c r="B938" s="12" t="s">
        <v>14</v>
      </c>
      <c r="C938" s="12">
        <v>89.606956481933494</v>
      </c>
      <c r="D938" s="12">
        <v>1993</v>
      </c>
    </row>
    <row r="939" spans="1:4" ht="19.95" customHeight="1" x14ac:dyDescent="0.25">
      <c r="A939" s="11" t="s">
        <v>22</v>
      </c>
      <c r="B939" s="12" t="s">
        <v>14</v>
      </c>
      <c r="C939" s="12">
        <v>9.9999997764825804E-3</v>
      </c>
      <c r="D939" s="12">
        <v>1993</v>
      </c>
    </row>
    <row r="940" spans="1:4" ht="19.95" customHeight="1" x14ac:dyDescent="0.25">
      <c r="A940" s="11" t="s">
        <v>23</v>
      </c>
      <c r="B940" s="12" t="s">
        <v>14</v>
      </c>
      <c r="C940" s="12">
        <v>10.8946380615234</v>
      </c>
      <c r="D940" s="12">
        <v>1993</v>
      </c>
    </row>
    <row r="941" spans="1:4" ht="19.95" customHeight="1" x14ac:dyDescent="0.25">
      <c r="A941" s="11" t="s">
        <v>24</v>
      </c>
      <c r="B941" s="12" t="s">
        <v>14</v>
      </c>
      <c r="C941" s="12">
        <v>2.4028589725494398</v>
      </c>
      <c r="D941" s="12">
        <v>1993</v>
      </c>
    </row>
    <row r="942" spans="1:4" ht="19.95" customHeight="1" x14ac:dyDescent="0.25">
      <c r="A942" s="11" t="s">
        <v>25</v>
      </c>
      <c r="B942" s="12" t="s">
        <v>14</v>
      </c>
      <c r="C942" s="12">
        <v>0.51163536310195901</v>
      </c>
      <c r="D942" s="12">
        <v>1993</v>
      </c>
    </row>
    <row r="943" spans="1:4" ht="19.95" customHeight="1" x14ac:dyDescent="0.25">
      <c r="A943" s="11" t="s">
        <v>26</v>
      </c>
      <c r="B943" s="12" t="s">
        <v>14</v>
      </c>
      <c r="C943" s="12">
        <v>95.980247497558494</v>
      </c>
      <c r="D943" s="12">
        <v>1993</v>
      </c>
    </row>
    <row r="944" spans="1:4" ht="19.95" customHeight="1" x14ac:dyDescent="0.25">
      <c r="A944" s="11" t="s">
        <v>27</v>
      </c>
      <c r="B944" s="12" t="s">
        <v>14</v>
      </c>
      <c r="C944" s="12">
        <v>0.15972380340099299</v>
      </c>
      <c r="D944" s="12">
        <v>1993</v>
      </c>
    </row>
    <row r="945" spans="1:4" ht="19.95" customHeight="1" x14ac:dyDescent="0.25">
      <c r="A945" s="11" t="s">
        <v>29</v>
      </c>
      <c r="B945" s="12" t="s">
        <v>14</v>
      </c>
      <c r="C945" s="12">
        <v>38.2966499328613</v>
      </c>
      <c r="D945" s="12">
        <v>1993</v>
      </c>
    </row>
    <row r="946" spans="1:4" ht="19.95" customHeight="1" x14ac:dyDescent="0.25">
      <c r="A946" s="11" t="s">
        <v>30</v>
      </c>
      <c r="B946" s="12" t="s">
        <v>14</v>
      </c>
      <c r="C946" s="12">
        <v>1.7262779474258401</v>
      </c>
      <c r="D946" s="12">
        <v>1993</v>
      </c>
    </row>
    <row r="947" spans="1:4" ht="19.95" customHeight="1" x14ac:dyDescent="0.25">
      <c r="A947" s="11" t="s">
        <v>31</v>
      </c>
      <c r="B947" s="12" t="s">
        <v>14</v>
      </c>
      <c r="C947" s="12">
        <v>72.064173999999994</v>
      </c>
      <c r="D947" s="12">
        <v>1993</v>
      </c>
    </row>
    <row r="948" spans="1:4" ht="19.95" customHeight="1" x14ac:dyDescent="0.25">
      <c r="A948" s="11" t="s">
        <v>32</v>
      </c>
      <c r="B948" s="12" t="s">
        <v>14</v>
      </c>
      <c r="C948" s="12">
        <v>4.0773010253906303</v>
      </c>
      <c r="D948" s="12">
        <v>1993</v>
      </c>
    </row>
    <row r="949" spans="1:4" ht="19.95" customHeight="1" x14ac:dyDescent="0.25">
      <c r="A949" s="11" t="s">
        <v>33</v>
      </c>
      <c r="B949" s="12" t="s">
        <v>14</v>
      </c>
      <c r="C949" s="12">
        <v>4.27721999585629E-2</v>
      </c>
      <c r="D949" s="12">
        <v>1993</v>
      </c>
    </row>
    <row r="950" spans="1:4" ht="19.95" customHeight="1" x14ac:dyDescent="0.25">
      <c r="A950" s="11" t="s">
        <v>34</v>
      </c>
      <c r="B950" s="12" t="s">
        <v>14</v>
      </c>
      <c r="C950" s="12">
        <v>45.555488586425803</v>
      </c>
      <c r="D950" s="12">
        <v>1993</v>
      </c>
    </row>
    <row r="951" spans="1:4" ht="19.95" customHeight="1" x14ac:dyDescent="0.25">
      <c r="A951" s="11" t="s">
        <v>35</v>
      </c>
      <c r="B951" s="12" t="s">
        <v>14</v>
      </c>
      <c r="C951" s="12">
        <v>58.039173126220703</v>
      </c>
      <c r="D951" s="12">
        <v>1993</v>
      </c>
    </row>
    <row r="952" spans="1:4" ht="19.95" customHeight="1" x14ac:dyDescent="0.25">
      <c r="A952" s="11" t="s">
        <v>36</v>
      </c>
      <c r="B952" s="12" t="s">
        <v>14</v>
      </c>
      <c r="C952" s="12">
        <v>97.253562927245994</v>
      </c>
      <c r="D952" s="12">
        <v>1993</v>
      </c>
    </row>
    <row r="953" spans="1:4" ht="19.95" customHeight="1" x14ac:dyDescent="0.25">
      <c r="A953" s="11" t="s">
        <v>37</v>
      </c>
      <c r="B953" s="12" t="s">
        <v>14</v>
      </c>
      <c r="C953" s="12">
        <v>4.7317490577697798</v>
      </c>
      <c r="D953" s="12">
        <v>1993</v>
      </c>
    </row>
    <row r="954" spans="1:4" ht="19.95" customHeight="1" x14ac:dyDescent="0.25">
      <c r="A954" s="11" t="s">
        <v>38</v>
      </c>
      <c r="B954" s="12" t="s">
        <v>14</v>
      </c>
      <c r="C954" s="12">
        <v>3.5149564743042001</v>
      </c>
      <c r="D954" s="12">
        <v>1993</v>
      </c>
    </row>
    <row r="955" spans="1:4" ht="19.95" customHeight="1" x14ac:dyDescent="0.25">
      <c r="A955" s="11" t="s">
        <v>39</v>
      </c>
      <c r="B955" s="12" t="s">
        <v>14</v>
      </c>
      <c r="C955" s="12">
        <v>15.287503242492701</v>
      </c>
      <c r="D955" s="12">
        <v>1993</v>
      </c>
    </row>
    <row r="956" spans="1:4" ht="19.95" customHeight="1" x14ac:dyDescent="0.25">
      <c r="A956" s="11" t="s">
        <v>40</v>
      </c>
      <c r="B956" s="12" t="s">
        <v>14</v>
      </c>
      <c r="C956" s="12">
        <v>31.4366779327393</v>
      </c>
      <c r="D956" s="12">
        <v>1993</v>
      </c>
    </row>
    <row r="957" spans="1:4" ht="19.95" customHeight="1" x14ac:dyDescent="0.25">
      <c r="A957" s="11" t="s">
        <v>10</v>
      </c>
      <c r="B957" s="12" t="s">
        <v>14</v>
      </c>
      <c r="C957" s="12">
        <v>1.69453692436218</v>
      </c>
      <c r="D957" s="12">
        <v>1994</v>
      </c>
    </row>
    <row r="958" spans="1:4" ht="19.95" customHeight="1" x14ac:dyDescent="0.25">
      <c r="A958" s="11" t="s">
        <v>13</v>
      </c>
      <c r="B958" s="12" t="s">
        <v>14</v>
      </c>
      <c r="C958" s="12">
        <v>34.968734741210902</v>
      </c>
      <c r="D958" s="12">
        <v>1994</v>
      </c>
    </row>
    <row r="959" spans="1:4" ht="19.95" customHeight="1" x14ac:dyDescent="0.25">
      <c r="A959" s="11" t="s">
        <v>15</v>
      </c>
      <c r="B959" s="12" t="s">
        <v>14</v>
      </c>
      <c r="C959" s="12">
        <v>0.57513010501861594</v>
      </c>
      <c r="D959" s="12">
        <v>1994</v>
      </c>
    </row>
    <row r="960" spans="1:4" ht="19.95" customHeight="1" x14ac:dyDescent="0.25">
      <c r="A960" s="11" t="s">
        <v>16</v>
      </c>
      <c r="B960" s="12" t="s">
        <v>14</v>
      </c>
      <c r="C960" s="12">
        <v>25.153892517089801</v>
      </c>
      <c r="D960" s="12">
        <v>1994</v>
      </c>
    </row>
    <row r="961" spans="1:4" ht="19.95" customHeight="1" x14ac:dyDescent="0.25">
      <c r="A961" s="11" t="s">
        <v>17</v>
      </c>
      <c r="B961" s="12" t="s">
        <v>14</v>
      </c>
      <c r="C961" s="12">
        <v>58.6371040344238</v>
      </c>
      <c r="D961" s="12">
        <v>1994</v>
      </c>
    </row>
    <row r="962" spans="1:4" ht="19.95" customHeight="1" x14ac:dyDescent="0.25">
      <c r="A962" s="11" t="s">
        <v>2</v>
      </c>
      <c r="B962" s="12" t="s">
        <v>14</v>
      </c>
      <c r="C962" s="12">
        <v>0.59865397214889504</v>
      </c>
      <c r="D962" s="12">
        <v>1994</v>
      </c>
    </row>
    <row r="963" spans="1:4" ht="19.95" customHeight="1" x14ac:dyDescent="0.25">
      <c r="A963" s="11" t="s">
        <v>18</v>
      </c>
      <c r="B963" s="12" t="s">
        <v>14</v>
      </c>
      <c r="C963" s="12">
        <v>10.5958766937256</v>
      </c>
      <c r="D963" s="12">
        <v>1994</v>
      </c>
    </row>
    <row r="964" spans="1:4" ht="19.95" customHeight="1" x14ac:dyDescent="0.25">
      <c r="A964" s="11" t="s">
        <v>19</v>
      </c>
      <c r="B964" s="12" t="s">
        <v>14</v>
      </c>
      <c r="C964" s="12">
        <v>29.8779106140137</v>
      </c>
      <c r="D964" s="12">
        <v>1994</v>
      </c>
    </row>
    <row r="965" spans="1:4" ht="19.95" customHeight="1" x14ac:dyDescent="0.25">
      <c r="A965" s="11" t="s">
        <v>20</v>
      </c>
      <c r="B965" s="12" t="s">
        <v>14</v>
      </c>
      <c r="C965" s="12">
        <v>8.4906253814697301</v>
      </c>
      <c r="D965" s="12">
        <v>1994</v>
      </c>
    </row>
    <row r="966" spans="1:4" ht="19.95" customHeight="1" x14ac:dyDescent="0.25">
      <c r="A966" s="11" t="s">
        <v>21</v>
      </c>
      <c r="B966" s="12" t="s">
        <v>14</v>
      </c>
      <c r="C966" s="12">
        <v>90.236053466796903</v>
      </c>
      <c r="D966" s="12">
        <v>1994</v>
      </c>
    </row>
    <row r="967" spans="1:4" ht="19.95" customHeight="1" x14ac:dyDescent="0.25">
      <c r="A967" s="11" t="s">
        <v>22</v>
      </c>
      <c r="B967" s="12" t="s">
        <v>14</v>
      </c>
      <c r="C967" s="12">
        <v>9.9999997764825804E-3</v>
      </c>
      <c r="D967" s="12">
        <v>1994</v>
      </c>
    </row>
    <row r="968" spans="1:4" ht="19.95" customHeight="1" x14ac:dyDescent="0.25">
      <c r="A968" s="11" t="s">
        <v>23</v>
      </c>
      <c r="B968" s="12" t="s">
        <v>14</v>
      </c>
      <c r="C968" s="12">
        <v>11.327262878418001</v>
      </c>
      <c r="D968" s="12">
        <v>1994</v>
      </c>
    </row>
    <row r="969" spans="1:4" ht="19.95" customHeight="1" x14ac:dyDescent="0.25">
      <c r="A969" s="11" t="s">
        <v>24</v>
      </c>
      <c r="B969" s="12" t="s">
        <v>14</v>
      </c>
      <c r="C969" s="12">
        <v>2.82191109657288</v>
      </c>
      <c r="D969" s="12">
        <v>1994</v>
      </c>
    </row>
    <row r="970" spans="1:4" ht="19.95" customHeight="1" x14ac:dyDescent="0.25">
      <c r="A970" s="11" t="s">
        <v>25</v>
      </c>
      <c r="B970" s="12" t="s">
        <v>14</v>
      </c>
      <c r="C970" s="12">
        <v>0.88550788164138805</v>
      </c>
      <c r="D970" s="12">
        <v>1994</v>
      </c>
    </row>
    <row r="971" spans="1:4" ht="19.95" customHeight="1" x14ac:dyDescent="0.25">
      <c r="A971" s="11" t="s">
        <v>26</v>
      </c>
      <c r="B971" s="12" t="s">
        <v>14</v>
      </c>
      <c r="C971" s="12">
        <v>96.325523376464801</v>
      </c>
      <c r="D971" s="12">
        <v>1994</v>
      </c>
    </row>
    <row r="972" spans="1:4" ht="19.95" customHeight="1" x14ac:dyDescent="0.25">
      <c r="A972" s="11" t="s">
        <v>27</v>
      </c>
      <c r="B972" s="12" t="s">
        <v>14</v>
      </c>
      <c r="C972" s="12">
        <v>0.55948531627654996</v>
      </c>
      <c r="D972" s="12">
        <v>1994</v>
      </c>
    </row>
    <row r="973" spans="1:4" ht="19.95" customHeight="1" x14ac:dyDescent="0.25">
      <c r="A973" s="11" t="s">
        <v>29</v>
      </c>
      <c r="B973" s="12" t="s">
        <v>14</v>
      </c>
      <c r="C973" s="12">
        <v>39.169864654541001</v>
      </c>
      <c r="D973" s="12">
        <v>1994</v>
      </c>
    </row>
    <row r="974" spans="1:4" ht="19.95" customHeight="1" x14ac:dyDescent="0.25">
      <c r="A974" s="11" t="s">
        <v>30</v>
      </c>
      <c r="B974" s="12" t="s">
        <v>14</v>
      </c>
      <c r="C974" s="12">
        <v>3.53385210037231</v>
      </c>
      <c r="D974" s="12">
        <v>1994</v>
      </c>
    </row>
    <row r="975" spans="1:4" ht="19.95" customHeight="1" x14ac:dyDescent="0.25">
      <c r="A975" s="11" t="s">
        <v>31</v>
      </c>
      <c r="B975" s="12" t="s">
        <v>14</v>
      </c>
      <c r="C975" s="12">
        <v>69.363014221191406</v>
      </c>
      <c r="D975" s="12">
        <v>1994</v>
      </c>
    </row>
    <row r="976" spans="1:4" ht="19.95" customHeight="1" x14ac:dyDescent="0.25">
      <c r="A976" s="11" t="s">
        <v>32</v>
      </c>
      <c r="B976" s="12" t="s">
        <v>14</v>
      </c>
      <c r="C976" s="12">
        <v>4.6647400856018102</v>
      </c>
      <c r="D976" s="12">
        <v>1994</v>
      </c>
    </row>
    <row r="977" spans="1:4" ht="19.95" customHeight="1" x14ac:dyDescent="0.25">
      <c r="A977" s="11" t="s">
        <v>33</v>
      </c>
      <c r="B977" s="12" t="s">
        <v>14</v>
      </c>
      <c r="C977" s="12">
        <v>0.18825627863407099</v>
      </c>
      <c r="D977" s="12">
        <v>1994</v>
      </c>
    </row>
    <row r="978" spans="1:4" ht="19.95" customHeight="1" x14ac:dyDescent="0.25">
      <c r="A978" s="11" t="s">
        <v>34</v>
      </c>
      <c r="B978" s="12" t="s">
        <v>14</v>
      </c>
      <c r="C978" s="12">
        <v>46.479671478271499</v>
      </c>
      <c r="D978" s="12">
        <v>1994</v>
      </c>
    </row>
    <row r="979" spans="1:4" ht="19.95" customHeight="1" x14ac:dyDescent="0.25">
      <c r="A979" s="11" t="s">
        <v>35</v>
      </c>
      <c r="B979" s="12" t="s">
        <v>14</v>
      </c>
      <c r="C979" s="12">
        <v>59.731357574462898</v>
      </c>
      <c r="D979" s="12">
        <v>1994</v>
      </c>
    </row>
    <row r="980" spans="1:4" ht="19.95" customHeight="1" x14ac:dyDescent="0.25">
      <c r="A980" s="11" t="s">
        <v>36</v>
      </c>
      <c r="B980" s="12" t="s">
        <v>14</v>
      </c>
      <c r="C980" s="12">
        <v>97.461952209472699</v>
      </c>
      <c r="D980" s="12">
        <v>1994</v>
      </c>
    </row>
    <row r="981" spans="1:4" ht="19.95" customHeight="1" x14ac:dyDescent="0.25">
      <c r="A981" s="11" t="s">
        <v>37</v>
      </c>
      <c r="B981" s="12" t="s">
        <v>14</v>
      </c>
      <c r="C981" s="12">
        <v>5.4727678298950204</v>
      </c>
      <c r="D981" s="12">
        <v>1994</v>
      </c>
    </row>
    <row r="982" spans="1:4" ht="19.95" customHeight="1" x14ac:dyDescent="0.25">
      <c r="A982" s="11" t="s">
        <v>38</v>
      </c>
      <c r="B982" s="12" t="s">
        <v>14</v>
      </c>
      <c r="C982" s="12">
        <v>4.2561287879943803</v>
      </c>
      <c r="D982" s="12">
        <v>1994</v>
      </c>
    </row>
    <row r="983" spans="1:4" ht="19.95" customHeight="1" x14ac:dyDescent="0.25">
      <c r="A983" s="11" t="s">
        <v>39</v>
      </c>
      <c r="B983" s="12" t="s">
        <v>14</v>
      </c>
      <c r="C983" s="12">
        <v>15.865894317626999</v>
      </c>
      <c r="D983" s="12">
        <v>1994</v>
      </c>
    </row>
    <row r="984" spans="1:4" ht="19.95" customHeight="1" x14ac:dyDescent="0.25">
      <c r="A984" s="11" t="s">
        <v>40</v>
      </c>
      <c r="B984" s="12" t="s">
        <v>14</v>
      </c>
      <c r="C984" s="12">
        <v>28.1</v>
      </c>
      <c r="D984" s="12">
        <v>1994</v>
      </c>
    </row>
    <row r="985" spans="1:4" ht="19.95" customHeight="1" x14ac:dyDescent="0.25">
      <c r="A985" s="11" t="s">
        <v>10</v>
      </c>
      <c r="B985" s="12" t="s">
        <v>14</v>
      </c>
      <c r="C985" s="12">
        <v>2.0155913829803498</v>
      </c>
      <c r="D985" s="12">
        <v>1995</v>
      </c>
    </row>
    <row r="986" spans="1:4" ht="19.95" customHeight="1" x14ac:dyDescent="0.25">
      <c r="A986" s="11" t="s">
        <v>13</v>
      </c>
      <c r="B986" s="12" t="s">
        <v>14</v>
      </c>
      <c r="C986" s="12">
        <v>36.1630668640137</v>
      </c>
      <c r="D986" s="12">
        <v>1995</v>
      </c>
    </row>
    <row r="987" spans="1:4" ht="19.95" customHeight="1" x14ac:dyDescent="0.25">
      <c r="A987" s="11" t="s">
        <v>15</v>
      </c>
      <c r="B987" s="12" t="s">
        <v>14</v>
      </c>
      <c r="C987" s="12">
        <v>1.00354039669037</v>
      </c>
      <c r="D987" s="12">
        <v>1995</v>
      </c>
    </row>
    <row r="988" spans="1:4" ht="19.95" customHeight="1" x14ac:dyDescent="0.25">
      <c r="A988" s="11" t="s">
        <v>16</v>
      </c>
      <c r="B988" s="12" t="s">
        <v>14</v>
      </c>
      <c r="C988" s="12">
        <v>27.602054595947301</v>
      </c>
      <c r="D988" s="12">
        <v>1995</v>
      </c>
    </row>
    <row r="989" spans="1:4" ht="19.95" customHeight="1" x14ac:dyDescent="0.25">
      <c r="A989" s="11" t="s">
        <v>17</v>
      </c>
      <c r="B989" s="12" t="s">
        <v>14</v>
      </c>
      <c r="C989" s="12">
        <v>58.378688812255902</v>
      </c>
      <c r="D989" s="12">
        <v>1995</v>
      </c>
    </row>
    <row r="990" spans="1:4" ht="19.95" customHeight="1" x14ac:dyDescent="0.25">
      <c r="A990" s="11" t="s">
        <v>2</v>
      </c>
      <c r="B990" s="12" t="s">
        <v>14</v>
      </c>
      <c r="C990" s="12">
        <v>1.11878561973572</v>
      </c>
      <c r="D990" s="12">
        <v>1995</v>
      </c>
    </row>
    <row r="991" spans="1:4" ht="19.95" customHeight="1" x14ac:dyDescent="0.25">
      <c r="A991" s="11" t="s">
        <v>18</v>
      </c>
      <c r="B991" s="12" t="s">
        <v>14</v>
      </c>
      <c r="C991" s="12">
        <v>11.6221561431885</v>
      </c>
      <c r="D991" s="12">
        <v>1995</v>
      </c>
    </row>
    <row r="992" spans="1:4" ht="19.95" customHeight="1" x14ac:dyDescent="0.25">
      <c r="A992" s="11" t="s">
        <v>19</v>
      </c>
      <c r="B992" s="12" t="s">
        <v>14</v>
      </c>
      <c r="C992" s="12">
        <v>31.3</v>
      </c>
      <c r="D992" s="12">
        <v>1995</v>
      </c>
    </row>
    <row r="993" spans="1:4" ht="19.95" customHeight="1" x14ac:dyDescent="0.25">
      <c r="A993" s="11" t="s">
        <v>20</v>
      </c>
      <c r="B993" s="12" t="s">
        <v>14</v>
      </c>
      <c r="C993" s="12">
        <v>9.7682619094848597</v>
      </c>
      <c r="D993" s="12">
        <v>1995</v>
      </c>
    </row>
    <row r="994" spans="1:4" ht="19.95" customHeight="1" x14ac:dyDescent="0.25">
      <c r="A994" s="11" t="s">
        <v>21</v>
      </c>
      <c r="B994" s="12" t="s">
        <v>14</v>
      </c>
      <c r="C994" s="12">
        <v>90.855964660644503</v>
      </c>
      <c r="D994" s="12">
        <v>1995</v>
      </c>
    </row>
    <row r="995" spans="1:4" ht="19.95" customHeight="1" x14ac:dyDescent="0.25">
      <c r="A995" s="11" t="s">
        <v>22</v>
      </c>
      <c r="B995" s="12" t="s">
        <v>14</v>
      </c>
      <c r="C995" s="12">
        <v>9.9999997764825804E-3</v>
      </c>
      <c r="D995" s="12">
        <v>1995</v>
      </c>
    </row>
    <row r="996" spans="1:4" ht="19.95" customHeight="1" x14ac:dyDescent="0.25">
      <c r="A996" s="11" t="s">
        <v>23</v>
      </c>
      <c r="B996" s="12" t="s">
        <v>14</v>
      </c>
      <c r="C996" s="12">
        <v>11.750709533691399</v>
      </c>
      <c r="D996" s="12">
        <v>1995</v>
      </c>
    </row>
    <row r="997" spans="1:4" ht="19.95" customHeight="1" x14ac:dyDescent="0.25">
      <c r="A997" s="11" t="s">
        <v>24</v>
      </c>
      <c r="B997" s="12" t="s">
        <v>14</v>
      </c>
      <c r="C997" s="12">
        <v>3.2317860126495401</v>
      </c>
      <c r="D997" s="12">
        <v>1995</v>
      </c>
    </row>
    <row r="998" spans="1:4" ht="19.95" customHeight="1" x14ac:dyDescent="0.25">
      <c r="A998" s="11" t="s">
        <v>25</v>
      </c>
      <c r="B998" s="12" t="s">
        <v>14</v>
      </c>
      <c r="C998" s="12">
        <v>2.4924738407135001</v>
      </c>
      <c r="D998" s="12">
        <v>1995</v>
      </c>
    </row>
    <row r="999" spans="1:4" ht="19.95" customHeight="1" x14ac:dyDescent="0.25">
      <c r="A999" s="11" t="s">
        <v>26</v>
      </c>
      <c r="B999" s="12" t="s">
        <v>14</v>
      </c>
      <c r="C999" s="12">
        <v>96.661628723144503</v>
      </c>
      <c r="D999" s="12">
        <v>1995</v>
      </c>
    </row>
    <row r="1000" spans="1:4" ht="19.95" customHeight="1" x14ac:dyDescent="0.25">
      <c r="A1000" s="11" t="s">
        <v>27</v>
      </c>
      <c r="B1000" s="12" t="s">
        <v>14</v>
      </c>
      <c r="C1000" s="12">
        <v>1.1791011095046999</v>
      </c>
      <c r="D1000" s="12">
        <v>1995</v>
      </c>
    </row>
    <row r="1001" spans="1:4" ht="19.95" customHeight="1" x14ac:dyDescent="0.25">
      <c r="A1001" s="11" t="s">
        <v>29</v>
      </c>
      <c r="B1001" s="12" t="s">
        <v>14</v>
      </c>
      <c r="C1001" s="12">
        <v>40.033897399902301</v>
      </c>
      <c r="D1001" s="12">
        <v>1995</v>
      </c>
    </row>
    <row r="1002" spans="1:4" ht="19.95" customHeight="1" x14ac:dyDescent="0.25">
      <c r="A1002" s="11" t="s">
        <v>30</v>
      </c>
      <c r="B1002" s="12" t="s">
        <v>14</v>
      </c>
      <c r="C1002" s="12">
        <v>7.57501268386841</v>
      </c>
      <c r="D1002" s="12">
        <v>1995</v>
      </c>
    </row>
    <row r="1003" spans="1:4" ht="19.95" customHeight="1" x14ac:dyDescent="0.25">
      <c r="A1003" s="11" t="s">
        <v>31</v>
      </c>
      <c r="B1003" s="12" t="s">
        <v>14</v>
      </c>
      <c r="C1003" s="12">
        <v>69.981330871582003</v>
      </c>
      <c r="D1003" s="12">
        <v>1995</v>
      </c>
    </row>
    <row r="1004" spans="1:4" ht="19.95" customHeight="1" x14ac:dyDescent="0.25">
      <c r="A1004" s="11" t="s">
        <v>32</v>
      </c>
      <c r="B1004" s="12" t="s">
        <v>14</v>
      </c>
      <c r="C1004" s="12">
        <v>6.2</v>
      </c>
      <c r="D1004" s="12">
        <v>1995</v>
      </c>
    </row>
    <row r="1005" spans="1:4" ht="19.95" customHeight="1" x14ac:dyDescent="0.25">
      <c r="A1005" s="11" t="s">
        <v>33</v>
      </c>
      <c r="B1005" s="12" t="s">
        <v>14</v>
      </c>
      <c r="C1005" s="12">
        <v>0.57747811079025302</v>
      </c>
      <c r="D1005" s="12">
        <v>1995</v>
      </c>
    </row>
    <row r="1006" spans="1:4" ht="19.95" customHeight="1" x14ac:dyDescent="0.25">
      <c r="A1006" s="11" t="s">
        <v>34</v>
      </c>
      <c r="B1006" s="12" t="s">
        <v>14</v>
      </c>
      <c r="C1006" s="12">
        <v>47.3946723937988</v>
      </c>
      <c r="D1006" s="12">
        <v>1995</v>
      </c>
    </row>
    <row r="1007" spans="1:4" ht="19.95" customHeight="1" x14ac:dyDescent="0.25">
      <c r="A1007" s="11" t="s">
        <v>35</v>
      </c>
      <c r="B1007" s="12" t="s">
        <v>14</v>
      </c>
      <c r="C1007" s="12">
        <v>61.414363861083999</v>
      </c>
      <c r="D1007" s="12">
        <v>1995</v>
      </c>
    </row>
    <row r="1008" spans="1:4" ht="19.95" customHeight="1" x14ac:dyDescent="0.25">
      <c r="A1008" s="11" t="s">
        <v>36</v>
      </c>
      <c r="B1008" s="12" t="s">
        <v>14</v>
      </c>
      <c r="C1008" s="12">
        <v>97.661155700683494</v>
      </c>
      <c r="D1008" s="12">
        <v>1995</v>
      </c>
    </row>
    <row r="1009" spans="1:4" ht="19.95" customHeight="1" x14ac:dyDescent="0.25">
      <c r="A1009" s="11" t="s">
        <v>37</v>
      </c>
      <c r="B1009" s="12" t="s">
        <v>14</v>
      </c>
      <c r="C1009" s="12">
        <v>6.2046098709106401</v>
      </c>
      <c r="D1009" s="12">
        <v>1995</v>
      </c>
    </row>
    <row r="1010" spans="1:4" ht="19.95" customHeight="1" x14ac:dyDescent="0.25">
      <c r="A1010" s="11" t="s">
        <v>38</v>
      </c>
      <c r="B1010" s="12" t="s">
        <v>14</v>
      </c>
      <c r="C1010" s="12">
        <v>6.8</v>
      </c>
      <c r="D1010" s="12">
        <v>1995</v>
      </c>
    </row>
    <row r="1011" spans="1:4" ht="19.95" customHeight="1" x14ac:dyDescent="0.25">
      <c r="A1011" s="11" t="s">
        <v>39</v>
      </c>
      <c r="B1011" s="12" t="s">
        <v>14</v>
      </c>
      <c r="C1011" s="12">
        <v>16.435108184814499</v>
      </c>
      <c r="D1011" s="12">
        <v>1995</v>
      </c>
    </row>
    <row r="1012" spans="1:4" ht="19.95" customHeight="1" x14ac:dyDescent="0.25">
      <c r="A1012" s="11" t="s">
        <v>40</v>
      </c>
      <c r="B1012" s="12" t="s">
        <v>14</v>
      </c>
      <c r="C1012" s="12">
        <v>32.130077362060497</v>
      </c>
      <c r="D1012" s="12">
        <v>1995</v>
      </c>
    </row>
    <row r="1013" spans="1:4" ht="19.95" customHeight="1" x14ac:dyDescent="0.25">
      <c r="A1013" s="11" t="s">
        <v>10</v>
      </c>
      <c r="B1013" s="12" t="s">
        <v>14</v>
      </c>
      <c r="C1013" s="12">
        <v>2.3244094848632799</v>
      </c>
      <c r="D1013" s="12">
        <v>1996</v>
      </c>
    </row>
    <row r="1014" spans="1:4" ht="19.95" customHeight="1" x14ac:dyDescent="0.25">
      <c r="A1014" s="11" t="s">
        <v>13</v>
      </c>
      <c r="B1014" s="12" t="s">
        <v>14</v>
      </c>
      <c r="C1014" s="12">
        <v>37.345161437988303</v>
      </c>
      <c r="D1014" s="12">
        <v>1996</v>
      </c>
    </row>
    <row r="1015" spans="1:4" ht="19.95" customHeight="1" x14ac:dyDescent="0.25">
      <c r="A1015" s="11" t="s">
        <v>15</v>
      </c>
      <c r="B1015" s="12" t="s">
        <v>14</v>
      </c>
      <c r="C1015" s="12">
        <v>1.4197142124176001</v>
      </c>
      <c r="D1015" s="12">
        <v>1996</v>
      </c>
    </row>
    <row r="1016" spans="1:4" ht="19.95" customHeight="1" x14ac:dyDescent="0.25">
      <c r="A1016" s="11" t="s">
        <v>16</v>
      </c>
      <c r="B1016" s="12" t="s">
        <v>14</v>
      </c>
      <c r="C1016" s="12">
        <v>28.9</v>
      </c>
      <c r="D1016" s="12">
        <v>1996</v>
      </c>
    </row>
    <row r="1017" spans="1:4" ht="19.95" customHeight="1" x14ac:dyDescent="0.25">
      <c r="A1017" s="11" t="s">
        <v>17</v>
      </c>
      <c r="B1017" s="12" t="s">
        <v>14</v>
      </c>
      <c r="C1017" s="12">
        <v>62</v>
      </c>
      <c r="D1017" s="12">
        <v>1996</v>
      </c>
    </row>
    <row r="1018" spans="1:4" ht="19.95" customHeight="1" x14ac:dyDescent="0.25">
      <c r="A1018" s="11" t="s">
        <v>2</v>
      </c>
      <c r="B1018" s="12" t="s">
        <v>14</v>
      </c>
      <c r="C1018" s="12">
        <v>2.7807688713073699</v>
      </c>
      <c r="D1018" s="12">
        <v>1996</v>
      </c>
    </row>
    <row r="1019" spans="1:4" ht="19.95" customHeight="1" x14ac:dyDescent="0.25">
      <c r="A1019" s="11" t="s">
        <v>18</v>
      </c>
      <c r="B1019" s="12" t="s">
        <v>14</v>
      </c>
      <c r="C1019" s="12">
        <v>12.636198997497599</v>
      </c>
      <c r="D1019" s="12">
        <v>1996</v>
      </c>
    </row>
    <row r="1020" spans="1:4" ht="19.95" customHeight="1" x14ac:dyDescent="0.25">
      <c r="A1020" s="11" t="s">
        <v>19</v>
      </c>
      <c r="B1020" s="12" t="s">
        <v>14</v>
      </c>
      <c r="C1020" s="12">
        <v>30.773084640502901</v>
      </c>
      <c r="D1020" s="12">
        <v>1996</v>
      </c>
    </row>
    <row r="1021" spans="1:4" ht="19.95" customHeight="1" x14ac:dyDescent="0.25">
      <c r="A1021" s="11" t="s">
        <v>20</v>
      </c>
      <c r="B1021" s="12" t="s">
        <v>14</v>
      </c>
      <c r="C1021" s="12">
        <v>11.0336608886719</v>
      </c>
      <c r="D1021" s="12">
        <v>1996</v>
      </c>
    </row>
    <row r="1022" spans="1:4" ht="19.95" customHeight="1" x14ac:dyDescent="0.25">
      <c r="A1022" s="11" t="s">
        <v>21</v>
      </c>
      <c r="B1022" s="12" t="s">
        <v>14</v>
      </c>
      <c r="C1022" s="12">
        <v>91.463645935058494</v>
      </c>
      <c r="D1022" s="12">
        <v>1996</v>
      </c>
    </row>
    <row r="1023" spans="1:4" ht="19.95" customHeight="1" x14ac:dyDescent="0.25">
      <c r="A1023" s="11" t="s">
        <v>22</v>
      </c>
      <c r="B1023" s="12" t="s">
        <v>14</v>
      </c>
      <c r="C1023" s="12">
        <v>9.9999997764825804E-3</v>
      </c>
      <c r="D1023" s="12">
        <v>1996</v>
      </c>
    </row>
    <row r="1024" spans="1:4" ht="19.95" customHeight="1" x14ac:dyDescent="0.25">
      <c r="A1024" s="11" t="s">
        <v>23</v>
      </c>
      <c r="B1024" s="12" t="s">
        <v>14</v>
      </c>
      <c r="C1024" s="12">
        <v>12.1619205474854</v>
      </c>
      <c r="D1024" s="12">
        <v>1996</v>
      </c>
    </row>
    <row r="1025" spans="1:4" ht="19.95" customHeight="1" x14ac:dyDescent="0.25">
      <c r="A1025" s="11" t="s">
        <v>24</v>
      </c>
      <c r="B1025" s="12" t="s">
        <v>14</v>
      </c>
      <c r="C1025" s="12">
        <v>3.6294245719909699</v>
      </c>
      <c r="D1025" s="12">
        <v>1996</v>
      </c>
    </row>
    <row r="1026" spans="1:4" ht="19.95" customHeight="1" x14ac:dyDescent="0.25">
      <c r="A1026" s="11" t="s">
        <v>25</v>
      </c>
      <c r="B1026" s="12" t="s">
        <v>14</v>
      </c>
      <c r="C1026" s="12">
        <v>6.2</v>
      </c>
      <c r="D1026" s="12">
        <v>1996</v>
      </c>
    </row>
    <row r="1027" spans="1:4" ht="19.95" customHeight="1" x14ac:dyDescent="0.25">
      <c r="A1027" s="11" t="s">
        <v>26</v>
      </c>
      <c r="B1027" s="12" t="s">
        <v>14</v>
      </c>
      <c r="C1027" s="12">
        <v>96.985488891601605</v>
      </c>
      <c r="D1027" s="12">
        <v>1996</v>
      </c>
    </row>
    <row r="1028" spans="1:4" ht="19.95" customHeight="1" x14ac:dyDescent="0.25">
      <c r="A1028" s="11" t="s">
        <v>27</v>
      </c>
      <c r="B1028" s="12" t="s">
        <v>14</v>
      </c>
      <c r="C1028" s="12">
        <v>2.3186979293823198</v>
      </c>
      <c r="D1028" s="12">
        <v>1996</v>
      </c>
    </row>
    <row r="1029" spans="1:4" ht="19.95" customHeight="1" x14ac:dyDescent="0.25">
      <c r="A1029" s="11" t="s">
        <v>29</v>
      </c>
      <c r="B1029" s="12" t="s">
        <v>14</v>
      </c>
      <c r="C1029" s="12">
        <v>40.885696411132798</v>
      </c>
      <c r="D1029" s="12">
        <v>1996</v>
      </c>
    </row>
    <row r="1030" spans="1:4" ht="19.95" customHeight="1" x14ac:dyDescent="0.25">
      <c r="A1030" s="11" t="s">
        <v>30</v>
      </c>
      <c r="B1030" s="12" t="s">
        <v>14</v>
      </c>
      <c r="C1030" s="12">
        <v>17.899999999999999</v>
      </c>
      <c r="D1030" s="12">
        <v>1996</v>
      </c>
    </row>
    <row r="1031" spans="1:4" ht="19.95" customHeight="1" x14ac:dyDescent="0.25">
      <c r="A1031" s="11" t="s">
        <v>31</v>
      </c>
      <c r="B1031" s="12" t="s">
        <v>14</v>
      </c>
      <c r="C1031" s="12">
        <v>70.587417602539105</v>
      </c>
      <c r="D1031" s="12">
        <v>1996</v>
      </c>
    </row>
    <row r="1032" spans="1:4" ht="19.95" customHeight="1" x14ac:dyDescent="0.25">
      <c r="A1032" s="11" t="s">
        <v>32</v>
      </c>
      <c r="B1032" s="12" t="s">
        <v>14</v>
      </c>
      <c r="C1032" s="12">
        <v>7</v>
      </c>
      <c r="D1032" s="12">
        <v>1996</v>
      </c>
    </row>
    <row r="1033" spans="1:4" ht="19.95" customHeight="1" x14ac:dyDescent="0.25">
      <c r="A1033" s="11" t="s">
        <v>33</v>
      </c>
      <c r="B1033" s="12" t="s">
        <v>14</v>
      </c>
      <c r="C1033" s="12">
        <v>1.16230273246765</v>
      </c>
      <c r="D1033" s="12">
        <v>1996</v>
      </c>
    </row>
    <row r="1034" spans="1:4" ht="19.95" customHeight="1" x14ac:dyDescent="0.25">
      <c r="A1034" s="11" t="s">
        <v>34</v>
      </c>
      <c r="B1034" s="12" t="s">
        <v>14</v>
      </c>
      <c r="C1034" s="12">
        <v>48.297439575195298</v>
      </c>
      <c r="D1034" s="12">
        <v>1996</v>
      </c>
    </row>
    <row r="1035" spans="1:4" ht="19.95" customHeight="1" x14ac:dyDescent="0.25">
      <c r="A1035" s="11" t="s">
        <v>35</v>
      </c>
      <c r="B1035" s="12" t="s">
        <v>14</v>
      </c>
      <c r="C1035" s="12">
        <v>63.085132598877003</v>
      </c>
      <c r="D1035" s="12">
        <v>1996</v>
      </c>
    </row>
    <row r="1036" spans="1:4" ht="19.95" customHeight="1" x14ac:dyDescent="0.25">
      <c r="A1036" s="11" t="s">
        <v>36</v>
      </c>
      <c r="B1036" s="12" t="s">
        <v>14</v>
      </c>
      <c r="C1036" s="12">
        <v>97.848121643066406</v>
      </c>
      <c r="D1036" s="12">
        <v>1996</v>
      </c>
    </row>
    <row r="1037" spans="1:4" ht="19.95" customHeight="1" x14ac:dyDescent="0.25">
      <c r="A1037" s="11" t="s">
        <v>37</v>
      </c>
      <c r="B1037" s="12" t="s">
        <v>14</v>
      </c>
      <c r="C1037" s="12">
        <v>9.4</v>
      </c>
      <c r="D1037" s="12">
        <v>1996</v>
      </c>
    </row>
    <row r="1038" spans="1:4" ht="19.95" customHeight="1" x14ac:dyDescent="0.25">
      <c r="A1038" s="11" t="s">
        <v>38</v>
      </c>
      <c r="B1038" s="12" t="s">
        <v>14</v>
      </c>
      <c r="C1038" s="12">
        <v>5.7078819274902299</v>
      </c>
      <c r="D1038" s="12">
        <v>1996</v>
      </c>
    </row>
    <row r="1039" spans="1:4" ht="19.95" customHeight="1" x14ac:dyDescent="0.25">
      <c r="A1039" s="11" t="s">
        <v>39</v>
      </c>
      <c r="B1039" s="12" t="s">
        <v>14</v>
      </c>
      <c r="C1039" s="12">
        <v>17.3</v>
      </c>
      <c r="D1039" s="12">
        <v>1996</v>
      </c>
    </row>
    <row r="1040" spans="1:4" ht="19.95" customHeight="1" x14ac:dyDescent="0.25">
      <c r="A1040" s="11" t="s">
        <v>40</v>
      </c>
      <c r="B1040" s="12" t="s">
        <v>14</v>
      </c>
      <c r="C1040" s="12">
        <v>32.459949493408203</v>
      </c>
      <c r="D1040" s="12">
        <v>1996</v>
      </c>
    </row>
    <row r="1041" spans="1:4" ht="19.95" customHeight="1" x14ac:dyDescent="0.25">
      <c r="A1041" s="11" t="s">
        <v>10</v>
      </c>
      <c r="B1041" s="12" t="s">
        <v>14</v>
      </c>
      <c r="C1041" s="12">
        <v>2.61793184280396</v>
      </c>
      <c r="D1041" s="12">
        <v>1997</v>
      </c>
    </row>
    <row r="1042" spans="1:4" ht="19.95" customHeight="1" x14ac:dyDescent="0.25">
      <c r="A1042" s="11" t="s">
        <v>13</v>
      </c>
      <c r="B1042" s="12" t="s">
        <v>14</v>
      </c>
      <c r="C1042" s="12">
        <v>38.511959075927699</v>
      </c>
      <c r="D1042" s="12">
        <v>1997</v>
      </c>
    </row>
    <row r="1043" spans="1:4" ht="19.95" customHeight="1" x14ac:dyDescent="0.25">
      <c r="A1043" s="11" t="s">
        <v>15</v>
      </c>
      <c r="B1043" s="12" t="s">
        <v>14</v>
      </c>
      <c r="C1043" s="12">
        <v>2.2999999999999998</v>
      </c>
      <c r="D1043" s="12">
        <v>1997</v>
      </c>
    </row>
    <row r="1044" spans="1:4" ht="19.95" customHeight="1" x14ac:dyDescent="0.25">
      <c r="A1044" s="11" t="s">
        <v>16</v>
      </c>
      <c r="B1044" s="12" t="s">
        <v>14</v>
      </c>
      <c r="C1044" s="12">
        <v>32.458610534667997</v>
      </c>
      <c r="D1044" s="12">
        <v>1997</v>
      </c>
    </row>
    <row r="1045" spans="1:4" ht="19.95" customHeight="1" x14ac:dyDescent="0.25">
      <c r="A1045" s="11" t="s">
        <v>17</v>
      </c>
      <c r="B1045" s="12" t="s">
        <v>14</v>
      </c>
      <c r="C1045" s="12">
        <v>57.822086334228501</v>
      </c>
      <c r="D1045" s="12">
        <v>1997</v>
      </c>
    </row>
    <row r="1046" spans="1:4" ht="19.95" customHeight="1" x14ac:dyDescent="0.25">
      <c r="A1046" s="11" t="s">
        <v>2</v>
      </c>
      <c r="B1046" s="12" t="s">
        <v>14</v>
      </c>
      <c r="C1046" s="12">
        <v>4.4274568557739302</v>
      </c>
      <c r="D1046" s="12">
        <v>1997</v>
      </c>
    </row>
    <row r="1047" spans="1:4" ht="19.95" customHeight="1" x14ac:dyDescent="0.25">
      <c r="A1047" s="11" t="s">
        <v>18</v>
      </c>
      <c r="B1047" s="12" t="s">
        <v>14</v>
      </c>
      <c r="C1047" s="12">
        <v>13.634946823120099</v>
      </c>
      <c r="D1047" s="12">
        <v>1997</v>
      </c>
    </row>
    <row r="1048" spans="1:4" ht="19.95" customHeight="1" x14ac:dyDescent="0.25">
      <c r="A1048" s="11" t="s">
        <v>19</v>
      </c>
      <c r="B1048" s="12" t="s">
        <v>14</v>
      </c>
      <c r="C1048" s="12">
        <v>31.199256896972699</v>
      </c>
      <c r="D1048" s="12">
        <v>1997</v>
      </c>
    </row>
    <row r="1049" spans="1:4" ht="19.95" customHeight="1" x14ac:dyDescent="0.25">
      <c r="A1049" s="11" t="s">
        <v>20</v>
      </c>
      <c r="B1049" s="12" t="s">
        <v>14</v>
      </c>
      <c r="C1049" s="12">
        <v>12.283764839172401</v>
      </c>
      <c r="D1049" s="12">
        <v>1997</v>
      </c>
    </row>
    <row r="1050" spans="1:4" ht="19.95" customHeight="1" x14ac:dyDescent="0.25">
      <c r="A1050" s="11" t="s">
        <v>21</v>
      </c>
      <c r="B1050" s="12" t="s">
        <v>14</v>
      </c>
      <c r="C1050" s="12">
        <v>92.0560302734375</v>
      </c>
      <c r="D1050" s="12">
        <v>1997</v>
      </c>
    </row>
    <row r="1051" spans="1:4" ht="19.95" customHeight="1" x14ac:dyDescent="0.25">
      <c r="A1051" s="11" t="s">
        <v>22</v>
      </c>
      <c r="B1051" s="12" t="s">
        <v>14</v>
      </c>
      <c r="C1051" s="12">
        <v>9.9999997764825804E-3</v>
      </c>
      <c r="D1051" s="12">
        <v>1997</v>
      </c>
    </row>
    <row r="1052" spans="1:4" ht="19.95" customHeight="1" x14ac:dyDescent="0.25">
      <c r="A1052" s="11" t="s">
        <v>23</v>
      </c>
      <c r="B1052" s="12" t="s">
        <v>14</v>
      </c>
      <c r="C1052" s="12">
        <v>10.9</v>
      </c>
      <c r="D1052" s="12">
        <v>1997</v>
      </c>
    </row>
    <row r="1053" spans="1:4" ht="19.95" customHeight="1" x14ac:dyDescent="0.25">
      <c r="A1053" s="11" t="s">
        <v>24</v>
      </c>
      <c r="B1053" s="12" t="s">
        <v>14</v>
      </c>
      <c r="C1053" s="12">
        <v>4.0117673873901403</v>
      </c>
      <c r="D1053" s="12">
        <v>1997</v>
      </c>
    </row>
    <row r="1054" spans="1:4" ht="19.95" customHeight="1" x14ac:dyDescent="0.25">
      <c r="A1054" s="11" t="s">
        <v>25</v>
      </c>
      <c r="B1054" s="12" t="s">
        <v>14</v>
      </c>
      <c r="C1054" s="12">
        <v>5.6666369438171396</v>
      </c>
      <c r="D1054" s="12">
        <v>1997</v>
      </c>
    </row>
    <row r="1055" spans="1:4" ht="19.95" customHeight="1" x14ac:dyDescent="0.25">
      <c r="A1055" s="11" t="s">
        <v>26</v>
      </c>
      <c r="B1055" s="12" t="s">
        <v>14</v>
      </c>
      <c r="C1055" s="12">
        <v>97.294052124023395</v>
      </c>
      <c r="D1055" s="12">
        <v>1997</v>
      </c>
    </row>
    <row r="1056" spans="1:4" ht="19.95" customHeight="1" x14ac:dyDescent="0.25">
      <c r="A1056" s="11" t="s">
        <v>27</v>
      </c>
      <c r="B1056" s="12" t="s">
        <v>14</v>
      </c>
      <c r="C1056" s="12">
        <v>6.6</v>
      </c>
      <c r="D1056" s="12">
        <v>1997</v>
      </c>
    </row>
    <row r="1057" spans="1:4" ht="19.95" customHeight="1" x14ac:dyDescent="0.25">
      <c r="A1057" s="11" t="s">
        <v>29</v>
      </c>
      <c r="B1057" s="12" t="s">
        <v>14</v>
      </c>
      <c r="C1057" s="12">
        <v>41.722202301025398</v>
      </c>
      <c r="D1057" s="12">
        <v>1997</v>
      </c>
    </row>
    <row r="1058" spans="1:4" ht="19.95" customHeight="1" x14ac:dyDescent="0.25">
      <c r="A1058" s="11" t="s">
        <v>30</v>
      </c>
      <c r="B1058" s="12" t="s">
        <v>14</v>
      </c>
      <c r="C1058" s="12">
        <v>15.617564201355</v>
      </c>
      <c r="D1058" s="12">
        <v>1997</v>
      </c>
    </row>
    <row r="1059" spans="1:4" ht="19.95" customHeight="1" x14ac:dyDescent="0.25">
      <c r="A1059" s="11" t="s">
        <v>31</v>
      </c>
      <c r="B1059" s="12" t="s">
        <v>14</v>
      </c>
      <c r="C1059" s="12">
        <v>71.178199768066406</v>
      </c>
      <c r="D1059" s="12">
        <v>1997</v>
      </c>
    </row>
    <row r="1060" spans="1:4" ht="19.95" customHeight="1" x14ac:dyDescent="0.25">
      <c r="A1060" s="11" t="s">
        <v>32</v>
      </c>
      <c r="B1060" s="12" t="s">
        <v>14</v>
      </c>
      <c r="C1060" s="12">
        <v>6.3597555160522496</v>
      </c>
      <c r="D1060" s="12">
        <v>1997</v>
      </c>
    </row>
    <row r="1061" spans="1:4" ht="19.95" customHeight="1" x14ac:dyDescent="0.25">
      <c r="A1061" s="11" t="s">
        <v>33</v>
      </c>
      <c r="B1061" s="12" t="s">
        <v>14</v>
      </c>
      <c r="C1061" s="12">
        <v>2.1417901515960698</v>
      </c>
      <c r="D1061" s="12">
        <v>1997</v>
      </c>
    </row>
    <row r="1062" spans="1:4" ht="19.95" customHeight="1" x14ac:dyDescent="0.25">
      <c r="A1062" s="11" t="s">
        <v>34</v>
      </c>
      <c r="B1062" s="12" t="s">
        <v>14</v>
      </c>
      <c r="C1062" s="12">
        <v>49.184913635253899</v>
      </c>
      <c r="D1062" s="12">
        <v>1997</v>
      </c>
    </row>
    <row r="1063" spans="1:4" ht="19.95" customHeight="1" x14ac:dyDescent="0.25">
      <c r="A1063" s="11" t="s">
        <v>35</v>
      </c>
      <c r="B1063" s="12" t="s">
        <v>14</v>
      </c>
      <c r="C1063" s="12">
        <v>64.740608215332003</v>
      </c>
      <c r="D1063" s="12">
        <v>1997</v>
      </c>
    </row>
    <row r="1064" spans="1:4" ht="19.95" customHeight="1" x14ac:dyDescent="0.25">
      <c r="A1064" s="11" t="s">
        <v>36</v>
      </c>
      <c r="B1064" s="12" t="s">
        <v>14</v>
      </c>
      <c r="C1064" s="12">
        <v>98.006057739257798</v>
      </c>
      <c r="D1064" s="12">
        <v>1997</v>
      </c>
    </row>
    <row r="1065" spans="1:4" ht="19.95" customHeight="1" x14ac:dyDescent="0.25">
      <c r="A1065" s="11" t="s">
        <v>37</v>
      </c>
      <c r="B1065" s="12" t="s">
        <v>14</v>
      </c>
      <c r="C1065" s="12">
        <v>7.6285247802734402</v>
      </c>
      <c r="D1065" s="12">
        <v>1997</v>
      </c>
    </row>
    <row r="1066" spans="1:4" ht="19.95" customHeight="1" x14ac:dyDescent="0.25">
      <c r="A1066" s="11" t="s">
        <v>38</v>
      </c>
      <c r="B1066" s="12" t="s">
        <v>14</v>
      </c>
      <c r="C1066" s="12">
        <v>6.4123449325561497</v>
      </c>
      <c r="D1066" s="12">
        <v>1997</v>
      </c>
    </row>
    <row r="1067" spans="1:4" ht="19.95" customHeight="1" x14ac:dyDescent="0.25">
      <c r="A1067" s="11" t="s">
        <v>39</v>
      </c>
      <c r="B1067" s="12" t="s">
        <v>14</v>
      </c>
      <c r="C1067" s="12">
        <v>17.533767700195298</v>
      </c>
      <c r="D1067" s="12">
        <v>1997</v>
      </c>
    </row>
    <row r="1068" spans="1:4" ht="19.95" customHeight="1" x14ac:dyDescent="0.25">
      <c r="A1068" s="11" t="s">
        <v>40</v>
      </c>
      <c r="B1068" s="12" t="s">
        <v>14</v>
      </c>
      <c r="C1068" s="12">
        <v>32.774528503417997</v>
      </c>
      <c r="D1068" s="12">
        <v>1997</v>
      </c>
    </row>
    <row r="1069" spans="1:4" ht="19.95" customHeight="1" x14ac:dyDescent="0.25">
      <c r="A1069" s="11" t="s">
        <v>10</v>
      </c>
      <c r="B1069" s="12" t="s">
        <v>14</v>
      </c>
      <c r="C1069" s="12">
        <v>3.9</v>
      </c>
      <c r="D1069" s="12">
        <v>1998</v>
      </c>
    </row>
    <row r="1070" spans="1:4" ht="19.95" customHeight="1" x14ac:dyDescent="0.25">
      <c r="A1070" s="11" t="s">
        <v>13</v>
      </c>
      <c r="B1070" s="12" t="s">
        <v>14</v>
      </c>
      <c r="C1070" s="12">
        <v>40.700000000000003</v>
      </c>
      <c r="D1070" s="12">
        <v>1998</v>
      </c>
    </row>
    <row r="1071" spans="1:4" ht="19.95" customHeight="1" x14ac:dyDescent="0.25">
      <c r="A1071" s="11" t="s">
        <v>15</v>
      </c>
      <c r="B1071" s="12" t="s">
        <v>14</v>
      </c>
      <c r="C1071" s="12">
        <v>2.2031161785125701</v>
      </c>
      <c r="D1071" s="12">
        <v>1998</v>
      </c>
    </row>
    <row r="1072" spans="1:4" ht="19.95" customHeight="1" x14ac:dyDescent="0.25">
      <c r="A1072" s="11" t="s">
        <v>16</v>
      </c>
      <c r="B1072" s="12" t="s">
        <v>14</v>
      </c>
      <c r="C1072" s="12">
        <v>34.860885620117202</v>
      </c>
      <c r="D1072" s="12">
        <v>1998</v>
      </c>
    </row>
    <row r="1073" spans="1:4" ht="19.95" customHeight="1" x14ac:dyDescent="0.25">
      <c r="A1073" s="11" t="s">
        <v>17</v>
      </c>
      <c r="B1073" s="12" t="s">
        <v>14</v>
      </c>
      <c r="C1073" s="12">
        <v>57.517784118652401</v>
      </c>
      <c r="D1073" s="12">
        <v>1998</v>
      </c>
    </row>
    <row r="1074" spans="1:4" ht="19.95" customHeight="1" x14ac:dyDescent="0.25">
      <c r="A1074" s="11" t="s">
        <v>2</v>
      </c>
      <c r="B1074" s="12" t="s">
        <v>14</v>
      </c>
      <c r="C1074" s="12">
        <v>6.0557899475097701</v>
      </c>
      <c r="D1074" s="12">
        <v>1998</v>
      </c>
    </row>
    <row r="1075" spans="1:4" ht="19.95" customHeight="1" x14ac:dyDescent="0.25">
      <c r="A1075" s="11" t="s">
        <v>18</v>
      </c>
      <c r="B1075" s="12" t="s">
        <v>14</v>
      </c>
      <c r="C1075" s="12">
        <v>14.615339279174799</v>
      </c>
      <c r="D1075" s="12">
        <v>1998</v>
      </c>
    </row>
    <row r="1076" spans="1:4" ht="19.95" customHeight="1" x14ac:dyDescent="0.25">
      <c r="A1076" s="11" t="s">
        <v>19</v>
      </c>
      <c r="B1076" s="12" t="s">
        <v>14</v>
      </c>
      <c r="C1076" s="12">
        <v>31.6070766448975</v>
      </c>
      <c r="D1076" s="12">
        <v>1998</v>
      </c>
    </row>
    <row r="1077" spans="1:4" ht="19.95" customHeight="1" x14ac:dyDescent="0.25">
      <c r="A1077" s="11" t="s">
        <v>20</v>
      </c>
      <c r="B1077" s="12" t="s">
        <v>14</v>
      </c>
      <c r="C1077" s="12">
        <v>14.5</v>
      </c>
      <c r="D1077" s="12">
        <v>1998</v>
      </c>
    </row>
    <row r="1078" spans="1:4" ht="19.95" customHeight="1" x14ac:dyDescent="0.25">
      <c r="A1078" s="11" t="s">
        <v>21</v>
      </c>
      <c r="B1078" s="12" t="s">
        <v>14</v>
      </c>
      <c r="C1078" s="12">
        <v>92.630058288574205</v>
      </c>
      <c r="D1078" s="12">
        <v>1998</v>
      </c>
    </row>
    <row r="1079" spans="1:4" ht="19.95" customHeight="1" x14ac:dyDescent="0.25">
      <c r="A1079" s="11" t="s">
        <v>22</v>
      </c>
      <c r="B1079" s="12" t="s">
        <v>14</v>
      </c>
      <c r="C1079" s="12">
        <v>9.9999997764825804E-3</v>
      </c>
      <c r="D1079" s="12">
        <v>1998</v>
      </c>
    </row>
    <row r="1080" spans="1:4" ht="19.95" customHeight="1" x14ac:dyDescent="0.25">
      <c r="A1080" s="11" t="s">
        <v>23</v>
      </c>
      <c r="B1080" s="12" t="s">
        <v>14</v>
      </c>
      <c r="C1080" s="12">
        <v>12.935396194458001</v>
      </c>
      <c r="D1080" s="12">
        <v>1998</v>
      </c>
    </row>
    <row r="1081" spans="1:4" ht="19.95" customHeight="1" x14ac:dyDescent="0.25">
      <c r="A1081" s="11" t="s">
        <v>24</v>
      </c>
      <c r="B1081" s="12" t="s">
        <v>14</v>
      </c>
      <c r="C1081" s="12">
        <v>4.3757557868957502</v>
      </c>
      <c r="D1081" s="12">
        <v>1998</v>
      </c>
    </row>
    <row r="1082" spans="1:4" ht="19.95" customHeight="1" x14ac:dyDescent="0.25">
      <c r="A1082" s="11" t="s">
        <v>25</v>
      </c>
      <c r="B1082" s="12" t="s">
        <v>14</v>
      </c>
      <c r="C1082" s="12">
        <v>7.2277164459228498</v>
      </c>
      <c r="D1082" s="12">
        <v>1998</v>
      </c>
    </row>
    <row r="1083" spans="1:4" ht="19.95" customHeight="1" x14ac:dyDescent="0.25">
      <c r="A1083" s="11" t="s">
        <v>26</v>
      </c>
      <c r="B1083" s="12" t="s">
        <v>14</v>
      </c>
      <c r="C1083" s="12">
        <v>97.584266662597699</v>
      </c>
      <c r="D1083" s="12">
        <v>1998</v>
      </c>
    </row>
    <row r="1084" spans="1:4" ht="19.95" customHeight="1" x14ac:dyDescent="0.25">
      <c r="A1084" s="11" t="s">
        <v>27</v>
      </c>
      <c r="B1084" s="12" t="s">
        <v>14</v>
      </c>
      <c r="C1084" s="12">
        <v>4.5489459037780797</v>
      </c>
      <c r="D1084" s="12">
        <v>1998</v>
      </c>
    </row>
    <row r="1085" spans="1:4" ht="19.95" customHeight="1" x14ac:dyDescent="0.25">
      <c r="A1085" s="11" t="s">
        <v>29</v>
      </c>
      <c r="B1085" s="12" t="s">
        <v>14</v>
      </c>
      <c r="C1085" s="12">
        <v>42.540348052978501</v>
      </c>
      <c r="D1085" s="12">
        <v>1998</v>
      </c>
    </row>
    <row r="1086" spans="1:4" ht="19.95" customHeight="1" x14ac:dyDescent="0.25">
      <c r="A1086" s="11" t="s">
        <v>30</v>
      </c>
      <c r="B1086" s="12" t="s">
        <v>14</v>
      </c>
      <c r="C1086" s="12">
        <v>19.612838745117202</v>
      </c>
      <c r="D1086" s="12">
        <v>1998</v>
      </c>
    </row>
    <row r="1087" spans="1:4" ht="19.95" customHeight="1" x14ac:dyDescent="0.25">
      <c r="A1087" s="11" t="s">
        <v>31</v>
      </c>
      <c r="B1087" s="12" t="s">
        <v>14</v>
      </c>
      <c r="C1087" s="12">
        <v>69.047103000000007</v>
      </c>
      <c r="D1087" s="12">
        <v>1998</v>
      </c>
    </row>
    <row r="1088" spans="1:4" ht="19.95" customHeight="1" x14ac:dyDescent="0.25">
      <c r="A1088" s="11" t="s">
        <v>32</v>
      </c>
      <c r="B1088" s="12" t="s">
        <v>14</v>
      </c>
      <c r="C1088" s="12">
        <v>6.7</v>
      </c>
      <c r="D1088" s="12">
        <v>1998</v>
      </c>
    </row>
    <row r="1089" spans="1:4" ht="19.95" customHeight="1" x14ac:dyDescent="0.25">
      <c r="A1089" s="11" t="s">
        <v>33</v>
      </c>
      <c r="B1089" s="12" t="s">
        <v>14</v>
      </c>
      <c r="C1089" s="12">
        <v>3.10292291641235</v>
      </c>
      <c r="D1089" s="12">
        <v>1998</v>
      </c>
    </row>
    <row r="1090" spans="1:4" ht="19.95" customHeight="1" x14ac:dyDescent="0.25">
      <c r="A1090" s="11" t="s">
        <v>34</v>
      </c>
      <c r="B1090" s="12" t="s">
        <v>14</v>
      </c>
      <c r="C1090" s="12">
        <v>50.054027557372997</v>
      </c>
      <c r="D1090" s="12">
        <v>1998</v>
      </c>
    </row>
    <row r="1091" spans="1:4" ht="19.95" customHeight="1" x14ac:dyDescent="0.25">
      <c r="A1091" s="11" t="s">
        <v>35</v>
      </c>
      <c r="B1091" s="12" t="s">
        <v>14</v>
      </c>
      <c r="C1091" s="12">
        <v>66.377731323242202</v>
      </c>
      <c r="D1091" s="12">
        <v>1998</v>
      </c>
    </row>
    <row r="1092" spans="1:4" ht="19.95" customHeight="1" x14ac:dyDescent="0.25">
      <c r="A1092" s="11" t="s">
        <v>36</v>
      </c>
      <c r="B1092" s="12" t="s">
        <v>14</v>
      </c>
      <c r="C1092" s="12">
        <v>98.157394409179702</v>
      </c>
      <c r="D1092" s="12">
        <v>1998</v>
      </c>
    </row>
    <row r="1093" spans="1:4" ht="19.95" customHeight="1" x14ac:dyDescent="0.25">
      <c r="A1093" s="11" t="s">
        <v>37</v>
      </c>
      <c r="B1093" s="12" t="s">
        <v>14</v>
      </c>
      <c r="C1093" s="12">
        <v>8.3144798278808505</v>
      </c>
      <c r="D1093" s="12">
        <v>1998</v>
      </c>
    </row>
    <row r="1094" spans="1:4" ht="19.95" customHeight="1" x14ac:dyDescent="0.25">
      <c r="A1094" s="11" t="s">
        <v>38</v>
      </c>
      <c r="B1094" s="12" t="s">
        <v>14</v>
      </c>
      <c r="C1094" s="12">
        <v>7.0984530448913601</v>
      </c>
      <c r="D1094" s="12">
        <v>1998</v>
      </c>
    </row>
    <row r="1095" spans="1:4" ht="19.95" customHeight="1" x14ac:dyDescent="0.25">
      <c r="A1095" s="11" t="s">
        <v>39</v>
      </c>
      <c r="B1095" s="12" t="s">
        <v>14</v>
      </c>
      <c r="C1095" s="12">
        <v>19</v>
      </c>
      <c r="D1095" s="12">
        <v>1998</v>
      </c>
    </row>
    <row r="1096" spans="1:4" ht="19.95" customHeight="1" x14ac:dyDescent="0.25">
      <c r="A1096" s="11" t="s">
        <v>40</v>
      </c>
      <c r="B1096" s="12" t="s">
        <v>14</v>
      </c>
      <c r="C1096" s="12">
        <v>33.070751190185497</v>
      </c>
      <c r="D1096" s="12">
        <v>1998</v>
      </c>
    </row>
    <row r="1097" spans="1:4" ht="19.95" customHeight="1" x14ac:dyDescent="0.25">
      <c r="A1097" s="11" t="s">
        <v>10</v>
      </c>
      <c r="B1097" s="12" t="s">
        <v>14</v>
      </c>
      <c r="C1097" s="12">
        <v>3.1468539237976101</v>
      </c>
      <c r="D1097" s="12">
        <v>1999</v>
      </c>
    </row>
    <row r="1098" spans="1:4" ht="19.95" customHeight="1" x14ac:dyDescent="0.25">
      <c r="A1098" s="11" t="s">
        <v>13</v>
      </c>
      <c r="B1098" s="12" t="s">
        <v>14</v>
      </c>
      <c r="C1098" s="12">
        <v>40.787437438964801</v>
      </c>
      <c r="D1098" s="12">
        <v>1999</v>
      </c>
    </row>
    <row r="1099" spans="1:4" ht="19.95" customHeight="1" x14ac:dyDescent="0.25">
      <c r="A1099" s="11" t="s">
        <v>15</v>
      </c>
      <c r="B1099" s="12" t="s">
        <v>14</v>
      </c>
      <c r="C1099" s="12">
        <v>2.5642261505127002</v>
      </c>
      <c r="D1099" s="12">
        <v>1999</v>
      </c>
    </row>
    <row r="1100" spans="1:4" ht="19.95" customHeight="1" x14ac:dyDescent="0.25">
      <c r="A1100" s="11" t="s">
        <v>16</v>
      </c>
      <c r="B1100" s="12" t="s">
        <v>14</v>
      </c>
      <c r="C1100" s="12">
        <v>37.241748809814503</v>
      </c>
      <c r="D1100" s="12">
        <v>1999</v>
      </c>
    </row>
    <row r="1101" spans="1:4" ht="19.95" customHeight="1" x14ac:dyDescent="0.25">
      <c r="A1101" s="11" t="s">
        <v>17</v>
      </c>
      <c r="B1101" s="12" t="s">
        <v>14</v>
      </c>
      <c r="C1101" s="12">
        <v>57.192070007324197</v>
      </c>
      <c r="D1101" s="12">
        <v>1999</v>
      </c>
    </row>
    <row r="1102" spans="1:4" ht="19.95" customHeight="1" x14ac:dyDescent="0.25">
      <c r="A1102" s="11" t="s">
        <v>2</v>
      </c>
      <c r="B1102" s="12" t="s">
        <v>14</v>
      </c>
      <c r="C1102" s="12">
        <v>7.6627092361450204</v>
      </c>
      <c r="D1102" s="12">
        <v>1999</v>
      </c>
    </row>
    <row r="1103" spans="1:4" ht="19.95" customHeight="1" x14ac:dyDescent="0.25">
      <c r="A1103" s="11" t="s">
        <v>18</v>
      </c>
      <c r="B1103" s="12" t="s">
        <v>14</v>
      </c>
      <c r="C1103" s="12">
        <v>16.399999999999999</v>
      </c>
      <c r="D1103" s="12">
        <v>1999</v>
      </c>
    </row>
    <row r="1104" spans="1:4" ht="19.95" customHeight="1" x14ac:dyDescent="0.25">
      <c r="A1104" s="11" t="s">
        <v>19</v>
      </c>
      <c r="B1104" s="12" t="s">
        <v>14</v>
      </c>
      <c r="C1104" s="12">
        <v>31.993480682373001</v>
      </c>
      <c r="D1104" s="12">
        <v>1999</v>
      </c>
    </row>
    <row r="1105" spans="1:4" ht="19.95" customHeight="1" x14ac:dyDescent="0.25">
      <c r="A1105" s="11" t="s">
        <v>20</v>
      </c>
      <c r="B1105" s="12" t="s">
        <v>14</v>
      </c>
      <c r="C1105" s="12">
        <v>14.7258501052856</v>
      </c>
      <c r="D1105" s="12">
        <v>1999</v>
      </c>
    </row>
    <row r="1106" spans="1:4" ht="19.95" customHeight="1" x14ac:dyDescent="0.25">
      <c r="A1106" s="11" t="s">
        <v>21</v>
      </c>
      <c r="B1106" s="12" t="s">
        <v>14</v>
      </c>
      <c r="C1106" s="12">
        <v>93.182678222656307</v>
      </c>
      <c r="D1106" s="12">
        <v>1999</v>
      </c>
    </row>
    <row r="1107" spans="1:4" ht="19.95" customHeight="1" x14ac:dyDescent="0.25">
      <c r="A1107" s="11" t="s">
        <v>22</v>
      </c>
      <c r="B1107" s="12" t="s">
        <v>14</v>
      </c>
      <c r="C1107" s="12">
        <v>9.9999997764825804E-3</v>
      </c>
      <c r="D1107" s="12">
        <v>1999</v>
      </c>
    </row>
    <row r="1108" spans="1:4" ht="19.95" customHeight="1" x14ac:dyDescent="0.25">
      <c r="A1108" s="11" t="s">
        <v>23</v>
      </c>
      <c r="B1108" s="12" t="s">
        <v>14</v>
      </c>
      <c r="C1108" s="12">
        <v>13.291543006896999</v>
      </c>
      <c r="D1108" s="12">
        <v>1999</v>
      </c>
    </row>
    <row r="1109" spans="1:4" ht="19.95" customHeight="1" x14ac:dyDescent="0.25">
      <c r="A1109" s="11" t="s">
        <v>24</v>
      </c>
      <c r="B1109" s="12" t="s">
        <v>14</v>
      </c>
      <c r="C1109" s="12">
        <v>4.7183303833007804</v>
      </c>
      <c r="D1109" s="12">
        <v>1999</v>
      </c>
    </row>
    <row r="1110" spans="1:4" ht="19.95" customHeight="1" x14ac:dyDescent="0.25">
      <c r="A1110" s="11" t="s">
        <v>25</v>
      </c>
      <c r="B1110" s="12" t="s">
        <v>14</v>
      </c>
      <c r="C1110" s="12">
        <v>8.7673816680908203</v>
      </c>
      <c r="D1110" s="12">
        <v>1999</v>
      </c>
    </row>
    <row r="1111" spans="1:4" ht="19.95" customHeight="1" x14ac:dyDescent="0.25">
      <c r="A1111" s="11" t="s">
        <v>26</v>
      </c>
      <c r="B1111" s="12" t="s">
        <v>14</v>
      </c>
      <c r="C1111" s="12">
        <v>97.853065490722699</v>
      </c>
      <c r="D1111" s="12">
        <v>1999</v>
      </c>
    </row>
    <row r="1112" spans="1:4" ht="19.95" customHeight="1" x14ac:dyDescent="0.25">
      <c r="A1112" s="11" t="s">
        <v>27</v>
      </c>
      <c r="B1112" s="12" t="s">
        <v>14</v>
      </c>
      <c r="C1112" s="12">
        <v>5.63347864151</v>
      </c>
      <c r="D1112" s="12">
        <v>1999</v>
      </c>
    </row>
    <row r="1113" spans="1:4" ht="19.95" customHeight="1" x14ac:dyDescent="0.25">
      <c r="A1113" s="11" t="s">
        <v>29</v>
      </c>
      <c r="B1113" s="12" t="s">
        <v>14</v>
      </c>
      <c r="C1113" s="12">
        <v>43.337085723877003</v>
      </c>
      <c r="D1113" s="12">
        <v>1999</v>
      </c>
    </row>
    <row r="1114" spans="1:4" ht="19.95" customHeight="1" x14ac:dyDescent="0.25">
      <c r="A1114" s="11" t="s">
        <v>30</v>
      </c>
      <c r="B1114" s="12" t="s">
        <v>14</v>
      </c>
      <c r="C1114" s="12">
        <v>23.586698532104499</v>
      </c>
      <c r="D1114" s="12">
        <v>1999</v>
      </c>
    </row>
    <row r="1115" spans="1:4" ht="19.95" customHeight="1" x14ac:dyDescent="0.25">
      <c r="A1115" s="11" t="s">
        <v>31</v>
      </c>
      <c r="B1115" s="12" t="s">
        <v>14</v>
      </c>
      <c r="C1115" s="12">
        <v>72.301658630370994</v>
      </c>
      <c r="D1115" s="12">
        <v>1999</v>
      </c>
    </row>
    <row r="1116" spans="1:4" ht="19.95" customHeight="1" x14ac:dyDescent="0.25">
      <c r="A1116" s="11" t="s">
        <v>32</v>
      </c>
      <c r="B1116" s="12" t="s">
        <v>14</v>
      </c>
      <c r="C1116" s="12">
        <v>7.4030914306640598</v>
      </c>
      <c r="D1116" s="12">
        <v>1999</v>
      </c>
    </row>
    <row r="1117" spans="1:4" ht="19.95" customHeight="1" x14ac:dyDescent="0.25">
      <c r="A1117" s="11" t="s">
        <v>33</v>
      </c>
      <c r="B1117" s="12" t="s">
        <v>14</v>
      </c>
      <c r="C1117" s="12">
        <v>4.04264211654663</v>
      </c>
      <c r="D1117" s="12">
        <v>1999</v>
      </c>
    </row>
    <row r="1118" spans="1:4" ht="19.95" customHeight="1" x14ac:dyDescent="0.25">
      <c r="A1118" s="11" t="s">
        <v>34</v>
      </c>
      <c r="B1118" s="12" t="s">
        <v>14</v>
      </c>
      <c r="C1118" s="12">
        <v>50.9017333984375</v>
      </c>
      <c r="D1118" s="12">
        <v>1999</v>
      </c>
    </row>
    <row r="1119" spans="1:4" ht="19.95" customHeight="1" x14ac:dyDescent="0.25">
      <c r="A1119" s="11" t="s">
        <v>35</v>
      </c>
      <c r="B1119" s="12" t="s">
        <v>14</v>
      </c>
      <c r="C1119" s="12">
        <v>67.993431091308494</v>
      </c>
      <c r="D1119" s="12">
        <v>1999</v>
      </c>
    </row>
    <row r="1120" spans="1:4" ht="19.95" customHeight="1" x14ac:dyDescent="0.25">
      <c r="A1120" s="11" t="s">
        <v>36</v>
      </c>
      <c r="B1120" s="12" t="s">
        <v>14</v>
      </c>
      <c r="C1120" s="12">
        <v>97</v>
      </c>
      <c r="D1120" s="12">
        <v>1999</v>
      </c>
    </row>
    <row r="1121" spans="1:4" ht="19.95" customHeight="1" x14ac:dyDescent="0.25">
      <c r="A1121" s="11" t="s">
        <v>37</v>
      </c>
      <c r="B1121" s="12" t="s">
        <v>14</v>
      </c>
      <c r="C1121" s="12">
        <v>8</v>
      </c>
      <c r="D1121" s="12">
        <v>1999</v>
      </c>
    </row>
    <row r="1122" spans="1:4" ht="19.95" customHeight="1" x14ac:dyDescent="0.25">
      <c r="A1122" s="11" t="s">
        <v>38</v>
      </c>
      <c r="B1122" s="12" t="s">
        <v>14</v>
      </c>
      <c r="C1122" s="12">
        <v>7.7631478309631303</v>
      </c>
      <c r="D1122" s="12">
        <v>1999</v>
      </c>
    </row>
    <row r="1123" spans="1:4" ht="19.95" customHeight="1" x14ac:dyDescent="0.25">
      <c r="A1123" s="11" t="s">
        <v>39</v>
      </c>
      <c r="B1123" s="12" t="s">
        <v>14</v>
      </c>
      <c r="C1123" s="12">
        <v>18.559007644653299</v>
      </c>
      <c r="D1123" s="12">
        <v>1999</v>
      </c>
    </row>
    <row r="1124" spans="1:4" ht="19.95" customHeight="1" x14ac:dyDescent="0.25">
      <c r="A1124" s="11" t="s">
        <v>40</v>
      </c>
      <c r="B1124" s="12" t="s">
        <v>14</v>
      </c>
      <c r="C1124" s="12">
        <v>38.4</v>
      </c>
      <c r="D1124" s="12">
        <v>1999</v>
      </c>
    </row>
    <row r="1125" spans="1:4" ht="19.95" customHeight="1" x14ac:dyDescent="0.25">
      <c r="A1125" s="11" t="s">
        <v>10</v>
      </c>
      <c r="B1125" s="12" t="s">
        <v>14</v>
      </c>
      <c r="C1125" s="12">
        <v>3.3776555061340301</v>
      </c>
      <c r="D1125" s="12">
        <v>2000</v>
      </c>
    </row>
    <row r="1126" spans="1:4" ht="19.95" customHeight="1" x14ac:dyDescent="0.25">
      <c r="A1126" s="11" t="s">
        <v>13</v>
      </c>
      <c r="B1126" s="12" t="s">
        <v>14</v>
      </c>
      <c r="C1126" s="12">
        <v>41</v>
      </c>
      <c r="D1126" s="12">
        <v>2000</v>
      </c>
    </row>
    <row r="1127" spans="1:4" ht="19.95" customHeight="1" x14ac:dyDescent="0.25">
      <c r="A1127" s="11" t="s">
        <v>15</v>
      </c>
      <c r="B1127" s="12" t="s">
        <v>14</v>
      </c>
      <c r="C1127" s="12">
        <v>2.9023835659027002</v>
      </c>
      <c r="D1127" s="12">
        <v>2000</v>
      </c>
    </row>
    <row r="1128" spans="1:4" ht="19.95" customHeight="1" x14ac:dyDescent="0.25">
      <c r="A1128" s="11" t="s">
        <v>16</v>
      </c>
      <c r="B1128" s="12" t="s">
        <v>14</v>
      </c>
      <c r="C1128" s="12">
        <v>39.599658966064503</v>
      </c>
      <c r="D1128" s="12">
        <v>2000</v>
      </c>
    </row>
    <row r="1129" spans="1:4" ht="19.95" customHeight="1" x14ac:dyDescent="0.25">
      <c r="A1129" s="11" t="s">
        <v>17</v>
      </c>
      <c r="B1129" s="12" t="s">
        <v>14</v>
      </c>
      <c r="C1129" s="12">
        <v>56.843399047851499</v>
      </c>
      <c r="D1129" s="12">
        <v>2000</v>
      </c>
    </row>
    <row r="1130" spans="1:4" ht="19.95" customHeight="1" x14ac:dyDescent="0.25">
      <c r="A1130" s="11" t="s">
        <v>2</v>
      </c>
      <c r="B1130" s="12" t="s">
        <v>14</v>
      </c>
      <c r="C1130" s="12">
        <v>12.7</v>
      </c>
      <c r="D1130" s="12">
        <v>2000</v>
      </c>
    </row>
    <row r="1131" spans="1:4" ht="19.95" customHeight="1" x14ac:dyDescent="0.25">
      <c r="A1131" s="11" t="s">
        <v>18</v>
      </c>
      <c r="B1131" s="12" t="s">
        <v>14</v>
      </c>
      <c r="C1131" s="12">
        <v>16.5103454589844</v>
      </c>
      <c r="D1131" s="12">
        <v>2000</v>
      </c>
    </row>
    <row r="1132" spans="1:4" ht="19.95" customHeight="1" x14ac:dyDescent="0.25">
      <c r="A1132" s="11" t="s">
        <v>19</v>
      </c>
      <c r="B1132" s="12" t="s">
        <v>14</v>
      </c>
      <c r="C1132" s="12">
        <v>33.700000000000003</v>
      </c>
      <c r="D1132" s="12">
        <v>2000</v>
      </c>
    </row>
    <row r="1133" spans="1:4" ht="19.95" customHeight="1" x14ac:dyDescent="0.25">
      <c r="A1133" s="11" t="s">
        <v>20</v>
      </c>
      <c r="B1133" s="12" t="s">
        <v>14</v>
      </c>
      <c r="C1133" s="12">
        <v>15.9132328033447</v>
      </c>
      <c r="D1133" s="12">
        <v>2000</v>
      </c>
    </row>
    <row r="1134" spans="1:4" ht="19.95" customHeight="1" x14ac:dyDescent="0.25">
      <c r="A1134" s="11" t="s">
        <v>21</v>
      </c>
      <c r="B1134" s="12" t="s">
        <v>14</v>
      </c>
      <c r="C1134" s="12">
        <v>93.712341308593807</v>
      </c>
      <c r="D1134" s="12">
        <v>2000</v>
      </c>
    </row>
    <row r="1135" spans="1:4" ht="19.95" customHeight="1" x14ac:dyDescent="0.25">
      <c r="A1135" s="11" t="s">
        <v>22</v>
      </c>
      <c r="B1135" s="12" t="s">
        <v>14</v>
      </c>
      <c r="C1135" s="12">
        <v>9.9999997764825804E-3</v>
      </c>
      <c r="D1135" s="12">
        <v>2000</v>
      </c>
    </row>
    <row r="1136" spans="1:4" ht="19.95" customHeight="1" x14ac:dyDescent="0.25">
      <c r="A1136" s="11" t="s">
        <v>23</v>
      </c>
      <c r="B1136" s="12" t="s">
        <v>14</v>
      </c>
      <c r="C1136" s="12">
        <v>13.6247367858887</v>
      </c>
      <c r="D1136" s="12">
        <v>2000</v>
      </c>
    </row>
    <row r="1137" spans="1:4" ht="19.95" customHeight="1" x14ac:dyDescent="0.25">
      <c r="A1137" s="11" t="s">
        <v>24</v>
      </c>
      <c r="B1137" s="12" t="s">
        <v>14</v>
      </c>
      <c r="C1137" s="12">
        <v>4.8</v>
      </c>
      <c r="D1137" s="12">
        <v>2000</v>
      </c>
    </row>
    <row r="1138" spans="1:4" ht="19.95" customHeight="1" x14ac:dyDescent="0.25">
      <c r="A1138" s="11" t="s">
        <v>25</v>
      </c>
      <c r="B1138" s="12" t="s">
        <v>14</v>
      </c>
      <c r="C1138" s="12">
        <v>10.284094810485801</v>
      </c>
      <c r="D1138" s="12">
        <v>2000</v>
      </c>
    </row>
    <row r="1139" spans="1:4" ht="19.95" customHeight="1" x14ac:dyDescent="0.25">
      <c r="A1139" s="11" t="s">
        <v>26</v>
      </c>
      <c r="B1139" s="12" t="s">
        <v>14</v>
      </c>
      <c r="C1139" s="12">
        <v>98.085433959960895</v>
      </c>
      <c r="D1139" s="12">
        <v>2000</v>
      </c>
    </row>
    <row r="1140" spans="1:4" ht="19.95" customHeight="1" x14ac:dyDescent="0.25">
      <c r="A1140" s="11" t="s">
        <v>27</v>
      </c>
      <c r="B1140" s="12" t="s">
        <v>14</v>
      </c>
      <c r="C1140" s="12">
        <v>6.6950588226318404</v>
      </c>
      <c r="D1140" s="12">
        <v>2000</v>
      </c>
    </row>
    <row r="1141" spans="1:4" ht="19.95" customHeight="1" x14ac:dyDescent="0.25">
      <c r="A1141" s="11" t="s">
        <v>29</v>
      </c>
      <c r="B1141" s="12" t="s">
        <v>14</v>
      </c>
      <c r="C1141" s="12">
        <v>44.110866546630902</v>
      </c>
      <c r="D1141" s="12">
        <v>2000</v>
      </c>
    </row>
    <row r="1142" spans="1:4" ht="19.95" customHeight="1" x14ac:dyDescent="0.25">
      <c r="A1142" s="11" t="s">
        <v>30</v>
      </c>
      <c r="B1142" s="12" t="s">
        <v>14</v>
      </c>
      <c r="C1142" s="12">
        <v>27.537605285644499</v>
      </c>
      <c r="D1142" s="12">
        <v>2000</v>
      </c>
    </row>
    <row r="1143" spans="1:4" ht="19.95" customHeight="1" x14ac:dyDescent="0.25">
      <c r="A1143" s="11" t="s">
        <v>31</v>
      </c>
      <c r="B1143" s="12" t="s">
        <v>14</v>
      </c>
      <c r="C1143" s="12">
        <v>72.829727172851605</v>
      </c>
      <c r="D1143" s="12">
        <v>2000</v>
      </c>
    </row>
    <row r="1144" spans="1:4" ht="19.95" customHeight="1" x14ac:dyDescent="0.25">
      <c r="A1144" s="11" t="s">
        <v>32</v>
      </c>
      <c r="B1144" s="12" t="s">
        <v>14</v>
      </c>
      <c r="C1144" s="12">
        <v>6.4814814814814801</v>
      </c>
      <c r="D1144" s="12">
        <v>2000</v>
      </c>
    </row>
    <row r="1145" spans="1:4" ht="19.95" customHeight="1" x14ac:dyDescent="0.25">
      <c r="A1145" s="11" t="s">
        <v>33</v>
      </c>
      <c r="B1145" s="12" t="s">
        <v>14</v>
      </c>
      <c r="C1145" s="12">
        <v>6.2</v>
      </c>
      <c r="D1145" s="12">
        <v>2000</v>
      </c>
    </row>
    <row r="1146" spans="1:4" ht="19.95" customHeight="1" x14ac:dyDescent="0.25">
      <c r="A1146" s="11" t="s">
        <v>34</v>
      </c>
      <c r="B1146" s="12" t="s">
        <v>14</v>
      </c>
      <c r="C1146" s="12">
        <v>52.9</v>
      </c>
      <c r="D1146" s="12">
        <v>2000</v>
      </c>
    </row>
    <row r="1147" spans="1:4" ht="19.95" customHeight="1" x14ac:dyDescent="0.25">
      <c r="A1147" s="11" t="s">
        <v>35</v>
      </c>
      <c r="B1147" s="12" t="s">
        <v>14</v>
      </c>
      <c r="C1147" s="12">
        <v>69.586189270019503</v>
      </c>
      <c r="D1147" s="12">
        <v>2000</v>
      </c>
    </row>
    <row r="1148" spans="1:4" ht="19.95" customHeight="1" x14ac:dyDescent="0.25">
      <c r="A1148" s="11" t="s">
        <v>36</v>
      </c>
      <c r="B1148" s="12" t="s">
        <v>14</v>
      </c>
      <c r="C1148" s="12">
        <v>98.4677419354839</v>
      </c>
      <c r="D1148" s="12">
        <v>2000</v>
      </c>
    </row>
    <row r="1149" spans="1:4" ht="19.95" customHeight="1" x14ac:dyDescent="0.25">
      <c r="A1149" s="11" t="s">
        <v>37</v>
      </c>
      <c r="B1149" s="12" t="s">
        <v>14</v>
      </c>
      <c r="C1149" s="12">
        <v>9.6206102371215803</v>
      </c>
      <c r="D1149" s="12">
        <v>2000</v>
      </c>
    </row>
    <row r="1150" spans="1:4" ht="19.95" customHeight="1" x14ac:dyDescent="0.25">
      <c r="A1150" s="11" t="s">
        <v>38</v>
      </c>
      <c r="B1150" s="12" t="s">
        <v>14</v>
      </c>
      <c r="C1150" s="12">
        <v>8.4048900604247994</v>
      </c>
      <c r="D1150" s="12">
        <v>2000</v>
      </c>
    </row>
    <row r="1151" spans="1:4" ht="19.95" customHeight="1" x14ac:dyDescent="0.25">
      <c r="A1151" s="11" t="s">
        <v>39</v>
      </c>
      <c r="B1151" s="12" t="s">
        <v>14</v>
      </c>
      <c r="C1151" s="12">
        <v>16.7</v>
      </c>
      <c r="D1151" s="12">
        <v>2000</v>
      </c>
    </row>
    <row r="1152" spans="1:4" ht="19.95" customHeight="1" x14ac:dyDescent="0.25">
      <c r="A1152" s="11" t="s">
        <v>40</v>
      </c>
      <c r="B1152" s="12" t="s">
        <v>14</v>
      </c>
      <c r="C1152" s="12">
        <v>33.597419738769503</v>
      </c>
      <c r="D1152" s="12">
        <v>2000</v>
      </c>
    </row>
    <row r="1153" spans="1:4" ht="19.95" customHeight="1" x14ac:dyDescent="0.25">
      <c r="A1153" s="11" t="s">
        <v>10</v>
      </c>
      <c r="B1153" s="12" t="s">
        <v>14</v>
      </c>
      <c r="C1153" s="12">
        <v>3.5900473594665501</v>
      </c>
      <c r="D1153" s="12">
        <v>2001</v>
      </c>
    </row>
    <row r="1154" spans="1:4" ht="19.95" customHeight="1" x14ac:dyDescent="0.25">
      <c r="A1154" s="11" t="s">
        <v>13</v>
      </c>
      <c r="B1154" s="12" t="s">
        <v>14</v>
      </c>
      <c r="C1154" s="12">
        <v>46.2</v>
      </c>
      <c r="D1154" s="12">
        <v>2001</v>
      </c>
    </row>
    <row r="1155" spans="1:4" ht="19.95" customHeight="1" x14ac:dyDescent="0.25">
      <c r="A1155" s="11" t="s">
        <v>15</v>
      </c>
      <c r="B1155" s="12" t="s">
        <v>14</v>
      </c>
      <c r="C1155" s="12">
        <v>3.2221312522888201</v>
      </c>
      <c r="D1155" s="12">
        <v>2001</v>
      </c>
    </row>
    <row r="1156" spans="1:4" ht="19.95" customHeight="1" x14ac:dyDescent="0.25">
      <c r="A1156" s="11" t="s">
        <v>16</v>
      </c>
      <c r="B1156" s="12" t="s">
        <v>14</v>
      </c>
      <c r="C1156" s="12">
        <v>41.939159393310497</v>
      </c>
      <c r="D1156" s="12">
        <v>2001</v>
      </c>
    </row>
    <row r="1157" spans="1:4" ht="19.95" customHeight="1" x14ac:dyDescent="0.25">
      <c r="A1157" s="11" t="s">
        <v>17</v>
      </c>
      <c r="B1157" s="12" t="s">
        <v>14</v>
      </c>
      <c r="C1157" s="12">
        <v>56.476322174072301</v>
      </c>
      <c r="D1157" s="12">
        <v>2001</v>
      </c>
    </row>
    <row r="1158" spans="1:4" ht="19.95" customHeight="1" x14ac:dyDescent="0.25">
      <c r="A1158" s="11" t="s">
        <v>2</v>
      </c>
      <c r="B1158" s="12" t="s">
        <v>14</v>
      </c>
      <c r="C1158" s="12">
        <v>10.812232971191399</v>
      </c>
      <c r="D1158" s="12">
        <v>2001</v>
      </c>
    </row>
    <row r="1159" spans="1:4" ht="19.95" customHeight="1" x14ac:dyDescent="0.25">
      <c r="A1159" s="11" t="s">
        <v>18</v>
      </c>
      <c r="B1159" s="12" t="s">
        <v>14</v>
      </c>
      <c r="C1159" s="12">
        <v>17.427961349487301</v>
      </c>
      <c r="D1159" s="12">
        <v>2001</v>
      </c>
    </row>
    <row r="1160" spans="1:4" ht="19.95" customHeight="1" x14ac:dyDescent="0.25">
      <c r="A1160" s="11" t="s">
        <v>19</v>
      </c>
      <c r="B1160" s="12" t="s">
        <v>14</v>
      </c>
      <c r="C1160" s="12">
        <v>31.542382</v>
      </c>
      <c r="D1160" s="12">
        <v>2001</v>
      </c>
    </row>
    <row r="1161" spans="1:4" ht="19.95" customHeight="1" x14ac:dyDescent="0.25">
      <c r="A1161" s="11" t="s">
        <v>20</v>
      </c>
      <c r="B1161" s="12" t="s">
        <v>14</v>
      </c>
      <c r="C1161" s="12">
        <v>17.082206726074201</v>
      </c>
      <c r="D1161" s="12">
        <v>2001</v>
      </c>
    </row>
    <row r="1162" spans="1:4" ht="19.95" customHeight="1" x14ac:dyDescent="0.25">
      <c r="A1162" s="11" t="s">
        <v>21</v>
      </c>
      <c r="B1162" s="12" t="s">
        <v>14</v>
      </c>
      <c r="C1162" s="12">
        <v>94.223594665527301</v>
      </c>
      <c r="D1162" s="12">
        <v>2001</v>
      </c>
    </row>
    <row r="1163" spans="1:4" ht="19.95" customHeight="1" x14ac:dyDescent="0.25">
      <c r="A1163" s="11" t="s">
        <v>22</v>
      </c>
      <c r="B1163" s="12" t="s">
        <v>14</v>
      </c>
      <c r="C1163" s="12">
        <v>9.9999997764825804E-3</v>
      </c>
      <c r="D1163" s="12">
        <v>2001</v>
      </c>
    </row>
    <row r="1164" spans="1:4" ht="19.95" customHeight="1" x14ac:dyDescent="0.25">
      <c r="A1164" s="11" t="s">
        <v>23</v>
      </c>
      <c r="B1164" s="12" t="s">
        <v>14</v>
      </c>
      <c r="C1164" s="12">
        <v>14.8</v>
      </c>
      <c r="D1164" s="12">
        <v>2001</v>
      </c>
    </row>
    <row r="1165" spans="1:4" ht="19.95" customHeight="1" x14ac:dyDescent="0.25">
      <c r="A1165" s="11" t="s">
        <v>24</v>
      </c>
      <c r="B1165" s="12" t="s">
        <v>14</v>
      </c>
      <c r="C1165" s="12">
        <v>5.3391642570495597</v>
      </c>
      <c r="D1165" s="12">
        <v>2001</v>
      </c>
    </row>
    <row r="1166" spans="1:4" ht="19.95" customHeight="1" x14ac:dyDescent="0.25">
      <c r="A1166" s="11" t="s">
        <v>25</v>
      </c>
      <c r="B1166" s="12" t="s">
        <v>14</v>
      </c>
      <c r="C1166" s="12">
        <v>10.8</v>
      </c>
      <c r="D1166" s="12">
        <v>2001</v>
      </c>
    </row>
    <row r="1167" spans="1:4" ht="19.95" customHeight="1" x14ac:dyDescent="0.25">
      <c r="A1167" s="11" t="s">
        <v>26</v>
      </c>
      <c r="B1167" s="12" t="s">
        <v>14</v>
      </c>
      <c r="C1167" s="12">
        <v>98.317108154296903</v>
      </c>
      <c r="D1167" s="12">
        <v>2001</v>
      </c>
    </row>
    <row r="1168" spans="1:4" ht="19.95" customHeight="1" x14ac:dyDescent="0.25">
      <c r="A1168" s="11" t="s">
        <v>27</v>
      </c>
      <c r="B1168" s="12" t="s">
        <v>14</v>
      </c>
      <c r="C1168" s="12">
        <v>5.7</v>
      </c>
      <c r="D1168" s="12">
        <v>2001</v>
      </c>
    </row>
    <row r="1169" spans="1:4" ht="19.95" customHeight="1" x14ac:dyDescent="0.25">
      <c r="A1169" s="11" t="s">
        <v>29</v>
      </c>
      <c r="B1169" s="12" t="s">
        <v>14</v>
      </c>
      <c r="C1169" s="12">
        <v>44.866241455078097</v>
      </c>
      <c r="D1169" s="12">
        <v>2001</v>
      </c>
    </row>
    <row r="1170" spans="1:4" ht="19.95" customHeight="1" x14ac:dyDescent="0.25">
      <c r="A1170" s="11" t="s">
        <v>30</v>
      </c>
      <c r="B1170" s="12" t="s">
        <v>14</v>
      </c>
      <c r="C1170" s="12">
        <v>24.6</v>
      </c>
      <c r="D1170" s="12">
        <v>2001</v>
      </c>
    </row>
    <row r="1171" spans="1:4" ht="19.95" customHeight="1" x14ac:dyDescent="0.25">
      <c r="A1171" s="11" t="s">
        <v>31</v>
      </c>
      <c r="B1171" s="12" t="s">
        <v>14</v>
      </c>
      <c r="C1171" s="12">
        <v>72.221580000000003</v>
      </c>
      <c r="D1171" s="12">
        <v>2001</v>
      </c>
    </row>
    <row r="1172" spans="1:4" ht="19.95" customHeight="1" x14ac:dyDescent="0.25">
      <c r="A1172" s="11" t="s">
        <v>32</v>
      </c>
      <c r="B1172" s="12" t="s">
        <v>14</v>
      </c>
      <c r="C1172" s="12">
        <v>8.3606986999511701</v>
      </c>
      <c r="D1172" s="12">
        <v>2001</v>
      </c>
    </row>
    <row r="1173" spans="1:4" ht="19.95" customHeight="1" x14ac:dyDescent="0.25">
      <c r="A1173" s="11" t="s">
        <v>33</v>
      </c>
      <c r="B1173" s="12" t="s">
        <v>14</v>
      </c>
      <c r="C1173" s="12">
        <v>5.85776567459106</v>
      </c>
      <c r="D1173" s="12">
        <v>2001</v>
      </c>
    </row>
    <row r="1174" spans="1:4" ht="19.95" customHeight="1" x14ac:dyDescent="0.25">
      <c r="A1174" s="11" t="s">
        <v>34</v>
      </c>
      <c r="B1174" s="12" t="s">
        <v>14</v>
      </c>
      <c r="C1174" s="12">
        <v>52.532821655273402</v>
      </c>
      <c r="D1174" s="12">
        <v>2001</v>
      </c>
    </row>
    <row r="1175" spans="1:4" ht="19.95" customHeight="1" x14ac:dyDescent="0.25">
      <c r="A1175" s="11" t="s">
        <v>35</v>
      </c>
      <c r="B1175" s="12" t="s">
        <v>14</v>
      </c>
      <c r="C1175" s="12">
        <v>63.6</v>
      </c>
      <c r="D1175" s="12">
        <v>2001</v>
      </c>
    </row>
    <row r="1176" spans="1:4" ht="19.95" customHeight="1" x14ac:dyDescent="0.25">
      <c r="A1176" s="11" t="s">
        <v>36</v>
      </c>
      <c r="B1176" s="12" t="s">
        <v>14</v>
      </c>
      <c r="C1176" s="12">
        <v>98.495285034179702</v>
      </c>
      <c r="D1176" s="12">
        <v>2001</v>
      </c>
    </row>
    <row r="1177" spans="1:4" ht="19.95" customHeight="1" x14ac:dyDescent="0.25">
      <c r="A1177" s="11" t="s">
        <v>37</v>
      </c>
      <c r="B1177" s="12" t="s">
        <v>14</v>
      </c>
      <c r="C1177" s="12">
        <v>10.2437896728516</v>
      </c>
      <c r="D1177" s="12">
        <v>2001</v>
      </c>
    </row>
    <row r="1178" spans="1:4" ht="19.95" customHeight="1" x14ac:dyDescent="0.25">
      <c r="A1178" s="11" t="s">
        <v>38</v>
      </c>
      <c r="B1178" s="12" t="s">
        <v>14</v>
      </c>
      <c r="C1178" s="12">
        <v>8.6</v>
      </c>
      <c r="D1178" s="12">
        <v>2001</v>
      </c>
    </row>
    <row r="1179" spans="1:4" ht="19.95" customHeight="1" x14ac:dyDescent="0.25">
      <c r="A1179" s="11" t="s">
        <v>39</v>
      </c>
      <c r="B1179" s="12" t="s">
        <v>14</v>
      </c>
      <c r="C1179" s="12">
        <v>19.498519897460898</v>
      </c>
      <c r="D1179" s="12">
        <v>2001</v>
      </c>
    </row>
    <row r="1180" spans="1:4" ht="19.95" customHeight="1" x14ac:dyDescent="0.25">
      <c r="A1180" s="11" t="s">
        <v>40</v>
      </c>
      <c r="B1180" s="12" t="s">
        <v>14</v>
      </c>
      <c r="C1180" s="12">
        <v>33.830867767333999</v>
      </c>
      <c r="D1180" s="12">
        <v>2001</v>
      </c>
    </row>
    <row r="1181" spans="1:4" ht="19.95" customHeight="1" x14ac:dyDescent="0.25">
      <c r="A1181" s="11" t="s">
        <v>10</v>
      </c>
      <c r="B1181" s="12" t="s">
        <v>14</v>
      </c>
      <c r="C1181" s="12">
        <v>3.7900922298431401</v>
      </c>
      <c r="D1181" s="12">
        <v>2002</v>
      </c>
    </row>
    <row r="1182" spans="1:4" ht="19.95" customHeight="1" x14ac:dyDescent="0.25">
      <c r="A1182" s="11" t="s">
        <v>13</v>
      </c>
      <c r="B1182" s="12" t="s">
        <v>14</v>
      </c>
      <c r="C1182" s="12">
        <v>44.050506591796903</v>
      </c>
      <c r="D1182" s="12">
        <v>2002</v>
      </c>
    </row>
    <row r="1183" spans="1:4" ht="19.95" customHeight="1" x14ac:dyDescent="0.25">
      <c r="A1183" s="11" t="s">
        <v>15</v>
      </c>
      <c r="B1183" s="12" t="s">
        <v>14</v>
      </c>
      <c r="C1183" s="12">
        <v>3.5295321941375701</v>
      </c>
      <c r="D1183" s="12">
        <v>2002</v>
      </c>
    </row>
    <row r="1184" spans="1:4" ht="19.95" customHeight="1" x14ac:dyDescent="0.25">
      <c r="A1184" s="11" t="s">
        <v>16</v>
      </c>
      <c r="B1184" s="12" t="s">
        <v>14</v>
      </c>
      <c r="C1184" s="12">
        <v>44.8</v>
      </c>
      <c r="D1184" s="12">
        <v>2002</v>
      </c>
    </row>
    <row r="1185" spans="1:4" ht="19.95" customHeight="1" x14ac:dyDescent="0.25">
      <c r="A1185" s="11" t="s">
        <v>17</v>
      </c>
      <c r="B1185" s="12" t="s">
        <v>14</v>
      </c>
      <c r="C1185" s="12">
        <v>49.7</v>
      </c>
      <c r="D1185" s="12">
        <v>2002</v>
      </c>
    </row>
    <row r="1186" spans="1:4" ht="19.95" customHeight="1" x14ac:dyDescent="0.25">
      <c r="A1186" s="11" t="s">
        <v>2</v>
      </c>
      <c r="B1186" s="12" t="s">
        <v>14</v>
      </c>
      <c r="C1186" s="12">
        <v>12.3654432296753</v>
      </c>
      <c r="D1186" s="12">
        <v>2002</v>
      </c>
    </row>
    <row r="1187" spans="1:4" ht="19.95" customHeight="1" x14ac:dyDescent="0.25">
      <c r="A1187" s="11" t="s">
        <v>18</v>
      </c>
      <c r="B1187" s="12" t="s">
        <v>14</v>
      </c>
      <c r="C1187" s="12">
        <v>18.33323097229</v>
      </c>
      <c r="D1187" s="12">
        <v>2002</v>
      </c>
    </row>
    <row r="1188" spans="1:4" ht="19.95" customHeight="1" x14ac:dyDescent="0.25">
      <c r="A1188" s="11" t="s">
        <v>19</v>
      </c>
      <c r="B1188" s="12" t="s">
        <v>14</v>
      </c>
      <c r="C1188" s="12">
        <v>33.034671783447301</v>
      </c>
      <c r="D1188" s="12">
        <v>2002</v>
      </c>
    </row>
    <row r="1189" spans="1:4" ht="19.95" customHeight="1" x14ac:dyDescent="0.25">
      <c r="A1189" s="11" t="s">
        <v>20</v>
      </c>
      <c r="B1189" s="12" t="s">
        <v>14</v>
      </c>
      <c r="C1189" s="12">
        <v>18.238832473754901</v>
      </c>
      <c r="D1189" s="12">
        <v>2002</v>
      </c>
    </row>
    <row r="1190" spans="1:4" ht="19.95" customHeight="1" x14ac:dyDescent="0.25">
      <c r="A1190" s="11" t="s">
        <v>21</v>
      </c>
      <c r="B1190" s="12" t="s">
        <v>14</v>
      </c>
      <c r="C1190" s="12">
        <v>94.722496032714901</v>
      </c>
      <c r="D1190" s="12">
        <v>2002</v>
      </c>
    </row>
    <row r="1191" spans="1:4" ht="19.95" customHeight="1" x14ac:dyDescent="0.25">
      <c r="A1191" s="11" t="s">
        <v>22</v>
      </c>
      <c r="B1191" s="12" t="s">
        <v>14</v>
      </c>
      <c r="C1191" s="12">
        <v>9.9999997764825804E-3</v>
      </c>
      <c r="D1191" s="12">
        <v>2002</v>
      </c>
    </row>
    <row r="1192" spans="1:4" ht="19.95" customHeight="1" x14ac:dyDescent="0.25">
      <c r="A1192" s="11" t="s">
        <v>23</v>
      </c>
      <c r="B1192" s="12" t="s">
        <v>14</v>
      </c>
      <c r="C1192" s="12">
        <v>14.2419586181641</v>
      </c>
      <c r="D1192" s="12">
        <v>2002</v>
      </c>
    </row>
    <row r="1193" spans="1:4" ht="19.95" customHeight="1" x14ac:dyDescent="0.25">
      <c r="A1193" s="11" t="s">
        <v>24</v>
      </c>
      <c r="B1193" s="12" t="s">
        <v>14</v>
      </c>
      <c r="C1193" s="12">
        <v>5.62802982330322</v>
      </c>
      <c r="D1193" s="12">
        <v>2002</v>
      </c>
    </row>
    <row r="1194" spans="1:4" ht="19.95" customHeight="1" x14ac:dyDescent="0.25">
      <c r="A1194" s="11" t="s">
        <v>25</v>
      </c>
      <c r="B1194" s="12" t="s">
        <v>14</v>
      </c>
      <c r="C1194" s="12">
        <v>13.268354415893601</v>
      </c>
      <c r="D1194" s="12">
        <v>2002</v>
      </c>
    </row>
    <row r="1195" spans="1:4" ht="19.95" customHeight="1" x14ac:dyDescent="0.25">
      <c r="A1195" s="11" t="s">
        <v>26</v>
      </c>
      <c r="B1195" s="12" t="s">
        <v>14</v>
      </c>
      <c r="C1195" s="12">
        <v>99</v>
      </c>
      <c r="D1195" s="12">
        <v>2002</v>
      </c>
    </row>
    <row r="1196" spans="1:4" ht="19.95" customHeight="1" x14ac:dyDescent="0.25">
      <c r="A1196" s="11" t="s">
        <v>27</v>
      </c>
      <c r="B1196" s="12" t="s">
        <v>14</v>
      </c>
      <c r="C1196" s="12">
        <v>8.7690534591674805</v>
      </c>
      <c r="D1196" s="12">
        <v>2002</v>
      </c>
    </row>
    <row r="1197" spans="1:4" ht="19.95" customHeight="1" x14ac:dyDescent="0.25">
      <c r="A1197" s="11" t="s">
        <v>29</v>
      </c>
      <c r="B1197" s="12" t="s">
        <v>14</v>
      </c>
      <c r="C1197" s="12">
        <v>47</v>
      </c>
      <c r="D1197" s="12">
        <v>2002</v>
      </c>
    </row>
    <row r="1198" spans="1:4" ht="19.95" customHeight="1" x14ac:dyDescent="0.25">
      <c r="A1198" s="11" t="s">
        <v>30</v>
      </c>
      <c r="B1198" s="12" t="s">
        <v>14</v>
      </c>
      <c r="C1198" s="12">
        <v>35.390254974365199</v>
      </c>
      <c r="D1198" s="12">
        <v>2002</v>
      </c>
    </row>
    <row r="1199" spans="1:4" ht="19.95" customHeight="1" x14ac:dyDescent="0.25">
      <c r="A1199" s="11" t="s">
        <v>31</v>
      </c>
      <c r="B1199" s="12" t="s">
        <v>14</v>
      </c>
      <c r="C1199" s="12">
        <v>73.836692810058494</v>
      </c>
      <c r="D1199" s="12">
        <v>2002</v>
      </c>
    </row>
    <row r="1200" spans="1:4" ht="19.95" customHeight="1" x14ac:dyDescent="0.25">
      <c r="A1200" s="11" t="s">
        <v>32</v>
      </c>
      <c r="B1200" s="12" t="s">
        <v>14</v>
      </c>
      <c r="C1200" s="12">
        <v>8.8179512023925799</v>
      </c>
      <c r="D1200" s="12">
        <v>2002</v>
      </c>
    </row>
    <row r="1201" spans="1:4" ht="19.95" customHeight="1" x14ac:dyDescent="0.25">
      <c r="A1201" s="11" t="s">
        <v>33</v>
      </c>
      <c r="B1201" s="12" t="s">
        <v>14</v>
      </c>
      <c r="C1201" s="12">
        <v>6.74377536773682</v>
      </c>
      <c r="D1201" s="12">
        <v>2002</v>
      </c>
    </row>
    <row r="1202" spans="1:4" ht="19.95" customHeight="1" x14ac:dyDescent="0.25">
      <c r="A1202" s="11" t="s">
        <v>34</v>
      </c>
      <c r="B1202" s="12" t="s">
        <v>14</v>
      </c>
      <c r="C1202" s="12">
        <v>53.326816558837898</v>
      </c>
      <c r="D1202" s="12">
        <v>2002</v>
      </c>
    </row>
    <row r="1203" spans="1:4" ht="19.95" customHeight="1" x14ac:dyDescent="0.25">
      <c r="A1203" s="11" t="s">
        <v>35</v>
      </c>
      <c r="B1203" s="12" t="s">
        <v>14</v>
      </c>
      <c r="C1203" s="12">
        <v>80.7</v>
      </c>
      <c r="D1203" s="12">
        <v>2002</v>
      </c>
    </row>
    <row r="1204" spans="1:4" ht="19.95" customHeight="1" x14ac:dyDescent="0.25">
      <c r="A1204" s="11" t="s">
        <v>36</v>
      </c>
      <c r="B1204" s="12" t="s">
        <v>14</v>
      </c>
      <c r="C1204" s="12">
        <v>99</v>
      </c>
      <c r="D1204" s="12">
        <v>2002</v>
      </c>
    </row>
    <row r="1205" spans="1:4" ht="19.95" customHeight="1" x14ac:dyDescent="0.25">
      <c r="A1205" s="11" t="s">
        <v>37</v>
      </c>
      <c r="B1205" s="12" t="s">
        <v>14</v>
      </c>
      <c r="C1205" s="12">
        <v>10.854621887206999</v>
      </c>
      <c r="D1205" s="12">
        <v>2002</v>
      </c>
    </row>
    <row r="1206" spans="1:4" ht="19.95" customHeight="1" x14ac:dyDescent="0.25">
      <c r="A1206" s="11" t="s">
        <v>38</v>
      </c>
      <c r="B1206" s="12" t="s">
        <v>14</v>
      </c>
      <c r="C1206" s="12">
        <v>7.8</v>
      </c>
      <c r="D1206" s="12">
        <v>2002</v>
      </c>
    </row>
    <row r="1207" spans="1:4" ht="19.95" customHeight="1" x14ac:dyDescent="0.25">
      <c r="A1207" s="11" t="s">
        <v>39</v>
      </c>
      <c r="B1207" s="12" t="s">
        <v>14</v>
      </c>
      <c r="C1207" s="12">
        <v>17.399999999999999</v>
      </c>
      <c r="D1207" s="12">
        <v>2002</v>
      </c>
    </row>
    <row r="1208" spans="1:4" ht="19.95" customHeight="1" x14ac:dyDescent="0.25">
      <c r="A1208" s="11" t="s">
        <v>40</v>
      </c>
      <c r="B1208" s="12" t="s">
        <v>14</v>
      </c>
      <c r="C1208" s="12">
        <v>34.200000000000003</v>
      </c>
      <c r="D1208" s="12">
        <v>2002</v>
      </c>
    </row>
    <row r="1209" spans="1:4" ht="19.95" customHeight="1" x14ac:dyDescent="0.25">
      <c r="A1209" s="11" t="s">
        <v>10</v>
      </c>
      <c r="B1209" s="12" t="s">
        <v>14</v>
      </c>
      <c r="C1209" s="12">
        <v>3.9838535785675</v>
      </c>
      <c r="D1209" s="12">
        <v>2003</v>
      </c>
    </row>
    <row r="1210" spans="1:4" ht="19.95" customHeight="1" x14ac:dyDescent="0.25">
      <c r="A1210" s="11" t="s">
        <v>13</v>
      </c>
      <c r="B1210" s="12" t="s">
        <v>14</v>
      </c>
      <c r="C1210" s="12">
        <v>45.117542266845703</v>
      </c>
      <c r="D1210" s="12">
        <v>2003</v>
      </c>
    </row>
    <row r="1211" spans="1:4" ht="19.95" customHeight="1" x14ac:dyDescent="0.25">
      <c r="A1211" s="11" t="s">
        <v>15</v>
      </c>
      <c r="B1211" s="12" t="s">
        <v>14</v>
      </c>
      <c r="C1211" s="12">
        <v>3.83064913749695</v>
      </c>
      <c r="D1211" s="12">
        <v>2003</v>
      </c>
    </row>
    <row r="1212" spans="1:4" ht="19.95" customHeight="1" x14ac:dyDescent="0.25">
      <c r="A1212" s="11" t="s">
        <v>16</v>
      </c>
      <c r="B1212" s="12" t="s">
        <v>14</v>
      </c>
      <c r="C1212" s="12">
        <v>46.587181091308601</v>
      </c>
      <c r="D1212" s="12">
        <v>2003</v>
      </c>
    </row>
    <row r="1213" spans="1:4" ht="19.95" customHeight="1" x14ac:dyDescent="0.25">
      <c r="A1213" s="11" t="s">
        <v>17</v>
      </c>
      <c r="B1213" s="12" t="s">
        <v>14</v>
      </c>
      <c r="C1213" s="12">
        <v>55.711185455322301</v>
      </c>
      <c r="D1213" s="12">
        <v>2003</v>
      </c>
    </row>
    <row r="1214" spans="1:4" ht="19.95" customHeight="1" x14ac:dyDescent="0.25">
      <c r="A1214" s="11" t="s">
        <v>2</v>
      </c>
      <c r="B1214" s="12" t="s">
        <v>14</v>
      </c>
      <c r="C1214" s="12">
        <v>13.9123697280884</v>
      </c>
      <c r="D1214" s="12">
        <v>2003</v>
      </c>
    </row>
    <row r="1215" spans="1:4" ht="19.95" customHeight="1" x14ac:dyDescent="0.25">
      <c r="A1215" s="11" t="s">
        <v>18</v>
      </c>
      <c r="B1215" s="12" t="s">
        <v>14</v>
      </c>
      <c r="C1215" s="12">
        <v>19.2322177886963</v>
      </c>
      <c r="D1215" s="12">
        <v>2003</v>
      </c>
    </row>
    <row r="1216" spans="1:4" ht="19.95" customHeight="1" x14ac:dyDescent="0.25">
      <c r="A1216" s="11" t="s">
        <v>19</v>
      </c>
      <c r="B1216" s="12" t="s">
        <v>14</v>
      </c>
      <c r="C1216" s="12">
        <v>31.6</v>
      </c>
      <c r="D1216" s="12">
        <v>2003</v>
      </c>
    </row>
    <row r="1217" spans="1:4" ht="19.95" customHeight="1" x14ac:dyDescent="0.25">
      <c r="A1217" s="11" t="s">
        <v>20</v>
      </c>
      <c r="B1217" s="12" t="s">
        <v>14</v>
      </c>
      <c r="C1217" s="12">
        <v>16</v>
      </c>
      <c r="D1217" s="12">
        <v>2003</v>
      </c>
    </row>
    <row r="1218" spans="1:4" ht="19.95" customHeight="1" x14ac:dyDescent="0.25">
      <c r="A1218" s="11" t="s">
        <v>21</v>
      </c>
      <c r="B1218" s="12" t="s">
        <v>14</v>
      </c>
      <c r="C1218" s="12">
        <v>95.215118408203097</v>
      </c>
      <c r="D1218" s="12">
        <v>2003</v>
      </c>
    </row>
    <row r="1219" spans="1:4" ht="19.95" customHeight="1" x14ac:dyDescent="0.25">
      <c r="A1219" s="11" t="s">
        <v>22</v>
      </c>
      <c r="B1219" s="12" t="s">
        <v>14</v>
      </c>
      <c r="C1219" s="12">
        <v>9.9999997764825804E-3</v>
      </c>
      <c r="D1219" s="12">
        <v>2003</v>
      </c>
    </row>
    <row r="1220" spans="1:4" ht="19.95" customHeight="1" x14ac:dyDescent="0.25">
      <c r="A1220" s="11" t="s">
        <v>23</v>
      </c>
      <c r="B1220" s="12" t="s">
        <v>14</v>
      </c>
      <c r="C1220" s="12">
        <v>20.3</v>
      </c>
      <c r="D1220" s="12">
        <v>2003</v>
      </c>
    </row>
    <row r="1221" spans="1:4" ht="19.95" customHeight="1" x14ac:dyDescent="0.25">
      <c r="A1221" s="11" t="s">
        <v>24</v>
      </c>
      <c r="B1221" s="12" t="s">
        <v>14</v>
      </c>
      <c r="C1221" s="12">
        <v>6.2</v>
      </c>
      <c r="D1221" s="12">
        <v>2003</v>
      </c>
    </row>
    <row r="1222" spans="1:4" ht="19.95" customHeight="1" x14ac:dyDescent="0.25">
      <c r="A1222" s="11" t="s">
        <v>25</v>
      </c>
      <c r="B1222" s="12" t="s">
        <v>14</v>
      </c>
      <c r="C1222" s="12">
        <v>14.7480278015137</v>
      </c>
      <c r="D1222" s="12">
        <v>2003</v>
      </c>
    </row>
    <row r="1223" spans="1:4" ht="19.95" customHeight="1" x14ac:dyDescent="0.25">
      <c r="A1223" s="11" t="s">
        <v>26</v>
      </c>
      <c r="B1223" s="12" t="s">
        <v>14</v>
      </c>
      <c r="C1223" s="12">
        <v>98.750076293945298</v>
      </c>
      <c r="D1223" s="12">
        <v>2003</v>
      </c>
    </row>
    <row r="1224" spans="1:4" ht="19.95" customHeight="1" x14ac:dyDescent="0.25">
      <c r="A1224" s="11" t="s">
        <v>27</v>
      </c>
      <c r="B1224" s="12" t="s">
        <v>14</v>
      </c>
      <c r="C1224" s="12">
        <v>8.1</v>
      </c>
      <c r="D1224" s="12">
        <v>2003</v>
      </c>
    </row>
    <row r="1225" spans="1:4" ht="19.95" customHeight="1" x14ac:dyDescent="0.25">
      <c r="A1225" s="11" t="s">
        <v>29</v>
      </c>
      <c r="B1225" s="12" t="s">
        <v>14</v>
      </c>
      <c r="C1225" s="12">
        <v>46.3460083007813</v>
      </c>
      <c r="D1225" s="12">
        <v>2003</v>
      </c>
    </row>
    <row r="1226" spans="1:4" ht="19.95" customHeight="1" x14ac:dyDescent="0.25">
      <c r="A1226" s="11" t="s">
        <v>30</v>
      </c>
      <c r="B1226" s="12" t="s">
        <v>14</v>
      </c>
      <c r="C1226" s="12">
        <v>39.304122924804702</v>
      </c>
      <c r="D1226" s="12">
        <v>2003</v>
      </c>
    </row>
    <row r="1227" spans="1:4" ht="19.95" customHeight="1" x14ac:dyDescent="0.25">
      <c r="A1227" s="11" t="s">
        <v>31</v>
      </c>
      <c r="B1227" s="12" t="s">
        <v>14</v>
      </c>
      <c r="C1227" s="12">
        <v>74.327720642089801</v>
      </c>
      <c r="D1227" s="12">
        <v>2003</v>
      </c>
    </row>
    <row r="1228" spans="1:4" ht="19.95" customHeight="1" x14ac:dyDescent="0.25">
      <c r="A1228" s="11" t="s">
        <v>32</v>
      </c>
      <c r="B1228" s="12" t="s">
        <v>14</v>
      </c>
      <c r="C1228" s="12">
        <v>9.2689189910888707</v>
      </c>
      <c r="D1228" s="12">
        <v>2003</v>
      </c>
    </row>
    <row r="1229" spans="1:4" ht="19.95" customHeight="1" x14ac:dyDescent="0.25">
      <c r="A1229" s="11" t="s">
        <v>33</v>
      </c>
      <c r="B1229" s="12" t="s">
        <v>14</v>
      </c>
      <c r="C1229" s="12">
        <v>7.6235017776489302</v>
      </c>
      <c r="D1229" s="12">
        <v>2003</v>
      </c>
    </row>
    <row r="1230" spans="1:4" ht="19.95" customHeight="1" x14ac:dyDescent="0.25">
      <c r="A1230" s="11" t="s">
        <v>34</v>
      </c>
      <c r="B1230" s="12" t="s">
        <v>14</v>
      </c>
      <c r="C1230" s="12">
        <v>54.114528656005902</v>
      </c>
      <c r="D1230" s="12">
        <v>2003</v>
      </c>
    </row>
    <row r="1231" spans="1:4" ht="19.95" customHeight="1" x14ac:dyDescent="0.25">
      <c r="A1231" s="11" t="s">
        <v>35</v>
      </c>
      <c r="B1231" s="12" t="s">
        <v>14</v>
      </c>
      <c r="C1231" s="12">
        <v>74.278244018554702</v>
      </c>
      <c r="D1231" s="12">
        <v>2003</v>
      </c>
    </row>
    <row r="1232" spans="1:4" ht="19.95" customHeight="1" x14ac:dyDescent="0.25">
      <c r="A1232" s="11" t="s">
        <v>36</v>
      </c>
      <c r="B1232" s="12" t="s">
        <v>14</v>
      </c>
      <c r="C1232" s="12">
        <v>100</v>
      </c>
      <c r="D1232" s="12">
        <v>2003</v>
      </c>
    </row>
    <row r="1233" spans="1:4" ht="19.95" customHeight="1" x14ac:dyDescent="0.25">
      <c r="A1233" s="11" t="s">
        <v>37</v>
      </c>
      <c r="B1233" s="12" t="s">
        <v>14</v>
      </c>
      <c r="C1233" s="12">
        <v>11.1</v>
      </c>
      <c r="D1233" s="12">
        <v>2003</v>
      </c>
    </row>
    <row r="1234" spans="1:4" ht="19.95" customHeight="1" x14ac:dyDescent="0.25">
      <c r="A1234" s="11" t="s">
        <v>38</v>
      </c>
      <c r="B1234" s="12" t="s">
        <v>14</v>
      </c>
      <c r="C1234" s="12">
        <v>10.243908882141101</v>
      </c>
      <c r="D1234" s="12">
        <v>2003</v>
      </c>
    </row>
    <row r="1235" spans="1:4" ht="19.95" customHeight="1" x14ac:dyDescent="0.25">
      <c r="A1235" s="11" t="s">
        <v>39</v>
      </c>
      <c r="B1235" s="12" t="s">
        <v>14</v>
      </c>
      <c r="C1235" s="12">
        <v>18.5</v>
      </c>
      <c r="D1235" s="12">
        <v>2003</v>
      </c>
    </row>
    <row r="1236" spans="1:4" ht="19.95" customHeight="1" x14ac:dyDescent="0.25">
      <c r="A1236" s="11" t="s">
        <v>40</v>
      </c>
      <c r="B1236" s="12" t="s">
        <v>14</v>
      </c>
      <c r="C1236" s="12">
        <v>34.2667846679688</v>
      </c>
      <c r="D1236" s="12">
        <v>2003</v>
      </c>
    </row>
    <row r="1237" spans="1:4" ht="19.95" customHeight="1" x14ac:dyDescent="0.25">
      <c r="A1237" s="11" t="s">
        <v>10</v>
      </c>
      <c r="B1237" s="12" t="s">
        <v>14</v>
      </c>
      <c r="C1237" s="12">
        <v>4.1773943901062003</v>
      </c>
      <c r="D1237" s="12">
        <v>2004</v>
      </c>
    </row>
    <row r="1238" spans="1:4" ht="19.95" customHeight="1" x14ac:dyDescent="0.25">
      <c r="A1238" s="11" t="s">
        <v>13</v>
      </c>
      <c r="B1238" s="12" t="s">
        <v>14</v>
      </c>
      <c r="C1238" s="12">
        <v>47.1</v>
      </c>
      <c r="D1238" s="12">
        <v>2004</v>
      </c>
    </row>
    <row r="1239" spans="1:4" ht="19.95" customHeight="1" x14ac:dyDescent="0.25">
      <c r="A1239" s="11" t="s">
        <v>15</v>
      </c>
      <c r="B1239" s="12" t="s">
        <v>14</v>
      </c>
      <c r="C1239" s="12">
        <v>3.5</v>
      </c>
      <c r="D1239" s="12">
        <v>2004</v>
      </c>
    </row>
    <row r="1240" spans="1:4" ht="19.95" customHeight="1" x14ac:dyDescent="0.25">
      <c r="A1240" s="11" t="s">
        <v>16</v>
      </c>
      <c r="B1240" s="12" t="s">
        <v>14</v>
      </c>
      <c r="C1240" s="12">
        <v>48.907833099365199</v>
      </c>
      <c r="D1240" s="12">
        <v>2004</v>
      </c>
    </row>
    <row r="1241" spans="1:4" ht="19.95" customHeight="1" x14ac:dyDescent="0.25">
      <c r="A1241" s="11" t="s">
        <v>17</v>
      </c>
      <c r="B1241" s="12" t="s">
        <v>14</v>
      </c>
      <c r="C1241" s="12">
        <v>55.3252563476563</v>
      </c>
      <c r="D1241" s="12">
        <v>2004</v>
      </c>
    </row>
    <row r="1242" spans="1:4" ht="19.95" customHeight="1" x14ac:dyDescent="0.25">
      <c r="A1242" s="11" t="s">
        <v>2</v>
      </c>
      <c r="B1242" s="12" t="s">
        <v>14</v>
      </c>
      <c r="C1242" s="12">
        <v>15.4590759277344</v>
      </c>
      <c r="D1242" s="12">
        <v>2004</v>
      </c>
    </row>
    <row r="1243" spans="1:4" ht="19.95" customHeight="1" x14ac:dyDescent="0.25">
      <c r="A1243" s="11" t="s">
        <v>18</v>
      </c>
      <c r="B1243" s="12" t="s">
        <v>14</v>
      </c>
      <c r="C1243" s="12">
        <v>20.130983352661101</v>
      </c>
      <c r="D1243" s="12">
        <v>2004</v>
      </c>
    </row>
    <row r="1244" spans="1:4" ht="19.95" customHeight="1" x14ac:dyDescent="0.25">
      <c r="A1244" s="11" t="s">
        <v>19</v>
      </c>
      <c r="B1244" s="12" t="s">
        <v>14</v>
      </c>
      <c r="C1244" s="12">
        <v>33.6872749328613</v>
      </c>
      <c r="D1244" s="12">
        <v>2004</v>
      </c>
    </row>
    <row r="1245" spans="1:4" ht="19.95" customHeight="1" x14ac:dyDescent="0.25">
      <c r="A1245" s="11" t="s">
        <v>20</v>
      </c>
      <c r="B1245" s="12" t="s">
        <v>14</v>
      </c>
      <c r="C1245" s="12">
        <v>20.5392971038818</v>
      </c>
      <c r="D1245" s="12">
        <v>2004</v>
      </c>
    </row>
    <row r="1246" spans="1:4" ht="19.95" customHeight="1" x14ac:dyDescent="0.25">
      <c r="A1246" s="11" t="s">
        <v>21</v>
      </c>
      <c r="B1246" s="12" t="s">
        <v>14</v>
      </c>
      <c r="C1246" s="12">
        <v>95.70751953125</v>
      </c>
      <c r="D1246" s="12">
        <v>2004</v>
      </c>
    </row>
    <row r="1247" spans="1:4" ht="19.95" customHeight="1" x14ac:dyDescent="0.25">
      <c r="A1247" s="11" t="s">
        <v>22</v>
      </c>
      <c r="B1247" s="12" t="s">
        <v>14</v>
      </c>
      <c r="C1247" s="12">
        <v>1.1186852119863E-2</v>
      </c>
      <c r="D1247" s="12">
        <v>2004</v>
      </c>
    </row>
    <row r="1248" spans="1:4" ht="19.95" customHeight="1" x14ac:dyDescent="0.25">
      <c r="A1248" s="11" t="s">
        <v>23</v>
      </c>
      <c r="B1248" s="12" t="s">
        <v>14</v>
      </c>
      <c r="C1248" s="12">
        <v>14.8340463638306</v>
      </c>
      <c r="D1248" s="12">
        <v>2004</v>
      </c>
    </row>
    <row r="1249" spans="1:4" ht="19.95" customHeight="1" x14ac:dyDescent="0.25">
      <c r="A1249" s="11" t="s">
        <v>24</v>
      </c>
      <c r="B1249" s="12" t="s">
        <v>14</v>
      </c>
      <c r="C1249" s="12">
        <v>6.9</v>
      </c>
      <c r="D1249" s="12">
        <v>2004</v>
      </c>
    </row>
    <row r="1250" spans="1:4" ht="19.95" customHeight="1" x14ac:dyDescent="0.25">
      <c r="A1250" s="11" t="s">
        <v>25</v>
      </c>
      <c r="B1250" s="12" t="s">
        <v>14</v>
      </c>
      <c r="C1250" s="12">
        <v>16.227479934692401</v>
      </c>
      <c r="D1250" s="12">
        <v>2004</v>
      </c>
    </row>
    <row r="1251" spans="1:4" ht="19.95" customHeight="1" x14ac:dyDescent="0.25">
      <c r="A1251" s="11" t="s">
        <v>26</v>
      </c>
      <c r="B1251" s="12" t="s">
        <v>14</v>
      </c>
      <c r="C1251" s="12">
        <v>99.1</v>
      </c>
      <c r="D1251" s="12">
        <v>2004</v>
      </c>
    </row>
    <row r="1252" spans="1:4" ht="19.95" customHeight="1" x14ac:dyDescent="0.25">
      <c r="A1252" s="11" t="s">
        <v>27</v>
      </c>
      <c r="B1252" s="12" t="s">
        <v>14</v>
      </c>
      <c r="C1252" s="12">
        <v>10.8179121017456</v>
      </c>
      <c r="D1252" s="12">
        <v>2004</v>
      </c>
    </row>
    <row r="1253" spans="1:4" ht="19.95" customHeight="1" x14ac:dyDescent="0.25">
      <c r="A1253" s="11" t="s">
        <v>29</v>
      </c>
      <c r="B1253" s="12" t="s">
        <v>14</v>
      </c>
      <c r="C1253" s="12">
        <v>47.082530975341697</v>
      </c>
      <c r="D1253" s="12">
        <v>2004</v>
      </c>
    </row>
    <row r="1254" spans="1:4" ht="19.95" customHeight="1" x14ac:dyDescent="0.25">
      <c r="A1254" s="11" t="s">
        <v>30</v>
      </c>
      <c r="B1254" s="12" t="s">
        <v>14</v>
      </c>
      <c r="C1254" s="12">
        <v>37.200000000000003</v>
      </c>
      <c r="D1254" s="12">
        <v>2004</v>
      </c>
    </row>
    <row r="1255" spans="1:4" ht="19.95" customHeight="1" x14ac:dyDescent="0.25">
      <c r="A1255" s="11" t="s">
        <v>31</v>
      </c>
      <c r="B1255" s="12" t="s">
        <v>14</v>
      </c>
      <c r="C1255" s="12">
        <v>74.818527221679702</v>
      </c>
      <c r="D1255" s="12">
        <v>2004</v>
      </c>
    </row>
    <row r="1256" spans="1:4" ht="19.95" customHeight="1" x14ac:dyDescent="0.25">
      <c r="A1256" s="11" t="s">
        <v>32</v>
      </c>
      <c r="B1256" s="12" t="s">
        <v>14</v>
      </c>
      <c r="C1256" s="12">
        <v>9.71966648101807</v>
      </c>
      <c r="D1256" s="12">
        <v>2004</v>
      </c>
    </row>
    <row r="1257" spans="1:4" ht="19.95" customHeight="1" x14ac:dyDescent="0.25">
      <c r="A1257" s="11" t="s">
        <v>33</v>
      </c>
      <c r="B1257" s="12" t="s">
        <v>14</v>
      </c>
      <c r="C1257" s="12">
        <v>8.5030069351196307</v>
      </c>
      <c r="D1257" s="12">
        <v>2004</v>
      </c>
    </row>
    <row r="1258" spans="1:4" ht="19.95" customHeight="1" x14ac:dyDescent="0.25">
      <c r="A1258" s="11" t="s">
        <v>34</v>
      </c>
      <c r="B1258" s="12" t="s">
        <v>14</v>
      </c>
      <c r="C1258" s="12">
        <v>54.902015686035199</v>
      </c>
      <c r="D1258" s="12">
        <v>2004</v>
      </c>
    </row>
    <row r="1259" spans="1:4" ht="19.95" customHeight="1" x14ac:dyDescent="0.25">
      <c r="A1259" s="11" t="s">
        <v>35</v>
      </c>
      <c r="B1259" s="12" t="s">
        <v>14</v>
      </c>
      <c r="C1259" s="12">
        <v>75.833732604980497</v>
      </c>
      <c r="D1259" s="12">
        <v>2004</v>
      </c>
    </row>
    <row r="1260" spans="1:4" ht="19.95" customHeight="1" x14ac:dyDescent="0.25">
      <c r="A1260" s="11" t="s">
        <v>36</v>
      </c>
      <c r="B1260" s="12" t="s">
        <v>14</v>
      </c>
      <c r="C1260" s="12">
        <v>98.730705261230497</v>
      </c>
      <c r="D1260" s="12">
        <v>2004</v>
      </c>
    </row>
    <row r="1261" spans="1:4" ht="19.95" customHeight="1" x14ac:dyDescent="0.25">
      <c r="A1261" s="11" t="s">
        <v>37</v>
      </c>
      <c r="B1261" s="12" t="s">
        <v>14</v>
      </c>
      <c r="C1261" s="12">
        <v>11.4</v>
      </c>
      <c r="D1261" s="12">
        <v>2004</v>
      </c>
    </row>
    <row r="1262" spans="1:4" ht="19.95" customHeight="1" x14ac:dyDescent="0.25">
      <c r="A1262" s="11" t="s">
        <v>38</v>
      </c>
      <c r="B1262" s="12" t="s">
        <v>14</v>
      </c>
      <c r="C1262" s="12">
        <v>10.848390579223601</v>
      </c>
      <c r="D1262" s="12">
        <v>2004</v>
      </c>
    </row>
    <row r="1263" spans="1:4" ht="19.95" customHeight="1" x14ac:dyDescent="0.25">
      <c r="A1263" s="11" t="s">
        <v>39</v>
      </c>
      <c r="B1263" s="12" t="s">
        <v>14</v>
      </c>
      <c r="C1263" s="12">
        <v>20.3</v>
      </c>
      <c r="D1263" s="12">
        <v>2004</v>
      </c>
    </row>
    <row r="1264" spans="1:4" ht="19.95" customHeight="1" x14ac:dyDescent="0.25">
      <c r="A1264" s="11" t="s">
        <v>40</v>
      </c>
      <c r="B1264" s="12" t="s">
        <v>14</v>
      </c>
      <c r="C1264" s="12">
        <v>34.481380462646499</v>
      </c>
      <c r="D1264" s="12">
        <v>2004</v>
      </c>
    </row>
    <row r="1265" spans="1:4" ht="19.95" customHeight="1" x14ac:dyDescent="0.25">
      <c r="A1265" s="11" t="s">
        <v>10</v>
      </c>
      <c r="B1265" s="12" t="s">
        <v>14</v>
      </c>
      <c r="C1265" s="12">
        <v>3.2073170731707301</v>
      </c>
      <c r="D1265" s="12">
        <v>2005</v>
      </c>
    </row>
    <row r="1266" spans="1:4" ht="19.95" customHeight="1" x14ac:dyDescent="0.25">
      <c r="A1266" s="11" t="s">
        <v>13</v>
      </c>
      <c r="B1266" s="12" t="s">
        <v>14</v>
      </c>
      <c r="C1266" s="12">
        <v>47.257022857666001</v>
      </c>
      <c r="D1266" s="12">
        <v>2005</v>
      </c>
    </row>
    <row r="1267" spans="1:4" ht="19.95" customHeight="1" x14ac:dyDescent="0.25">
      <c r="A1267" s="11" t="s">
        <v>15</v>
      </c>
      <c r="B1267" s="12" t="s">
        <v>14</v>
      </c>
      <c r="C1267" s="12">
        <v>4.4382843971252397</v>
      </c>
      <c r="D1267" s="12">
        <v>2005</v>
      </c>
    </row>
    <row r="1268" spans="1:4" ht="19.95" customHeight="1" x14ac:dyDescent="0.25">
      <c r="A1268" s="11" t="s">
        <v>16</v>
      </c>
      <c r="B1268" s="12" t="s">
        <v>14</v>
      </c>
      <c r="C1268" s="12">
        <v>51.234321594238303</v>
      </c>
      <c r="D1268" s="12">
        <v>2005</v>
      </c>
    </row>
    <row r="1269" spans="1:4" ht="19.95" customHeight="1" x14ac:dyDescent="0.25">
      <c r="A1269" s="11" t="s">
        <v>17</v>
      </c>
      <c r="B1269" s="12" t="s">
        <v>14</v>
      </c>
      <c r="C1269" s="12">
        <v>54.945167541503899</v>
      </c>
      <c r="D1269" s="12">
        <v>2005</v>
      </c>
    </row>
    <row r="1270" spans="1:4" ht="19.95" customHeight="1" x14ac:dyDescent="0.25">
      <c r="A1270" s="11" t="s">
        <v>2</v>
      </c>
      <c r="B1270" s="12" t="s">
        <v>14</v>
      </c>
      <c r="C1270" s="12">
        <v>14</v>
      </c>
      <c r="D1270" s="12">
        <v>2005</v>
      </c>
    </row>
    <row r="1271" spans="1:4" ht="19.95" customHeight="1" x14ac:dyDescent="0.25">
      <c r="A1271" s="11" t="s">
        <v>18</v>
      </c>
      <c r="B1271" s="12" t="s">
        <v>14</v>
      </c>
      <c r="C1271" s="12">
        <v>20.2</v>
      </c>
      <c r="D1271" s="12">
        <v>2005</v>
      </c>
    </row>
    <row r="1272" spans="1:4" ht="19.95" customHeight="1" x14ac:dyDescent="0.25">
      <c r="A1272" s="11" t="s">
        <v>19</v>
      </c>
      <c r="B1272" s="12" t="s">
        <v>14</v>
      </c>
      <c r="C1272" s="12">
        <v>34.019309997558601</v>
      </c>
      <c r="D1272" s="12">
        <v>2005</v>
      </c>
    </row>
    <row r="1273" spans="1:4" ht="19.95" customHeight="1" x14ac:dyDescent="0.25">
      <c r="A1273" s="11" t="s">
        <v>20</v>
      </c>
      <c r="B1273" s="12" t="s">
        <v>14</v>
      </c>
      <c r="C1273" s="12">
        <v>21.695262908935501</v>
      </c>
      <c r="D1273" s="12">
        <v>2005</v>
      </c>
    </row>
    <row r="1274" spans="1:4" ht="19.95" customHeight="1" x14ac:dyDescent="0.25">
      <c r="A1274" s="11" t="s">
        <v>21</v>
      </c>
      <c r="B1274" s="12" t="s">
        <v>14</v>
      </c>
      <c r="C1274" s="12">
        <v>96.205764770507798</v>
      </c>
      <c r="D1274" s="12">
        <v>2005</v>
      </c>
    </row>
    <row r="1275" spans="1:4" ht="19.95" customHeight="1" x14ac:dyDescent="0.25">
      <c r="A1275" s="11" t="s">
        <v>22</v>
      </c>
      <c r="B1275" s="12" t="s">
        <v>14</v>
      </c>
      <c r="C1275" s="12">
        <v>4.4350128620863002E-2</v>
      </c>
      <c r="D1275" s="12">
        <v>2005</v>
      </c>
    </row>
    <row r="1276" spans="1:4" ht="19.95" customHeight="1" x14ac:dyDescent="0.25">
      <c r="A1276" s="11" t="s">
        <v>23</v>
      </c>
      <c r="B1276" s="12" t="s">
        <v>14</v>
      </c>
      <c r="C1276" s="12">
        <v>15.135821342468301</v>
      </c>
      <c r="D1276" s="12">
        <v>2005</v>
      </c>
    </row>
    <row r="1277" spans="1:4" ht="19.95" customHeight="1" x14ac:dyDescent="0.25">
      <c r="A1277" s="11" t="s">
        <v>24</v>
      </c>
      <c r="B1277" s="12" t="s">
        <v>14</v>
      </c>
      <c r="C1277" s="12">
        <v>6.4811758995056197</v>
      </c>
      <c r="D1277" s="12">
        <v>2005</v>
      </c>
    </row>
    <row r="1278" spans="1:4" ht="19.95" customHeight="1" x14ac:dyDescent="0.25">
      <c r="A1278" s="11" t="s">
        <v>25</v>
      </c>
      <c r="B1278" s="12" t="s">
        <v>14</v>
      </c>
      <c r="C1278" s="12">
        <v>17.712774276733299</v>
      </c>
      <c r="D1278" s="12">
        <v>2005</v>
      </c>
    </row>
    <row r="1279" spans="1:4" ht="19.95" customHeight="1" x14ac:dyDescent="0.25">
      <c r="A1279" s="11" t="s">
        <v>26</v>
      </c>
      <c r="B1279" s="12" t="s">
        <v>14</v>
      </c>
      <c r="C1279" s="12">
        <v>98.6</v>
      </c>
      <c r="D1279" s="12">
        <v>2005</v>
      </c>
    </row>
    <row r="1280" spans="1:4" ht="19.95" customHeight="1" x14ac:dyDescent="0.25">
      <c r="A1280" s="11" t="s">
        <v>27</v>
      </c>
      <c r="B1280" s="12" t="s">
        <v>14</v>
      </c>
      <c r="C1280" s="12">
        <v>11.8480739593506</v>
      </c>
      <c r="D1280" s="12">
        <v>2005</v>
      </c>
    </row>
    <row r="1281" spans="1:4" ht="19.95" customHeight="1" x14ac:dyDescent="0.25">
      <c r="A1281" s="11" t="s">
        <v>29</v>
      </c>
      <c r="B1281" s="12" t="s">
        <v>14</v>
      </c>
      <c r="C1281" s="12">
        <v>47.824893951416001</v>
      </c>
      <c r="D1281" s="12">
        <v>2005</v>
      </c>
    </row>
    <row r="1282" spans="1:4" ht="19.95" customHeight="1" x14ac:dyDescent="0.25">
      <c r="A1282" s="11" t="s">
        <v>30</v>
      </c>
      <c r="B1282" s="12" t="s">
        <v>14</v>
      </c>
      <c r="C1282" s="12">
        <v>47.137256622314503</v>
      </c>
      <c r="D1282" s="12">
        <v>2005</v>
      </c>
    </row>
    <row r="1283" spans="1:4" ht="19.95" customHeight="1" x14ac:dyDescent="0.25">
      <c r="A1283" s="11" t="s">
        <v>31</v>
      </c>
      <c r="B1283" s="12" t="s">
        <v>14</v>
      </c>
      <c r="C1283" s="12">
        <v>73.821815000000001</v>
      </c>
      <c r="D1283" s="12">
        <v>2005</v>
      </c>
    </row>
    <row r="1284" spans="1:4" ht="19.95" customHeight="1" x14ac:dyDescent="0.25">
      <c r="A1284" s="11" t="s">
        <v>32</v>
      </c>
      <c r="B1284" s="12" t="s">
        <v>14</v>
      </c>
      <c r="C1284" s="12">
        <v>7.1</v>
      </c>
      <c r="D1284" s="12">
        <v>2005</v>
      </c>
    </row>
    <row r="1285" spans="1:4" ht="19.95" customHeight="1" x14ac:dyDescent="0.25">
      <c r="A1285" s="11" t="s">
        <v>33</v>
      </c>
      <c r="B1285" s="12" t="s">
        <v>14</v>
      </c>
      <c r="C1285" s="12">
        <v>4.8</v>
      </c>
      <c r="D1285" s="12">
        <v>2005</v>
      </c>
    </row>
    <row r="1286" spans="1:4" ht="19.95" customHeight="1" x14ac:dyDescent="0.25">
      <c r="A1286" s="11" t="s">
        <v>34</v>
      </c>
      <c r="B1286" s="12" t="s">
        <v>14</v>
      </c>
      <c r="C1286" s="12">
        <v>55.695346832275398</v>
      </c>
      <c r="D1286" s="12">
        <v>2005</v>
      </c>
    </row>
    <row r="1287" spans="1:4" ht="19.95" customHeight="1" x14ac:dyDescent="0.25">
      <c r="A1287" s="11" t="s">
        <v>35</v>
      </c>
      <c r="B1287" s="12" t="s">
        <v>14</v>
      </c>
      <c r="C1287" s="12">
        <v>77.395065307617202</v>
      </c>
      <c r="D1287" s="12">
        <v>2005</v>
      </c>
    </row>
    <row r="1288" spans="1:4" ht="19.95" customHeight="1" x14ac:dyDescent="0.25">
      <c r="A1288" s="11" t="s">
        <v>36</v>
      </c>
      <c r="B1288" s="12" t="s">
        <v>14</v>
      </c>
      <c r="C1288" s="12">
        <v>99.3</v>
      </c>
      <c r="D1288" s="12">
        <v>2005</v>
      </c>
    </row>
    <row r="1289" spans="1:4" ht="19.95" customHeight="1" x14ac:dyDescent="0.25">
      <c r="A1289" s="11" t="s">
        <v>37</v>
      </c>
      <c r="B1289" s="12" t="s">
        <v>14</v>
      </c>
      <c r="C1289" s="12">
        <v>12.673668861389199</v>
      </c>
      <c r="D1289" s="12">
        <v>2005</v>
      </c>
    </row>
    <row r="1290" spans="1:4" ht="19.95" customHeight="1" x14ac:dyDescent="0.25">
      <c r="A1290" s="11" t="s">
        <v>38</v>
      </c>
      <c r="B1290" s="12" t="s">
        <v>14</v>
      </c>
      <c r="C1290" s="12">
        <v>8.9</v>
      </c>
      <c r="D1290" s="12">
        <v>2005</v>
      </c>
    </row>
    <row r="1291" spans="1:4" ht="19.95" customHeight="1" x14ac:dyDescent="0.25">
      <c r="A1291" s="11" t="s">
        <v>39</v>
      </c>
      <c r="B1291" s="12" t="s">
        <v>14</v>
      </c>
      <c r="C1291" s="12">
        <v>21.277885437011701</v>
      </c>
      <c r="D1291" s="12">
        <v>2005</v>
      </c>
    </row>
    <row r="1292" spans="1:4" ht="19.95" customHeight="1" x14ac:dyDescent="0.25">
      <c r="A1292" s="11" t="s">
        <v>40</v>
      </c>
      <c r="B1292" s="12" t="s">
        <v>14</v>
      </c>
      <c r="C1292" s="12">
        <v>34.701820373535199</v>
      </c>
      <c r="D1292" s="12">
        <v>2005</v>
      </c>
    </row>
    <row r="1293" spans="1:4" ht="19.95" customHeight="1" x14ac:dyDescent="0.25">
      <c r="A1293" s="11" t="s">
        <v>10</v>
      </c>
      <c r="B1293" s="12" t="s">
        <v>14</v>
      </c>
      <c r="C1293" s="12">
        <v>4.5880656242370597</v>
      </c>
      <c r="D1293" s="12">
        <v>2006</v>
      </c>
    </row>
    <row r="1294" spans="1:4" ht="19.95" customHeight="1" x14ac:dyDescent="0.25">
      <c r="A1294" s="11" t="s">
        <v>13</v>
      </c>
      <c r="B1294" s="12" t="s">
        <v>14</v>
      </c>
      <c r="C1294" s="12">
        <v>49</v>
      </c>
      <c r="D1294" s="12">
        <v>2006</v>
      </c>
    </row>
    <row r="1295" spans="1:4" ht="19.95" customHeight="1" x14ac:dyDescent="0.25">
      <c r="A1295" s="11" t="s">
        <v>15</v>
      </c>
      <c r="B1295" s="12" t="s">
        <v>14</v>
      </c>
      <c r="C1295" s="12">
        <v>4.7569284439086896</v>
      </c>
      <c r="D1295" s="12">
        <v>2006</v>
      </c>
    </row>
    <row r="1296" spans="1:4" ht="19.95" customHeight="1" x14ac:dyDescent="0.25">
      <c r="A1296" s="11" t="s">
        <v>16</v>
      </c>
      <c r="B1296" s="12" t="s">
        <v>14</v>
      </c>
      <c r="C1296" s="12">
        <v>53.572719573974602</v>
      </c>
      <c r="D1296" s="12">
        <v>2006</v>
      </c>
    </row>
    <row r="1297" spans="1:4" ht="19.95" customHeight="1" x14ac:dyDescent="0.25">
      <c r="A1297" s="11" t="s">
        <v>17</v>
      </c>
      <c r="B1297" s="12" t="s">
        <v>14</v>
      </c>
      <c r="C1297" s="12">
        <v>55.5</v>
      </c>
      <c r="D1297" s="12">
        <v>2006</v>
      </c>
    </row>
    <row r="1298" spans="1:4" ht="19.95" customHeight="1" x14ac:dyDescent="0.25">
      <c r="A1298" s="11" t="s">
        <v>2</v>
      </c>
      <c r="B1298" s="12" t="s">
        <v>14</v>
      </c>
      <c r="C1298" s="12">
        <v>18.576078414916999</v>
      </c>
      <c r="D1298" s="12">
        <v>2006</v>
      </c>
    </row>
    <row r="1299" spans="1:4" ht="19.95" customHeight="1" x14ac:dyDescent="0.25">
      <c r="A1299" s="11" t="s">
        <v>18</v>
      </c>
      <c r="B1299" s="12" t="s">
        <v>14</v>
      </c>
      <c r="C1299" s="12">
        <v>21.952104568481399</v>
      </c>
      <c r="D1299" s="12">
        <v>2006</v>
      </c>
    </row>
    <row r="1300" spans="1:4" ht="19.95" customHeight="1" x14ac:dyDescent="0.25">
      <c r="A1300" s="11" t="s">
        <v>19</v>
      </c>
      <c r="B1300" s="12" t="s">
        <v>14</v>
      </c>
      <c r="C1300" s="12">
        <v>33.9</v>
      </c>
      <c r="D1300" s="12">
        <v>2006</v>
      </c>
    </row>
    <row r="1301" spans="1:4" ht="19.95" customHeight="1" x14ac:dyDescent="0.25">
      <c r="A1301" s="11" t="s">
        <v>20</v>
      </c>
      <c r="B1301" s="12" t="s">
        <v>14</v>
      </c>
      <c r="C1301" s="12">
        <v>22.863132476806602</v>
      </c>
      <c r="D1301" s="12">
        <v>2006</v>
      </c>
    </row>
    <row r="1302" spans="1:4" ht="19.95" customHeight="1" x14ac:dyDescent="0.25">
      <c r="A1302" s="11" t="s">
        <v>21</v>
      </c>
      <c r="B1302" s="12" t="s">
        <v>14</v>
      </c>
      <c r="C1302" s="12">
        <v>96.715919494628906</v>
      </c>
      <c r="D1302" s="12">
        <v>2006</v>
      </c>
    </row>
    <row r="1303" spans="1:4" ht="19.95" customHeight="1" x14ac:dyDescent="0.25">
      <c r="A1303" s="11" t="s">
        <v>22</v>
      </c>
      <c r="B1303" s="12" t="s">
        <v>14</v>
      </c>
      <c r="C1303" s="12">
        <v>0.244776546955109</v>
      </c>
      <c r="D1303" s="12">
        <v>2006</v>
      </c>
    </row>
    <row r="1304" spans="1:4" ht="19.95" customHeight="1" x14ac:dyDescent="0.25">
      <c r="A1304" s="11" t="s">
        <v>23</v>
      </c>
      <c r="B1304" s="12" t="s">
        <v>14</v>
      </c>
      <c r="C1304" s="12">
        <v>15.4495029449463</v>
      </c>
      <c r="D1304" s="12">
        <v>2006</v>
      </c>
    </row>
    <row r="1305" spans="1:4" ht="19.95" customHeight="1" x14ac:dyDescent="0.25">
      <c r="A1305" s="11" t="s">
        <v>24</v>
      </c>
      <c r="B1305" s="12" t="s">
        <v>14</v>
      </c>
      <c r="C1305" s="12">
        <v>3.65322733295476</v>
      </c>
      <c r="D1305" s="12">
        <v>2006</v>
      </c>
    </row>
    <row r="1306" spans="1:4" ht="19.95" customHeight="1" x14ac:dyDescent="0.25">
      <c r="A1306" s="11" t="s">
        <v>25</v>
      </c>
      <c r="B1306" s="12" t="s">
        <v>14</v>
      </c>
      <c r="C1306" s="12">
        <v>16.600000000000001</v>
      </c>
      <c r="D1306" s="12">
        <v>2006</v>
      </c>
    </row>
    <row r="1307" spans="1:4" ht="19.95" customHeight="1" x14ac:dyDescent="0.25">
      <c r="A1307" s="11" t="s">
        <v>26</v>
      </c>
      <c r="B1307" s="12" t="s">
        <v>14</v>
      </c>
      <c r="C1307" s="12">
        <v>99.409637451171903</v>
      </c>
      <c r="D1307" s="12">
        <v>2006</v>
      </c>
    </row>
    <row r="1308" spans="1:4" ht="19.95" customHeight="1" x14ac:dyDescent="0.25">
      <c r="A1308" s="11" t="s">
        <v>27</v>
      </c>
      <c r="B1308" s="12" t="s">
        <v>14</v>
      </c>
      <c r="C1308" s="12">
        <v>12.8901414871216</v>
      </c>
      <c r="D1308" s="12">
        <v>2006</v>
      </c>
    </row>
    <row r="1309" spans="1:4" ht="19.95" customHeight="1" x14ac:dyDescent="0.25">
      <c r="A1309" s="11" t="s">
        <v>29</v>
      </c>
      <c r="B1309" s="12" t="s">
        <v>14</v>
      </c>
      <c r="C1309" s="12">
        <v>48.5791625976563</v>
      </c>
      <c r="D1309" s="12">
        <v>2006</v>
      </c>
    </row>
    <row r="1310" spans="1:4" ht="19.95" customHeight="1" x14ac:dyDescent="0.25">
      <c r="A1310" s="11" t="s">
        <v>30</v>
      </c>
      <c r="B1310" s="12" t="s">
        <v>14</v>
      </c>
      <c r="C1310" s="12">
        <v>51.2</v>
      </c>
      <c r="D1310" s="12">
        <v>2006</v>
      </c>
    </row>
    <row r="1311" spans="1:4" ht="19.95" customHeight="1" x14ac:dyDescent="0.25">
      <c r="A1311" s="11" t="s">
        <v>31</v>
      </c>
      <c r="B1311" s="12" t="s">
        <v>14</v>
      </c>
      <c r="C1311" s="12">
        <v>75.82373046875</v>
      </c>
      <c r="D1311" s="12">
        <v>2006</v>
      </c>
    </row>
    <row r="1312" spans="1:4" ht="19.95" customHeight="1" x14ac:dyDescent="0.25">
      <c r="A1312" s="11" t="s">
        <v>32</v>
      </c>
      <c r="B1312" s="12" t="s">
        <v>14</v>
      </c>
      <c r="C1312" s="12">
        <v>9.3000000000000007</v>
      </c>
      <c r="D1312" s="12">
        <v>2006</v>
      </c>
    </row>
    <row r="1313" spans="1:4" ht="19.95" customHeight="1" x14ac:dyDescent="0.25">
      <c r="A1313" s="11" t="s">
        <v>33</v>
      </c>
      <c r="B1313" s="12" t="s">
        <v>14</v>
      </c>
      <c r="C1313" s="12">
        <v>10.285608291626</v>
      </c>
      <c r="D1313" s="12">
        <v>2006</v>
      </c>
    </row>
    <row r="1314" spans="1:4" ht="19.95" customHeight="1" x14ac:dyDescent="0.25">
      <c r="A1314" s="11" t="s">
        <v>34</v>
      </c>
      <c r="B1314" s="12" t="s">
        <v>14</v>
      </c>
      <c r="C1314" s="12">
        <v>56.500587463378899</v>
      </c>
      <c r="D1314" s="12">
        <v>2006</v>
      </c>
    </row>
    <row r="1315" spans="1:4" ht="19.95" customHeight="1" x14ac:dyDescent="0.25">
      <c r="A1315" s="11" t="s">
        <v>35</v>
      </c>
      <c r="B1315" s="12" t="s">
        <v>14</v>
      </c>
      <c r="C1315" s="12">
        <v>78.968307495117202</v>
      </c>
      <c r="D1315" s="12">
        <v>2006</v>
      </c>
    </row>
    <row r="1316" spans="1:4" ht="19.95" customHeight="1" x14ac:dyDescent="0.25">
      <c r="A1316" s="11" t="s">
        <v>36</v>
      </c>
      <c r="B1316" s="12" t="s">
        <v>14</v>
      </c>
      <c r="C1316" s="12">
        <v>98.906448364257798</v>
      </c>
      <c r="D1316" s="12">
        <v>2006</v>
      </c>
    </row>
    <row r="1317" spans="1:4" ht="19.95" customHeight="1" x14ac:dyDescent="0.25">
      <c r="A1317" s="11" t="s">
        <v>37</v>
      </c>
      <c r="B1317" s="12" t="s">
        <v>14</v>
      </c>
      <c r="C1317" s="12">
        <v>13.295744895935099</v>
      </c>
      <c r="D1317" s="12">
        <v>2006</v>
      </c>
    </row>
    <row r="1318" spans="1:4" ht="19.95" customHeight="1" x14ac:dyDescent="0.25">
      <c r="A1318" s="11" t="s">
        <v>38</v>
      </c>
      <c r="B1318" s="12" t="s">
        <v>14</v>
      </c>
      <c r="C1318" s="12">
        <v>9</v>
      </c>
      <c r="D1318" s="12">
        <v>2006</v>
      </c>
    </row>
    <row r="1319" spans="1:4" ht="19.95" customHeight="1" x14ac:dyDescent="0.25">
      <c r="A1319" s="11" t="s">
        <v>39</v>
      </c>
      <c r="B1319" s="12" t="s">
        <v>14</v>
      </c>
      <c r="C1319" s="12">
        <v>21.737333297729499</v>
      </c>
      <c r="D1319" s="12">
        <v>2006</v>
      </c>
    </row>
    <row r="1320" spans="1:4" ht="19.95" customHeight="1" x14ac:dyDescent="0.25">
      <c r="A1320" s="11" t="s">
        <v>40</v>
      </c>
      <c r="B1320" s="12" t="s">
        <v>14</v>
      </c>
      <c r="C1320" s="12">
        <v>37.200000000000003</v>
      </c>
      <c r="D1320" s="12">
        <v>2006</v>
      </c>
    </row>
    <row r="1321" spans="1:4" ht="19.95" customHeight="1" x14ac:dyDescent="0.25">
      <c r="A1321" s="11" t="s">
        <v>10</v>
      </c>
      <c r="B1321" s="12" t="s">
        <v>14</v>
      </c>
      <c r="C1321" s="12">
        <v>4.81732225418091</v>
      </c>
      <c r="D1321" s="12">
        <v>2007</v>
      </c>
    </row>
    <row r="1322" spans="1:4" ht="19.95" customHeight="1" x14ac:dyDescent="0.25">
      <c r="A1322" s="11" t="s">
        <v>13</v>
      </c>
      <c r="B1322" s="12" t="s">
        <v>14</v>
      </c>
      <c r="C1322" s="12">
        <v>48.2</v>
      </c>
      <c r="D1322" s="12">
        <v>2007</v>
      </c>
    </row>
    <row r="1323" spans="1:4" ht="19.95" customHeight="1" x14ac:dyDescent="0.25">
      <c r="A1323" s="11" t="s">
        <v>15</v>
      </c>
      <c r="B1323" s="12" t="s">
        <v>14</v>
      </c>
      <c r="C1323" s="12">
        <v>5.0935411453247097</v>
      </c>
      <c r="D1323" s="12">
        <v>2007</v>
      </c>
    </row>
    <row r="1324" spans="1:4" ht="19.95" customHeight="1" x14ac:dyDescent="0.25">
      <c r="A1324" s="11" t="s">
        <v>16</v>
      </c>
      <c r="B1324" s="12" t="s">
        <v>14</v>
      </c>
      <c r="C1324" s="12">
        <v>55.929084777832003</v>
      </c>
      <c r="D1324" s="12">
        <v>2007</v>
      </c>
    </row>
    <row r="1325" spans="1:4" ht="19.95" customHeight="1" x14ac:dyDescent="0.25">
      <c r="A1325" s="11" t="s">
        <v>17</v>
      </c>
      <c r="B1325" s="12" t="s">
        <v>14</v>
      </c>
      <c r="C1325" s="12">
        <v>54.226772308349602</v>
      </c>
      <c r="D1325" s="12">
        <v>2007</v>
      </c>
    </row>
    <row r="1326" spans="1:4" ht="19.95" customHeight="1" x14ac:dyDescent="0.25">
      <c r="A1326" s="11" t="s">
        <v>2</v>
      </c>
      <c r="B1326" s="12" t="s">
        <v>14</v>
      </c>
      <c r="C1326" s="12">
        <v>20.158500671386701</v>
      </c>
      <c r="D1326" s="12">
        <v>2007</v>
      </c>
    </row>
    <row r="1327" spans="1:4" ht="19.95" customHeight="1" x14ac:dyDescent="0.25">
      <c r="A1327" s="11" t="s">
        <v>18</v>
      </c>
      <c r="B1327" s="12" t="s">
        <v>14</v>
      </c>
      <c r="C1327" s="12">
        <v>22.8865871429443</v>
      </c>
      <c r="D1327" s="12">
        <v>2007</v>
      </c>
    </row>
    <row r="1328" spans="1:4" ht="19.95" customHeight="1" x14ac:dyDescent="0.25">
      <c r="A1328" s="11" t="s">
        <v>19</v>
      </c>
      <c r="B1328" s="12" t="s">
        <v>14</v>
      </c>
      <c r="C1328" s="12">
        <v>34.725154876708999</v>
      </c>
      <c r="D1328" s="12">
        <v>2007</v>
      </c>
    </row>
    <row r="1329" spans="1:4" ht="19.95" customHeight="1" x14ac:dyDescent="0.25">
      <c r="A1329" s="11" t="s">
        <v>20</v>
      </c>
      <c r="B1329" s="12" t="s">
        <v>14</v>
      </c>
      <c r="C1329" s="12">
        <v>24.0489711761475</v>
      </c>
      <c r="D1329" s="12">
        <v>2007</v>
      </c>
    </row>
    <row r="1330" spans="1:4" ht="19.95" customHeight="1" x14ac:dyDescent="0.25">
      <c r="A1330" s="11" t="s">
        <v>21</v>
      </c>
      <c r="B1330" s="12" t="s">
        <v>14</v>
      </c>
      <c r="C1330" s="12">
        <v>97.244033813476605</v>
      </c>
      <c r="D1330" s="12">
        <v>2007</v>
      </c>
    </row>
    <row r="1331" spans="1:4" ht="19.95" customHeight="1" x14ac:dyDescent="0.25">
      <c r="A1331" s="11" t="s">
        <v>22</v>
      </c>
      <c r="B1331" s="12" t="s">
        <v>14</v>
      </c>
      <c r="C1331" s="12">
        <v>3</v>
      </c>
      <c r="D1331" s="12">
        <v>2007</v>
      </c>
    </row>
    <row r="1332" spans="1:4" ht="19.95" customHeight="1" x14ac:dyDescent="0.25">
      <c r="A1332" s="11" t="s">
        <v>23</v>
      </c>
      <c r="B1332" s="12" t="s">
        <v>14</v>
      </c>
      <c r="C1332" s="12">
        <v>15.781151771545399</v>
      </c>
      <c r="D1332" s="12">
        <v>2007</v>
      </c>
    </row>
    <row r="1333" spans="1:4" ht="19.95" customHeight="1" x14ac:dyDescent="0.25">
      <c r="A1333" s="11" t="s">
        <v>24</v>
      </c>
      <c r="B1333" s="12" t="s">
        <v>14</v>
      </c>
      <c r="C1333" s="12">
        <v>7.0993618965148899</v>
      </c>
      <c r="D1333" s="12">
        <v>2007</v>
      </c>
    </row>
    <row r="1334" spans="1:4" ht="19.95" customHeight="1" x14ac:dyDescent="0.25">
      <c r="A1334" s="11" t="s">
        <v>25</v>
      </c>
      <c r="B1334" s="12" t="s">
        <v>14</v>
      </c>
      <c r="C1334" s="12">
        <v>20.725141525268601</v>
      </c>
      <c r="D1334" s="12">
        <v>2007</v>
      </c>
    </row>
    <row r="1335" spans="1:4" ht="19.95" customHeight="1" x14ac:dyDescent="0.25">
      <c r="A1335" s="11" t="s">
        <v>26</v>
      </c>
      <c r="B1335" s="12" t="s">
        <v>14</v>
      </c>
      <c r="C1335" s="12">
        <v>99.633293151855497</v>
      </c>
      <c r="D1335" s="12">
        <v>2007</v>
      </c>
    </row>
    <row r="1336" spans="1:4" ht="19.95" customHeight="1" x14ac:dyDescent="0.25">
      <c r="A1336" s="11" t="s">
        <v>27</v>
      </c>
      <c r="B1336" s="12" t="s">
        <v>14</v>
      </c>
      <c r="C1336" s="12">
        <v>13.950177192688001</v>
      </c>
      <c r="D1336" s="12">
        <v>2007</v>
      </c>
    </row>
    <row r="1337" spans="1:4" ht="19.95" customHeight="1" x14ac:dyDescent="0.25">
      <c r="A1337" s="11" t="s">
        <v>29</v>
      </c>
      <c r="B1337" s="12" t="s">
        <v>14</v>
      </c>
      <c r="C1337" s="12">
        <v>49.351398468017599</v>
      </c>
      <c r="D1337" s="12">
        <v>2007</v>
      </c>
    </row>
    <row r="1338" spans="1:4" ht="19.95" customHeight="1" x14ac:dyDescent="0.25">
      <c r="A1338" s="11" t="s">
        <v>30</v>
      </c>
      <c r="B1338" s="12" t="s">
        <v>14</v>
      </c>
      <c r="C1338" s="12">
        <v>55.018013000488303</v>
      </c>
      <c r="D1338" s="12">
        <v>2007</v>
      </c>
    </row>
    <row r="1339" spans="1:4" ht="19.95" customHeight="1" x14ac:dyDescent="0.25">
      <c r="A1339" s="11" t="s">
        <v>31</v>
      </c>
      <c r="B1339" s="12" t="s">
        <v>14</v>
      </c>
      <c r="C1339" s="12">
        <v>76.350250244140597</v>
      </c>
      <c r="D1339" s="12">
        <v>2007</v>
      </c>
    </row>
    <row r="1340" spans="1:4" ht="19.95" customHeight="1" x14ac:dyDescent="0.25">
      <c r="A1340" s="11" t="s">
        <v>32</v>
      </c>
      <c r="B1340" s="12" t="s">
        <v>14</v>
      </c>
      <c r="C1340" s="12">
        <v>11.13121509552</v>
      </c>
      <c r="D1340" s="12">
        <v>2007</v>
      </c>
    </row>
    <row r="1341" spans="1:4" ht="19.95" customHeight="1" x14ac:dyDescent="0.25">
      <c r="A1341" s="11" t="s">
        <v>33</v>
      </c>
      <c r="B1341" s="12" t="s">
        <v>14</v>
      </c>
      <c r="C1341" s="12">
        <v>11.2008304595947</v>
      </c>
      <c r="D1341" s="12">
        <v>2007</v>
      </c>
    </row>
    <row r="1342" spans="1:4" ht="19.95" customHeight="1" x14ac:dyDescent="0.25">
      <c r="A1342" s="11" t="s">
        <v>34</v>
      </c>
      <c r="B1342" s="12" t="s">
        <v>14</v>
      </c>
      <c r="C1342" s="12">
        <v>57.3237915039063</v>
      </c>
      <c r="D1342" s="12">
        <v>2007</v>
      </c>
    </row>
    <row r="1343" spans="1:4" ht="19.95" customHeight="1" x14ac:dyDescent="0.25">
      <c r="A1343" s="11" t="s">
        <v>35</v>
      </c>
      <c r="B1343" s="12" t="s">
        <v>14</v>
      </c>
      <c r="C1343" s="12">
        <v>80</v>
      </c>
      <c r="D1343" s="12">
        <v>2007</v>
      </c>
    </row>
    <row r="1344" spans="1:4" ht="19.95" customHeight="1" x14ac:dyDescent="0.25">
      <c r="A1344" s="11" t="s">
        <v>36</v>
      </c>
      <c r="B1344" s="12" t="s">
        <v>14</v>
      </c>
      <c r="C1344" s="12">
        <v>99.016609191894503</v>
      </c>
      <c r="D1344" s="12">
        <v>2007</v>
      </c>
    </row>
    <row r="1345" spans="1:4" ht="19.95" customHeight="1" x14ac:dyDescent="0.25">
      <c r="A1345" s="11" t="s">
        <v>37</v>
      </c>
      <c r="B1345" s="12" t="s">
        <v>14</v>
      </c>
      <c r="C1345" s="12">
        <v>13.935788154601999</v>
      </c>
      <c r="D1345" s="12">
        <v>2007</v>
      </c>
    </row>
    <row r="1346" spans="1:4" ht="19.95" customHeight="1" x14ac:dyDescent="0.25">
      <c r="A1346" s="11" t="s">
        <v>38</v>
      </c>
      <c r="B1346" s="12" t="s">
        <v>14</v>
      </c>
      <c r="C1346" s="12">
        <v>12.7211399078369</v>
      </c>
      <c r="D1346" s="12">
        <v>2007</v>
      </c>
    </row>
    <row r="1347" spans="1:4" ht="19.95" customHeight="1" x14ac:dyDescent="0.25">
      <c r="A1347" s="11" t="s">
        <v>39</v>
      </c>
      <c r="B1347" s="12" t="s">
        <v>14</v>
      </c>
      <c r="C1347" s="12">
        <v>18.5</v>
      </c>
      <c r="D1347" s="12">
        <v>2007</v>
      </c>
    </row>
    <row r="1348" spans="1:4" ht="19.95" customHeight="1" x14ac:dyDescent="0.25">
      <c r="A1348" s="11" t="s">
        <v>40</v>
      </c>
      <c r="B1348" s="12" t="s">
        <v>14</v>
      </c>
      <c r="C1348" s="12">
        <v>35.184478759765597</v>
      </c>
      <c r="D1348" s="12">
        <v>2007</v>
      </c>
    </row>
    <row r="1349" spans="1:4" ht="19.95" customHeight="1" x14ac:dyDescent="0.25">
      <c r="A1349" s="11" t="s">
        <v>10</v>
      </c>
      <c r="B1349" s="12" t="s">
        <v>14</v>
      </c>
      <c r="C1349" s="12">
        <v>4.8</v>
      </c>
      <c r="D1349" s="12">
        <v>2008</v>
      </c>
    </row>
    <row r="1350" spans="1:4" ht="19.95" customHeight="1" x14ac:dyDescent="0.25">
      <c r="A1350" s="11" t="s">
        <v>13</v>
      </c>
      <c r="B1350" s="12" t="s">
        <v>14</v>
      </c>
      <c r="C1350" s="12">
        <v>50.569175720214801</v>
      </c>
      <c r="D1350" s="12">
        <v>2008</v>
      </c>
    </row>
    <row r="1351" spans="1:4" ht="19.95" customHeight="1" x14ac:dyDescent="0.25">
      <c r="A1351" s="11" t="s">
        <v>15</v>
      </c>
      <c r="B1351" s="12" t="s">
        <v>14</v>
      </c>
      <c r="C1351" s="12">
        <v>5.4526739120483301</v>
      </c>
      <c r="D1351" s="12">
        <v>2008</v>
      </c>
    </row>
    <row r="1352" spans="1:4" ht="19.95" customHeight="1" x14ac:dyDescent="0.25">
      <c r="A1352" s="11" t="s">
        <v>16</v>
      </c>
      <c r="B1352" s="12" t="s">
        <v>14</v>
      </c>
      <c r="C1352" s="12">
        <v>58.307968139648402</v>
      </c>
      <c r="D1352" s="12">
        <v>2008</v>
      </c>
    </row>
    <row r="1353" spans="1:4" ht="19.95" customHeight="1" x14ac:dyDescent="0.25">
      <c r="A1353" s="11" t="s">
        <v>17</v>
      </c>
      <c r="B1353" s="12" t="s">
        <v>14</v>
      </c>
      <c r="C1353" s="12">
        <v>53.899078369140597</v>
      </c>
      <c r="D1353" s="12">
        <v>2008</v>
      </c>
    </row>
    <row r="1354" spans="1:4" ht="19.95" customHeight="1" x14ac:dyDescent="0.25">
      <c r="A1354" s="11" t="s">
        <v>2</v>
      </c>
      <c r="B1354" s="12" t="s">
        <v>14</v>
      </c>
      <c r="C1354" s="12">
        <v>21.763442993164102</v>
      </c>
      <c r="D1354" s="12">
        <v>2008</v>
      </c>
    </row>
    <row r="1355" spans="1:4" ht="19.95" customHeight="1" x14ac:dyDescent="0.25">
      <c r="A1355" s="11" t="s">
        <v>18</v>
      </c>
      <c r="B1355" s="12" t="s">
        <v>14</v>
      </c>
      <c r="C1355" s="12">
        <v>23.8435878753662</v>
      </c>
      <c r="D1355" s="12">
        <v>2008</v>
      </c>
    </row>
    <row r="1356" spans="1:4" ht="19.95" customHeight="1" x14ac:dyDescent="0.25">
      <c r="A1356" s="11" t="s">
        <v>19</v>
      </c>
      <c r="B1356" s="12" t="s">
        <v>14</v>
      </c>
      <c r="C1356" s="12">
        <v>35.109580993652301</v>
      </c>
      <c r="D1356" s="12">
        <v>2008</v>
      </c>
    </row>
    <row r="1357" spans="1:4" ht="19.95" customHeight="1" x14ac:dyDescent="0.25">
      <c r="A1357" s="11" t="s">
        <v>20</v>
      </c>
      <c r="B1357" s="12" t="s">
        <v>14</v>
      </c>
      <c r="C1357" s="12">
        <v>25.257329940795799</v>
      </c>
      <c r="D1357" s="12">
        <v>2008</v>
      </c>
    </row>
    <row r="1358" spans="1:4" ht="19.95" customHeight="1" x14ac:dyDescent="0.25">
      <c r="A1358" s="11" t="s">
        <v>21</v>
      </c>
      <c r="B1358" s="12" t="s">
        <v>14</v>
      </c>
      <c r="C1358" s="12">
        <v>97.794670104980497</v>
      </c>
      <c r="D1358" s="12">
        <v>2008</v>
      </c>
    </row>
    <row r="1359" spans="1:4" ht="19.95" customHeight="1" x14ac:dyDescent="0.25">
      <c r="A1359" s="11" t="s">
        <v>22</v>
      </c>
      <c r="B1359" s="12" t="s">
        <v>14</v>
      </c>
      <c r="C1359" s="12">
        <v>1.7526564598083501</v>
      </c>
      <c r="D1359" s="12">
        <v>2008</v>
      </c>
    </row>
    <row r="1360" spans="1:4" ht="19.95" customHeight="1" x14ac:dyDescent="0.25">
      <c r="A1360" s="11" t="s">
        <v>23</v>
      </c>
      <c r="B1360" s="12" t="s">
        <v>14</v>
      </c>
      <c r="C1360" s="12">
        <v>16.135322570800799</v>
      </c>
      <c r="D1360" s="12">
        <v>2008</v>
      </c>
    </row>
    <row r="1361" spans="1:4" ht="19.95" customHeight="1" x14ac:dyDescent="0.25">
      <c r="A1361" s="11" t="s">
        <v>24</v>
      </c>
      <c r="B1361" s="12" t="s">
        <v>14</v>
      </c>
      <c r="C1361" s="12">
        <v>7.4399595260620099</v>
      </c>
      <c r="D1361" s="12">
        <v>2008</v>
      </c>
    </row>
    <row r="1362" spans="1:4" ht="19.95" customHeight="1" x14ac:dyDescent="0.25">
      <c r="A1362" s="11" t="s">
        <v>25</v>
      </c>
      <c r="B1362" s="12" t="s">
        <v>14</v>
      </c>
      <c r="C1362" s="12">
        <v>22.262830734252901</v>
      </c>
      <c r="D1362" s="12">
        <v>2008</v>
      </c>
    </row>
    <row r="1363" spans="1:4" ht="19.95" customHeight="1" x14ac:dyDescent="0.25">
      <c r="A1363" s="11" t="s">
        <v>26</v>
      </c>
      <c r="B1363" s="12" t="s">
        <v>14</v>
      </c>
      <c r="C1363" s="12">
        <v>99.819427490234403</v>
      </c>
      <c r="D1363" s="12">
        <v>2008</v>
      </c>
    </row>
    <row r="1364" spans="1:4" ht="19.95" customHeight="1" x14ac:dyDescent="0.25">
      <c r="A1364" s="11" t="s">
        <v>27</v>
      </c>
      <c r="B1364" s="12" t="s">
        <v>14</v>
      </c>
      <c r="C1364" s="12">
        <v>13.5712238463743</v>
      </c>
      <c r="D1364" s="12">
        <v>2008</v>
      </c>
    </row>
    <row r="1365" spans="1:4" ht="19.95" customHeight="1" x14ac:dyDescent="0.25">
      <c r="A1365" s="11" t="s">
        <v>29</v>
      </c>
      <c r="B1365" s="12" t="s">
        <v>14</v>
      </c>
      <c r="C1365" s="12">
        <v>50.146156311035099</v>
      </c>
      <c r="D1365" s="12">
        <v>2008</v>
      </c>
    </row>
    <row r="1366" spans="1:4" ht="19.95" customHeight="1" x14ac:dyDescent="0.25">
      <c r="A1366" s="11" t="s">
        <v>30</v>
      </c>
      <c r="B1366" s="12" t="s">
        <v>14</v>
      </c>
      <c r="C1366" s="12">
        <v>58.989894866943402</v>
      </c>
      <c r="D1366" s="12">
        <v>2008</v>
      </c>
    </row>
    <row r="1367" spans="1:4" ht="19.95" customHeight="1" x14ac:dyDescent="0.25">
      <c r="A1367" s="11" t="s">
        <v>31</v>
      </c>
      <c r="B1367" s="12" t="s">
        <v>14</v>
      </c>
      <c r="C1367" s="12">
        <v>76.8992919921875</v>
      </c>
      <c r="D1367" s="12">
        <v>2008</v>
      </c>
    </row>
    <row r="1368" spans="1:4" ht="19.95" customHeight="1" x14ac:dyDescent="0.25">
      <c r="A1368" s="11" t="s">
        <v>32</v>
      </c>
      <c r="B1368" s="12" t="s">
        <v>14</v>
      </c>
      <c r="C1368" s="12">
        <v>11.640199661254901</v>
      </c>
      <c r="D1368" s="12">
        <v>2008</v>
      </c>
    </row>
    <row r="1369" spans="1:4" ht="19.95" customHeight="1" x14ac:dyDescent="0.25">
      <c r="A1369" s="11" t="s">
        <v>33</v>
      </c>
      <c r="B1369" s="12" t="s">
        <v>14</v>
      </c>
      <c r="C1369" s="12">
        <v>6</v>
      </c>
      <c r="D1369" s="12">
        <v>2008</v>
      </c>
    </row>
    <row r="1370" spans="1:4" ht="19.95" customHeight="1" x14ac:dyDescent="0.25">
      <c r="A1370" s="11" t="s">
        <v>34</v>
      </c>
      <c r="B1370" s="12" t="s">
        <v>14</v>
      </c>
      <c r="C1370" s="12">
        <v>58.169517517089801</v>
      </c>
      <c r="D1370" s="12">
        <v>2008</v>
      </c>
    </row>
    <row r="1371" spans="1:4" ht="19.95" customHeight="1" x14ac:dyDescent="0.25">
      <c r="A1371" s="11" t="s">
        <v>35</v>
      </c>
      <c r="B1371" s="12" t="s">
        <v>14</v>
      </c>
      <c r="C1371" s="12">
        <v>82.173248291015597</v>
      </c>
      <c r="D1371" s="12">
        <v>2008</v>
      </c>
    </row>
    <row r="1372" spans="1:4" ht="19.95" customHeight="1" x14ac:dyDescent="0.25">
      <c r="A1372" s="11" t="s">
        <v>36</v>
      </c>
      <c r="B1372" s="12" t="s">
        <v>14</v>
      </c>
      <c r="C1372" s="12">
        <v>99.146080017089801</v>
      </c>
      <c r="D1372" s="12">
        <v>2008</v>
      </c>
    </row>
    <row r="1373" spans="1:4" ht="19.95" customHeight="1" x14ac:dyDescent="0.25">
      <c r="A1373" s="11" t="s">
        <v>37</v>
      </c>
      <c r="B1373" s="12" t="s">
        <v>14</v>
      </c>
      <c r="C1373" s="12">
        <v>11.5</v>
      </c>
      <c r="D1373" s="12">
        <v>2008</v>
      </c>
    </row>
    <row r="1374" spans="1:4" ht="19.95" customHeight="1" x14ac:dyDescent="0.25">
      <c r="A1374" s="11" t="s">
        <v>38</v>
      </c>
      <c r="B1374" s="12" t="s">
        <v>14</v>
      </c>
      <c r="C1374" s="12">
        <v>13.3838567733765</v>
      </c>
      <c r="D1374" s="12">
        <v>2008</v>
      </c>
    </row>
    <row r="1375" spans="1:4" ht="19.95" customHeight="1" x14ac:dyDescent="0.25">
      <c r="A1375" s="11" t="s">
        <v>39</v>
      </c>
      <c r="B1375" s="12" t="s">
        <v>14</v>
      </c>
      <c r="C1375" s="12">
        <v>22.714685440063501</v>
      </c>
      <c r="D1375" s="12">
        <v>2008</v>
      </c>
    </row>
    <row r="1376" spans="1:4" ht="19.95" customHeight="1" x14ac:dyDescent="0.25">
      <c r="A1376" s="11" t="s">
        <v>40</v>
      </c>
      <c r="B1376" s="12" t="s">
        <v>14</v>
      </c>
      <c r="C1376" s="12">
        <v>35.457309722900398</v>
      </c>
      <c r="D1376" s="12">
        <v>2008</v>
      </c>
    </row>
    <row r="1377" spans="1:4" ht="19.95" customHeight="1" x14ac:dyDescent="0.25">
      <c r="A1377" s="11" t="s">
        <v>10</v>
      </c>
      <c r="B1377" s="12" t="s">
        <v>14</v>
      </c>
      <c r="C1377" s="12">
        <v>5.3419041633606001</v>
      </c>
      <c r="D1377" s="12">
        <v>2009</v>
      </c>
    </row>
    <row r="1378" spans="1:4" ht="19.95" customHeight="1" x14ac:dyDescent="0.25">
      <c r="A1378" s="11" t="s">
        <v>13</v>
      </c>
      <c r="B1378" s="12" t="s">
        <v>14</v>
      </c>
      <c r="C1378" s="12">
        <v>51.715255737304702</v>
      </c>
      <c r="D1378" s="12">
        <v>2009</v>
      </c>
    </row>
    <row r="1379" spans="1:4" ht="19.95" customHeight="1" x14ac:dyDescent="0.25">
      <c r="A1379" s="11" t="s">
        <v>15</v>
      </c>
      <c r="B1379" s="12" t="s">
        <v>14</v>
      </c>
      <c r="C1379" s="12">
        <v>5.8328347206115696</v>
      </c>
      <c r="D1379" s="12">
        <v>2009</v>
      </c>
    </row>
    <row r="1380" spans="1:4" ht="19.95" customHeight="1" x14ac:dyDescent="0.25">
      <c r="A1380" s="11" t="s">
        <v>16</v>
      </c>
      <c r="B1380" s="12" t="s">
        <v>14</v>
      </c>
      <c r="C1380" s="12">
        <v>60.707881927490199</v>
      </c>
      <c r="D1380" s="12">
        <v>2009</v>
      </c>
    </row>
    <row r="1381" spans="1:4" ht="19.95" customHeight="1" x14ac:dyDescent="0.25">
      <c r="A1381" s="11" t="s">
        <v>17</v>
      </c>
      <c r="B1381" s="12" t="s">
        <v>14</v>
      </c>
      <c r="C1381" s="12">
        <v>53.592414855957003</v>
      </c>
      <c r="D1381" s="12">
        <v>2009</v>
      </c>
    </row>
    <row r="1382" spans="1:4" ht="19.95" customHeight="1" x14ac:dyDescent="0.25">
      <c r="A1382" s="11" t="s">
        <v>2</v>
      </c>
      <c r="B1382" s="12" t="s">
        <v>14</v>
      </c>
      <c r="C1382" s="12">
        <v>23.389411926269499</v>
      </c>
      <c r="D1382" s="12">
        <v>2009</v>
      </c>
    </row>
    <row r="1383" spans="1:4" ht="19.95" customHeight="1" x14ac:dyDescent="0.25">
      <c r="A1383" s="11" t="s">
        <v>18</v>
      </c>
      <c r="B1383" s="12" t="s">
        <v>14</v>
      </c>
      <c r="C1383" s="12">
        <v>24.821617126464801</v>
      </c>
      <c r="D1383" s="12">
        <v>2009</v>
      </c>
    </row>
    <row r="1384" spans="1:4" ht="19.95" customHeight="1" x14ac:dyDescent="0.25">
      <c r="A1384" s="11" t="s">
        <v>19</v>
      </c>
      <c r="B1384" s="12" t="s">
        <v>14</v>
      </c>
      <c r="C1384" s="12">
        <v>35.515037536621101</v>
      </c>
      <c r="D1384" s="12">
        <v>2009</v>
      </c>
    </row>
    <row r="1385" spans="1:4" ht="19.95" customHeight="1" x14ac:dyDescent="0.25">
      <c r="A1385" s="11" t="s">
        <v>20</v>
      </c>
      <c r="B1385" s="12" t="s">
        <v>14</v>
      </c>
      <c r="C1385" s="12">
        <v>23</v>
      </c>
      <c r="D1385" s="12">
        <v>2009</v>
      </c>
    </row>
    <row r="1386" spans="1:4" ht="19.95" customHeight="1" x14ac:dyDescent="0.25">
      <c r="A1386" s="11" t="s">
        <v>21</v>
      </c>
      <c r="B1386" s="12" t="s">
        <v>14</v>
      </c>
      <c r="C1386" s="12">
        <v>98.377059936523395</v>
      </c>
      <c r="D1386" s="12">
        <v>2009</v>
      </c>
    </row>
    <row r="1387" spans="1:4" ht="19.95" customHeight="1" x14ac:dyDescent="0.25">
      <c r="A1387" s="11" t="s">
        <v>22</v>
      </c>
      <c r="B1387" s="12" t="s">
        <v>14</v>
      </c>
      <c r="C1387" s="12">
        <v>1.9</v>
      </c>
      <c r="D1387" s="12">
        <v>2009</v>
      </c>
    </row>
    <row r="1388" spans="1:4" ht="19.95" customHeight="1" x14ac:dyDescent="0.25">
      <c r="A1388" s="11" t="s">
        <v>23</v>
      </c>
      <c r="B1388" s="12" t="s">
        <v>14</v>
      </c>
      <c r="C1388" s="12">
        <v>17.399999999999999</v>
      </c>
      <c r="D1388" s="12">
        <v>2009</v>
      </c>
    </row>
    <row r="1389" spans="1:4" ht="19.95" customHeight="1" x14ac:dyDescent="0.25">
      <c r="A1389" s="11" t="s">
        <v>24</v>
      </c>
      <c r="B1389" s="12" t="s">
        <v>14</v>
      </c>
      <c r="C1389" s="12">
        <v>7.8015847206115696</v>
      </c>
      <c r="D1389" s="12">
        <v>2009</v>
      </c>
    </row>
    <row r="1390" spans="1:4" ht="19.95" customHeight="1" x14ac:dyDescent="0.25">
      <c r="A1390" s="11" t="s">
        <v>25</v>
      </c>
      <c r="B1390" s="12" t="s">
        <v>14</v>
      </c>
      <c r="C1390" s="12">
        <v>24.030895834837199</v>
      </c>
      <c r="D1390" s="12">
        <v>2009</v>
      </c>
    </row>
    <row r="1391" spans="1:4" ht="19.95" customHeight="1" x14ac:dyDescent="0.25">
      <c r="A1391" s="11" t="s">
        <v>26</v>
      </c>
      <c r="B1391" s="12" t="s">
        <v>14</v>
      </c>
      <c r="C1391" s="12">
        <v>99.936302185058494</v>
      </c>
      <c r="D1391" s="12">
        <v>2009</v>
      </c>
    </row>
    <row r="1392" spans="1:4" ht="19.95" customHeight="1" x14ac:dyDescent="0.25">
      <c r="A1392" s="11" t="s">
        <v>27</v>
      </c>
      <c r="B1392" s="12" t="s">
        <v>14</v>
      </c>
      <c r="C1392" s="12">
        <v>15</v>
      </c>
      <c r="D1392" s="12">
        <v>2009</v>
      </c>
    </row>
    <row r="1393" spans="1:4" ht="19.95" customHeight="1" x14ac:dyDescent="0.25">
      <c r="A1393" s="11" t="s">
        <v>29</v>
      </c>
      <c r="B1393" s="12" t="s">
        <v>14</v>
      </c>
      <c r="C1393" s="12">
        <v>50.961944580078097</v>
      </c>
      <c r="D1393" s="12">
        <v>2009</v>
      </c>
    </row>
    <row r="1394" spans="1:4" ht="19.95" customHeight="1" x14ac:dyDescent="0.25">
      <c r="A1394" s="11" t="s">
        <v>30</v>
      </c>
      <c r="B1394" s="12" t="s">
        <v>14</v>
      </c>
      <c r="C1394" s="12">
        <v>62.9828071594238</v>
      </c>
      <c r="D1394" s="12">
        <v>2009</v>
      </c>
    </row>
    <row r="1395" spans="1:4" ht="19.95" customHeight="1" x14ac:dyDescent="0.25">
      <c r="A1395" s="11" t="s">
        <v>31</v>
      </c>
      <c r="B1395" s="12" t="s">
        <v>14</v>
      </c>
      <c r="C1395" s="12">
        <v>77.916313000000002</v>
      </c>
      <c r="D1395" s="12">
        <v>2009</v>
      </c>
    </row>
    <row r="1396" spans="1:4" ht="19.95" customHeight="1" x14ac:dyDescent="0.25">
      <c r="A1396" s="11" t="s">
        <v>32</v>
      </c>
      <c r="B1396" s="12" t="s">
        <v>14</v>
      </c>
      <c r="C1396" s="12">
        <v>12.1702108383179</v>
      </c>
      <c r="D1396" s="12">
        <v>2009</v>
      </c>
    </row>
    <row r="1397" spans="1:4" ht="19.95" customHeight="1" x14ac:dyDescent="0.25">
      <c r="A1397" s="11" t="s">
        <v>33</v>
      </c>
      <c r="B1397" s="12" t="s">
        <v>14</v>
      </c>
      <c r="C1397" s="12">
        <v>13.097342491149901</v>
      </c>
      <c r="D1397" s="12">
        <v>2009</v>
      </c>
    </row>
    <row r="1398" spans="1:4" ht="19.95" customHeight="1" x14ac:dyDescent="0.25">
      <c r="A1398" s="11" t="s">
        <v>34</v>
      </c>
      <c r="B1398" s="12" t="s">
        <v>14</v>
      </c>
      <c r="C1398" s="12">
        <v>56.9</v>
      </c>
      <c r="D1398" s="12">
        <v>2009</v>
      </c>
    </row>
    <row r="1399" spans="1:4" ht="19.95" customHeight="1" x14ac:dyDescent="0.25">
      <c r="A1399" s="11" t="s">
        <v>35</v>
      </c>
      <c r="B1399" s="12" t="s">
        <v>14</v>
      </c>
      <c r="C1399" s="12">
        <v>83.807998657226605</v>
      </c>
      <c r="D1399" s="12">
        <v>2009</v>
      </c>
    </row>
    <row r="1400" spans="1:4" ht="19.95" customHeight="1" x14ac:dyDescent="0.25">
      <c r="A1400" s="11" t="s">
        <v>36</v>
      </c>
      <c r="B1400" s="12" t="s">
        <v>14</v>
      </c>
      <c r="C1400" s="12">
        <v>99</v>
      </c>
      <c r="D1400" s="12">
        <v>2009</v>
      </c>
    </row>
    <row r="1401" spans="1:4" ht="19.95" customHeight="1" x14ac:dyDescent="0.25">
      <c r="A1401" s="11" t="s">
        <v>37</v>
      </c>
      <c r="B1401" s="12" t="s">
        <v>14</v>
      </c>
      <c r="C1401" s="12">
        <v>11.2</v>
      </c>
      <c r="D1401" s="12">
        <v>2009</v>
      </c>
    </row>
    <row r="1402" spans="1:4" ht="19.95" customHeight="1" x14ac:dyDescent="0.25">
      <c r="A1402" s="11" t="s">
        <v>38</v>
      </c>
      <c r="B1402" s="12" t="s">
        <v>14</v>
      </c>
      <c r="C1402" s="12">
        <v>10</v>
      </c>
      <c r="D1402" s="12">
        <v>2009</v>
      </c>
    </row>
    <row r="1403" spans="1:4" ht="19.95" customHeight="1" x14ac:dyDescent="0.25">
      <c r="A1403" s="11" t="s">
        <v>39</v>
      </c>
      <c r="B1403" s="12" t="s">
        <v>14</v>
      </c>
      <c r="C1403" s="12">
        <v>23.235649108886701</v>
      </c>
      <c r="D1403" s="12">
        <v>2009</v>
      </c>
    </row>
    <row r="1404" spans="1:4" ht="19.95" customHeight="1" x14ac:dyDescent="0.25">
      <c r="A1404" s="11" t="s">
        <v>40</v>
      </c>
      <c r="B1404" s="12" t="s">
        <v>14</v>
      </c>
      <c r="C1404" s="12">
        <v>43.369081872874702</v>
      </c>
      <c r="D1404" s="12">
        <v>2009</v>
      </c>
    </row>
    <row r="1405" spans="1:4" ht="19.95" customHeight="1" x14ac:dyDescent="0.25">
      <c r="A1405" s="11" t="s">
        <v>10</v>
      </c>
      <c r="B1405" s="12" t="s">
        <v>14</v>
      </c>
      <c r="C1405" s="12">
        <v>5.3</v>
      </c>
      <c r="D1405" s="12">
        <v>2010</v>
      </c>
    </row>
    <row r="1406" spans="1:4" ht="19.95" customHeight="1" x14ac:dyDescent="0.25">
      <c r="A1406" s="11" t="s">
        <v>13</v>
      </c>
      <c r="B1406" s="12" t="s">
        <v>14</v>
      </c>
      <c r="C1406" s="12">
        <v>52.879360198974602</v>
      </c>
      <c r="D1406" s="12">
        <v>2010</v>
      </c>
    </row>
    <row r="1407" spans="1:4" ht="19.95" customHeight="1" x14ac:dyDescent="0.25">
      <c r="A1407" s="11" t="s">
        <v>15</v>
      </c>
      <c r="B1407" s="12" t="s">
        <v>14</v>
      </c>
      <c r="C1407" s="12">
        <v>6.4</v>
      </c>
      <c r="D1407" s="12">
        <v>2010</v>
      </c>
    </row>
    <row r="1408" spans="1:4" ht="19.95" customHeight="1" x14ac:dyDescent="0.25">
      <c r="A1408" s="11" t="s">
        <v>16</v>
      </c>
      <c r="B1408" s="12" t="s">
        <v>14</v>
      </c>
      <c r="C1408" s="12">
        <v>63.125820159912102</v>
      </c>
      <c r="D1408" s="12">
        <v>2010</v>
      </c>
    </row>
    <row r="1409" spans="1:4" ht="19.95" customHeight="1" x14ac:dyDescent="0.25">
      <c r="A1409" s="11" t="s">
        <v>17</v>
      </c>
      <c r="B1409" s="12" t="s">
        <v>14</v>
      </c>
      <c r="C1409" s="12">
        <v>53.3037719726563</v>
      </c>
      <c r="D1409" s="12">
        <v>2010</v>
      </c>
    </row>
    <row r="1410" spans="1:4" ht="19.95" customHeight="1" x14ac:dyDescent="0.25">
      <c r="A1410" s="11" t="s">
        <v>2</v>
      </c>
      <c r="B1410" s="12" t="s">
        <v>14</v>
      </c>
      <c r="C1410" s="12">
        <v>25.033405303955099</v>
      </c>
      <c r="D1410" s="12">
        <v>2010</v>
      </c>
    </row>
    <row r="1411" spans="1:4" ht="19.95" customHeight="1" x14ac:dyDescent="0.25">
      <c r="A1411" s="11" t="s">
        <v>18</v>
      </c>
      <c r="B1411" s="12" t="s">
        <v>14</v>
      </c>
      <c r="C1411" s="12">
        <v>25.817670822143601</v>
      </c>
      <c r="D1411" s="12">
        <v>2010</v>
      </c>
    </row>
    <row r="1412" spans="1:4" ht="19.95" customHeight="1" x14ac:dyDescent="0.25">
      <c r="A1412" s="11" t="s">
        <v>19</v>
      </c>
      <c r="B1412" s="12" t="s">
        <v>14</v>
      </c>
      <c r="C1412" s="12">
        <v>35.938518524169901</v>
      </c>
      <c r="D1412" s="12">
        <v>2010</v>
      </c>
    </row>
    <row r="1413" spans="1:4" ht="19.95" customHeight="1" x14ac:dyDescent="0.25">
      <c r="A1413" s="11" t="s">
        <v>20</v>
      </c>
      <c r="B1413" s="12" t="s">
        <v>14</v>
      </c>
      <c r="C1413" s="12">
        <v>19.2</v>
      </c>
      <c r="D1413" s="12">
        <v>2010</v>
      </c>
    </row>
    <row r="1414" spans="1:4" ht="19.95" customHeight="1" x14ac:dyDescent="0.25">
      <c r="A1414" s="11" t="s">
        <v>21</v>
      </c>
      <c r="B1414" s="12" t="s">
        <v>14</v>
      </c>
      <c r="C1414" s="12">
        <v>0</v>
      </c>
      <c r="D1414" s="12">
        <v>2010</v>
      </c>
    </row>
    <row r="1415" spans="1:4" ht="19.95" customHeight="1" x14ac:dyDescent="0.25">
      <c r="A1415" s="11" t="s">
        <v>22</v>
      </c>
      <c r="B1415" s="12" t="s">
        <v>14</v>
      </c>
      <c r="C1415" s="12">
        <v>5.1461310386657697</v>
      </c>
      <c r="D1415" s="12">
        <v>2010</v>
      </c>
    </row>
    <row r="1416" spans="1:4" ht="19.95" customHeight="1" x14ac:dyDescent="0.25">
      <c r="A1416" s="11" t="s">
        <v>23</v>
      </c>
      <c r="B1416" s="12" t="s">
        <v>14</v>
      </c>
      <c r="C1416" s="12">
        <v>16.903739929199201</v>
      </c>
      <c r="D1416" s="12">
        <v>2010</v>
      </c>
    </row>
    <row r="1417" spans="1:4" ht="19.95" customHeight="1" x14ac:dyDescent="0.25">
      <c r="A1417" s="11" t="s">
        <v>24</v>
      </c>
      <c r="B1417" s="12" t="s">
        <v>14</v>
      </c>
      <c r="C1417" s="12">
        <v>8.6999999999999993</v>
      </c>
      <c r="D1417" s="12">
        <v>2010</v>
      </c>
    </row>
    <row r="1418" spans="1:4" ht="19.95" customHeight="1" x14ac:dyDescent="0.25">
      <c r="A1418" s="11" t="s">
        <v>25</v>
      </c>
      <c r="B1418" s="12" t="s">
        <v>14</v>
      </c>
      <c r="C1418" s="12">
        <v>25.398286819458001</v>
      </c>
      <c r="D1418" s="12">
        <v>2010</v>
      </c>
    </row>
    <row r="1419" spans="1:4" ht="19.95" customHeight="1" x14ac:dyDescent="0.25">
      <c r="A1419" s="11" t="s">
        <v>26</v>
      </c>
      <c r="B1419" s="12" t="s">
        <v>14</v>
      </c>
      <c r="C1419" s="12">
        <v>99.986061096191406</v>
      </c>
      <c r="D1419" s="12">
        <v>2010</v>
      </c>
    </row>
    <row r="1420" spans="1:4" ht="19.95" customHeight="1" x14ac:dyDescent="0.25">
      <c r="A1420" s="11" t="s">
        <v>27</v>
      </c>
      <c r="B1420" s="12" t="s">
        <v>14</v>
      </c>
      <c r="C1420" s="12">
        <v>17.2579231262207</v>
      </c>
      <c r="D1420" s="12">
        <v>2010</v>
      </c>
    </row>
    <row r="1421" spans="1:4" ht="19.95" customHeight="1" x14ac:dyDescent="0.25">
      <c r="A1421" s="11" t="s">
        <v>29</v>
      </c>
      <c r="B1421" s="12" t="s">
        <v>14</v>
      </c>
      <c r="C1421" s="12">
        <v>48.8</v>
      </c>
      <c r="D1421" s="12">
        <v>2010</v>
      </c>
    </row>
    <row r="1422" spans="1:4" ht="19.95" customHeight="1" x14ac:dyDescent="0.25">
      <c r="A1422" s="11" t="s">
        <v>30</v>
      </c>
      <c r="B1422" s="12" t="s">
        <v>14</v>
      </c>
      <c r="C1422" s="12">
        <v>66.993743896484403</v>
      </c>
      <c r="D1422" s="12">
        <v>2010</v>
      </c>
    </row>
    <row r="1423" spans="1:4" ht="19.95" customHeight="1" x14ac:dyDescent="0.25">
      <c r="A1423" s="11" t="s">
        <v>31</v>
      </c>
      <c r="B1423" s="12" t="s">
        <v>14</v>
      </c>
      <c r="C1423" s="12">
        <v>78.057456970214801</v>
      </c>
      <c r="D1423" s="12">
        <v>2010</v>
      </c>
    </row>
    <row r="1424" spans="1:4" ht="19.95" customHeight="1" x14ac:dyDescent="0.25">
      <c r="A1424" s="11" t="s">
        <v>32</v>
      </c>
      <c r="B1424" s="12" t="s">
        <v>14</v>
      </c>
      <c r="C1424" s="12">
        <v>12.7182464599609</v>
      </c>
      <c r="D1424" s="12">
        <v>2010</v>
      </c>
    </row>
    <row r="1425" spans="1:4" ht="19.95" customHeight="1" x14ac:dyDescent="0.25">
      <c r="A1425" s="11" t="s">
        <v>33</v>
      </c>
      <c r="B1425" s="12" t="s">
        <v>14</v>
      </c>
      <c r="C1425" s="12">
        <v>9.6999999999999993</v>
      </c>
      <c r="D1425" s="12">
        <v>2010</v>
      </c>
    </row>
    <row r="1426" spans="1:4" ht="19.95" customHeight="1" x14ac:dyDescent="0.25">
      <c r="A1426" s="11" t="s">
        <v>34</v>
      </c>
      <c r="B1426" s="12" t="s">
        <v>14</v>
      </c>
      <c r="C1426" s="12">
        <v>59.921047210693402</v>
      </c>
      <c r="D1426" s="12">
        <v>2010</v>
      </c>
    </row>
    <row r="1427" spans="1:4" ht="19.95" customHeight="1" x14ac:dyDescent="0.25">
      <c r="A1427" s="11" t="s">
        <v>35</v>
      </c>
      <c r="B1427" s="12" t="s">
        <v>14</v>
      </c>
      <c r="C1427" s="12">
        <v>85.3</v>
      </c>
      <c r="D1427" s="12">
        <v>2010</v>
      </c>
    </row>
    <row r="1428" spans="1:4" ht="19.95" customHeight="1" x14ac:dyDescent="0.25">
      <c r="A1428" s="11" t="s">
        <v>36</v>
      </c>
      <c r="B1428" s="12" t="s">
        <v>14</v>
      </c>
      <c r="C1428" s="12">
        <v>99.461280822753906</v>
      </c>
      <c r="D1428" s="12">
        <v>2010</v>
      </c>
    </row>
    <row r="1429" spans="1:4" ht="19.95" customHeight="1" x14ac:dyDescent="0.25">
      <c r="A1429" s="11" t="s">
        <v>37</v>
      </c>
      <c r="B1429" s="12" t="s">
        <v>14</v>
      </c>
      <c r="C1429" s="12">
        <v>14.8</v>
      </c>
      <c r="D1429" s="12">
        <v>2010</v>
      </c>
    </row>
    <row r="1430" spans="1:4" ht="19.95" customHeight="1" x14ac:dyDescent="0.25">
      <c r="A1430" s="11" t="s">
        <v>38</v>
      </c>
      <c r="B1430" s="12" t="s">
        <v>14</v>
      </c>
      <c r="C1430" s="12">
        <v>14.769371032714799</v>
      </c>
      <c r="D1430" s="12">
        <v>2010</v>
      </c>
    </row>
    <row r="1431" spans="1:4" ht="19.95" customHeight="1" x14ac:dyDescent="0.25">
      <c r="A1431" s="11" t="s">
        <v>39</v>
      </c>
      <c r="B1431" s="12" t="s">
        <v>14</v>
      </c>
      <c r="C1431" s="12">
        <v>22</v>
      </c>
      <c r="D1431" s="12">
        <v>2010</v>
      </c>
    </row>
    <row r="1432" spans="1:4" ht="19.95" customHeight="1" x14ac:dyDescent="0.25">
      <c r="A1432" s="11" t="s">
        <v>40</v>
      </c>
      <c r="B1432" s="12" t="s">
        <v>14</v>
      </c>
      <c r="C1432" s="12">
        <v>36.063056945800803</v>
      </c>
      <c r="D1432" s="12">
        <v>2010</v>
      </c>
    </row>
    <row r="1433" spans="1:4" ht="19.95" customHeight="1" x14ac:dyDescent="0.25">
      <c r="A1433" s="11" t="s">
        <v>10</v>
      </c>
      <c r="B1433" s="12" t="s">
        <v>14</v>
      </c>
      <c r="C1433" s="12">
        <v>5.9385800361633301</v>
      </c>
      <c r="D1433" s="12">
        <v>2011</v>
      </c>
    </row>
    <row r="1434" spans="1:4" ht="19.95" customHeight="1" x14ac:dyDescent="0.25">
      <c r="A1434" s="11" t="s">
        <v>13</v>
      </c>
      <c r="B1434" s="12" t="s">
        <v>14</v>
      </c>
      <c r="C1434" s="12">
        <v>53.7</v>
      </c>
      <c r="D1434" s="12">
        <v>2011</v>
      </c>
    </row>
    <row r="1435" spans="1:4" ht="19.95" customHeight="1" x14ac:dyDescent="0.25">
      <c r="A1435" s="11" t="s">
        <v>15</v>
      </c>
      <c r="B1435" s="12" t="s">
        <v>14</v>
      </c>
      <c r="C1435" s="12">
        <v>6.6442222595214799</v>
      </c>
      <c r="D1435" s="12">
        <v>2011</v>
      </c>
    </row>
    <row r="1436" spans="1:4" ht="19.95" customHeight="1" x14ac:dyDescent="0.25">
      <c r="A1436" s="11" t="s">
        <v>16</v>
      </c>
      <c r="B1436" s="12" t="s">
        <v>14</v>
      </c>
      <c r="C1436" s="12">
        <v>65.558776855468807</v>
      </c>
      <c r="D1436" s="12">
        <v>2011</v>
      </c>
    </row>
    <row r="1437" spans="1:4" ht="19.95" customHeight="1" x14ac:dyDescent="0.25">
      <c r="A1437" s="11" t="s">
        <v>17</v>
      </c>
      <c r="B1437" s="12" t="s">
        <v>14</v>
      </c>
      <c r="C1437" s="12">
        <v>53.030147552490199</v>
      </c>
      <c r="D1437" s="12">
        <v>2011</v>
      </c>
    </row>
    <row r="1438" spans="1:4" ht="19.95" customHeight="1" x14ac:dyDescent="0.25">
      <c r="A1438" s="11" t="s">
        <v>2</v>
      </c>
      <c r="B1438" s="12" t="s">
        <v>14</v>
      </c>
      <c r="C1438" s="12">
        <v>23</v>
      </c>
      <c r="D1438" s="12">
        <v>2011</v>
      </c>
    </row>
    <row r="1439" spans="1:4" ht="19.95" customHeight="1" x14ac:dyDescent="0.25">
      <c r="A1439" s="11" t="s">
        <v>18</v>
      </c>
      <c r="B1439" s="12" t="s">
        <v>14</v>
      </c>
      <c r="C1439" s="12">
        <v>26.828742980956999</v>
      </c>
      <c r="D1439" s="12">
        <v>2011</v>
      </c>
    </row>
    <row r="1440" spans="1:4" ht="19.95" customHeight="1" x14ac:dyDescent="0.25">
      <c r="A1440" s="11" t="s">
        <v>19</v>
      </c>
      <c r="B1440" s="12" t="s">
        <v>14</v>
      </c>
      <c r="C1440" s="12">
        <v>36.3770141601562</v>
      </c>
      <c r="D1440" s="12">
        <v>2011</v>
      </c>
    </row>
    <row r="1441" spans="1:4" ht="19.95" customHeight="1" x14ac:dyDescent="0.25">
      <c r="A1441" s="11" t="s">
        <v>20</v>
      </c>
      <c r="B1441" s="12" t="s">
        <v>14</v>
      </c>
      <c r="C1441" s="12">
        <v>28.996553421020501</v>
      </c>
      <c r="D1441" s="12">
        <v>2011</v>
      </c>
    </row>
    <row r="1442" spans="1:4" ht="19.95" customHeight="1" x14ac:dyDescent="0.25">
      <c r="A1442" s="11" t="s">
        <v>21</v>
      </c>
      <c r="B1442" s="12" t="s">
        <v>14</v>
      </c>
      <c r="C1442" s="12">
        <v>99.430435180664105</v>
      </c>
      <c r="D1442" s="12">
        <v>2011</v>
      </c>
    </row>
    <row r="1443" spans="1:4" ht="19.95" customHeight="1" x14ac:dyDescent="0.25">
      <c r="A1443" s="11" t="s">
        <v>22</v>
      </c>
      <c r="B1443" s="12" t="s">
        <v>14</v>
      </c>
      <c r="C1443" s="12">
        <v>4.0999999999999996</v>
      </c>
      <c r="D1443" s="12">
        <v>2011</v>
      </c>
    </row>
    <row r="1444" spans="1:4" ht="19.95" customHeight="1" x14ac:dyDescent="0.25">
      <c r="A1444" s="11" t="s">
        <v>23</v>
      </c>
      <c r="B1444" s="12" t="s">
        <v>14</v>
      </c>
      <c r="C1444" s="12">
        <v>14.3</v>
      </c>
      <c r="D1444" s="12">
        <v>2011</v>
      </c>
    </row>
    <row r="1445" spans="1:4" ht="19.95" customHeight="1" x14ac:dyDescent="0.25">
      <c r="A1445" s="11" t="s">
        <v>24</v>
      </c>
      <c r="B1445" s="12" t="s">
        <v>14</v>
      </c>
      <c r="C1445" s="12">
        <v>7.6</v>
      </c>
      <c r="D1445" s="12">
        <v>2011</v>
      </c>
    </row>
    <row r="1446" spans="1:4" ht="19.95" customHeight="1" x14ac:dyDescent="0.25">
      <c r="A1446" s="11" t="s">
        <v>25</v>
      </c>
      <c r="B1446" s="12" t="s">
        <v>14</v>
      </c>
      <c r="C1446" s="12">
        <v>26.990045547485298</v>
      </c>
      <c r="D1446" s="12">
        <v>2011</v>
      </c>
    </row>
    <row r="1447" spans="1:4" ht="19.95" customHeight="1" x14ac:dyDescent="0.25">
      <c r="A1447" s="11" t="s">
        <v>26</v>
      </c>
      <c r="B1447" s="12" t="s">
        <v>14</v>
      </c>
      <c r="C1447" s="12">
        <v>99.998603820800795</v>
      </c>
      <c r="D1447" s="12">
        <v>2011</v>
      </c>
    </row>
    <row r="1448" spans="1:4" ht="19.95" customHeight="1" x14ac:dyDescent="0.25">
      <c r="A1448" s="11" t="s">
        <v>27</v>
      </c>
      <c r="B1448" s="12" t="s">
        <v>14</v>
      </c>
      <c r="C1448" s="12">
        <v>20.2</v>
      </c>
      <c r="D1448" s="12">
        <v>2011</v>
      </c>
    </row>
    <row r="1449" spans="1:4" ht="19.95" customHeight="1" x14ac:dyDescent="0.25">
      <c r="A1449" s="11" t="s">
        <v>29</v>
      </c>
      <c r="B1449" s="12" t="s">
        <v>14</v>
      </c>
      <c r="C1449" s="12">
        <v>52.644580841064403</v>
      </c>
      <c r="D1449" s="12">
        <v>2011</v>
      </c>
    </row>
    <row r="1450" spans="1:4" ht="19.95" customHeight="1" x14ac:dyDescent="0.25">
      <c r="A1450" s="11" t="s">
        <v>30</v>
      </c>
      <c r="B1450" s="12" t="s">
        <v>14</v>
      </c>
      <c r="C1450" s="12">
        <v>76.3</v>
      </c>
      <c r="D1450" s="12">
        <v>2011</v>
      </c>
    </row>
    <row r="1451" spans="1:4" ht="19.95" customHeight="1" x14ac:dyDescent="0.25">
      <c r="A1451" s="11" t="s">
        <v>31</v>
      </c>
      <c r="B1451" s="12" t="s">
        <v>14</v>
      </c>
      <c r="C1451" s="12">
        <v>78.660568237304702</v>
      </c>
      <c r="D1451" s="12">
        <v>2011</v>
      </c>
    </row>
    <row r="1452" spans="1:4" ht="19.95" customHeight="1" x14ac:dyDescent="0.25">
      <c r="A1452" s="11" t="s">
        <v>32</v>
      </c>
      <c r="B1452" s="12" t="s">
        <v>14</v>
      </c>
      <c r="C1452" s="12">
        <v>14.3</v>
      </c>
      <c r="D1452" s="12">
        <v>2011</v>
      </c>
    </row>
    <row r="1453" spans="1:4" ht="19.95" customHeight="1" x14ac:dyDescent="0.25">
      <c r="A1453" s="11" t="s">
        <v>33</v>
      </c>
      <c r="B1453" s="12" t="s">
        <v>14</v>
      </c>
      <c r="C1453" s="12">
        <v>10.8</v>
      </c>
      <c r="D1453" s="12">
        <v>2011</v>
      </c>
    </row>
    <row r="1454" spans="1:4" ht="19.95" customHeight="1" x14ac:dyDescent="0.25">
      <c r="A1454" s="11" t="s">
        <v>34</v>
      </c>
      <c r="B1454" s="12" t="s">
        <v>14</v>
      </c>
      <c r="C1454" s="12">
        <v>60.820842742919901</v>
      </c>
      <c r="D1454" s="12">
        <v>2011</v>
      </c>
    </row>
    <row r="1455" spans="1:4" ht="19.95" customHeight="1" x14ac:dyDescent="0.25">
      <c r="A1455" s="11" t="s">
        <v>35</v>
      </c>
      <c r="B1455" s="12" t="s">
        <v>14</v>
      </c>
      <c r="C1455" s="12">
        <v>87.76</v>
      </c>
      <c r="D1455" s="12">
        <v>2011</v>
      </c>
    </row>
    <row r="1456" spans="1:4" ht="19.95" customHeight="1" x14ac:dyDescent="0.25">
      <c r="A1456" s="11" t="s">
        <v>36</v>
      </c>
      <c r="B1456" s="12" t="s">
        <v>14</v>
      </c>
      <c r="C1456" s="12">
        <v>99.636390686035199</v>
      </c>
      <c r="D1456" s="12">
        <v>2011</v>
      </c>
    </row>
    <row r="1457" spans="1:4" ht="19.95" customHeight="1" x14ac:dyDescent="0.25">
      <c r="A1457" s="11" t="s">
        <v>37</v>
      </c>
      <c r="B1457" s="12" t="s">
        <v>14</v>
      </c>
      <c r="C1457" s="12">
        <v>14.2</v>
      </c>
      <c r="D1457" s="12">
        <v>2011</v>
      </c>
    </row>
    <row r="1458" spans="1:4" ht="19.95" customHeight="1" x14ac:dyDescent="0.25">
      <c r="A1458" s="11" t="s">
        <v>38</v>
      </c>
      <c r="B1458" s="12" t="s">
        <v>14</v>
      </c>
      <c r="C1458" s="12">
        <v>14.6</v>
      </c>
      <c r="D1458" s="12">
        <v>2011</v>
      </c>
    </row>
    <row r="1459" spans="1:4" ht="19.95" customHeight="1" x14ac:dyDescent="0.25">
      <c r="A1459" s="11" t="s">
        <v>39</v>
      </c>
      <c r="B1459" s="12" t="s">
        <v>14</v>
      </c>
      <c r="C1459" s="12">
        <v>24.3286437988281</v>
      </c>
      <c r="D1459" s="12">
        <v>2011</v>
      </c>
    </row>
    <row r="1460" spans="1:4" ht="19.95" customHeight="1" x14ac:dyDescent="0.25">
      <c r="A1460" s="11" t="s">
        <v>40</v>
      </c>
      <c r="B1460" s="12" t="s">
        <v>14</v>
      </c>
      <c r="C1460" s="12">
        <v>36.9</v>
      </c>
      <c r="D1460" s="12">
        <v>2011</v>
      </c>
    </row>
    <row r="1461" spans="1:4" ht="19.95" customHeight="1" x14ac:dyDescent="0.25">
      <c r="A1461" s="11" t="s">
        <v>10</v>
      </c>
      <c r="B1461" s="12" t="s">
        <v>14</v>
      </c>
      <c r="C1461" s="12">
        <v>6.5</v>
      </c>
      <c r="D1461" s="12">
        <v>2012</v>
      </c>
    </row>
    <row r="1462" spans="1:4" ht="19.95" customHeight="1" x14ac:dyDescent="0.25">
      <c r="A1462" s="11" t="s">
        <v>13</v>
      </c>
      <c r="B1462" s="12" t="s">
        <v>14</v>
      </c>
      <c r="C1462" s="12">
        <v>55.249626159667997</v>
      </c>
      <c r="D1462" s="12">
        <v>2012</v>
      </c>
    </row>
    <row r="1463" spans="1:4" ht="19.95" customHeight="1" x14ac:dyDescent="0.25">
      <c r="A1463" s="11" t="s">
        <v>15</v>
      </c>
      <c r="B1463" s="12" t="s">
        <v>14</v>
      </c>
      <c r="C1463" s="12">
        <v>7.0694417953491202</v>
      </c>
      <c r="D1463" s="12">
        <v>2012</v>
      </c>
    </row>
    <row r="1464" spans="1:4" ht="19.95" customHeight="1" x14ac:dyDescent="0.25">
      <c r="A1464" s="11" t="s">
        <v>16</v>
      </c>
      <c r="B1464" s="12" t="s">
        <v>14</v>
      </c>
      <c r="C1464" s="12">
        <v>69.3</v>
      </c>
      <c r="D1464" s="12">
        <v>2012</v>
      </c>
    </row>
    <row r="1465" spans="1:4" ht="19.95" customHeight="1" x14ac:dyDescent="0.25">
      <c r="A1465" s="11" t="s">
        <v>17</v>
      </c>
      <c r="B1465" s="12" t="s">
        <v>14</v>
      </c>
      <c r="C1465" s="12">
        <v>54.6</v>
      </c>
      <c r="D1465" s="12">
        <v>2012</v>
      </c>
    </row>
    <row r="1466" spans="1:4" ht="19.95" customHeight="1" x14ac:dyDescent="0.25">
      <c r="A1466" s="11" t="s">
        <v>2</v>
      </c>
      <c r="B1466" s="12" t="s">
        <v>14</v>
      </c>
      <c r="C1466" s="12">
        <v>28.363447189331101</v>
      </c>
      <c r="D1466" s="12">
        <v>2012</v>
      </c>
    </row>
    <row r="1467" spans="1:4" ht="19.95" customHeight="1" x14ac:dyDescent="0.25">
      <c r="A1467" s="11" t="s">
        <v>18</v>
      </c>
      <c r="B1467" s="12" t="s">
        <v>14</v>
      </c>
      <c r="C1467" s="12">
        <v>26.2</v>
      </c>
      <c r="D1467" s="12">
        <v>2012</v>
      </c>
    </row>
    <row r="1468" spans="1:4" ht="19.95" customHeight="1" x14ac:dyDescent="0.25">
      <c r="A1468" s="11" t="s">
        <v>19</v>
      </c>
      <c r="B1468" s="12" t="s">
        <v>14</v>
      </c>
      <c r="C1468" s="12">
        <v>37.9</v>
      </c>
      <c r="D1468" s="12">
        <v>2012</v>
      </c>
    </row>
    <row r="1469" spans="1:4" ht="19.95" customHeight="1" x14ac:dyDescent="0.25">
      <c r="A1469" s="11" t="s">
        <v>20</v>
      </c>
      <c r="B1469" s="12" t="s">
        <v>14</v>
      </c>
      <c r="C1469" s="12">
        <v>30.270999908447301</v>
      </c>
      <c r="D1469" s="12">
        <v>2012</v>
      </c>
    </row>
    <row r="1470" spans="1:4" ht="19.95" customHeight="1" x14ac:dyDescent="0.25">
      <c r="A1470" s="11" t="s">
        <v>21</v>
      </c>
      <c r="B1470" s="12" t="s">
        <v>14</v>
      </c>
      <c r="C1470" s="12">
        <v>99.773651123046903</v>
      </c>
      <c r="D1470" s="12">
        <v>2012</v>
      </c>
    </row>
    <row r="1471" spans="1:4" ht="19.95" customHeight="1" x14ac:dyDescent="0.25">
      <c r="A1471" s="11" t="s">
        <v>22</v>
      </c>
      <c r="B1471" s="12" t="s">
        <v>14</v>
      </c>
      <c r="C1471" s="12">
        <v>8.5996837615966708</v>
      </c>
      <c r="D1471" s="12">
        <v>2012</v>
      </c>
    </row>
    <row r="1472" spans="1:4" ht="19.95" customHeight="1" x14ac:dyDescent="0.25">
      <c r="A1472" s="11" t="s">
        <v>23</v>
      </c>
      <c r="B1472" s="12" t="s">
        <v>14</v>
      </c>
      <c r="C1472" s="12">
        <v>17.732236862182599</v>
      </c>
      <c r="D1472" s="12">
        <v>2012</v>
      </c>
    </row>
    <row r="1473" spans="1:4" ht="19.95" customHeight="1" x14ac:dyDescent="0.25">
      <c r="A1473" s="11" t="s">
        <v>24</v>
      </c>
      <c r="B1473" s="12" t="s">
        <v>14</v>
      </c>
      <c r="C1473" s="12">
        <v>7.4</v>
      </c>
      <c r="D1473" s="12">
        <v>2012</v>
      </c>
    </row>
    <row r="1474" spans="1:4" ht="19.95" customHeight="1" x14ac:dyDescent="0.25">
      <c r="A1474" s="11" t="s">
        <v>25</v>
      </c>
      <c r="B1474" s="12" t="s">
        <v>14</v>
      </c>
      <c r="C1474" s="12">
        <v>25.6</v>
      </c>
      <c r="D1474" s="12">
        <v>2012</v>
      </c>
    </row>
    <row r="1475" spans="1:4" ht="19.95" customHeight="1" x14ac:dyDescent="0.25">
      <c r="A1475" s="11" t="s">
        <v>26</v>
      </c>
      <c r="B1475" s="12" t="s">
        <v>14</v>
      </c>
      <c r="C1475" s="12">
        <v>100</v>
      </c>
      <c r="D1475" s="12">
        <v>2012</v>
      </c>
    </row>
    <row r="1476" spans="1:4" ht="19.95" customHeight="1" x14ac:dyDescent="0.25">
      <c r="A1476" s="11" t="s">
        <v>27</v>
      </c>
      <c r="B1476" s="12" t="s">
        <v>14</v>
      </c>
      <c r="C1476" s="12">
        <v>19.54319190979</v>
      </c>
      <c r="D1476" s="12">
        <v>2012</v>
      </c>
    </row>
    <row r="1477" spans="1:4" ht="19.95" customHeight="1" x14ac:dyDescent="0.25">
      <c r="A1477" s="11" t="s">
        <v>29</v>
      </c>
      <c r="B1477" s="12" t="s">
        <v>14</v>
      </c>
      <c r="C1477" s="12">
        <v>53.505424499511697</v>
      </c>
      <c r="D1477" s="12">
        <v>2012</v>
      </c>
    </row>
    <row r="1478" spans="1:4" ht="19.95" customHeight="1" x14ac:dyDescent="0.25">
      <c r="A1478" s="11" t="s">
        <v>30</v>
      </c>
      <c r="B1478" s="12" t="s">
        <v>14</v>
      </c>
      <c r="C1478" s="12">
        <v>75.057662963867202</v>
      </c>
      <c r="D1478" s="12">
        <v>2012</v>
      </c>
    </row>
    <row r="1479" spans="1:4" ht="19.95" customHeight="1" x14ac:dyDescent="0.25">
      <c r="A1479" s="11" t="s">
        <v>31</v>
      </c>
      <c r="B1479" s="12" t="s">
        <v>14</v>
      </c>
      <c r="C1479" s="12">
        <v>79.275695800781307</v>
      </c>
      <c r="D1479" s="12">
        <v>2012</v>
      </c>
    </row>
    <row r="1480" spans="1:4" ht="19.95" customHeight="1" x14ac:dyDescent="0.25">
      <c r="A1480" s="11" t="s">
        <v>32</v>
      </c>
      <c r="B1480" s="12" t="s">
        <v>14</v>
      </c>
      <c r="C1480" s="12">
        <v>14.4</v>
      </c>
      <c r="D1480" s="12">
        <v>2012</v>
      </c>
    </row>
    <row r="1481" spans="1:4" ht="19.95" customHeight="1" x14ac:dyDescent="0.25">
      <c r="A1481" s="11" t="s">
        <v>33</v>
      </c>
      <c r="B1481" s="12" t="s">
        <v>14</v>
      </c>
      <c r="C1481" s="12">
        <v>16.069776535034201</v>
      </c>
      <c r="D1481" s="12">
        <v>2012</v>
      </c>
    </row>
    <row r="1482" spans="1:4" ht="19.95" customHeight="1" x14ac:dyDescent="0.25">
      <c r="A1482" s="11" t="s">
        <v>34</v>
      </c>
      <c r="B1482" s="12" t="s">
        <v>14</v>
      </c>
      <c r="C1482" s="12">
        <v>57.9</v>
      </c>
      <c r="D1482" s="12">
        <v>2012</v>
      </c>
    </row>
    <row r="1483" spans="1:4" ht="19.95" customHeight="1" x14ac:dyDescent="0.25">
      <c r="A1483" s="11" t="s">
        <v>35</v>
      </c>
      <c r="B1483" s="12" t="s">
        <v>14</v>
      </c>
      <c r="C1483" s="12">
        <v>88.808395385742202</v>
      </c>
      <c r="D1483" s="12">
        <v>2012</v>
      </c>
    </row>
    <row r="1484" spans="1:4" ht="19.95" customHeight="1" x14ac:dyDescent="0.25">
      <c r="A1484" s="11" t="s">
        <v>36</v>
      </c>
      <c r="B1484" s="12" t="s">
        <v>14</v>
      </c>
      <c r="C1484" s="12">
        <v>99.1</v>
      </c>
      <c r="D1484" s="12">
        <v>2012</v>
      </c>
    </row>
    <row r="1485" spans="1:4" ht="19.95" customHeight="1" x14ac:dyDescent="0.25">
      <c r="A1485" s="11" t="s">
        <v>37</v>
      </c>
      <c r="B1485" s="12" t="s">
        <v>14</v>
      </c>
      <c r="C1485" s="12">
        <v>15.3</v>
      </c>
      <c r="D1485" s="12">
        <v>2012</v>
      </c>
    </row>
    <row r="1486" spans="1:4" ht="19.95" customHeight="1" x14ac:dyDescent="0.25">
      <c r="A1486" s="11" t="s">
        <v>38</v>
      </c>
      <c r="B1486" s="12" t="s">
        <v>14</v>
      </c>
      <c r="C1486" s="12">
        <v>16.214963912963899</v>
      </c>
      <c r="D1486" s="12">
        <v>2012</v>
      </c>
    </row>
    <row r="1487" spans="1:4" ht="19.95" customHeight="1" x14ac:dyDescent="0.25">
      <c r="A1487" s="11" t="s">
        <v>39</v>
      </c>
      <c r="B1487" s="12" t="s">
        <v>14</v>
      </c>
      <c r="C1487" s="12">
        <v>24.894666671752901</v>
      </c>
      <c r="D1487" s="12">
        <v>2012</v>
      </c>
    </row>
    <row r="1488" spans="1:4" ht="19.95" customHeight="1" x14ac:dyDescent="0.25">
      <c r="A1488" s="11" t="s">
        <v>40</v>
      </c>
      <c r="B1488" s="12" t="s">
        <v>14</v>
      </c>
      <c r="C1488" s="12">
        <v>36.728878021240199</v>
      </c>
      <c r="D1488" s="12">
        <v>2012</v>
      </c>
    </row>
    <row r="1489" spans="1:4" ht="19.95" customHeight="1" x14ac:dyDescent="0.25">
      <c r="A1489" s="11" t="s">
        <v>10</v>
      </c>
      <c r="B1489" s="12" t="s">
        <v>14</v>
      </c>
      <c r="C1489" s="12">
        <v>6.5833191871643102</v>
      </c>
      <c r="D1489" s="12">
        <v>2013</v>
      </c>
    </row>
    <row r="1490" spans="1:4" ht="19.95" customHeight="1" x14ac:dyDescent="0.25">
      <c r="A1490" s="11" t="s">
        <v>13</v>
      </c>
      <c r="B1490" s="12" t="s">
        <v>14</v>
      </c>
      <c r="C1490" s="12">
        <v>56.449779510498097</v>
      </c>
      <c r="D1490" s="12">
        <v>2013</v>
      </c>
    </row>
    <row r="1491" spans="1:4" ht="19.95" customHeight="1" x14ac:dyDescent="0.25">
      <c r="A1491" s="11" t="s">
        <v>15</v>
      </c>
      <c r="B1491" s="12" t="s">
        <v>14</v>
      </c>
      <c r="C1491" s="12">
        <v>7.5036730766296396</v>
      </c>
      <c r="D1491" s="12">
        <v>2013</v>
      </c>
    </row>
    <row r="1492" spans="1:4" ht="19.95" customHeight="1" x14ac:dyDescent="0.25">
      <c r="A1492" s="11" t="s">
        <v>16</v>
      </c>
      <c r="B1492" s="12" t="s">
        <v>14</v>
      </c>
      <c r="C1492" s="12">
        <v>70.457733154296903</v>
      </c>
      <c r="D1492" s="12">
        <v>2013</v>
      </c>
    </row>
    <row r="1493" spans="1:4" ht="19.95" customHeight="1" x14ac:dyDescent="0.25">
      <c r="A1493" s="11" t="s">
        <v>17</v>
      </c>
      <c r="B1493" s="12" t="s">
        <v>14</v>
      </c>
      <c r="C1493" s="12">
        <v>52.515945434570298</v>
      </c>
      <c r="D1493" s="12">
        <v>2013</v>
      </c>
    </row>
    <row r="1494" spans="1:4" ht="19.95" customHeight="1" x14ac:dyDescent="0.25">
      <c r="A1494" s="11" t="s">
        <v>2</v>
      </c>
      <c r="B1494" s="12" t="s">
        <v>14</v>
      </c>
      <c r="C1494" s="12">
        <v>30.0434875488281</v>
      </c>
      <c r="D1494" s="12">
        <v>2013</v>
      </c>
    </row>
    <row r="1495" spans="1:4" ht="19.95" customHeight="1" x14ac:dyDescent="0.25">
      <c r="A1495" s="11" t="s">
        <v>18</v>
      </c>
      <c r="B1495" s="12" t="s">
        <v>14</v>
      </c>
      <c r="C1495" s="12">
        <v>28.8839321136475</v>
      </c>
      <c r="D1495" s="12">
        <v>2013</v>
      </c>
    </row>
    <row r="1496" spans="1:4" ht="19.95" customHeight="1" x14ac:dyDescent="0.25">
      <c r="A1496" s="11" t="s">
        <v>19</v>
      </c>
      <c r="B1496" s="12" t="s">
        <v>14</v>
      </c>
      <c r="C1496" s="12">
        <v>37.287055969238303</v>
      </c>
      <c r="D1496" s="12">
        <v>2013</v>
      </c>
    </row>
    <row r="1497" spans="1:4" ht="19.95" customHeight="1" x14ac:dyDescent="0.25">
      <c r="A1497" s="11" t="s">
        <v>20</v>
      </c>
      <c r="B1497" s="12" t="s">
        <v>14</v>
      </c>
      <c r="C1497" s="12">
        <v>31.554456710815401</v>
      </c>
      <c r="D1497" s="12">
        <v>2013</v>
      </c>
    </row>
    <row r="1498" spans="1:4" ht="19.95" customHeight="1" x14ac:dyDescent="0.25">
      <c r="A1498" s="11" t="s">
        <v>21</v>
      </c>
      <c r="B1498" s="12" t="s">
        <v>14</v>
      </c>
      <c r="C1498" s="12">
        <v>99.9425048828125</v>
      </c>
      <c r="D1498" s="12">
        <v>2013</v>
      </c>
    </row>
    <row r="1499" spans="1:4" ht="19.95" customHeight="1" x14ac:dyDescent="0.25">
      <c r="A1499" s="11" t="s">
        <v>22</v>
      </c>
      <c r="B1499" s="12" t="s">
        <v>14</v>
      </c>
      <c r="C1499" s="12">
        <v>9.8000000000000007</v>
      </c>
      <c r="D1499" s="12">
        <v>2013</v>
      </c>
    </row>
    <row r="1500" spans="1:4" ht="19.95" customHeight="1" x14ac:dyDescent="0.25">
      <c r="A1500" s="11" t="s">
        <v>23</v>
      </c>
      <c r="B1500" s="12" t="s">
        <v>14</v>
      </c>
      <c r="C1500" s="12">
        <v>12.9</v>
      </c>
      <c r="D1500" s="12">
        <v>2013</v>
      </c>
    </row>
    <row r="1501" spans="1:4" ht="19.95" customHeight="1" x14ac:dyDescent="0.25">
      <c r="A1501" s="11" t="s">
        <v>24</v>
      </c>
      <c r="B1501" s="12" t="s">
        <v>14</v>
      </c>
      <c r="C1501" s="12">
        <v>9</v>
      </c>
      <c r="D1501" s="12">
        <v>2013</v>
      </c>
    </row>
    <row r="1502" spans="1:4" ht="19.95" customHeight="1" x14ac:dyDescent="0.25">
      <c r="A1502" s="11" t="s">
        <v>25</v>
      </c>
      <c r="B1502" s="12" t="s">
        <v>14</v>
      </c>
      <c r="C1502" s="12">
        <v>30.206607818603501</v>
      </c>
      <c r="D1502" s="12">
        <v>2013</v>
      </c>
    </row>
    <row r="1503" spans="1:4" ht="19.95" customHeight="1" x14ac:dyDescent="0.25">
      <c r="A1503" s="11" t="s">
        <v>26</v>
      </c>
      <c r="B1503" s="12" t="s">
        <v>14</v>
      </c>
      <c r="C1503" s="12">
        <v>100</v>
      </c>
      <c r="D1503" s="12">
        <v>2013</v>
      </c>
    </row>
    <row r="1504" spans="1:4" ht="19.95" customHeight="1" x14ac:dyDescent="0.25">
      <c r="A1504" s="11" t="s">
        <v>27</v>
      </c>
      <c r="B1504" s="12" t="s">
        <v>14</v>
      </c>
      <c r="C1504" s="12">
        <v>20.7008457183838</v>
      </c>
      <c r="D1504" s="12">
        <v>2013</v>
      </c>
    </row>
    <row r="1505" spans="1:4" ht="19.95" customHeight="1" x14ac:dyDescent="0.25">
      <c r="A1505" s="11" t="s">
        <v>29</v>
      </c>
      <c r="B1505" s="12" t="s">
        <v>14</v>
      </c>
      <c r="C1505" s="12">
        <v>54.375282287597699</v>
      </c>
      <c r="D1505" s="12">
        <v>2013</v>
      </c>
    </row>
    <row r="1506" spans="1:4" ht="19.95" customHeight="1" x14ac:dyDescent="0.25">
      <c r="A1506" s="11" t="s">
        <v>30</v>
      </c>
      <c r="B1506" s="12" t="s">
        <v>14</v>
      </c>
      <c r="C1506" s="12">
        <v>79.104644775390597</v>
      </c>
      <c r="D1506" s="12">
        <v>2013</v>
      </c>
    </row>
    <row r="1507" spans="1:4" ht="19.95" customHeight="1" x14ac:dyDescent="0.25">
      <c r="A1507" s="11" t="s">
        <v>31</v>
      </c>
      <c r="B1507" s="12" t="s">
        <v>14</v>
      </c>
      <c r="C1507" s="12">
        <v>79.899841308593807</v>
      </c>
      <c r="D1507" s="12">
        <v>2013</v>
      </c>
    </row>
    <row r="1508" spans="1:4" ht="19.95" customHeight="1" x14ac:dyDescent="0.25">
      <c r="A1508" s="11" t="s">
        <v>32</v>
      </c>
      <c r="B1508" s="12" t="s">
        <v>14</v>
      </c>
      <c r="C1508" s="12">
        <v>14.4404544830322</v>
      </c>
      <c r="D1508" s="12">
        <v>2013</v>
      </c>
    </row>
    <row r="1509" spans="1:4" ht="19.95" customHeight="1" x14ac:dyDescent="0.25">
      <c r="A1509" s="11" t="s">
        <v>33</v>
      </c>
      <c r="B1509" s="12" t="s">
        <v>14</v>
      </c>
      <c r="C1509" s="12">
        <v>15.2</v>
      </c>
      <c r="D1509" s="12">
        <v>2013</v>
      </c>
    </row>
    <row r="1510" spans="1:4" ht="19.95" customHeight="1" x14ac:dyDescent="0.25">
      <c r="A1510" s="11" t="s">
        <v>34</v>
      </c>
      <c r="B1510" s="12" t="s">
        <v>14</v>
      </c>
      <c r="C1510" s="12">
        <v>62.653480529785199</v>
      </c>
      <c r="D1510" s="12">
        <v>2013</v>
      </c>
    </row>
    <row r="1511" spans="1:4" ht="19.95" customHeight="1" x14ac:dyDescent="0.25">
      <c r="A1511" s="11" t="s">
        <v>35</v>
      </c>
      <c r="B1511" s="12" t="s">
        <v>14</v>
      </c>
      <c r="C1511" s="12">
        <v>90.2</v>
      </c>
      <c r="D1511" s="12">
        <v>2013</v>
      </c>
    </row>
    <row r="1512" spans="1:4" ht="19.95" customHeight="1" x14ac:dyDescent="0.25">
      <c r="A1512" s="11" t="s">
        <v>36</v>
      </c>
      <c r="B1512" s="12" t="s">
        <v>14</v>
      </c>
      <c r="C1512" s="12">
        <v>99.917449951171903</v>
      </c>
      <c r="D1512" s="12">
        <v>2013</v>
      </c>
    </row>
    <row r="1513" spans="1:4" ht="19.95" customHeight="1" x14ac:dyDescent="0.25">
      <c r="A1513" s="11" t="s">
        <v>37</v>
      </c>
      <c r="B1513" s="12" t="s">
        <v>14</v>
      </c>
      <c r="C1513" s="12">
        <v>16.399999999999999</v>
      </c>
      <c r="D1513" s="12">
        <v>2013</v>
      </c>
    </row>
    <row r="1514" spans="1:4" ht="19.95" customHeight="1" x14ac:dyDescent="0.25">
      <c r="A1514" s="11" t="s">
        <v>38</v>
      </c>
      <c r="B1514" s="12" t="s">
        <v>14</v>
      </c>
      <c r="C1514" s="12">
        <v>13.9</v>
      </c>
      <c r="D1514" s="12">
        <v>2013</v>
      </c>
    </row>
    <row r="1515" spans="1:4" ht="19.95" customHeight="1" x14ac:dyDescent="0.25">
      <c r="A1515" s="11" t="s">
        <v>39</v>
      </c>
      <c r="B1515" s="12" t="s">
        <v>14</v>
      </c>
      <c r="C1515" s="12">
        <v>25.469701766967798</v>
      </c>
      <c r="D1515" s="12">
        <v>2013</v>
      </c>
    </row>
    <row r="1516" spans="1:4" ht="19.95" customHeight="1" x14ac:dyDescent="0.25">
      <c r="A1516" s="11" t="s">
        <v>40</v>
      </c>
      <c r="B1516" s="12" t="s">
        <v>14</v>
      </c>
      <c r="C1516" s="12">
        <v>37.076812744140597</v>
      </c>
      <c r="D1516" s="12">
        <v>2013</v>
      </c>
    </row>
    <row r="1517" spans="1:4" ht="19.95" customHeight="1" x14ac:dyDescent="0.25">
      <c r="A1517" s="11" t="s">
        <v>10</v>
      </c>
      <c r="B1517" s="12" t="s">
        <v>14</v>
      </c>
      <c r="C1517" s="12">
        <v>7</v>
      </c>
      <c r="D1517" s="12">
        <v>2014</v>
      </c>
    </row>
    <row r="1518" spans="1:4" ht="19.95" customHeight="1" x14ac:dyDescent="0.25">
      <c r="A1518" s="11" t="s">
        <v>13</v>
      </c>
      <c r="B1518" s="12" t="s">
        <v>14</v>
      </c>
      <c r="C1518" s="12">
        <v>56.8</v>
      </c>
      <c r="D1518" s="12">
        <v>2014</v>
      </c>
    </row>
    <row r="1519" spans="1:4" ht="19.95" customHeight="1" x14ac:dyDescent="0.25">
      <c r="A1519" s="11" t="s">
        <v>15</v>
      </c>
      <c r="B1519" s="12" t="s">
        <v>14</v>
      </c>
      <c r="C1519" s="12">
        <v>7.9439120292663601</v>
      </c>
      <c r="D1519" s="12">
        <v>2014</v>
      </c>
    </row>
    <row r="1520" spans="1:4" ht="19.95" customHeight="1" x14ac:dyDescent="0.25">
      <c r="A1520" s="11" t="s">
        <v>16</v>
      </c>
      <c r="B1520" s="12" t="s">
        <v>14</v>
      </c>
      <c r="C1520" s="12">
        <v>72.917724609375</v>
      </c>
      <c r="D1520" s="12">
        <v>2014</v>
      </c>
    </row>
    <row r="1521" spans="1:4" ht="19.95" customHeight="1" x14ac:dyDescent="0.25">
      <c r="A1521" s="11" t="s">
        <v>17</v>
      </c>
      <c r="B1521" s="12" t="s">
        <v>14</v>
      </c>
      <c r="C1521" s="12">
        <v>52.269359588622997</v>
      </c>
      <c r="D1521" s="12">
        <v>2014</v>
      </c>
    </row>
    <row r="1522" spans="1:4" ht="19.95" customHeight="1" x14ac:dyDescent="0.25">
      <c r="A1522" s="11" t="s">
        <v>2</v>
      </c>
      <c r="B1522" s="12" t="s">
        <v>14</v>
      </c>
      <c r="C1522" s="12">
        <v>27.2</v>
      </c>
      <c r="D1522" s="12">
        <v>2014</v>
      </c>
    </row>
    <row r="1523" spans="1:4" ht="19.95" customHeight="1" x14ac:dyDescent="0.25">
      <c r="A1523" s="11" t="s">
        <v>18</v>
      </c>
      <c r="B1523" s="12" t="s">
        <v>14</v>
      </c>
      <c r="C1523" s="12">
        <v>29.922040939331101</v>
      </c>
      <c r="D1523" s="12">
        <v>2014</v>
      </c>
    </row>
    <row r="1524" spans="1:4" ht="19.95" customHeight="1" x14ac:dyDescent="0.25">
      <c r="A1524" s="11" t="s">
        <v>19</v>
      </c>
      <c r="B1524" s="12" t="s">
        <v>14</v>
      </c>
      <c r="C1524" s="12">
        <v>37.752590179443402</v>
      </c>
      <c r="D1524" s="12">
        <v>2014</v>
      </c>
    </row>
    <row r="1525" spans="1:4" ht="19.95" customHeight="1" x14ac:dyDescent="0.25">
      <c r="A1525" s="11" t="s">
        <v>20</v>
      </c>
      <c r="B1525" s="12" t="s">
        <v>14</v>
      </c>
      <c r="C1525" s="12">
        <v>36</v>
      </c>
      <c r="D1525" s="12">
        <v>2014</v>
      </c>
    </row>
    <row r="1526" spans="1:4" ht="19.95" customHeight="1" x14ac:dyDescent="0.25">
      <c r="A1526" s="11" t="s">
        <v>21</v>
      </c>
      <c r="B1526" s="12" t="s">
        <v>14</v>
      </c>
      <c r="C1526" s="12">
        <v>99.993133544921903</v>
      </c>
      <c r="D1526" s="12">
        <v>2014</v>
      </c>
    </row>
    <row r="1527" spans="1:4" ht="19.95" customHeight="1" x14ac:dyDescent="0.25">
      <c r="A1527" s="11" t="s">
        <v>22</v>
      </c>
      <c r="B1527" s="12" t="s">
        <v>14</v>
      </c>
      <c r="C1527" s="12">
        <v>9.4</v>
      </c>
      <c r="D1527" s="12">
        <v>2014</v>
      </c>
    </row>
    <row r="1528" spans="1:4" ht="19.95" customHeight="1" x14ac:dyDescent="0.25">
      <c r="A1528" s="11" t="s">
        <v>23</v>
      </c>
      <c r="B1528" s="12" t="s">
        <v>14</v>
      </c>
      <c r="C1528" s="12">
        <v>18.5967807769775</v>
      </c>
      <c r="D1528" s="12">
        <v>2014</v>
      </c>
    </row>
    <row r="1529" spans="1:4" ht="19.95" customHeight="1" x14ac:dyDescent="0.25">
      <c r="A1529" s="11" t="s">
        <v>24</v>
      </c>
      <c r="B1529" s="12" t="s">
        <v>14</v>
      </c>
      <c r="C1529" s="12">
        <v>11.9</v>
      </c>
      <c r="D1529" s="12">
        <v>2014</v>
      </c>
    </row>
    <row r="1530" spans="1:4" ht="19.95" customHeight="1" x14ac:dyDescent="0.25">
      <c r="A1530" s="11" t="s">
        <v>25</v>
      </c>
      <c r="B1530" s="12" t="s">
        <v>14</v>
      </c>
      <c r="C1530" s="12">
        <v>31.825401306152301</v>
      </c>
      <c r="D1530" s="12">
        <v>2014</v>
      </c>
    </row>
    <row r="1531" spans="1:4" ht="19.95" customHeight="1" x14ac:dyDescent="0.25">
      <c r="A1531" s="11" t="s">
        <v>26</v>
      </c>
      <c r="B1531" s="12" t="s">
        <v>14</v>
      </c>
      <c r="C1531" s="12">
        <v>100</v>
      </c>
      <c r="D1531" s="12">
        <v>2014</v>
      </c>
    </row>
    <row r="1532" spans="1:4" ht="19.95" customHeight="1" x14ac:dyDescent="0.25">
      <c r="A1532" s="11" t="s">
        <v>27</v>
      </c>
      <c r="B1532" s="12" t="s">
        <v>14</v>
      </c>
      <c r="C1532" s="12">
        <v>21.864507675170799</v>
      </c>
      <c r="D1532" s="12">
        <v>2014</v>
      </c>
    </row>
    <row r="1533" spans="1:4" ht="19.95" customHeight="1" x14ac:dyDescent="0.25">
      <c r="A1533" s="11" t="s">
        <v>29</v>
      </c>
      <c r="B1533" s="12" t="s">
        <v>14</v>
      </c>
      <c r="C1533" s="12">
        <v>52</v>
      </c>
      <c r="D1533" s="12">
        <v>2014</v>
      </c>
    </row>
    <row r="1534" spans="1:4" ht="19.95" customHeight="1" x14ac:dyDescent="0.25">
      <c r="A1534" s="11" t="s">
        <v>30</v>
      </c>
      <c r="B1534" s="12" t="s">
        <v>14</v>
      </c>
      <c r="C1534" s="12">
        <v>84.9</v>
      </c>
      <c r="D1534" s="12">
        <v>2014</v>
      </c>
    </row>
    <row r="1535" spans="1:4" ht="19.95" customHeight="1" x14ac:dyDescent="0.25">
      <c r="A1535" s="11" t="s">
        <v>31</v>
      </c>
      <c r="B1535" s="12" t="s">
        <v>14</v>
      </c>
      <c r="C1535" s="12">
        <v>81.853072999999995</v>
      </c>
      <c r="D1535" s="12">
        <v>2014</v>
      </c>
    </row>
    <row r="1536" spans="1:4" ht="19.95" customHeight="1" x14ac:dyDescent="0.25">
      <c r="A1536" s="11" t="s">
        <v>32</v>
      </c>
      <c r="B1536" s="12" t="s">
        <v>14</v>
      </c>
      <c r="C1536" s="12">
        <v>15.0305442810059</v>
      </c>
      <c r="D1536" s="12">
        <v>2014</v>
      </c>
    </row>
    <row r="1537" spans="1:4" ht="19.95" customHeight="1" x14ac:dyDescent="0.25">
      <c r="A1537" s="11" t="s">
        <v>33</v>
      </c>
      <c r="B1537" s="12" t="s">
        <v>14</v>
      </c>
      <c r="C1537" s="12">
        <v>19.8</v>
      </c>
      <c r="D1537" s="12">
        <v>2014</v>
      </c>
    </row>
    <row r="1538" spans="1:4" ht="19.95" customHeight="1" x14ac:dyDescent="0.25">
      <c r="A1538" s="11" t="s">
        <v>34</v>
      </c>
      <c r="B1538" s="12" t="s">
        <v>14</v>
      </c>
      <c r="C1538" s="12">
        <v>68.599999999999994</v>
      </c>
      <c r="D1538" s="12">
        <v>2014</v>
      </c>
    </row>
    <row r="1539" spans="1:4" ht="19.95" customHeight="1" x14ac:dyDescent="0.25">
      <c r="A1539" s="11" t="s">
        <v>35</v>
      </c>
      <c r="B1539" s="12" t="s">
        <v>14</v>
      </c>
      <c r="C1539" s="12">
        <v>92.192062377929702</v>
      </c>
      <c r="D1539" s="12">
        <v>2014</v>
      </c>
    </row>
    <row r="1540" spans="1:4" ht="19.95" customHeight="1" x14ac:dyDescent="0.25">
      <c r="A1540" s="11" t="s">
        <v>36</v>
      </c>
      <c r="B1540" s="12" t="s">
        <v>14</v>
      </c>
      <c r="C1540" s="12">
        <v>99.978408813476605</v>
      </c>
      <c r="D1540" s="12">
        <v>2014</v>
      </c>
    </row>
    <row r="1541" spans="1:4" ht="19.95" customHeight="1" x14ac:dyDescent="0.25">
      <c r="A1541" s="11" t="s">
        <v>37</v>
      </c>
      <c r="B1541" s="12" t="s">
        <v>14</v>
      </c>
      <c r="C1541" s="12">
        <v>18.910179138183601</v>
      </c>
      <c r="D1541" s="12">
        <v>2014</v>
      </c>
    </row>
    <row r="1542" spans="1:4" ht="19.95" customHeight="1" x14ac:dyDescent="0.25">
      <c r="A1542" s="11" t="s">
        <v>38</v>
      </c>
      <c r="B1542" s="12" t="s">
        <v>14</v>
      </c>
      <c r="C1542" s="12">
        <v>20.399999999999999</v>
      </c>
      <c r="D1542" s="12">
        <v>2014</v>
      </c>
    </row>
    <row r="1543" spans="1:4" ht="19.95" customHeight="1" x14ac:dyDescent="0.25">
      <c r="A1543" s="11" t="s">
        <v>39</v>
      </c>
      <c r="B1543" s="12" t="s">
        <v>14</v>
      </c>
      <c r="C1543" s="12">
        <v>27.9</v>
      </c>
      <c r="D1543" s="12">
        <v>2014</v>
      </c>
    </row>
    <row r="1544" spans="1:4" ht="19.95" customHeight="1" x14ac:dyDescent="0.25">
      <c r="A1544" s="11" t="s">
        <v>40</v>
      </c>
      <c r="B1544" s="12" t="s">
        <v>14</v>
      </c>
      <c r="C1544" s="12">
        <v>32.299999999999997</v>
      </c>
      <c r="D1544" s="12">
        <v>2014</v>
      </c>
    </row>
    <row r="1545" spans="1:4" ht="19.95" customHeight="1" x14ac:dyDescent="0.25">
      <c r="A1545" s="11" t="s">
        <v>10</v>
      </c>
      <c r="B1545" s="12" t="s">
        <v>14</v>
      </c>
      <c r="C1545" s="12">
        <v>7.2520895004272496</v>
      </c>
      <c r="D1545" s="12">
        <v>2015</v>
      </c>
    </row>
    <row r="1546" spans="1:4" ht="19.95" customHeight="1" x14ac:dyDescent="0.25">
      <c r="A1546" s="11" t="s">
        <v>13</v>
      </c>
      <c r="B1546" s="12" t="s">
        <v>14</v>
      </c>
      <c r="C1546" s="12">
        <v>58.865100860595703</v>
      </c>
      <c r="D1546" s="12">
        <v>2015</v>
      </c>
    </row>
    <row r="1547" spans="1:4" ht="19.95" customHeight="1" x14ac:dyDescent="0.25">
      <c r="A1547" s="11" t="s">
        <v>15</v>
      </c>
      <c r="B1547" s="12" t="s">
        <v>14</v>
      </c>
      <c r="C1547" s="12">
        <v>7.7</v>
      </c>
      <c r="D1547" s="12">
        <v>2015</v>
      </c>
    </row>
    <row r="1548" spans="1:4" ht="19.95" customHeight="1" x14ac:dyDescent="0.25">
      <c r="A1548" s="11" t="s">
        <v>16</v>
      </c>
      <c r="B1548" s="12" t="s">
        <v>14</v>
      </c>
      <c r="C1548" s="12">
        <v>75.380714416503906</v>
      </c>
      <c r="D1548" s="12">
        <v>2015</v>
      </c>
    </row>
    <row r="1549" spans="1:4" ht="19.95" customHeight="1" x14ac:dyDescent="0.25">
      <c r="A1549" s="11" t="s">
        <v>17</v>
      </c>
      <c r="B1549" s="12" t="s">
        <v>14</v>
      </c>
      <c r="C1549" s="12">
        <v>52.0257759094238</v>
      </c>
      <c r="D1549" s="12">
        <v>2015</v>
      </c>
    </row>
    <row r="1550" spans="1:4" ht="19.95" customHeight="1" x14ac:dyDescent="0.25">
      <c r="A1550" s="11" t="s">
        <v>2</v>
      </c>
      <c r="B1550" s="12" t="s">
        <v>14</v>
      </c>
      <c r="C1550" s="12">
        <v>33.418590545654197</v>
      </c>
      <c r="D1550" s="12">
        <v>2015</v>
      </c>
    </row>
    <row r="1551" spans="1:4" ht="19.95" customHeight="1" x14ac:dyDescent="0.25">
      <c r="A1551" s="11" t="s">
        <v>18</v>
      </c>
      <c r="B1551" s="12" t="s">
        <v>14</v>
      </c>
      <c r="C1551" s="12">
        <v>30.963151931762699</v>
      </c>
      <c r="D1551" s="12">
        <v>2015</v>
      </c>
    </row>
    <row r="1552" spans="1:4" ht="19.95" customHeight="1" x14ac:dyDescent="0.25">
      <c r="A1552" s="11" t="s">
        <v>19</v>
      </c>
      <c r="B1552" s="12" t="s">
        <v>14</v>
      </c>
      <c r="C1552" s="12">
        <v>38.221126556396499</v>
      </c>
      <c r="D1552" s="12">
        <v>2015</v>
      </c>
    </row>
    <row r="1553" spans="1:4" ht="19.95" customHeight="1" x14ac:dyDescent="0.25">
      <c r="A1553" s="11" t="s">
        <v>20</v>
      </c>
      <c r="B1553" s="12" t="s">
        <v>14</v>
      </c>
      <c r="C1553" s="12">
        <v>41.6</v>
      </c>
      <c r="D1553" s="12">
        <v>2015</v>
      </c>
    </row>
    <row r="1554" spans="1:4" ht="19.95" customHeight="1" x14ac:dyDescent="0.25">
      <c r="A1554" s="11" t="s">
        <v>21</v>
      </c>
      <c r="B1554" s="12" t="s">
        <v>14</v>
      </c>
      <c r="C1554" s="12">
        <v>100</v>
      </c>
      <c r="D1554" s="12">
        <v>2015</v>
      </c>
    </row>
    <row r="1555" spans="1:4" ht="19.95" customHeight="1" x14ac:dyDescent="0.25">
      <c r="A1555" s="11" t="s">
        <v>22</v>
      </c>
      <c r="B1555" s="12" t="s">
        <v>14</v>
      </c>
      <c r="C1555" s="12">
        <v>13.840091705322299</v>
      </c>
      <c r="D1555" s="12">
        <v>2015</v>
      </c>
    </row>
    <row r="1556" spans="1:4" ht="19.95" customHeight="1" x14ac:dyDescent="0.25">
      <c r="A1556" s="11" t="s">
        <v>23</v>
      </c>
      <c r="B1556" s="12" t="s">
        <v>14</v>
      </c>
      <c r="C1556" s="12">
        <v>19.035060882568398</v>
      </c>
      <c r="D1556" s="12">
        <v>2015</v>
      </c>
    </row>
    <row r="1557" spans="1:4" ht="19.95" customHeight="1" x14ac:dyDescent="0.25">
      <c r="A1557" s="11" t="s">
        <v>24</v>
      </c>
      <c r="B1557" s="12" t="s">
        <v>14</v>
      </c>
      <c r="C1557" s="12">
        <v>10.8</v>
      </c>
      <c r="D1557" s="12">
        <v>2015</v>
      </c>
    </row>
    <row r="1558" spans="1:4" ht="19.95" customHeight="1" x14ac:dyDescent="0.25">
      <c r="A1558" s="11" t="s">
        <v>25</v>
      </c>
      <c r="B1558" s="12" t="s">
        <v>14</v>
      </c>
      <c r="C1558" s="12">
        <v>37.6</v>
      </c>
      <c r="D1558" s="12">
        <v>2015</v>
      </c>
    </row>
    <row r="1559" spans="1:4" ht="19.95" customHeight="1" x14ac:dyDescent="0.25">
      <c r="A1559" s="11" t="s">
        <v>26</v>
      </c>
      <c r="B1559" s="12" t="s">
        <v>14</v>
      </c>
      <c r="C1559" s="12">
        <v>100</v>
      </c>
      <c r="D1559" s="12">
        <v>2015</v>
      </c>
    </row>
    <row r="1560" spans="1:4" ht="19.95" customHeight="1" x14ac:dyDescent="0.25">
      <c r="A1560" s="11" t="s">
        <v>27</v>
      </c>
      <c r="B1560" s="12" t="s">
        <v>14</v>
      </c>
      <c r="C1560" s="12">
        <v>24</v>
      </c>
      <c r="D1560" s="12">
        <v>2015</v>
      </c>
    </row>
    <row r="1561" spans="1:4" ht="19.95" customHeight="1" x14ac:dyDescent="0.25">
      <c r="A1561" s="11" t="s">
        <v>29</v>
      </c>
      <c r="B1561" s="12" t="s">
        <v>14</v>
      </c>
      <c r="C1561" s="12">
        <v>60.5</v>
      </c>
      <c r="D1561" s="12">
        <v>2015</v>
      </c>
    </row>
    <row r="1562" spans="1:4" ht="19.95" customHeight="1" x14ac:dyDescent="0.25">
      <c r="A1562" s="11" t="s">
        <v>30</v>
      </c>
      <c r="B1562" s="12" t="s">
        <v>14</v>
      </c>
      <c r="C1562" s="12">
        <v>87.213623046875</v>
      </c>
      <c r="D1562" s="12">
        <v>2015</v>
      </c>
    </row>
    <row r="1563" spans="1:4" ht="19.95" customHeight="1" x14ac:dyDescent="0.25">
      <c r="A1563" s="11" t="s">
        <v>31</v>
      </c>
      <c r="B1563" s="12" t="s">
        <v>14</v>
      </c>
      <c r="C1563" s="12">
        <v>81.163139343261705</v>
      </c>
      <c r="D1563" s="12">
        <v>2015</v>
      </c>
    </row>
    <row r="1564" spans="1:4" ht="19.95" customHeight="1" x14ac:dyDescent="0.25">
      <c r="A1564" s="11" t="s">
        <v>32</v>
      </c>
      <c r="B1564" s="12" t="s">
        <v>14</v>
      </c>
      <c r="C1564" s="12">
        <v>16.600000000000001</v>
      </c>
      <c r="D1564" s="12">
        <v>2015</v>
      </c>
    </row>
    <row r="1565" spans="1:4" ht="19.95" customHeight="1" x14ac:dyDescent="0.25">
      <c r="A1565" s="11" t="s">
        <v>33</v>
      </c>
      <c r="B1565" s="12" t="s">
        <v>14</v>
      </c>
      <c r="C1565" s="12">
        <v>22.8</v>
      </c>
      <c r="D1565" s="12">
        <v>2015</v>
      </c>
    </row>
    <row r="1566" spans="1:4" ht="19.95" customHeight="1" x14ac:dyDescent="0.25">
      <c r="A1566" s="11" t="s">
        <v>34</v>
      </c>
      <c r="B1566" s="12" t="s">
        <v>14</v>
      </c>
      <c r="C1566" s="12">
        <v>64.510147094726605</v>
      </c>
      <c r="D1566" s="12">
        <v>2015</v>
      </c>
    </row>
    <row r="1567" spans="1:4" ht="19.95" customHeight="1" x14ac:dyDescent="0.25">
      <c r="A1567" s="11" t="s">
        <v>35</v>
      </c>
      <c r="B1567" s="12" t="s">
        <v>14</v>
      </c>
      <c r="C1567" s="12">
        <v>93.889900207519503</v>
      </c>
      <c r="D1567" s="12">
        <v>2015</v>
      </c>
    </row>
    <row r="1568" spans="1:4" ht="19.95" customHeight="1" x14ac:dyDescent="0.25">
      <c r="A1568" s="11" t="s">
        <v>36</v>
      </c>
      <c r="B1568" s="12" t="s">
        <v>14</v>
      </c>
      <c r="C1568" s="12">
        <v>99.997352600097599</v>
      </c>
      <c r="D1568" s="12">
        <v>2015</v>
      </c>
    </row>
    <row r="1569" spans="1:4" ht="19.95" customHeight="1" x14ac:dyDescent="0.25">
      <c r="A1569" s="11" t="s">
        <v>37</v>
      </c>
      <c r="B1569" s="12" t="s">
        <v>14</v>
      </c>
      <c r="C1569" s="12">
        <v>18.5</v>
      </c>
      <c r="D1569" s="12">
        <v>2015</v>
      </c>
    </row>
    <row r="1570" spans="1:4" ht="19.95" customHeight="1" x14ac:dyDescent="0.25">
      <c r="A1570" s="11" t="s">
        <v>38</v>
      </c>
      <c r="B1570" s="12" t="s">
        <v>14</v>
      </c>
      <c r="C1570" s="12">
        <v>18.5</v>
      </c>
      <c r="D1570" s="12">
        <v>2015</v>
      </c>
    </row>
    <row r="1571" spans="1:4" ht="19.95" customHeight="1" x14ac:dyDescent="0.25">
      <c r="A1571" s="11" t="s">
        <v>39</v>
      </c>
      <c r="B1571" s="12" t="s">
        <v>14</v>
      </c>
      <c r="C1571" s="12">
        <v>31.1</v>
      </c>
      <c r="D1571" s="12">
        <v>2015</v>
      </c>
    </row>
    <row r="1572" spans="1:4" ht="19.95" customHeight="1" x14ac:dyDescent="0.25">
      <c r="A1572" s="11" t="s">
        <v>40</v>
      </c>
      <c r="B1572" s="12" t="s">
        <v>14</v>
      </c>
      <c r="C1572" s="12">
        <v>33.700000000000003</v>
      </c>
      <c r="D1572" s="12">
        <v>2015</v>
      </c>
    </row>
    <row r="1573" spans="1:4" ht="19.95" customHeight="1" x14ac:dyDescent="0.25">
      <c r="A1573" s="11" t="s">
        <v>10</v>
      </c>
      <c r="B1573" s="12" t="s">
        <v>14</v>
      </c>
      <c r="C1573" s="12">
        <v>7.5884771347045801</v>
      </c>
      <c r="D1573" s="12">
        <v>2016</v>
      </c>
    </row>
    <row r="1574" spans="1:4" ht="19.95" customHeight="1" x14ac:dyDescent="0.25">
      <c r="A1574" s="11" t="s">
        <v>13</v>
      </c>
      <c r="B1574" s="12" t="s">
        <v>14</v>
      </c>
      <c r="C1574" s="12">
        <v>60.0747680664063</v>
      </c>
      <c r="D1574" s="12">
        <v>2016</v>
      </c>
    </row>
    <row r="1575" spans="1:4" ht="19.95" customHeight="1" x14ac:dyDescent="0.25">
      <c r="A1575" s="11" t="s">
        <v>15</v>
      </c>
      <c r="B1575" s="12" t="s">
        <v>14</v>
      </c>
      <c r="C1575" s="12">
        <v>8.8308982849121005</v>
      </c>
      <c r="D1575" s="12">
        <v>2016</v>
      </c>
    </row>
    <row r="1576" spans="1:4" ht="19.95" customHeight="1" x14ac:dyDescent="0.25">
      <c r="A1576" s="11" t="s">
        <v>16</v>
      </c>
      <c r="B1576" s="12" t="s">
        <v>14</v>
      </c>
      <c r="C1576" s="12">
        <v>77.844215393066406</v>
      </c>
      <c r="D1576" s="12">
        <v>2016</v>
      </c>
    </row>
    <row r="1577" spans="1:4" ht="19.95" customHeight="1" x14ac:dyDescent="0.25">
      <c r="A1577" s="11" t="s">
        <v>17</v>
      </c>
      <c r="B1577" s="12" t="s">
        <v>14</v>
      </c>
      <c r="C1577" s="12">
        <v>51.782691955566399</v>
      </c>
      <c r="D1577" s="12">
        <v>2016</v>
      </c>
    </row>
    <row r="1578" spans="1:4" ht="19.95" customHeight="1" x14ac:dyDescent="0.25">
      <c r="A1578" s="11" t="s">
        <v>2</v>
      </c>
      <c r="B1578" s="12" t="s">
        <v>14</v>
      </c>
      <c r="C1578" s="12">
        <v>42.9</v>
      </c>
      <c r="D1578" s="12">
        <v>2016</v>
      </c>
    </row>
    <row r="1579" spans="1:4" ht="19.95" customHeight="1" x14ac:dyDescent="0.25">
      <c r="A1579" s="11" t="s">
        <v>18</v>
      </c>
      <c r="B1579" s="12" t="s">
        <v>14</v>
      </c>
      <c r="C1579" s="12">
        <v>33.5</v>
      </c>
      <c r="D1579" s="12">
        <v>2016</v>
      </c>
    </row>
    <row r="1580" spans="1:4" ht="19.95" customHeight="1" x14ac:dyDescent="0.25">
      <c r="A1580" s="11" t="s">
        <v>19</v>
      </c>
      <c r="B1580" s="12" t="s">
        <v>14</v>
      </c>
      <c r="C1580" s="12">
        <v>38.6901664733887</v>
      </c>
      <c r="D1580" s="12">
        <v>2016</v>
      </c>
    </row>
    <row r="1581" spans="1:4" ht="19.95" customHeight="1" x14ac:dyDescent="0.25">
      <c r="A1581" s="11" t="s">
        <v>20</v>
      </c>
      <c r="B1581" s="12" t="s">
        <v>14</v>
      </c>
      <c r="C1581" s="12">
        <v>56</v>
      </c>
      <c r="D1581" s="12">
        <v>2016</v>
      </c>
    </row>
    <row r="1582" spans="1:4" ht="19.95" customHeight="1" x14ac:dyDescent="0.25">
      <c r="A1582" s="11" t="s">
        <v>21</v>
      </c>
      <c r="B1582" s="12" t="s">
        <v>14</v>
      </c>
      <c r="C1582" s="12">
        <v>100</v>
      </c>
      <c r="D1582" s="12">
        <v>2016</v>
      </c>
    </row>
    <row r="1583" spans="1:4" ht="19.95" customHeight="1" x14ac:dyDescent="0.25">
      <c r="A1583" s="11" t="s">
        <v>22</v>
      </c>
      <c r="B1583" s="12" t="s">
        <v>14</v>
      </c>
      <c r="C1583" s="12">
        <v>19.8</v>
      </c>
      <c r="D1583" s="12">
        <v>2016</v>
      </c>
    </row>
    <row r="1584" spans="1:4" ht="19.95" customHeight="1" x14ac:dyDescent="0.25">
      <c r="A1584" s="11" t="s">
        <v>23</v>
      </c>
      <c r="B1584" s="12" t="s">
        <v>14</v>
      </c>
      <c r="C1584" s="12">
        <v>22.9</v>
      </c>
      <c r="D1584" s="12">
        <v>2016</v>
      </c>
    </row>
    <row r="1585" spans="1:4" ht="19.95" customHeight="1" x14ac:dyDescent="0.25">
      <c r="A1585" s="11" t="s">
        <v>24</v>
      </c>
      <c r="B1585" s="12" t="s">
        <v>14</v>
      </c>
      <c r="C1585" s="12">
        <v>11</v>
      </c>
      <c r="D1585" s="12">
        <v>2016</v>
      </c>
    </row>
    <row r="1586" spans="1:4" ht="19.95" customHeight="1" x14ac:dyDescent="0.25">
      <c r="A1586" s="11" t="s">
        <v>25</v>
      </c>
      <c r="B1586" s="12" t="s">
        <v>14</v>
      </c>
      <c r="C1586" s="12">
        <v>35.069499969482401</v>
      </c>
      <c r="D1586" s="12">
        <v>2016</v>
      </c>
    </row>
    <row r="1587" spans="1:4" ht="19.95" customHeight="1" x14ac:dyDescent="0.25">
      <c r="A1587" s="11" t="s">
        <v>26</v>
      </c>
      <c r="B1587" s="12" t="s">
        <v>14</v>
      </c>
      <c r="C1587" s="12">
        <v>100</v>
      </c>
      <c r="D1587" s="12">
        <v>2016</v>
      </c>
    </row>
    <row r="1588" spans="1:4" ht="19.95" customHeight="1" x14ac:dyDescent="0.25">
      <c r="A1588" s="11" t="s">
        <v>27</v>
      </c>
      <c r="B1588" s="12" t="s">
        <v>14</v>
      </c>
      <c r="C1588" s="12">
        <v>24.198339462280298</v>
      </c>
      <c r="D1588" s="12">
        <v>2016</v>
      </c>
    </row>
    <row r="1589" spans="1:4" ht="19.95" customHeight="1" x14ac:dyDescent="0.25">
      <c r="A1589" s="11" t="s">
        <v>29</v>
      </c>
      <c r="B1589" s="12" t="s">
        <v>14</v>
      </c>
      <c r="C1589" s="12">
        <v>57.009384155273402</v>
      </c>
      <c r="D1589" s="12">
        <v>2016</v>
      </c>
    </row>
    <row r="1590" spans="1:4" ht="19.95" customHeight="1" x14ac:dyDescent="0.25">
      <c r="A1590" s="11" t="s">
        <v>30</v>
      </c>
      <c r="B1590" s="12" t="s">
        <v>14</v>
      </c>
      <c r="C1590" s="12">
        <v>90.7</v>
      </c>
      <c r="D1590" s="12">
        <v>2016</v>
      </c>
    </row>
    <row r="1591" spans="1:4" ht="19.95" customHeight="1" x14ac:dyDescent="0.25">
      <c r="A1591" s="11" t="s">
        <v>31</v>
      </c>
      <c r="B1591" s="12" t="s">
        <v>14</v>
      </c>
      <c r="C1591" s="12">
        <v>81.796798706054702</v>
      </c>
      <c r="D1591" s="12">
        <v>2016</v>
      </c>
    </row>
    <row r="1592" spans="1:4" ht="19.95" customHeight="1" x14ac:dyDescent="0.25">
      <c r="A1592" s="11" t="s">
        <v>32</v>
      </c>
      <c r="B1592" s="12" t="s">
        <v>14</v>
      </c>
      <c r="C1592" s="12">
        <v>16.2172336578369</v>
      </c>
      <c r="D1592" s="12">
        <v>2016</v>
      </c>
    </row>
    <row r="1593" spans="1:4" ht="19.95" customHeight="1" x14ac:dyDescent="0.25">
      <c r="A1593" s="11" t="s">
        <v>33</v>
      </c>
      <c r="B1593" s="12" t="s">
        <v>14</v>
      </c>
      <c r="C1593" s="12">
        <v>29.37</v>
      </c>
      <c r="D1593" s="12">
        <v>2016</v>
      </c>
    </row>
    <row r="1594" spans="1:4" ht="19.95" customHeight="1" x14ac:dyDescent="0.25">
      <c r="A1594" s="11" t="s">
        <v>34</v>
      </c>
      <c r="B1594" s="12" t="s">
        <v>14</v>
      </c>
      <c r="C1594" s="12">
        <v>65.440483093261705</v>
      </c>
      <c r="D1594" s="12">
        <v>2016</v>
      </c>
    </row>
    <row r="1595" spans="1:4" ht="19.95" customHeight="1" x14ac:dyDescent="0.25">
      <c r="A1595" s="11" t="s">
        <v>35</v>
      </c>
      <c r="B1595" s="12" t="s">
        <v>14</v>
      </c>
      <c r="C1595" s="12">
        <v>95.588233947753906</v>
      </c>
      <c r="D1595" s="12">
        <v>2016</v>
      </c>
    </row>
    <row r="1596" spans="1:4" ht="19.95" customHeight="1" x14ac:dyDescent="0.25">
      <c r="A1596" s="11" t="s">
        <v>36</v>
      </c>
      <c r="B1596" s="12" t="s">
        <v>14</v>
      </c>
      <c r="C1596" s="12">
        <v>100</v>
      </c>
      <c r="D1596" s="12">
        <v>2016</v>
      </c>
    </row>
    <row r="1597" spans="1:4" ht="19.95" customHeight="1" x14ac:dyDescent="0.25">
      <c r="A1597" s="11" t="s">
        <v>37</v>
      </c>
      <c r="B1597" s="12" t="s">
        <v>14</v>
      </c>
      <c r="C1597" s="12">
        <v>32.799999999999997</v>
      </c>
      <c r="D1597" s="12">
        <v>2016</v>
      </c>
    </row>
    <row r="1598" spans="1:4" ht="19.95" customHeight="1" x14ac:dyDescent="0.25">
      <c r="A1598" s="11" t="s">
        <v>38</v>
      </c>
      <c r="B1598" s="12" t="s">
        <v>14</v>
      </c>
      <c r="C1598" s="12">
        <v>26.7</v>
      </c>
      <c r="D1598" s="12">
        <v>2016</v>
      </c>
    </row>
    <row r="1599" spans="1:4" ht="19.95" customHeight="1" x14ac:dyDescent="0.25">
      <c r="A1599" s="11" t="s">
        <v>39</v>
      </c>
      <c r="B1599" s="12" t="s">
        <v>14</v>
      </c>
      <c r="C1599" s="12">
        <v>27.219337463378899</v>
      </c>
      <c r="D1599" s="12">
        <v>2016</v>
      </c>
    </row>
    <row r="1600" spans="1:4" ht="19.95" customHeight="1" x14ac:dyDescent="0.25">
      <c r="A1600" s="11" t="s">
        <v>40</v>
      </c>
      <c r="B1600" s="12" t="s">
        <v>14</v>
      </c>
      <c r="C1600" s="12">
        <v>38.145137786865199</v>
      </c>
      <c r="D1600" s="12">
        <v>2016</v>
      </c>
    </row>
    <row r="1601" spans="1:4" ht="19.95" customHeight="1" x14ac:dyDescent="0.25">
      <c r="A1601" s="11" t="s">
        <v>10</v>
      </c>
      <c r="B1601" s="12" t="s">
        <v>14</v>
      </c>
      <c r="C1601" s="12"/>
      <c r="D1601" s="12">
        <v>2017</v>
      </c>
    </row>
    <row r="1602" spans="1:4" ht="19.95" customHeight="1" x14ac:dyDescent="0.25">
      <c r="A1602" s="11" t="s">
        <v>13</v>
      </c>
      <c r="B1602" s="12" t="s">
        <v>14</v>
      </c>
      <c r="C1602" s="12"/>
      <c r="D1602" s="12">
        <v>2017</v>
      </c>
    </row>
    <row r="1603" spans="1:4" ht="19.95" customHeight="1" x14ac:dyDescent="0.25">
      <c r="A1603" s="11" t="s">
        <v>15</v>
      </c>
      <c r="B1603" s="12" t="s">
        <v>14</v>
      </c>
      <c r="C1603" s="12"/>
      <c r="D1603" s="12">
        <v>2017</v>
      </c>
    </row>
    <row r="1604" spans="1:4" ht="19.95" customHeight="1" x14ac:dyDescent="0.25">
      <c r="A1604" s="11" t="s">
        <v>16</v>
      </c>
      <c r="B1604" s="12" t="s">
        <v>14</v>
      </c>
      <c r="C1604" s="12"/>
      <c r="D1604" s="12">
        <v>2017</v>
      </c>
    </row>
    <row r="1605" spans="1:4" ht="19.95" customHeight="1" x14ac:dyDescent="0.25">
      <c r="A1605" s="11" t="s">
        <v>17</v>
      </c>
      <c r="B1605" s="12" t="s">
        <v>14</v>
      </c>
      <c r="C1605" s="12"/>
      <c r="D1605" s="12">
        <v>2017</v>
      </c>
    </row>
    <row r="1606" spans="1:4" ht="19.95" customHeight="1" x14ac:dyDescent="0.25">
      <c r="A1606" s="11" t="s">
        <v>2</v>
      </c>
      <c r="B1606" s="12" t="s">
        <v>14</v>
      </c>
      <c r="C1606" s="12"/>
      <c r="D1606" s="12">
        <v>2017</v>
      </c>
    </row>
    <row r="1607" spans="1:4" ht="19.95" customHeight="1" x14ac:dyDescent="0.25">
      <c r="A1607" s="11" t="s">
        <v>18</v>
      </c>
      <c r="B1607" s="12" t="s">
        <v>14</v>
      </c>
      <c r="C1607" s="12"/>
      <c r="D1607" s="12">
        <v>2017</v>
      </c>
    </row>
    <row r="1608" spans="1:4" ht="19.95" customHeight="1" x14ac:dyDescent="0.25">
      <c r="A1608" s="11" t="s">
        <v>19</v>
      </c>
      <c r="B1608" s="12" t="s">
        <v>14</v>
      </c>
      <c r="C1608" s="12"/>
      <c r="D1608" s="12">
        <v>2017</v>
      </c>
    </row>
    <row r="1609" spans="1:4" ht="19.95" customHeight="1" x14ac:dyDescent="0.25">
      <c r="A1609" s="11" t="s">
        <v>20</v>
      </c>
      <c r="B1609" s="12" t="s">
        <v>14</v>
      </c>
      <c r="C1609" s="12"/>
      <c r="D1609" s="12">
        <v>2017</v>
      </c>
    </row>
    <row r="1610" spans="1:4" ht="19.95" customHeight="1" x14ac:dyDescent="0.25">
      <c r="A1610" s="11" t="s">
        <v>21</v>
      </c>
      <c r="B1610" s="12" t="s">
        <v>14</v>
      </c>
      <c r="C1610" s="12"/>
      <c r="D1610" s="12">
        <v>2017</v>
      </c>
    </row>
    <row r="1611" spans="1:4" ht="19.95" customHeight="1" x14ac:dyDescent="0.25">
      <c r="A1611" s="11" t="s">
        <v>22</v>
      </c>
      <c r="B1611" s="12" t="s">
        <v>14</v>
      </c>
      <c r="C1611" s="12"/>
      <c r="D1611" s="12">
        <v>2017</v>
      </c>
    </row>
    <row r="1612" spans="1:4" ht="19.95" customHeight="1" x14ac:dyDescent="0.25">
      <c r="A1612" s="11" t="s">
        <v>23</v>
      </c>
      <c r="B1612" s="12" t="s">
        <v>14</v>
      </c>
      <c r="C1612" s="12"/>
      <c r="D1612" s="12">
        <v>2017</v>
      </c>
    </row>
    <row r="1613" spans="1:4" ht="19.95" customHeight="1" x14ac:dyDescent="0.25">
      <c r="A1613" s="11" t="s">
        <v>24</v>
      </c>
      <c r="B1613" s="12" t="s">
        <v>14</v>
      </c>
      <c r="C1613" s="12"/>
      <c r="D1613" s="12">
        <v>2017</v>
      </c>
    </row>
    <row r="1614" spans="1:4" ht="19.95" customHeight="1" x14ac:dyDescent="0.25">
      <c r="A1614" s="11" t="s">
        <v>25</v>
      </c>
      <c r="B1614" s="12" t="s">
        <v>14</v>
      </c>
      <c r="C1614" s="12"/>
      <c r="D1614" s="12">
        <v>2017</v>
      </c>
    </row>
    <row r="1615" spans="1:4" ht="19.95" customHeight="1" x14ac:dyDescent="0.25">
      <c r="A1615" s="11" t="s">
        <v>26</v>
      </c>
      <c r="B1615" s="12" t="s">
        <v>14</v>
      </c>
      <c r="C1615" s="12"/>
      <c r="D1615" s="12">
        <v>2017</v>
      </c>
    </row>
    <row r="1616" spans="1:4" ht="19.95" customHeight="1" x14ac:dyDescent="0.25">
      <c r="A1616" s="11" t="s">
        <v>27</v>
      </c>
      <c r="B1616" s="12" t="s">
        <v>14</v>
      </c>
      <c r="C1616" s="12"/>
      <c r="D1616" s="12">
        <v>2017</v>
      </c>
    </row>
    <row r="1617" spans="1:4" ht="19.95" customHeight="1" x14ac:dyDescent="0.25">
      <c r="A1617" s="11" t="s">
        <v>29</v>
      </c>
      <c r="B1617" s="12" t="s">
        <v>14</v>
      </c>
      <c r="C1617" s="12"/>
      <c r="D1617" s="12">
        <v>2017</v>
      </c>
    </row>
    <row r="1618" spans="1:4" ht="19.95" customHeight="1" x14ac:dyDescent="0.25">
      <c r="A1618" s="11" t="s">
        <v>30</v>
      </c>
      <c r="B1618" s="12" t="s">
        <v>14</v>
      </c>
      <c r="C1618" s="12"/>
      <c r="D1618" s="12">
        <v>2017</v>
      </c>
    </row>
    <row r="1619" spans="1:4" ht="19.95" customHeight="1" x14ac:dyDescent="0.25">
      <c r="A1619" s="11" t="s">
        <v>31</v>
      </c>
      <c r="B1619" s="12" t="s">
        <v>14</v>
      </c>
      <c r="C1619" s="12"/>
      <c r="D1619" s="12">
        <v>2017</v>
      </c>
    </row>
    <row r="1620" spans="1:4" ht="19.95" customHeight="1" x14ac:dyDescent="0.25">
      <c r="A1620" s="11" t="s">
        <v>32</v>
      </c>
      <c r="B1620" s="12" t="s">
        <v>14</v>
      </c>
      <c r="C1620" s="12"/>
      <c r="D1620" s="12">
        <v>2017</v>
      </c>
    </row>
    <row r="1621" spans="1:4" ht="19.95" customHeight="1" x14ac:dyDescent="0.25">
      <c r="A1621" s="11" t="s">
        <v>33</v>
      </c>
      <c r="B1621" s="12" t="s">
        <v>14</v>
      </c>
      <c r="C1621" s="12"/>
      <c r="D1621" s="12">
        <v>2017</v>
      </c>
    </row>
    <row r="1622" spans="1:4" ht="19.95" customHeight="1" x14ac:dyDescent="0.25">
      <c r="A1622" s="11" t="s">
        <v>34</v>
      </c>
      <c r="B1622" s="12" t="s">
        <v>14</v>
      </c>
      <c r="C1622" s="12"/>
      <c r="D1622" s="12">
        <v>2017</v>
      </c>
    </row>
    <row r="1623" spans="1:4" ht="19.95" customHeight="1" x14ac:dyDescent="0.25">
      <c r="A1623" s="11" t="s">
        <v>35</v>
      </c>
      <c r="B1623" s="12" t="s">
        <v>14</v>
      </c>
      <c r="C1623" s="12"/>
      <c r="D1623" s="12">
        <v>2017</v>
      </c>
    </row>
    <row r="1624" spans="1:4" ht="19.95" customHeight="1" x14ac:dyDescent="0.25">
      <c r="A1624" s="11" t="s">
        <v>36</v>
      </c>
      <c r="B1624" s="12" t="s">
        <v>14</v>
      </c>
      <c r="C1624" s="12"/>
      <c r="D1624" s="12">
        <v>2017</v>
      </c>
    </row>
    <row r="1625" spans="1:4" ht="19.95" customHeight="1" x14ac:dyDescent="0.25">
      <c r="A1625" s="11" t="s">
        <v>37</v>
      </c>
      <c r="B1625" s="12" t="s">
        <v>14</v>
      </c>
      <c r="C1625" s="12"/>
      <c r="D1625" s="12">
        <v>2017</v>
      </c>
    </row>
    <row r="1626" spans="1:4" ht="19.95" customHeight="1" x14ac:dyDescent="0.25">
      <c r="A1626" s="11" t="s">
        <v>38</v>
      </c>
      <c r="B1626" s="12" t="s">
        <v>14</v>
      </c>
      <c r="C1626" s="12"/>
      <c r="D1626" s="12">
        <v>2017</v>
      </c>
    </row>
    <row r="1627" spans="1:4" ht="19.95" customHeight="1" x14ac:dyDescent="0.25">
      <c r="A1627" s="11" t="s">
        <v>39</v>
      </c>
      <c r="B1627" s="12" t="s">
        <v>14</v>
      </c>
      <c r="C1627" s="12"/>
      <c r="D1627" s="12">
        <v>2017</v>
      </c>
    </row>
    <row r="1628" spans="1:4" ht="19.95" customHeight="1" x14ac:dyDescent="0.25">
      <c r="A1628" s="11" t="s">
        <v>40</v>
      </c>
      <c r="B1628" s="12" t="s">
        <v>14</v>
      </c>
      <c r="C1628" s="12"/>
      <c r="D1628" s="12">
        <v>2017</v>
      </c>
    </row>
  </sheetData>
  <mergeCells count="2">
    <mergeCell ref="G2:K2"/>
    <mergeCell ref="J4:K4"/>
  </mergeCells>
  <phoneticPr fontId="10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nlever">
                <anchor moveWithCells="1" sizeWithCells="1">
                  <from>
                    <xdr:col>5</xdr:col>
                    <xdr:colOff>0</xdr:colOff>
                    <xdr:row>6</xdr:row>
                    <xdr:rowOff>60960</xdr:rowOff>
                  </from>
                  <to>
                    <xdr:col>5</xdr:col>
                    <xdr:colOff>1013460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fficher">
                <anchor moveWithCells="1" sizeWithCells="1">
                  <from>
                    <xdr:col>5</xdr:col>
                    <xdr:colOff>0</xdr:colOff>
                    <xdr:row>3</xdr:row>
                    <xdr:rowOff>274320</xdr:rowOff>
                  </from>
                  <to>
                    <xdr:col>5</xdr:col>
                    <xdr:colOff>1013460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omite 3">
              <controlPr defaultSize="0" print="0" autoFill="0" autoPict="0" macro="[0]!SelectSheet">
                <anchor moveWithCells="1" sizeWithCells="1">
                  <from>
                    <xdr:col>5</xdr:col>
                    <xdr:colOff>0</xdr:colOff>
                    <xdr:row>8</xdr:row>
                    <xdr:rowOff>106680</xdr:rowOff>
                  </from>
                  <to>
                    <xdr:col>5</xdr:col>
                    <xdr:colOff>1013460</xdr:colOff>
                    <xdr:row>9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2:K1628"/>
  <sheetViews>
    <sheetView showGridLines="0" topLeftCell="E10" zoomScale="80" zoomScaleNormal="80" workbookViewId="0">
      <selection activeCell="G2" sqref="G2:K2"/>
    </sheetView>
  </sheetViews>
  <sheetFormatPr defaultColWidth="8" defaultRowHeight="19.95" customHeight="1" x14ac:dyDescent="0.25"/>
  <cols>
    <col min="1" max="1" width="22.5" style="1" hidden="1" customWidth="1"/>
    <col min="2" max="2" width="41.59765625" style="1" hidden="1" customWidth="1"/>
    <col min="3" max="3" width="18.59765625" style="1" hidden="1" customWidth="1"/>
    <col min="4" max="4" width="8" style="1" hidden="1" customWidth="1"/>
    <col min="5" max="5" width="10.59765625" style="1" customWidth="1"/>
    <col min="6" max="6" width="14.5" style="1" customWidth="1"/>
    <col min="7" max="7" width="26.8984375" style="1" customWidth="1"/>
    <col min="8" max="8" width="78.5" style="1" customWidth="1"/>
    <col min="9" max="9" width="5.19921875" style="1" customWidth="1"/>
    <col min="10" max="10" width="13" style="1" bestFit="1" customWidth="1"/>
    <col min="11" max="11" width="16.59765625" style="1" bestFit="1" customWidth="1"/>
    <col min="12" max="19" width="11.09765625" style="1" bestFit="1" customWidth="1"/>
    <col min="20" max="20" width="7.19921875" style="1" bestFit="1" customWidth="1"/>
    <col min="21" max="25" width="11.09765625" style="1" bestFit="1" customWidth="1"/>
    <col min="26" max="26" width="12.19921875" style="1" bestFit="1" customWidth="1"/>
    <col min="27" max="31" width="11.09765625" style="1" bestFit="1" customWidth="1"/>
    <col min="32" max="32" width="21" style="1" bestFit="1" customWidth="1"/>
    <col min="33" max="38" width="11.09765625" style="1" bestFit="1" customWidth="1"/>
    <col min="39" max="39" width="12.3984375" style="1" bestFit="1" customWidth="1"/>
    <col min="40" max="65" width="21" style="1" bestFit="1" customWidth="1"/>
    <col min="66" max="66" width="14.59765625" style="1" bestFit="1" customWidth="1"/>
    <col min="67" max="67" width="14.5" style="1" bestFit="1" customWidth="1"/>
    <col min="68" max="16384" width="8" style="1"/>
  </cols>
  <sheetData>
    <row r="2" spans="1:11" ht="25.2" customHeight="1" x14ac:dyDescent="0.25">
      <c r="G2" s="24" t="s">
        <v>46</v>
      </c>
      <c r="H2" s="24"/>
      <c r="I2" s="24"/>
      <c r="J2" s="24"/>
      <c r="K2" s="24"/>
    </row>
    <row r="3" spans="1:11" ht="10.199999999999999" customHeight="1" x14ac:dyDescent="0.25"/>
    <row r="4" spans="1:11" ht="22.2" customHeight="1" thickBot="1" x14ac:dyDescent="0.3">
      <c r="A4" s="5" t="s">
        <v>4</v>
      </c>
      <c r="B4" s="5" t="s">
        <v>5</v>
      </c>
      <c r="C4" s="5" t="s">
        <v>6</v>
      </c>
      <c r="D4" s="5" t="s">
        <v>7</v>
      </c>
      <c r="H4" s="6" t="s">
        <v>8</v>
      </c>
      <c r="J4" s="28" t="s">
        <v>9</v>
      </c>
      <c r="K4" s="28"/>
    </row>
    <row r="5" spans="1:11" ht="19.95" customHeight="1" thickTop="1" x14ac:dyDescent="0.25">
      <c r="A5" s="9" t="s">
        <v>10</v>
      </c>
      <c r="B5" s="10" t="s">
        <v>41</v>
      </c>
      <c r="C5" s="10"/>
      <c r="D5" s="10">
        <v>1960</v>
      </c>
      <c r="J5" s="19" t="s">
        <v>12</v>
      </c>
      <c r="K5" s="19" t="s">
        <v>4</v>
      </c>
    </row>
    <row r="6" spans="1:11" ht="19.95" customHeight="1" x14ac:dyDescent="0.25">
      <c r="A6" s="9" t="s">
        <v>13</v>
      </c>
      <c r="B6" s="10" t="s">
        <v>41</v>
      </c>
      <c r="C6" s="10"/>
      <c r="D6" s="10">
        <v>1960</v>
      </c>
      <c r="J6" s="20" t="s">
        <v>7</v>
      </c>
      <c r="K6" s="23" t="s">
        <v>30</v>
      </c>
    </row>
    <row r="7" spans="1:11" ht="19.95" customHeight="1" x14ac:dyDescent="0.25">
      <c r="A7" s="9" t="s">
        <v>15</v>
      </c>
      <c r="B7" s="10" t="s">
        <v>41</v>
      </c>
      <c r="C7" s="10"/>
      <c r="D7" s="10">
        <v>1960</v>
      </c>
      <c r="J7" s="17">
        <v>1990</v>
      </c>
      <c r="K7" s="21"/>
    </row>
    <row r="8" spans="1:11" ht="19.95" customHeight="1" x14ac:dyDescent="0.25">
      <c r="A8" s="9" t="s">
        <v>16</v>
      </c>
      <c r="B8" s="10" t="s">
        <v>41</v>
      </c>
      <c r="C8" s="10"/>
      <c r="D8" s="10">
        <v>1960</v>
      </c>
      <c r="J8" s="17">
        <v>1991</v>
      </c>
      <c r="K8" s="21"/>
    </row>
    <row r="9" spans="1:11" ht="19.95" customHeight="1" x14ac:dyDescent="0.25">
      <c r="A9" s="9" t="s">
        <v>17</v>
      </c>
      <c r="B9" s="10" t="s">
        <v>41</v>
      </c>
      <c r="C9" s="10"/>
      <c r="D9" s="10">
        <v>1960</v>
      </c>
      <c r="J9" s="17">
        <v>1992</v>
      </c>
      <c r="K9" s="21"/>
    </row>
    <row r="10" spans="1:11" ht="19.95" customHeight="1" x14ac:dyDescent="0.25">
      <c r="A10" s="9" t="s">
        <v>2</v>
      </c>
      <c r="B10" s="10" t="s">
        <v>41</v>
      </c>
      <c r="C10" s="10"/>
      <c r="D10" s="10">
        <v>1960</v>
      </c>
      <c r="J10" s="17">
        <v>1993</v>
      </c>
      <c r="K10" s="21"/>
    </row>
    <row r="11" spans="1:11" ht="19.95" customHeight="1" x14ac:dyDescent="0.25">
      <c r="A11" s="9" t="s">
        <v>18</v>
      </c>
      <c r="B11" s="10" t="s">
        <v>41</v>
      </c>
      <c r="C11" s="10"/>
      <c r="D11" s="10">
        <v>1960</v>
      </c>
      <c r="J11" s="17">
        <v>1994</v>
      </c>
      <c r="K11" s="21"/>
    </row>
    <row r="12" spans="1:11" ht="19.95" customHeight="1" x14ac:dyDescent="0.25">
      <c r="A12" s="9" t="s">
        <v>19</v>
      </c>
      <c r="B12" s="10" t="s">
        <v>41</v>
      </c>
      <c r="C12" s="10"/>
      <c r="D12" s="10">
        <v>1960</v>
      </c>
      <c r="J12" s="17">
        <v>1995</v>
      </c>
      <c r="K12" s="21"/>
    </row>
    <row r="13" spans="1:11" ht="19.95" customHeight="1" x14ac:dyDescent="0.25">
      <c r="A13" s="9" t="s">
        <v>20</v>
      </c>
      <c r="B13" s="10" t="s">
        <v>41</v>
      </c>
      <c r="C13" s="10"/>
      <c r="D13" s="10">
        <v>1960</v>
      </c>
      <c r="J13" s="17">
        <v>1996</v>
      </c>
      <c r="K13" s="21">
        <v>12.1</v>
      </c>
    </row>
    <row r="14" spans="1:11" ht="19.95" customHeight="1" x14ac:dyDescent="0.25">
      <c r="A14" s="9" t="s">
        <v>21</v>
      </c>
      <c r="B14" s="10" t="s">
        <v>41</v>
      </c>
      <c r="C14" s="10"/>
      <c r="D14" s="10">
        <v>1960</v>
      </c>
      <c r="J14" s="17">
        <v>1997</v>
      </c>
      <c r="K14" s="21">
        <v>6.7628283202200299</v>
      </c>
    </row>
    <row r="15" spans="1:11" ht="19.95" customHeight="1" x14ac:dyDescent="0.25">
      <c r="A15" s="9" t="s">
        <v>22</v>
      </c>
      <c r="B15" s="10" t="s">
        <v>41</v>
      </c>
      <c r="C15" s="10"/>
      <c r="D15" s="10">
        <v>1960</v>
      </c>
      <c r="J15" s="17">
        <v>1998</v>
      </c>
      <c r="K15" s="21">
        <v>10.7671299579705</v>
      </c>
    </row>
    <row r="16" spans="1:11" ht="19.95" customHeight="1" x14ac:dyDescent="0.25">
      <c r="A16" s="9" t="s">
        <v>23</v>
      </c>
      <c r="B16" s="10" t="s">
        <v>41</v>
      </c>
      <c r="C16" s="10"/>
      <c r="D16" s="10">
        <v>1960</v>
      </c>
      <c r="J16" s="17">
        <v>1999</v>
      </c>
      <c r="K16" s="21">
        <v>14.769361058864099</v>
      </c>
    </row>
    <row r="17" spans="1:11" ht="19.95" customHeight="1" x14ac:dyDescent="0.25">
      <c r="A17" s="9" t="s">
        <v>24</v>
      </c>
      <c r="B17" s="10" t="s">
        <v>41</v>
      </c>
      <c r="C17" s="10"/>
      <c r="D17" s="10">
        <v>1960</v>
      </c>
      <c r="J17" s="17">
        <v>2000</v>
      </c>
      <c r="K17" s="21">
        <v>18.769202296814001</v>
      </c>
    </row>
    <row r="18" spans="1:11" ht="19.95" customHeight="1" x14ac:dyDescent="0.25">
      <c r="A18" s="9" t="s">
        <v>25</v>
      </c>
      <c r="B18" s="10" t="s">
        <v>41</v>
      </c>
      <c r="C18" s="10"/>
      <c r="D18" s="10">
        <v>1960</v>
      </c>
      <c r="J18" s="17">
        <v>2001</v>
      </c>
      <c r="K18" s="21">
        <v>17.399999999999999</v>
      </c>
    </row>
    <row r="19" spans="1:11" ht="19.95" customHeight="1" x14ac:dyDescent="0.25">
      <c r="A19" s="9" t="s">
        <v>26</v>
      </c>
      <c r="B19" s="10" t="s">
        <v>41</v>
      </c>
      <c r="C19" s="10"/>
      <c r="D19" s="10">
        <v>1960</v>
      </c>
      <c r="J19" s="17">
        <v>2002</v>
      </c>
      <c r="K19" s="21">
        <v>27.011136979054999</v>
      </c>
    </row>
    <row r="20" spans="1:11" ht="22.2" customHeight="1" x14ac:dyDescent="0.25">
      <c r="A20" s="9" t="s">
        <v>27</v>
      </c>
      <c r="B20" s="10" t="s">
        <v>41</v>
      </c>
      <c r="C20" s="10"/>
      <c r="D20" s="10">
        <v>1960</v>
      </c>
      <c r="H20" s="4" t="s">
        <v>28</v>
      </c>
      <c r="J20" s="17">
        <v>2003</v>
      </c>
      <c r="K20" s="21">
        <v>31.2401351273909</v>
      </c>
    </row>
    <row r="21" spans="1:11" ht="19.95" customHeight="1" x14ac:dyDescent="0.25">
      <c r="A21" s="9" t="s">
        <v>29</v>
      </c>
      <c r="B21" s="10" t="s">
        <v>41</v>
      </c>
      <c r="C21" s="10"/>
      <c r="D21" s="10">
        <v>1960</v>
      </c>
      <c r="J21" s="17">
        <v>2004</v>
      </c>
      <c r="K21" s="21">
        <v>27.3</v>
      </c>
    </row>
    <row r="22" spans="1:11" ht="19.95" customHeight="1" x14ac:dyDescent="0.25">
      <c r="A22" s="9" t="s">
        <v>30</v>
      </c>
      <c r="B22" s="10" t="s">
        <v>41</v>
      </c>
      <c r="C22" s="10"/>
      <c r="D22" s="10">
        <v>1960</v>
      </c>
      <c r="J22" s="17">
        <v>2005</v>
      </c>
      <c r="K22" s="21">
        <v>39.764552046199398</v>
      </c>
    </row>
    <row r="23" spans="1:11" ht="19.95" customHeight="1" x14ac:dyDescent="0.25">
      <c r="A23" s="9" t="s">
        <v>31</v>
      </c>
      <c r="B23" s="10" t="s">
        <v>41</v>
      </c>
      <c r="C23" s="10"/>
      <c r="D23" s="10">
        <v>1960</v>
      </c>
      <c r="J23" s="17">
        <v>2006</v>
      </c>
      <c r="K23" s="21">
        <v>43.2</v>
      </c>
    </row>
    <row r="24" spans="1:11" ht="19.95" customHeight="1" x14ac:dyDescent="0.25">
      <c r="A24" s="9" t="s">
        <v>32</v>
      </c>
      <c r="B24" s="10" t="s">
        <v>41</v>
      </c>
      <c r="C24" s="10"/>
      <c r="D24" s="10">
        <v>1960</v>
      </c>
      <c r="J24" s="17">
        <v>2007</v>
      </c>
      <c r="K24" s="21">
        <v>48.429280573395097</v>
      </c>
    </row>
    <row r="25" spans="1:11" ht="19.95" customHeight="1" x14ac:dyDescent="0.25">
      <c r="A25" s="9" t="s">
        <v>33</v>
      </c>
      <c r="B25" s="10" t="s">
        <v>41</v>
      </c>
      <c r="C25" s="10"/>
      <c r="D25" s="10">
        <v>1960</v>
      </c>
      <c r="J25" s="17">
        <v>2008</v>
      </c>
      <c r="K25" s="21">
        <v>52.8311672007193</v>
      </c>
    </row>
    <row r="26" spans="1:11" ht="19.95" customHeight="1" x14ac:dyDescent="0.25">
      <c r="A26" s="9" t="s">
        <v>34</v>
      </c>
      <c r="B26" s="10" t="s">
        <v>41</v>
      </c>
      <c r="C26" s="10"/>
      <c r="D26" s="10">
        <v>1960</v>
      </c>
      <c r="J26" s="17">
        <v>2009</v>
      </c>
      <c r="K26" s="21">
        <v>57.281251558453903</v>
      </c>
    </row>
    <row r="27" spans="1:11" ht="19.95" customHeight="1" x14ac:dyDescent="0.25">
      <c r="A27" s="9" t="s">
        <v>35</v>
      </c>
      <c r="B27" s="10" t="s">
        <v>41</v>
      </c>
      <c r="C27" s="10"/>
      <c r="D27" s="10">
        <v>1960</v>
      </c>
      <c r="J27" s="17">
        <v>2010</v>
      </c>
      <c r="K27" s="21">
        <v>61.7769754382714</v>
      </c>
    </row>
    <row r="28" spans="1:11" ht="19.95" customHeight="1" x14ac:dyDescent="0.25">
      <c r="A28" s="9" t="s">
        <v>36</v>
      </c>
      <c r="B28" s="10" t="s">
        <v>41</v>
      </c>
      <c r="C28" s="10"/>
      <c r="D28" s="10">
        <v>1960</v>
      </c>
      <c r="J28" s="17">
        <v>2011</v>
      </c>
      <c r="K28" s="21">
        <v>72.900000000000006</v>
      </c>
    </row>
    <row r="29" spans="1:11" ht="19.95" customHeight="1" x14ac:dyDescent="0.25">
      <c r="A29" s="9" t="s">
        <v>37</v>
      </c>
      <c r="B29" s="10" t="s">
        <v>41</v>
      </c>
      <c r="C29" s="10"/>
      <c r="D29" s="10">
        <v>1960</v>
      </c>
      <c r="J29" s="17">
        <v>2012</v>
      </c>
      <c r="K29" s="21">
        <v>70.8971405211242</v>
      </c>
    </row>
    <row r="30" spans="1:11" ht="19.95" customHeight="1" x14ac:dyDescent="0.25">
      <c r="A30" s="9" t="s">
        <v>38</v>
      </c>
      <c r="B30" s="10" t="s">
        <v>41</v>
      </c>
      <c r="C30" s="10"/>
      <c r="D30" s="10">
        <v>1960</v>
      </c>
      <c r="J30" s="17">
        <v>2013</v>
      </c>
      <c r="K30" s="21">
        <v>75.517034671166698</v>
      </c>
    </row>
    <row r="31" spans="1:11" ht="19.95" customHeight="1" x14ac:dyDescent="0.25">
      <c r="A31" s="9" t="s">
        <v>39</v>
      </c>
      <c r="B31" s="10" t="s">
        <v>41</v>
      </c>
      <c r="C31" s="10"/>
      <c r="D31" s="10">
        <v>1960</v>
      </c>
      <c r="J31" s="17">
        <v>2014</v>
      </c>
      <c r="K31" s="21">
        <v>81.7</v>
      </c>
    </row>
    <row r="32" spans="1:11" ht="19.95" customHeight="1" x14ac:dyDescent="0.25">
      <c r="A32" s="9" t="s">
        <v>40</v>
      </c>
      <c r="B32" s="10" t="s">
        <v>41</v>
      </c>
      <c r="C32" s="10"/>
      <c r="D32" s="10">
        <v>1960</v>
      </c>
      <c r="J32" s="17">
        <v>2015</v>
      </c>
      <c r="K32" s="21">
        <v>84.867550376979096</v>
      </c>
    </row>
    <row r="33" spans="1:11" ht="19.95" customHeight="1" x14ac:dyDescent="0.25">
      <c r="A33" s="11" t="s">
        <v>10</v>
      </c>
      <c r="B33" s="12" t="s">
        <v>41</v>
      </c>
      <c r="C33" s="12"/>
      <c r="D33" s="12">
        <v>1961</v>
      </c>
      <c r="J33" s="18">
        <v>2016</v>
      </c>
      <c r="K33" s="22">
        <v>85.2</v>
      </c>
    </row>
    <row r="34" spans="1:11" ht="19.95" customHeight="1" x14ac:dyDescent="0.25">
      <c r="A34" s="11" t="s">
        <v>13</v>
      </c>
      <c r="B34" s="12" t="s">
        <v>41</v>
      </c>
      <c r="C34" s="12"/>
      <c r="D34" s="12">
        <v>1961</v>
      </c>
    </row>
    <row r="35" spans="1:11" ht="19.95" customHeight="1" x14ac:dyDescent="0.25">
      <c r="A35" s="11" t="s">
        <v>15</v>
      </c>
      <c r="B35" s="12" t="s">
        <v>41</v>
      </c>
      <c r="C35" s="12"/>
      <c r="D35" s="12">
        <v>1961</v>
      </c>
    </row>
    <row r="36" spans="1:11" ht="22.2" customHeight="1" x14ac:dyDescent="0.25">
      <c r="A36" s="11" t="s">
        <v>16</v>
      </c>
      <c r="B36" s="12" t="s">
        <v>41</v>
      </c>
      <c r="C36" s="12"/>
      <c r="D36" s="12">
        <v>1961</v>
      </c>
    </row>
    <row r="37" spans="1:11" ht="19.95" customHeight="1" x14ac:dyDescent="0.25">
      <c r="A37" s="11" t="s">
        <v>17</v>
      </c>
      <c r="B37" s="12" t="s">
        <v>41</v>
      </c>
      <c r="C37" s="12"/>
      <c r="D37" s="12">
        <v>1961</v>
      </c>
    </row>
    <row r="38" spans="1:11" ht="19.95" customHeight="1" x14ac:dyDescent="0.25">
      <c r="A38" s="11" t="s">
        <v>2</v>
      </c>
      <c r="B38" s="12" t="s">
        <v>42</v>
      </c>
      <c r="C38" s="12"/>
      <c r="D38" s="12">
        <v>1961</v>
      </c>
    </row>
    <row r="39" spans="1:11" ht="19.95" customHeight="1" x14ac:dyDescent="0.25">
      <c r="A39" s="11" t="s">
        <v>18</v>
      </c>
      <c r="B39" s="12" t="s">
        <v>41</v>
      </c>
      <c r="C39" s="12"/>
      <c r="D39" s="12">
        <v>1961</v>
      </c>
    </row>
    <row r="40" spans="1:11" ht="19.95" customHeight="1" x14ac:dyDescent="0.25">
      <c r="A40" s="11" t="s">
        <v>19</v>
      </c>
      <c r="B40" s="12" t="s">
        <v>41</v>
      </c>
      <c r="C40" s="12"/>
      <c r="D40" s="12">
        <v>1961</v>
      </c>
    </row>
    <row r="41" spans="1:11" ht="19.95" customHeight="1" x14ac:dyDescent="0.25">
      <c r="A41" s="11" t="s">
        <v>20</v>
      </c>
      <c r="B41" s="12" t="s">
        <v>41</v>
      </c>
      <c r="C41" s="12"/>
      <c r="D41" s="12">
        <v>1961</v>
      </c>
    </row>
    <row r="42" spans="1:11" ht="19.95" customHeight="1" x14ac:dyDescent="0.25">
      <c r="A42" s="11" t="s">
        <v>21</v>
      </c>
      <c r="B42" s="12" t="s">
        <v>41</v>
      </c>
      <c r="C42" s="12"/>
      <c r="D42" s="12">
        <v>1961</v>
      </c>
    </row>
    <row r="43" spans="1:11" ht="19.95" customHeight="1" x14ac:dyDescent="0.25">
      <c r="A43" s="11" t="s">
        <v>22</v>
      </c>
      <c r="B43" s="12" t="s">
        <v>41</v>
      </c>
      <c r="C43" s="12"/>
      <c r="D43" s="12">
        <v>1961</v>
      </c>
    </row>
    <row r="44" spans="1:11" ht="19.95" customHeight="1" x14ac:dyDescent="0.25">
      <c r="A44" s="11" t="s">
        <v>23</v>
      </c>
      <c r="B44" s="12" t="s">
        <v>41</v>
      </c>
      <c r="C44" s="12"/>
      <c r="D44" s="12">
        <v>1961</v>
      </c>
    </row>
    <row r="45" spans="1:11" ht="19.95" customHeight="1" x14ac:dyDescent="0.25">
      <c r="A45" s="11" t="s">
        <v>24</v>
      </c>
      <c r="B45" s="12" t="s">
        <v>41</v>
      </c>
      <c r="C45" s="12"/>
      <c r="D45" s="12">
        <v>1961</v>
      </c>
    </row>
    <row r="46" spans="1:11" ht="19.95" customHeight="1" x14ac:dyDescent="0.25">
      <c r="A46" s="11" t="s">
        <v>25</v>
      </c>
      <c r="B46" s="12" t="s">
        <v>41</v>
      </c>
      <c r="C46" s="12"/>
      <c r="D46" s="12">
        <v>1961</v>
      </c>
    </row>
    <row r="47" spans="1:11" ht="19.95" customHeight="1" x14ac:dyDescent="0.25">
      <c r="A47" s="11" t="s">
        <v>26</v>
      </c>
      <c r="B47" s="12" t="s">
        <v>41</v>
      </c>
      <c r="C47" s="12"/>
      <c r="D47" s="12">
        <v>1961</v>
      </c>
    </row>
    <row r="48" spans="1:11" ht="19.95" customHeight="1" x14ac:dyDescent="0.25">
      <c r="A48" s="11" t="s">
        <v>27</v>
      </c>
      <c r="B48" s="12" t="s">
        <v>41</v>
      </c>
      <c r="C48" s="12"/>
      <c r="D48" s="12">
        <v>1961</v>
      </c>
    </row>
    <row r="49" spans="1:4" ht="19.95" customHeight="1" x14ac:dyDescent="0.25">
      <c r="A49" s="11" t="s">
        <v>29</v>
      </c>
      <c r="B49" s="12" t="s">
        <v>41</v>
      </c>
      <c r="C49" s="12"/>
      <c r="D49" s="12">
        <v>1961</v>
      </c>
    </row>
    <row r="50" spans="1:4" ht="19.95" customHeight="1" x14ac:dyDescent="0.25">
      <c r="A50" s="11" t="s">
        <v>30</v>
      </c>
      <c r="B50" s="12" t="s">
        <v>41</v>
      </c>
      <c r="C50" s="12"/>
      <c r="D50" s="12">
        <v>1961</v>
      </c>
    </row>
    <row r="51" spans="1:4" ht="19.95" customHeight="1" x14ac:dyDescent="0.25">
      <c r="A51" s="11" t="s">
        <v>31</v>
      </c>
      <c r="B51" s="12" t="s">
        <v>41</v>
      </c>
      <c r="C51" s="12"/>
      <c r="D51" s="12">
        <v>1961</v>
      </c>
    </row>
    <row r="52" spans="1:4" ht="19.95" customHeight="1" x14ac:dyDescent="0.25">
      <c r="A52" s="11" t="s">
        <v>32</v>
      </c>
      <c r="B52" s="12" t="s">
        <v>41</v>
      </c>
      <c r="C52" s="12"/>
      <c r="D52" s="12">
        <v>1961</v>
      </c>
    </row>
    <row r="53" spans="1:4" ht="19.95" customHeight="1" x14ac:dyDescent="0.25">
      <c r="A53" s="11" t="s">
        <v>33</v>
      </c>
      <c r="B53" s="12" t="s">
        <v>41</v>
      </c>
      <c r="C53" s="12"/>
      <c r="D53" s="12">
        <v>1961</v>
      </c>
    </row>
    <row r="54" spans="1:4" ht="19.95" customHeight="1" x14ac:dyDescent="0.25">
      <c r="A54" s="11" t="s">
        <v>34</v>
      </c>
      <c r="B54" s="12" t="s">
        <v>41</v>
      </c>
      <c r="C54" s="12"/>
      <c r="D54" s="12">
        <v>1961</v>
      </c>
    </row>
    <row r="55" spans="1:4" ht="19.95" customHeight="1" x14ac:dyDescent="0.25">
      <c r="A55" s="11" t="s">
        <v>35</v>
      </c>
      <c r="B55" s="12" t="s">
        <v>41</v>
      </c>
      <c r="C55" s="12"/>
      <c r="D55" s="12">
        <v>1961</v>
      </c>
    </row>
    <row r="56" spans="1:4" ht="19.95" customHeight="1" x14ac:dyDescent="0.25">
      <c r="A56" s="11" t="s">
        <v>36</v>
      </c>
      <c r="B56" s="12" t="s">
        <v>41</v>
      </c>
      <c r="C56" s="12"/>
      <c r="D56" s="12">
        <v>1961</v>
      </c>
    </row>
    <row r="57" spans="1:4" ht="19.95" customHeight="1" x14ac:dyDescent="0.25">
      <c r="A57" s="11" t="s">
        <v>37</v>
      </c>
      <c r="B57" s="12" t="s">
        <v>41</v>
      </c>
      <c r="C57" s="12"/>
      <c r="D57" s="12">
        <v>1961</v>
      </c>
    </row>
    <row r="58" spans="1:4" ht="19.95" customHeight="1" x14ac:dyDescent="0.25">
      <c r="A58" s="11" t="s">
        <v>38</v>
      </c>
      <c r="B58" s="12" t="s">
        <v>41</v>
      </c>
      <c r="C58" s="12"/>
      <c r="D58" s="12">
        <v>1961</v>
      </c>
    </row>
    <row r="59" spans="1:4" ht="19.95" customHeight="1" x14ac:dyDescent="0.25">
      <c r="A59" s="11" t="s">
        <v>39</v>
      </c>
      <c r="B59" s="12" t="s">
        <v>41</v>
      </c>
      <c r="C59" s="12"/>
      <c r="D59" s="12">
        <v>1961</v>
      </c>
    </row>
    <row r="60" spans="1:4" ht="19.95" customHeight="1" x14ac:dyDescent="0.25">
      <c r="A60" s="11" t="s">
        <v>40</v>
      </c>
      <c r="B60" s="12" t="s">
        <v>41</v>
      </c>
      <c r="C60" s="12"/>
      <c r="D60" s="12">
        <v>1961</v>
      </c>
    </row>
    <row r="61" spans="1:4" ht="19.95" customHeight="1" x14ac:dyDescent="0.25">
      <c r="A61" s="11" t="s">
        <v>10</v>
      </c>
      <c r="B61" s="12" t="s">
        <v>41</v>
      </c>
      <c r="C61" s="12"/>
      <c r="D61" s="12">
        <v>1962</v>
      </c>
    </row>
    <row r="62" spans="1:4" ht="19.95" customHeight="1" x14ac:dyDescent="0.25">
      <c r="A62" s="11" t="s">
        <v>13</v>
      </c>
      <c r="B62" s="12" t="s">
        <v>41</v>
      </c>
      <c r="C62" s="12"/>
      <c r="D62" s="12">
        <v>1962</v>
      </c>
    </row>
    <row r="63" spans="1:4" ht="19.95" customHeight="1" x14ac:dyDescent="0.25">
      <c r="A63" s="11" t="s">
        <v>15</v>
      </c>
      <c r="B63" s="12" t="s">
        <v>41</v>
      </c>
      <c r="C63" s="12"/>
      <c r="D63" s="12">
        <v>1962</v>
      </c>
    </row>
    <row r="64" spans="1:4" ht="19.95" customHeight="1" x14ac:dyDescent="0.25">
      <c r="A64" s="11" t="s">
        <v>16</v>
      </c>
      <c r="B64" s="12" t="s">
        <v>41</v>
      </c>
      <c r="C64" s="12"/>
      <c r="D64" s="12">
        <v>1962</v>
      </c>
    </row>
    <row r="65" spans="1:4" ht="19.95" customHeight="1" x14ac:dyDescent="0.25">
      <c r="A65" s="11" t="s">
        <v>17</v>
      </c>
      <c r="B65" s="12" t="s">
        <v>41</v>
      </c>
      <c r="C65" s="12"/>
      <c r="D65" s="12">
        <v>1962</v>
      </c>
    </row>
    <row r="66" spans="1:4" ht="19.95" customHeight="1" x14ac:dyDescent="0.25">
      <c r="A66" s="11" t="s">
        <v>2</v>
      </c>
      <c r="B66" s="12" t="s">
        <v>41</v>
      </c>
      <c r="C66" s="12"/>
      <c r="D66" s="12">
        <v>1962</v>
      </c>
    </row>
    <row r="67" spans="1:4" ht="19.95" customHeight="1" x14ac:dyDescent="0.25">
      <c r="A67" s="11" t="s">
        <v>18</v>
      </c>
      <c r="B67" s="12" t="s">
        <v>41</v>
      </c>
      <c r="C67" s="12"/>
      <c r="D67" s="12">
        <v>1962</v>
      </c>
    </row>
    <row r="68" spans="1:4" ht="19.95" customHeight="1" x14ac:dyDescent="0.25">
      <c r="A68" s="11" t="s">
        <v>19</v>
      </c>
      <c r="B68" s="12" t="s">
        <v>41</v>
      </c>
      <c r="C68" s="12"/>
      <c r="D68" s="12">
        <v>1962</v>
      </c>
    </row>
    <row r="69" spans="1:4" ht="19.95" customHeight="1" x14ac:dyDescent="0.25">
      <c r="A69" s="11" t="s">
        <v>20</v>
      </c>
      <c r="B69" s="12" t="s">
        <v>41</v>
      </c>
      <c r="C69" s="12"/>
      <c r="D69" s="12">
        <v>1962</v>
      </c>
    </row>
    <row r="70" spans="1:4" ht="19.95" customHeight="1" x14ac:dyDescent="0.25">
      <c r="A70" s="11" t="s">
        <v>21</v>
      </c>
      <c r="B70" s="12" t="s">
        <v>41</v>
      </c>
      <c r="C70" s="12"/>
      <c r="D70" s="12">
        <v>1962</v>
      </c>
    </row>
    <row r="71" spans="1:4" ht="19.95" customHeight="1" x14ac:dyDescent="0.25">
      <c r="A71" s="11" t="s">
        <v>22</v>
      </c>
      <c r="B71" s="12" t="s">
        <v>41</v>
      </c>
      <c r="C71" s="12"/>
      <c r="D71" s="12">
        <v>1962</v>
      </c>
    </row>
    <row r="72" spans="1:4" ht="19.95" customHeight="1" x14ac:dyDescent="0.25">
      <c r="A72" s="11" t="s">
        <v>23</v>
      </c>
      <c r="B72" s="12" t="s">
        <v>41</v>
      </c>
      <c r="C72" s="12"/>
      <c r="D72" s="12">
        <v>1962</v>
      </c>
    </row>
    <row r="73" spans="1:4" ht="19.95" customHeight="1" x14ac:dyDescent="0.25">
      <c r="A73" s="11" t="s">
        <v>24</v>
      </c>
      <c r="B73" s="12" t="s">
        <v>41</v>
      </c>
      <c r="C73" s="12"/>
      <c r="D73" s="12">
        <v>1962</v>
      </c>
    </row>
    <row r="74" spans="1:4" ht="19.95" customHeight="1" x14ac:dyDescent="0.25">
      <c r="A74" s="11" t="s">
        <v>25</v>
      </c>
      <c r="B74" s="12" t="s">
        <v>41</v>
      </c>
      <c r="C74" s="12"/>
      <c r="D74" s="12">
        <v>1962</v>
      </c>
    </row>
    <row r="75" spans="1:4" ht="19.95" customHeight="1" x14ac:dyDescent="0.25">
      <c r="A75" s="11" t="s">
        <v>26</v>
      </c>
      <c r="B75" s="12" t="s">
        <v>41</v>
      </c>
      <c r="C75" s="12"/>
      <c r="D75" s="12">
        <v>1962</v>
      </c>
    </row>
    <row r="76" spans="1:4" ht="19.95" customHeight="1" x14ac:dyDescent="0.25">
      <c r="A76" s="11" t="s">
        <v>27</v>
      </c>
      <c r="B76" s="12" t="s">
        <v>41</v>
      </c>
      <c r="C76" s="12"/>
      <c r="D76" s="12">
        <v>1962</v>
      </c>
    </row>
    <row r="77" spans="1:4" ht="19.95" customHeight="1" x14ac:dyDescent="0.25">
      <c r="A77" s="11" t="s">
        <v>29</v>
      </c>
      <c r="B77" s="12" t="s">
        <v>41</v>
      </c>
      <c r="C77" s="12"/>
      <c r="D77" s="12">
        <v>1962</v>
      </c>
    </row>
    <row r="78" spans="1:4" ht="19.95" customHeight="1" x14ac:dyDescent="0.25">
      <c r="A78" s="11" t="s">
        <v>30</v>
      </c>
      <c r="B78" s="12" t="s">
        <v>41</v>
      </c>
      <c r="C78" s="12"/>
      <c r="D78" s="12">
        <v>1962</v>
      </c>
    </row>
    <row r="79" spans="1:4" ht="19.95" customHeight="1" x14ac:dyDescent="0.25">
      <c r="A79" s="11" t="s">
        <v>31</v>
      </c>
      <c r="B79" s="12" t="s">
        <v>41</v>
      </c>
      <c r="C79" s="12"/>
      <c r="D79" s="12">
        <v>1962</v>
      </c>
    </row>
    <row r="80" spans="1:4" ht="19.95" customHeight="1" x14ac:dyDescent="0.25">
      <c r="A80" s="11" t="s">
        <v>32</v>
      </c>
      <c r="B80" s="12" t="s">
        <v>41</v>
      </c>
      <c r="C80" s="12"/>
      <c r="D80" s="12">
        <v>1962</v>
      </c>
    </row>
    <row r="81" spans="1:4" ht="19.95" customHeight="1" x14ac:dyDescent="0.25">
      <c r="A81" s="11" t="s">
        <v>33</v>
      </c>
      <c r="B81" s="12" t="s">
        <v>41</v>
      </c>
      <c r="C81" s="12"/>
      <c r="D81" s="12">
        <v>1962</v>
      </c>
    </row>
    <row r="82" spans="1:4" ht="19.95" customHeight="1" x14ac:dyDescent="0.25">
      <c r="A82" s="11" t="s">
        <v>34</v>
      </c>
      <c r="B82" s="12" t="s">
        <v>41</v>
      </c>
      <c r="C82" s="12"/>
      <c r="D82" s="12">
        <v>1962</v>
      </c>
    </row>
    <row r="83" spans="1:4" ht="19.95" customHeight="1" x14ac:dyDescent="0.25">
      <c r="A83" s="11" t="s">
        <v>35</v>
      </c>
      <c r="B83" s="12" t="s">
        <v>41</v>
      </c>
      <c r="C83" s="12"/>
      <c r="D83" s="12">
        <v>1962</v>
      </c>
    </row>
    <row r="84" spans="1:4" ht="19.95" customHeight="1" x14ac:dyDescent="0.25">
      <c r="A84" s="11" t="s">
        <v>36</v>
      </c>
      <c r="B84" s="12" t="s">
        <v>41</v>
      </c>
      <c r="C84" s="12"/>
      <c r="D84" s="12">
        <v>1962</v>
      </c>
    </row>
    <row r="85" spans="1:4" ht="19.95" customHeight="1" x14ac:dyDescent="0.25">
      <c r="A85" s="11" t="s">
        <v>37</v>
      </c>
      <c r="B85" s="12" t="s">
        <v>41</v>
      </c>
      <c r="C85" s="12"/>
      <c r="D85" s="12">
        <v>1962</v>
      </c>
    </row>
    <row r="86" spans="1:4" ht="19.95" customHeight="1" x14ac:dyDescent="0.25">
      <c r="A86" s="11" t="s">
        <v>38</v>
      </c>
      <c r="B86" s="12" t="s">
        <v>41</v>
      </c>
      <c r="C86" s="12"/>
      <c r="D86" s="12">
        <v>1962</v>
      </c>
    </row>
    <row r="87" spans="1:4" ht="19.95" customHeight="1" x14ac:dyDescent="0.25">
      <c r="A87" s="11" t="s">
        <v>39</v>
      </c>
      <c r="B87" s="12" t="s">
        <v>41</v>
      </c>
      <c r="C87" s="12"/>
      <c r="D87" s="12">
        <v>1962</v>
      </c>
    </row>
    <row r="88" spans="1:4" ht="19.95" customHeight="1" x14ac:dyDescent="0.25">
      <c r="A88" s="11" t="s">
        <v>40</v>
      </c>
      <c r="B88" s="12" t="s">
        <v>41</v>
      </c>
      <c r="C88" s="12"/>
      <c r="D88" s="12">
        <v>1962</v>
      </c>
    </row>
    <row r="89" spans="1:4" ht="19.95" customHeight="1" x14ac:dyDescent="0.25">
      <c r="A89" s="11" t="s">
        <v>10</v>
      </c>
      <c r="B89" s="12" t="s">
        <v>41</v>
      </c>
      <c r="C89" s="12"/>
      <c r="D89" s="12">
        <v>1963</v>
      </c>
    </row>
    <row r="90" spans="1:4" ht="19.95" customHeight="1" x14ac:dyDescent="0.25">
      <c r="A90" s="11" t="s">
        <v>13</v>
      </c>
      <c r="B90" s="12" t="s">
        <v>41</v>
      </c>
      <c r="C90" s="12"/>
      <c r="D90" s="12">
        <v>1963</v>
      </c>
    </row>
    <row r="91" spans="1:4" ht="19.95" customHeight="1" x14ac:dyDescent="0.25">
      <c r="A91" s="11" t="s">
        <v>15</v>
      </c>
      <c r="B91" s="12" t="s">
        <v>41</v>
      </c>
      <c r="C91" s="12"/>
      <c r="D91" s="12">
        <v>1963</v>
      </c>
    </row>
    <row r="92" spans="1:4" ht="19.95" customHeight="1" x14ac:dyDescent="0.25">
      <c r="A92" s="11" t="s">
        <v>16</v>
      </c>
      <c r="B92" s="12" t="s">
        <v>41</v>
      </c>
      <c r="C92" s="12"/>
      <c r="D92" s="12">
        <v>1963</v>
      </c>
    </row>
    <row r="93" spans="1:4" ht="19.95" customHeight="1" x14ac:dyDescent="0.25">
      <c r="A93" s="11" t="s">
        <v>17</v>
      </c>
      <c r="B93" s="12" t="s">
        <v>41</v>
      </c>
      <c r="C93" s="12"/>
      <c r="D93" s="12">
        <v>1963</v>
      </c>
    </row>
    <row r="94" spans="1:4" ht="19.95" customHeight="1" x14ac:dyDescent="0.25">
      <c r="A94" s="11" t="s">
        <v>2</v>
      </c>
      <c r="B94" s="12" t="s">
        <v>41</v>
      </c>
      <c r="C94" s="12"/>
      <c r="D94" s="12">
        <v>1963</v>
      </c>
    </row>
    <row r="95" spans="1:4" ht="19.95" customHeight="1" x14ac:dyDescent="0.25">
      <c r="A95" s="11" t="s">
        <v>18</v>
      </c>
      <c r="B95" s="12" t="s">
        <v>41</v>
      </c>
      <c r="C95" s="12"/>
      <c r="D95" s="12">
        <v>1963</v>
      </c>
    </row>
    <row r="96" spans="1:4" ht="19.95" customHeight="1" x14ac:dyDescent="0.25">
      <c r="A96" s="11" t="s">
        <v>19</v>
      </c>
      <c r="B96" s="12" t="s">
        <v>41</v>
      </c>
      <c r="C96" s="12"/>
      <c r="D96" s="12">
        <v>1963</v>
      </c>
    </row>
    <row r="97" spans="1:4" ht="19.95" customHeight="1" x14ac:dyDescent="0.25">
      <c r="A97" s="11" t="s">
        <v>20</v>
      </c>
      <c r="B97" s="12" t="s">
        <v>41</v>
      </c>
      <c r="C97" s="12"/>
      <c r="D97" s="12">
        <v>1963</v>
      </c>
    </row>
    <row r="98" spans="1:4" ht="19.95" customHeight="1" x14ac:dyDescent="0.25">
      <c r="A98" s="11" t="s">
        <v>21</v>
      </c>
      <c r="B98" s="12" t="s">
        <v>41</v>
      </c>
      <c r="C98" s="12"/>
      <c r="D98" s="12">
        <v>1963</v>
      </c>
    </row>
    <row r="99" spans="1:4" ht="19.95" customHeight="1" x14ac:dyDescent="0.25">
      <c r="A99" s="11" t="s">
        <v>22</v>
      </c>
      <c r="B99" s="12" t="s">
        <v>41</v>
      </c>
      <c r="C99" s="12"/>
      <c r="D99" s="12">
        <v>1963</v>
      </c>
    </row>
    <row r="100" spans="1:4" ht="19.95" customHeight="1" x14ac:dyDescent="0.25">
      <c r="A100" s="11" t="s">
        <v>23</v>
      </c>
      <c r="B100" s="12" t="s">
        <v>41</v>
      </c>
      <c r="C100" s="12"/>
      <c r="D100" s="12">
        <v>1963</v>
      </c>
    </row>
    <row r="101" spans="1:4" ht="19.95" customHeight="1" x14ac:dyDescent="0.25">
      <c r="A101" s="11" t="s">
        <v>24</v>
      </c>
      <c r="B101" s="12" t="s">
        <v>41</v>
      </c>
      <c r="C101" s="12"/>
      <c r="D101" s="12">
        <v>1963</v>
      </c>
    </row>
    <row r="102" spans="1:4" ht="19.95" customHeight="1" x14ac:dyDescent="0.25">
      <c r="A102" s="11" t="s">
        <v>25</v>
      </c>
      <c r="B102" s="12" t="s">
        <v>41</v>
      </c>
      <c r="C102" s="12"/>
      <c r="D102" s="12">
        <v>1963</v>
      </c>
    </row>
    <row r="103" spans="1:4" ht="19.95" customHeight="1" x14ac:dyDescent="0.25">
      <c r="A103" s="11" t="s">
        <v>26</v>
      </c>
      <c r="B103" s="12" t="s">
        <v>41</v>
      </c>
      <c r="C103" s="12"/>
      <c r="D103" s="12">
        <v>1963</v>
      </c>
    </row>
    <row r="104" spans="1:4" ht="19.95" customHeight="1" x14ac:dyDescent="0.25">
      <c r="A104" s="11" t="s">
        <v>27</v>
      </c>
      <c r="B104" s="12" t="s">
        <v>41</v>
      </c>
      <c r="C104" s="12"/>
      <c r="D104" s="12">
        <v>1963</v>
      </c>
    </row>
    <row r="105" spans="1:4" ht="19.95" customHeight="1" x14ac:dyDescent="0.25">
      <c r="A105" s="11" t="s">
        <v>29</v>
      </c>
      <c r="B105" s="12" t="s">
        <v>41</v>
      </c>
      <c r="C105" s="12"/>
      <c r="D105" s="12">
        <v>1963</v>
      </c>
    </row>
    <row r="106" spans="1:4" ht="19.95" customHeight="1" x14ac:dyDescent="0.25">
      <c r="A106" s="11" t="s">
        <v>30</v>
      </c>
      <c r="B106" s="12" t="s">
        <v>41</v>
      </c>
      <c r="C106" s="12"/>
      <c r="D106" s="12">
        <v>1963</v>
      </c>
    </row>
    <row r="107" spans="1:4" ht="19.95" customHeight="1" x14ac:dyDescent="0.25">
      <c r="A107" s="11" t="s">
        <v>31</v>
      </c>
      <c r="B107" s="12" t="s">
        <v>41</v>
      </c>
      <c r="C107" s="12"/>
      <c r="D107" s="12">
        <v>1963</v>
      </c>
    </row>
    <row r="108" spans="1:4" ht="19.95" customHeight="1" x14ac:dyDescent="0.25">
      <c r="A108" s="11" t="s">
        <v>32</v>
      </c>
      <c r="B108" s="12" t="s">
        <v>41</v>
      </c>
      <c r="C108" s="12"/>
      <c r="D108" s="12">
        <v>1963</v>
      </c>
    </row>
    <row r="109" spans="1:4" ht="19.95" customHeight="1" x14ac:dyDescent="0.25">
      <c r="A109" s="11" t="s">
        <v>33</v>
      </c>
      <c r="B109" s="12" t="s">
        <v>41</v>
      </c>
      <c r="C109" s="12"/>
      <c r="D109" s="12">
        <v>1963</v>
      </c>
    </row>
    <row r="110" spans="1:4" ht="19.95" customHeight="1" x14ac:dyDescent="0.25">
      <c r="A110" s="11" t="s">
        <v>34</v>
      </c>
      <c r="B110" s="12" t="s">
        <v>41</v>
      </c>
      <c r="C110" s="12"/>
      <c r="D110" s="12">
        <v>1963</v>
      </c>
    </row>
    <row r="111" spans="1:4" ht="19.95" customHeight="1" x14ac:dyDescent="0.25">
      <c r="A111" s="11" t="s">
        <v>35</v>
      </c>
      <c r="B111" s="12" t="s">
        <v>41</v>
      </c>
      <c r="C111" s="12"/>
      <c r="D111" s="12">
        <v>1963</v>
      </c>
    </row>
    <row r="112" spans="1:4" ht="19.95" customHeight="1" x14ac:dyDescent="0.25">
      <c r="A112" s="11" t="s">
        <v>36</v>
      </c>
      <c r="B112" s="12" t="s">
        <v>41</v>
      </c>
      <c r="C112" s="12"/>
      <c r="D112" s="12">
        <v>1963</v>
      </c>
    </row>
    <row r="113" spans="1:4" ht="19.95" customHeight="1" x14ac:dyDescent="0.25">
      <c r="A113" s="11" t="s">
        <v>37</v>
      </c>
      <c r="B113" s="12" t="s">
        <v>41</v>
      </c>
      <c r="C113" s="12"/>
      <c r="D113" s="12">
        <v>1963</v>
      </c>
    </row>
    <row r="114" spans="1:4" ht="19.95" customHeight="1" x14ac:dyDescent="0.25">
      <c r="A114" s="11" t="s">
        <v>38</v>
      </c>
      <c r="B114" s="12" t="s">
        <v>41</v>
      </c>
      <c r="C114" s="12"/>
      <c r="D114" s="12">
        <v>1963</v>
      </c>
    </row>
    <row r="115" spans="1:4" ht="19.95" customHeight="1" x14ac:dyDescent="0.25">
      <c r="A115" s="11" t="s">
        <v>39</v>
      </c>
      <c r="B115" s="12" t="s">
        <v>41</v>
      </c>
      <c r="C115" s="12"/>
      <c r="D115" s="12">
        <v>1963</v>
      </c>
    </row>
    <row r="116" spans="1:4" ht="19.95" customHeight="1" x14ac:dyDescent="0.25">
      <c r="A116" s="11" t="s">
        <v>40</v>
      </c>
      <c r="B116" s="12" t="s">
        <v>41</v>
      </c>
      <c r="C116" s="12"/>
      <c r="D116" s="12">
        <v>1963</v>
      </c>
    </row>
    <row r="117" spans="1:4" ht="19.95" customHeight="1" x14ac:dyDescent="0.25">
      <c r="A117" s="11" t="s">
        <v>10</v>
      </c>
      <c r="B117" s="12" t="s">
        <v>41</v>
      </c>
      <c r="C117" s="12"/>
      <c r="D117" s="12">
        <v>1964</v>
      </c>
    </row>
    <row r="118" spans="1:4" ht="19.95" customHeight="1" x14ac:dyDescent="0.25">
      <c r="A118" s="11" t="s">
        <v>13</v>
      </c>
      <c r="B118" s="12" t="s">
        <v>41</v>
      </c>
      <c r="C118" s="12"/>
      <c r="D118" s="12">
        <v>1964</v>
      </c>
    </row>
    <row r="119" spans="1:4" ht="19.95" customHeight="1" x14ac:dyDescent="0.25">
      <c r="A119" s="11" t="s">
        <v>15</v>
      </c>
      <c r="B119" s="12" t="s">
        <v>41</v>
      </c>
      <c r="C119" s="12"/>
      <c r="D119" s="12">
        <v>1964</v>
      </c>
    </row>
    <row r="120" spans="1:4" ht="19.95" customHeight="1" x14ac:dyDescent="0.25">
      <c r="A120" s="11" t="s">
        <v>16</v>
      </c>
      <c r="B120" s="12" t="s">
        <v>41</v>
      </c>
      <c r="C120" s="12"/>
      <c r="D120" s="12">
        <v>1964</v>
      </c>
    </row>
    <row r="121" spans="1:4" ht="19.95" customHeight="1" x14ac:dyDescent="0.25">
      <c r="A121" s="11" t="s">
        <v>17</v>
      </c>
      <c r="B121" s="12" t="s">
        <v>41</v>
      </c>
      <c r="C121" s="12"/>
      <c r="D121" s="12">
        <v>1964</v>
      </c>
    </row>
    <row r="122" spans="1:4" ht="19.95" customHeight="1" x14ac:dyDescent="0.25">
      <c r="A122" s="11" t="s">
        <v>2</v>
      </c>
      <c r="B122" s="12" t="s">
        <v>41</v>
      </c>
      <c r="C122" s="12"/>
      <c r="D122" s="12">
        <v>1964</v>
      </c>
    </row>
    <row r="123" spans="1:4" ht="19.95" customHeight="1" x14ac:dyDescent="0.25">
      <c r="A123" s="11" t="s">
        <v>18</v>
      </c>
      <c r="B123" s="12" t="s">
        <v>41</v>
      </c>
      <c r="C123" s="12"/>
      <c r="D123" s="12">
        <v>1964</v>
      </c>
    </row>
    <row r="124" spans="1:4" ht="19.95" customHeight="1" x14ac:dyDescent="0.25">
      <c r="A124" s="11" t="s">
        <v>19</v>
      </c>
      <c r="B124" s="12" t="s">
        <v>41</v>
      </c>
      <c r="C124" s="12"/>
      <c r="D124" s="12">
        <v>1964</v>
      </c>
    </row>
    <row r="125" spans="1:4" ht="19.95" customHeight="1" x14ac:dyDescent="0.25">
      <c r="A125" s="11" t="s">
        <v>20</v>
      </c>
      <c r="B125" s="12" t="s">
        <v>41</v>
      </c>
      <c r="C125" s="12"/>
      <c r="D125" s="12">
        <v>1964</v>
      </c>
    </row>
    <row r="126" spans="1:4" ht="19.95" customHeight="1" x14ac:dyDescent="0.25">
      <c r="A126" s="11" t="s">
        <v>21</v>
      </c>
      <c r="B126" s="12" t="s">
        <v>41</v>
      </c>
      <c r="C126" s="12"/>
      <c r="D126" s="12">
        <v>1964</v>
      </c>
    </row>
    <row r="127" spans="1:4" ht="19.95" customHeight="1" x14ac:dyDescent="0.25">
      <c r="A127" s="11" t="s">
        <v>22</v>
      </c>
      <c r="B127" s="12" t="s">
        <v>41</v>
      </c>
      <c r="C127" s="12"/>
      <c r="D127" s="12">
        <v>1964</v>
      </c>
    </row>
    <row r="128" spans="1:4" ht="19.95" customHeight="1" x14ac:dyDescent="0.25">
      <c r="A128" s="11" t="s">
        <v>23</v>
      </c>
      <c r="B128" s="12" t="s">
        <v>41</v>
      </c>
      <c r="C128" s="12"/>
      <c r="D128" s="12">
        <v>1964</v>
      </c>
    </row>
    <row r="129" spans="1:4" ht="19.95" customHeight="1" x14ac:dyDescent="0.25">
      <c r="A129" s="11" t="s">
        <v>24</v>
      </c>
      <c r="B129" s="12" t="s">
        <v>41</v>
      </c>
      <c r="C129" s="12"/>
      <c r="D129" s="12">
        <v>1964</v>
      </c>
    </row>
    <row r="130" spans="1:4" ht="19.95" customHeight="1" x14ac:dyDescent="0.25">
      <c r="A130" s="11" t="s">
        <v>25</v>
      </c>
      <c r="B130" s="12" t="s">
        <v>41</v>
      </c>
      <c r="C130" s="12"/>
      <c r="D130" s="12">
        <v>1964</v>
      </c>
    </row>
    <row r="131" spans="1:4" ht="19.95" customHeight="1" x14ac:dyDescent="0.25">
      <c r="A131" s="11" t="s">
        <v>26</v>
      </c>
      <c r="B131" s="12" t="s">
        <v>41</v>
      </c>
      <c r="C131" s="12"/>
      <c r="D131" s="12">
        <v>1964</v>
      </c>
    </row>
    <row r="132" spans="1:4" ht="19.95" customHeight="1" x14ac:dyDescent="0.25">
      <c r="A132" s="11" t="s">
        <v>27</v>
      </c>
      <c r="B132" s="12" t="s">
        <v>41</v>
      </c>
      <c r="C132" s="12"/>
      <c r="D132" s="12">
        <v>1964</v>
      </c>
    </row>
    <row r="133" spans="1:4" ht="19.95" customHeight="1" x14ac:dyDescent="0.25">
      <c r="A133" s="11" t="s">
        <v>29</v>
      </c>
      <c r="B133" s="12" t="s">
        <v>41</v>
      </c>
      <c r="C133" s="12"/>
      <c r="D133" s="12">
        <v>1964</v>
      </c>
    </row>
    <row r="134" spans="1:4" ht="19.95" customHeight="1" x14ac:dyDescent="0.25">
      <c r="A134" s="11" t="s">
        <v>30</v>
      </c>
      <c r="B134" s="12" t="s">
        <v>41</v>
      </c>
      <c r="C134" s="12"/>
      <c r="D134" s="12">
        <v>1964</v>
      </c>
    </row>
    <row r="135" spans="1:4" ht="19.95" customHeight="1" x14ac:dyDescent="0.25">
      <c r="A135" s="11" t="s">
        <v>31</v>
      </c>
      <c r="B135" s="12" t="s">
        <v>41</v>
      </c>
      <c r="C135" s="12"/>
      <c r="D135" s="12">
        <v>1964</v>
      </c>
    </row>
    <row r="136" spans="1:4" ht="19.95" customHeight="1" x14ac:dyDescent="0.25">
      <c r="A136" s="11" t="s">
        <v>32</v>
      </c>
      <c r="B136" s="12" t="s">
        <v>41</v>
      </c>
      <c r="C136" s="12"/>
      <c r="D136" s="12">
        <v>1964</v>
      </c>
    </row>
    <row r="137" spans="1:4" ht="19.95" customHeight="1" x14ac:dyDescent="0.25">
      <c r="A137" s="11" t="s">
        <v>33</v>
      </c>
      <c r="B137" s="12" t="s">
        <v>41</v>
      </c>
      <c r="C137" s="12"/>
      <c r="D137" s="12">
        <v>1964</v>
      </c>
    </row>
    <row r="138" spans="1:4" ht="19.95" customHeight="1" x14ac:dyDescent="0.25">
      <c r="A138" s="11" t="s">
        <v>34</v>
      </c>
      <c r="B138" s="12" t="s">
        <v>41</v>
      </c>
      <c r="C138" s="12"/>
      <c r="D138" s="12">
        <v>1964</v>
      </c>
    </row>
    <row r="139" spans="1:4" ht="19.95" customHeight="1" x14ac:dyDescent="0.25">
      <c r="A139" s="11" t="s">
        <v>35</v>
      </c>
      <c r="B139" s="12" t="s">
        <v>41</v>
      </c>
      <c r="C139" s="12"/>
      <c r="D139" s="12">
        <v>1964</v>
      </c>
    </row>
    <row r="140" spans="1:4" ht="19.95" customHeight="1" x14ac:dyDescent="0.25">
      <c r="A140" s="11" t="s">
        <v>36</v>
      </c>
      <c r="B140" s="12" t="s">
        <v>41</v>
      </c>
      <c r="C140" s="12"/>
      <c r="D140" s="12">
        <v>1964</v>
      </c>
    </row>
    <row r="141" spans="1:4" ht="19.95" customHeight="1" x14ac:dyDescent="0.25">
      <c r="A141" s="11" t="s">
        <v>37</v>
      </c>
      <c r="B141" s="12" t="s">
        <v>41</v>
      </c>
      <c r="C141" s="12"/>
      <c r="D141" s="12">
        <v>1964</v>
      </c>
    </row>
    <row r="142" spans="1:4" ht="19.95" customHeight="1" x14ac:dyDescent="0.25">
      <c r="A142" s="11" t="s">
        <v>38</v>
      </c>
      <c r="B142" s="12" t="s">
        <v>41</v>
      </c>
      <c r="C142" s="12"/>
      <c r="D142" s="12">
        <v>1964</v>
      </c>
    </row>
    <row r="143" spans="1:4" ht="19.95" customHeight="1" x14ac:dyDescent="0.25">
      <c r="A143" s="11" t="s">
        <v>39</v>
      </c>
      <c r="B143" s="12" t="s">
        <v>41</v>
      </c>
      <c r="C143" s="12"/>
      <c r="D143" s="12">
        <v>1964</v>
      </c>
    </row>
    <row r="144" spans="1:4" ht="19.95" customHeight="1" x14ac:dyDescent="0.25">
      <c r="A144" s="11" t="s">
        <v>40</v>
      </c>
      <c r="B144" s="12" t="s">
        <v>41</v>
      </c>
      <c r="C144" s="12"/>
      <c r="D144" s="12">
        <v>1964</v>
      </c>
    </row>
    <row r="145" spans="1:4" ht="19.95" customHeight="1" x14ac:dyDescent="0.25">
      <c r="A145" s="11" t="s">
        <v>10</v>
      </c>
      <c r="B145" s="12" t="s">
        <v>41</v>
      </c>
      <c r="C145" s="12"/>
      <c r="D145" s="12">
        <v>1965</v>
      </c>
    </row>
    <row r="146" spans="1:4" ht="19.95" customHeight="1" x14ac:dyDescent="0.25">
      <c r="A146" s="11" t="s">
        <v>13</v>
      </c>
      <c r="B146" s="12" t="s">
        <v>41</v>
      </c>
      <c r="C146" s="12"/>
      <c r="D146" s="12">
        <v>1965</v>
      </c>
    </row>
    <row r="147" spans="1:4" ht="19.95" customHeight="1" x14ac:dyDescent="0.25">
      <c r="A147" s="11" t="s">
        <v>15</v>
      </c>
      <c r="B147" s="12" t="s">
        <v>41</v>
      </c>
      <c r="C147" s="12"/>
      <c r="D147" s="12">
        <v>1965</v>
      </c>
    </row>
    <row r="148" spans="1:4" ht="19.95" customHeight="1" x14ac:dyDescent="0.25">
      <c r="A148" s="11" t="s">
        <v>16</v>
      </c>
      <c r="B148" s="12" t="s">
        <v>41</v>
      </c>
      <c r="C148" s="12"/>
      <c r="D148" s="12">
        <v>1965</v>
      </c>
    </row>
    <row r="149" spans="1:4" ht="19.95" customHeight="1" x14ac:dyDescent="0.25">
      <c r="A149" s="11" t="s">
        <v>17</v>
      </c>
      <c r="B149" s="12" t="s">
        <v>41</v>
      </c>
      <c r="C149" s="12"/>
      <c r="D149" s="12">
        <v>1965</v>
      </c>
    </row>
    <row r="150" spans="1:4" ht="19.95" customHeight="1" x14ac:dyDescent="0.25">
      <c r="A150" s="11" t="s">
        <v>2</v>
      </c>
      <c r="B150" s="12" t="s">
        <v>41</v>
      </c>
      <c r="C150" s="12"/>
      <c r="D150" s="12">
        <v>1965</v>
      </c>
    </row>
    <row r="151" spans="1:4" ht="19.95" customHeight="1" x14ac:dyDescent="0.25">
      <c r="A151" s="11" t="s">
        <v>18</v>
      </c>
      <c r="B151" s="12" t="s">
        <v>41</v>
      </c>
      <c r="C151" s="12"/>
      <c r="D151" s="12">
        <v>1965</v>
      </c>
    </row>
    <row r="152" spans="1:4" ht="19.95" customHeight="1" x14ac:dyDescent="0.25">
      <c r="A152" s="11" t="s">
        <v>19</v>
      </c>
      <c r="B152" s="12" t="s">
        <v>41</v>
      </c>
      <c r="C152" s="12"/>
      <c r="D152" s="12">
        <v>1965</v>
      </c>
    </row>
    <row r="153" spans="1:4" ht="19.95" customHeight="1" x14ac:dyDescent="0.25">
      <c r="A153" s="11" t="s">
        <v>20</v>
      </c>
      <c r="B153" s="12" t="s">
        <v>41</v>
      </c>
      <c r="C153" s="12"/>
      <c r="D153" s="12">
        <v>1965</v>
      </c>
    </row>
    <row r="154" spans="1:4" ht="19.95" customHeight="1" x14ac:dyDescent="0.25">
      <c r="A154" s="11" t="s">
        <v>21</v>
      </c>
      <c r="B154" s="12" t="s">
        <v>41</v>
      </c>
      <c r="C154" s="12"/>
      <c r="D154" s="12">
        <v>1965</v>
      </c>
    </row>
    <row r="155" spans="1:4" ht="19.95" customHeight="1" x14ac:dyDescent="0.25">
      <c r="A155" s="11" t="s">
        <v>22</v>
      </c>
      <c r="B155" s="12" t="s">
        <v>41</v>
      </c>
      <c r="C155" s="12"/>
      <c r="D155" s="12">
        <v>1965</v>
      </c>
    </row>
    <row r="156" spans="1:4" ht="19.95" customHeight="1" x14ac:dyDescent="0.25">
      <c r="A156" s="11" t="s">
        <v>23</v>
      </c>
      <c r="B156" s="12" t="s">
        <v>41</v>
      </c>
      <c r="C156" s="12"/>
      <c r="D156" s="12">
        <v>1965</v>
      </c>
    </row>
    <row r="157" spans="1:4" ht="19.95" customHeight="1" x14ac:dyDescent="0.25">
      <c r="A157" s="11" t="s">
        <v>24</v>
      </c>
      <c r="B157" s="12" t="s">
        <v>41</v>
      </c>
      <c r="C157" s="12"/>
      <c r="D157" s="12">
        <v>1965</v>
      </c>
    </row>
    <row r="158" spans="1:4" ht="19.95" customHeight="1" x14ac:dyDescent="0.25">
      <c r="A158" s="11" t="s">
        <v>25</v>
      </c>
      <c r="B158" s="12" t="s">
        <v>41</v>
      </c>
      <c r="C158" s="12"/>
      <c r="D158" s="12">
        <v>1965</v>
      </c>
    </row>
    <row r="159" spans="1:4" ht="19.95" customHeight="1" x14ac:dyDescent="0.25">
      <c r="A159" s="11" t="s">
        <v>26</v>
      </c>
      <c r="B159" s="12" t="s">
        <v>41</v>
      </c>
      <c r="C159" s="12"/>
      <c r="D159" s="12">
        <v>1965</v>
      </c>
    </row>
    <row r="160" spans="1:4" ht="19.95" customHeight="1" x14ac:dyDescent="0.25">
      <c r="A160" s="11" t="s">
        <v>27</v>
      </c>
      <c r="B160" s="12" t="s">
        <v>41</v>
      </c>
      <c r="C160" s="12"/>
      <c r="D160" s="12">
        <v>1965</v>
      </c>
    </row>
    <row r="161" spans="1:4" ht="19.95" customHeight="1" x14ac:dyDescent="0.25">
      <c r="A161" s="11" t="s">
        <v>29</v>
      </c>
      <c r="B161" s="12" t="s">
        <v>41</v>
      </c>
      <c r="C161" s="12"/>
      <c r="D161" s="12">
        <v>1965</v>
      </c>
    </row>
    <row r="162" spans="1:4" ht="19.95" customHeight="1" x14ac:dyDescent="0.25">
      <c r="A162" s="11" t="s">
        <v>30</v>
      </c>
      <c r="B162" s="12" t="s">
        <v>41</v>
      </c>
      <c r="C162" s="12"/>
      <c r="D162" s="12">
        <v>1965</v>
      </c>
    </row>
    <row r="163" spans="1:4" ht="19.95" customHeight="1" x14ac:dyDescent="0.25">
      <c r="A163" s="11" t="s">
        <v>31</v>
      </c>
      <c r="B163" s="12" t="s">
        <v>41</v>
      </c>
      <c r="C163" s="12"/>
      <c r="D163" s="12">
        <v>1965</v>
      </c>
    </row>
    <row r="164" spans="1:4" ht="19.95" customHeight="1" x14ac:dyDescent="0.25">
      <c r="A164" s="11" t="s">
        <v>32</v>
      </c>
      <c r="B164" s="12" t="s">
        <v>41</v>
      </c>
      <c r="C164" s="12"/>
      <c r="D164" s="12">
        <v>1965</v>
      </c>
    </row>
    <row r="165" spans="1:4" ht="19.95" customHeight="1" x14ac:dyDescent="0.25">
      <c r="A165" s="11" t="s">
        <v>33</v>
      </c>
      <c r="B165" s="12" t="s">
        <v>41</v>
      </c>
      <c r="C165" s="12"/>
      <c r="D165" s="12">
        <v>1965</v>
      </c>
    </row>
    <row r="166" spans="1:4" ht="19.95" customHeight="1" x14ac:dyDescent="0.25">
      <c r="A166" s="11" t="s">
        <v>34</v>
      </c>
      <c r="B166" s="12" t="s">
        <v>41</v>
      </c>
      <c r="C166" s="12"/>
      <c r="D166" s="12">
        <v>1965</v>
      </c>
    </row>
    <row r="167" spans="1:4" ht="19.95" customHeight="1" x14ac:dyDescent="0.25">
      <c r="A167" s="11" t="s">
        <v>35</v>
      </c>
      <c r="B167" s="12" t="s">
        <v>41</v>
      </c>
      <c r="C167" s="12"/>
      <c r="D167" s="12">
        <v>1965</v>
      </c>
    </row>
    <row r="168" spans="1:4" ht="19.95" customHeight="1" x14ac:dyDescent="0.25">
      <c r="A168" s="11" t="s">
        <v>36</v>
      </c>
      <c r="B168" s="12" t="s">
        <v>41</v>
      </c>
      <c r="C168" s="12"/>
      <c r="D168" s="12">
        <v>1965</v>
      </c>
    </row>
    <row r="169" spans="1:4" ht="19.95" customHeight="1" x14ac:dyDescent="0.25">
      <c r="A169" s="11" t="s">
        <v>37</v>
      </c>
      <c r="B169" s="12" t="s">
        <v>41</v>
      </c>
      <c r="C169" s="12"/>
      <c r="D169" s="12">
        <v>1965</v>
      </c>
    </row>
    <row r="170" spans="1:4" ht="19.95" customHeight="1" x14ac:dyDescent="0.25">
      <c r="A170" s="11" t="s">
        <v>38</v>
      </c>
      <c r="B170" s="12" t="s">
        <v>41</v>
      </c>
      <c r="C170" s="12"/>
      <c r="D170" s="12">
        <v>1965</v>
      </c>
    </row>
    <row r="171" spans="1:4" ht="19.95" customHeight="1" x14ac:dyDescent="0.25">
      <c r="A171" s="11" t="s">
        <v>39</v>
      </c>
      <c r="B171" s="12" t="s">
        <v>41</v>
      </c>
      <c r="C171" s="12"/>
      <c r="D171" s="12">
        <v>1965</v>
      </c>
    </row>
    <row r="172" spans="1:4" ht="19.95" customHeight="1" x14ac:dyDescent="0.25">
      <c r="A172" s="11" t="s">
        <v>40</v>
      </c>
      <c r="B172" s="12" t="s">
        <v>41</v>
      </c>
      <c r="C172" s="12"/>
      <c r="D172" s="12">
        <v>1965</v>
      </c>
    </row>
    <row r="173" spans="1:4" ht="19.95" customHeight="1" x14ac:dyDescent="0.25">
      <c r="A173" s="11" t="s">
        <v>10</v>
      </c>
      <c r="B173" s="12" t="s">
        <v>41</v>
      </c>
      <c r="C173" s="12"/>
      <c r="D173" s="12">
        <v>1966</v>
      </c>
    </row>
    <row r="174" spans="1:4" ht="19.95" customHeight="1" x14ac:dyDescent="0.25">
      <c r="A174" s="11" t="s">
        <v>13</v>
      </c>
      <c r="B174" s="12" t="s">
        <v>41</v>
      </c>
      <c r="C174" s="12"/>
      <c r="D174" s="12">
        <v>1966</v>
      </c>
    </row>
    <row r="175" spans="1:4" ht="19.95" customHeight="1" x14ac:dyDescent="0.25">
      <c r="A175" s="11" t="s">
        <v>15</v>
      </c>
      <c r="B175" s="12" t="s">
        <v>41</v>
      </c>
      <c r="C175" s="12"/>
      <c r="D175" s="12">
        <v>1966</v>
      </c>
    </row>
    <row r="176" spans="1:4" ht="19.95" customHeight="1" x14ac:dyDescent="0.25">
      <c r="A176" s="11" t="s">
        <v>16</v>
      </c>
      <c r="B176" s="12" t="s">
        <v>41</v>
      </c>
      <c r="C176" s="12"/>
      <c r="D176" s="12">
        <v>1966</v>
      </c>
    </row>
    <row r="177" spans="1:4" ht="19.95" customHeight="1" x14ac:dyDescent="0.25">
      <c r="A177" s="11" t="s">
        <v>17</v>
      </c>
      <c r="B177" s="12" t="s">
        <v>41</v>
      </c>
      <c r="C177" s="12"/>
      <c r="D177" s="12">
        <v>1966</v>
      </c>
    </row>
    <row r="178" spans="1:4" ht="19.95" customHeight="1" x14ac:dyDescent="0.25">
      <c r="A178" s="11" t="s">
        <v>2</v>
      </c>
      <c r="B178" s="12" t="s">
        <v>41</v>
      </c>
      <c r="C178" s="12"/>
      <c r="D178" s="12">
        <v>1966</v>
      </c>
    </row>
    <row r="179" spans="1:4" ht="19.95" customHeight="1" x14ac:dyDescent="0.25">
      <c r="A179" s="11" t="s">
        <v>18</v>
      </c>
      <c r="B179" s="12" t="s">
        <v>41</v>
      </c>
      <c r="C179" s="12"/>
      <c r="D179" s="12">
        <v>1966</v>
      </c>
    </row>
    <row r="180" spans="1:4" ht="19.95" customHeight="1" x14ac:dyDescent="0.25">
      <c r="A180" s="11" t="s">
        <v>19</v>
      </c>
      <c r="B180" s="12" t="s">
        <v>41</v>
      </c>
      <c r="C180" s="12"/>
      <c r="D180" s="12">
        <v>1966</v>
      </c>
    </row>
    <row r="181" spans="1:4" ht="19.95" customHeight="1" x14ac:dyDescent="0.25">
      <c r="A181" s="11" t="s">
        <v>20</v>
      </c>
      <c r="B181" s="12" t="s">
        <v>41</v>
      </c>
      <c r="C181" s="12"/>
      <c r="D181" s="12">
        <v>1966</v>
      </c>
    </row>
    <row r="182" spans="1:4" ht="19.95" customHeight="1" x14ac:dyDescent="0.25">
      <c r="A182" s="11" t="s">
        <v>21</v>
      </c>
      <c r="B182" s="12" t="s">
        <v>41</v>
      </c>
      <c r="C182" s="12"/>
      <c r="D182" s="12">
        <v>1966</v>
      </c>
    </row>
    <row r="183" spans="1:4" ht="19.95" customHeight="1" x14ac:dyDescent="0.25">
      <c r="A183" s="11" t="s">
        <v>22</v>
      </c>
      <c r="B183" s="12" t="s">
        <v>41</v>
      </c>
      <c r="C183" s="12"/>
      <c r="D183" s="12">
        <v>1966</v>
      </c>
    </row>
    <row r="184" spans="1:4" ht="19.95" customHeight="1" x14ac:dyDescent="0.25">
      <c r="A184" s="11" t="s">
        <v>23</v>
      </c>
      <c r="B184" s="12" t="s">
        <v>41</v>
      </c>
      <c r="C184" s="12"/>
      <c r="D184" s="12">
        <v>1966</v>
      </c>
    </row>
    <row r="185" spans="1:4" ht="19.95" customHeight="1" x14ac:dyDescent="0.25">
      <c r="A185" s="11" t="s">
        <v>24</v>
      </c>
      <c r="B185" s="12" t="s">
        <v>41</v>
      </c>
      <c r="C185" s="12"/>
      <c r="D185" s="12">
        <v>1966</v>
      </c>
    </row>
    <row r="186" spans="1:4" ht="19.95" customHeight="1" x14ac:dyDescent="0.25">
      <c r="A186" s="11" t="s">
        <v>25</v>
      </c>
      <c r="B186" s="12" t="s">
        <v>41</v>
      </c>
      <c r="C186" s="12"/>
      <c r="D186" s="12">
        <v>1966</v>
      </c>
    </row>
    <row r="187" spans="1:4" ht="19.95" customHeight="1" x14ac:dyDescent="0.25">
      <c r="A187" s="11" t="s">
        <v>26</v>
      </c>
      <c r="B187" s="12" t="s">
        <v>41</v>
      </c>
      <c r="C187" s="12"/>
      <c r="D187" s="12">
        <v>1966</v>
      </c>
    </row>
    <row r="188" spans="1:4" ht="19.95" customHeight="1" x14ac:dyDescent="0.25">
      <c r="A188" s="11" t="s">
        <v>27</v>
      </c>
      <c r="B188" s="12" t="s">
        <v>41</v>
      </c>
      <c r="C188" s="12"/>
      <c r="D188" s="12">
        <v>1966</v>
      </c>
    </row>
    <row r="189" spans="1:4" ht="19.95" customHeight="1" x14ac:dyDescent="0.25">
      <c r="A189" s="11" t="s">
        <v>29</v>
      </c>
      <c r="B189" s="12" t="s">
        <v>41</v>
      </c>
      <c r="C189" s="12"/>
      <c r="D189" s="12">
        <v>1966</v>
      </c>
    </row>
    <row r="190" spans="1:4" ht="19.95" customHeight="1" x14ac:dyDescent="0.25">
      <c r="A190" s="11" t="s">
        <v>30</v>
      </c>
      <c r="B190" s="12" t="s">
        <v>41</v>
      </c>
      <c r="C190" s="12"/>
      <c r="D190" s="12">
        <v>1966</v>
      </c>
    </row>
    <row r="191" spans="1:4" ht="19.95" customHeight="1" x14ac:dyDescent="0.25">
      <c r="A191" s="11" t="s">
        <v>31</v>
      </c>
      <c r="B191" s="12" t="s">
        <v>41</v>
      </c>
      <c r="C191" s="12"/>
      <c r="D191" s="12">
        <v>1966</v>
      </c>
    </row>
    <row r="192" spans="1:4" ht="19.95" customHeight="1" x14ac:dyDescent="0.25">
      <c r="A192" s="11" t="s">
        <v>32</v>
      </c>
      <c r="B192" s="12" t="s">
        <v>41</v>
      </c>
      <c r="C192" s="12"/>
      <c r="D192" s="12">
        <v>1966</v>
      </c>
    </row>
    <row r="193" spans="1:4" ht="19.95" customHeight="1" x14ac:dyDescent="0.25">
      <c r="A193" s="11" t="s">
        <v>33</v>
      </c>
      <c r="B193" s="12" t="s">
        <v>41</v>
      </c>
      <c r="C193" s="12"/>
      <c r="D193" s="12">
        <v>1966</v>
      </c>
    </row>
    <row r="194" spans="1:4" ht="19.95" customHeight="1" x14ac:dyDescent="0.25">
      <c r="A194" s="11" t="s">
        <v>34</v>
      </c>
      <c r="B194" s="12" t="s">
        <v>41</v>
      </c>
      <c r="C194" s="12"/>
      <c r="D194" s="12">
        <v>1966</v>
      </c>
    </row>
    <row r="195" spans="1:4" ht="19.95" customHeight="1" x14ac:dyDescent="0.25">
      <c r="A195" s="11" t="s">
        <v>35</v>
      </c>
      <c r="B195" s="12" t="s">
        <v>41</v>
      </c>
      <c r="C195" s="12"/>
      <c r="D195" s="12">
        <v>1966</v>
      </c>
    </row>
    <row r="196" spans="1:4" ht="19.95" customHeight="1" x14ac:dyDescent="0.25">
      <c r="A196" s="11" t="s">
        <v>36</v>
      </c>
      <c r="B196" s="12" t="s">
        <v>41</v>
      </c>
      <c r="C196" s="12"/>
      <c r="D196" s="12">
        <v>1966</v>
      </c>
    </row>
    <row r="197" spans="1:4" ht="19.95" customHeight="1" x14ac:dyDescent="0.25">
      <c r="A197" s="11" t="s">
        <v>37</v>
      </c>
      <c r="B197" s="12" t="s">
        <v>41</v>
      </c>
      <c r="C197" s="12"/>
      <c r="D197" s="12">
        <v>1966</v>
      </c>
    </row>
    <row r="198" spans="1:4" ht="19.95" customHeight="1" x14ac:dyDescent="0.25">
      <c r="A198" s="11" t="s">
        <v>38</v>
      </c>
      <c r="B198" s="12" t="s">
        <v>41</v>
      </c>
      <c r="C198" s="12"/>
      <c r="D198" s="12">
        <v>1966</v>
      </c>
    </row>
    <row r="199" spans="1:4" ht="19.95" customHeight="1" x14ac:dyDescent="0.25">
      <c r="A199" s="11" t="s">
        <v>39</v>
      </c>
      <c r="B199" s="12" t="s">
        <v>41</v>
      </c>
      <c r="C199" s="12"/>
      <c r="D199" s="12">
        <v>1966</v>
      </c>
    </row>
    <row r="200" spans="1:4" ht="19.95" customHeight="1" x14ac:dyDescent="0.25">
      <c r="A200" s="11" t="s">
        <v>40</v>
      </c>
      <c r="B200" s="12" t="s">
        <v>41</v>
      </c>
      <c r="C200" s="12"/>
      <c r="D200" s="12">
        <v>1966</v>
      </c>
    </row>
    <row r="201" spans="1:4" ht="19.95" customHeight="1" x14ac:dyDescent="0.25">
      <c r="A201" s="11" t="s">
        <v>10</v>
      </c>
      <c r="B201" s="12" t="s">
        <v>41</v>
      </c>
      <c r="C201" s="12"/>
      <c r="D201" s="12">
        <v>1967</v>
      </c>
    </row>
    <row r="202" spans="1:4" ht="19.95" customHeight="1" x14ac:dyDescent="0.25">
      <c r="A202" s="11" t="s">
        <v>13</v>
      </c>
      <c r="B202" s="12" t="s">
        <v>41</v>
      </c>
      <c r="C202" s="12"/>
      <c r="D202" s="12">
        <v>1967</v>
      </c>
    </row>
    <row r="203" spans="1:4" ht="19.95" customHeight="1" x14ac:dyDescent="0.25">
      <c r="A203" s="11" t="s">
        <v>15</v>
      </c>
      <c r="B203" s="12" t="s">
        <v>41</v>
      </c>
      <c r="C203" s="12"/>
      <c r="D203" s="12">
        <v>1967</v>
      </c>
    </row>
    <row r="204" spans="1:4" ht="19.95" customHeight="1" x14ac:dyDescent="0.25">
      <c r="A204" s="11" t="s">
        <v>16</v>
      </c>
      <c r="B204" s="12" t="s">
        <v>41</v>
      </c>
      <c r="C204" s="12"/>
      <c r="D204" s="12">
        <v>1967</v>
      </c>
    </row>
    <row r="205" spans="1:4" ht="19.95" customHeight="1" x14ac:dyDescent="0.25">
      <c r="A205" s="11" t="s">
        <v>17</v>
      </c>
      <c r="B205" s="12" t="s">
        <v>41</v>
      </c>
      <c r="C205" s="12"/>
      <c r="D205" s="12">
        <v>1967</v>
      </c>
    </row>
    <row r="206" spans="1:4" ht="19.95" customHeight="1" x14ac:dyDescent="0.25">
      <c r="A206" s="11" t="s">
        <v>2</v>
      </c>
      <c r="B206" s="12" t="s">
        <v>41</v>
      </c>
      <c r="C206" s="12"/>
      <c r="D206" s="12">
        <v>1967</v>
      </c>
    </row>
    <row r="207" spans="1:4" ht="19.95" customHeight="1" x14ac:dyDescent="0.25">
      <c r="A207" s="11" t="s">
        <v>18</v>
      </c>
      <c r="B207" s="12" t="s">
        <v>41</v>
      </c>
      <c r="C207" s="12"/>
      <c r="D207" s="12">
        <v>1967</v>
      </c>
    </row>
    <row r="208" spans="1:4" ht="19.95" customHeight="1" x14ac:dyDescent="0.25">
      <c r="A208" s="11" t="s">
        <v>19</v>
      </c>
      <c r="B208" s="12" t="s">
        <v>41</v>
      </c>
      <c r="C208" s="12"/>
      <c r="D208" s="12">
        <v>1967</v>
      </c>
    </row>
    <row r="209" spans="1:4" ht="19.95" customHeight="1" x14ac:dyDescent="0.25">
      <c r="A209" s="11" t="s">
        <v>20</v>
      </c>
      <c r="B209" s="12" t="s">
        <v>41</v>
      </c>
      <c r="C209" s="12"/>
      <c r="D209" s="12">
        <v>1967</v>
      </c>
    </row>
    <row r="210" spans="1:4" ht="19.95" customHeight="1" x14ac:dyDescent="0.25">
      <c r="A210" s="11" t="s">
        <v>21</v>
      </c>
      <c r="B210" s="12" t="s">
        <v>41</v>
      </c>
      <c r="C210" s="12"/>
      <c r="D210" s="12">
        <v>1967</v>
      </c>
    </row>
    <row r="211" spans="1:4" ht="19.95" customHeight="1" x14ac:dyDescent="0.25">
      <c r="A211" s="11" t="s">
        <v>22</v>
      </c>
      <c r="B211" s="12" t="s">
        <v>41</v>
      </c>
      <c r="C211" s="12"/>
      <c r="D211" s="12">
        <v>1967</v>
      </c>
    </row>
    <row r="212" spans="1:4" ht="19.95" customHeight="1" x14ac:dyDescent="0.25">
      <c r="A212" s="11" t="s">
        <v>23</v>
      </c>
      <c r="B212" s="12" t="s">
        <v>41</v>
      </c>
      <c r="C212" s="12"/>
      <c r="D212" s="12">
        <v>1967</v>
      </c>
    </row>
    <row r="213" spans="1:4" ht="19.95" customHeight="1" x14ac:dyDescent="0.25">
      <c r="A213" s="11" t="s">
        <v>24</v>
      </c>
      <c r="B213" s="12" t="s">
        <v>41</v>
      </c>
      <c r="C213" s="12"/>
      <c r="D213" s="12">
        <v>1967</v>
      </c>
    </row>
    <row r="214" spans="1:4" ht="19.95" customHeight="1" x14ac:dyDescent="0.25">
      <c r="A214" s="11" t="s">
        <v>25</v>
      </c>
      <c r="B214" s="12" t="s">
        <v>41</v>
      </c>
      <c r="C214" s="12"/>
      <c r="D214" s="12">
        <v>1967</v>
      </c>
    </row>
    <row r="215" spans="1:4" ht="19.95" customHeight="1" x14ac:dyDescent="0.25">
      <c r="A215" s="11" t="s">
        <v>26</v>
      </c>
      <c r="B215" s="12" t="s">
        <v>41</v>
      </c>
      <c r="C215" s="12"/>
      <c r="D215" s="12">
        <v>1967</v>
      </c>
    </row>
    <row r="216" spans="1:4" ht="19.95" customHeight="1" x14ac:dyDescent="0.25">
      <c r="A216" s="11" t="s">
        <v>27</v>
      </c>
      <c r="B216" s="12" t="s">
        <v>41</v>
      </c>
      <c r="C216" s="12"/>
      <c r="D216" s="12">
        <v>1967</v>
      </c>
    </row>
    <row r="217" spans="1:4" ht="19.95" customHeight="1" x14ac:dyDescent="0.25">
      <c r="A217" s="11" t="s">
        <v>29</v>
      </c>
      <c r="B217" s="12" t="s">
        <v>41</v>
      </c>
      <c r="C217" s="12"/>
      <c r="D217" s="12">
        <v>1967</v>
      </c>
    </row>
    <row r="218" spans="1:4" ht="19.95" customHeight="1" x14ac:dyDescent="0.25">
      <c r="A218" s="11" t="s">
        <v>30</v>
      </c>
      <c r="B218" s="12" t="s">
        <v>41</v>
      </c>
      <c r="C218" s="12"/>
      <c r="D218" s="12">
        <v>1967</v>
      </c>
    </row>
    <row r="219" spans="1:4" ht="19.95" customHeight="1" x14ac:dyDescent="0.25">
      <c r="A219" s="11" t="s">
        <v>31</v>
      </c>
      <c r="B219" s="12" t="s">
        <v>41</v>
      </c>
      <c r="C219" s="12"/>
      <c r="D219" s="12">
        <v>1967</v>
      </c>
    </row>
    <row r="220" spans="1:4" ht="19.95" customHeight="1" x14ac:dyDescent="0.25">
      <c r="A220" s="11" t="s">
        <v>32</v>
      </c>
      <c r="B220" s="12" t="s">
        <v>41</v>
      </c>
      <c r="C220" s="12"/>
      <c r="D220" s="12">
        <v>1967</v>
      </c>
    </row>
    <row r="221" spans="1:4" ht="19.95" customHeight="1" x14ac:dyDescent="0.25">
      <c r="A221" s="11" t="s">
        <v>33</v>
      </c>
      <c r="B221" s="12" t="s">
        <v>41</v>
      </c>
      <c r="C221" s="12"/>
      <c r="D221" s="12">
        <v>1967</v>
      </c>
    </row>
    <row r="222" spans="1:4" ht="19.95" customHeight="1" x14ac:dyDescent="0.25">
      <c r="A222" s="11" t="s">
        <v>34</v>
      </c>
      <c r="B222" s="12" t="s">
        <v>41</v>
      </c>
      <c r="C222" s="12"/>
      <c r="D222" s="12">
        <v>1967</v>
      </c>
    </row>
    <row r="223" spans="1:4" ht="19.95" customHeight="1" x14ac:dyDescent="0.25">
      <c r="A223" s="11" t="s">
        <v>35</v>
      </c>
      <c r="B223" s="12" t="s">
        <v>41</v>
      </c>
      <c r="C223" s="12"/>
      <c r="D223" s="12">
        <v>1967</v>
      </c>
    </row>
    <row r="224" spans="1:4" ht="19.95" customHeight="1" x14ac:dyDescent="0.25">
      <c r="A224" s="11" t="s">
        <v>36</v>
      </c>
      <c r="B224" s="12" t="s">
        <v>41</v>
      </c>
      <c r="C224" s="12"/>
      <c r="D224" s="12">
        <v>1967</v>
      </c>
    </row>
    <row r="225" spans="1:4" ht="19.95" customHeight="1" x14ac:dyDescent="0.25">
      <c r="A225" s="11" t="s">
        <v>37</v>
      </c>
      <c r="B225" s="12" t="s">
        <v>41</v>
      </c>
      <c r="C225" s="12"/>
      <c r="D225" s="12">
        <v>1967</v>
      </c>
    </row>
    <row r="226" spans="1:4" ht="19.95" customHeight="1" x14ac:dyDescent="0.25">
      <c r="A226" s="11" t="s">
        <v>38</v>
      </c>
      <c r="B226" s="12" t="s">
        <v>41</v>
      </c>
      <c r="C226" s="12"/>
      <c r="D226" s="12">
        <v>1967</v>
      </c>
    </row>
    <row r="227" spans="1:4" ht="19.95" customHeight="1" x14ac:dyDescent="0.25">
      <c r="A227" s="11" t="s">
        <v>39</v>
      </c>
      <c r="B227" s="12" t="s">
        <v>41</v>
      </c>
      <c r="C227" s="12"/>
      <c r="D227" s="12">
        <v>1967</v>
      </c>
    </row>
    <row r="228" spans="1:4" ht="19.95" customHeight="1" x14ac:dyDescent="0.25">
      <c r="A228" s="11" t="s">
        <v>40</v>
      </c>
      <c r="B228" s="12" t="s">
        <v>41</v>
      </c>
      <c r="C228" s="12"/>
      <c r="D228" s="12">
        <v>1967</v>
      </c>
    </row>
    <row r="229" spans="1:4" ht="19.95" customHeight="1" x14ac:dyDescent="0.25">
      <c r="A229" s="11" t="s">
        <v>10</v>
      </c>
      <c r="B229" s="12" t="s">
        <v>41</v>
      </c>
      <c r="C229" s="12"/>
      <c r="D229" s="12">
        <v>1968</v>
      </c>
    </row>
    <row r="230" spans="1:4" ht="19.95" customHeight="1" x14ac:dyDescent="0.25">
      <c r="A230" s="11" t="s">
        <v>13</v>
      </c>
      <c r="B230" s="12" t="s">
        <v>41</v>
      </c>
      <c r="C230" s="12"/>
      <c r="D230" s="12">
        <v>1968</v>
      </c>
    </row>
    <row r="231" spans="1:4" ht="19.95" customHeight="1" x14ac:dyDescent="0.25">
      <c r="A231" s="11" t="s">
        <v>15</v>
      </c>
      <c r="B231" s="12" t="s">
        <v>41</v>
      </c>
      <c r="C231" s="12"/>
      <c r="D231" s="12">
        <v>1968</v>
      </c>
    </row>
    <row r="232" spans="1:4" ht="19.95" customHeight="1" x14ac:dyDescent="0.25">
      <c r="A232" s="11" t="s">
        <v>16</v>
      </c>
      <c r="B232" s="12" t="s">
        <v>41</v>
      </c>
      <c r="C232" s="12"/>
      <c r="D232" s="12">
        <v>1968</v>
      </c>
    </row>
    <row r="233" spans="1:4" ht="19.95" customHeight="1" x14ac:dyDescent="0.25">
      <c r="A233" s="11" t="s">
        <v>17</v>
      </c>
      <c r="B233" s="12" t="s">
        <v>41</v>
      </c>
      <c r="C233" s="12"/>
      <c r="D233" s="12">
        <v>1968</v>
      </c>
    </row>
    <row r="234" spans="1:4" ht="19.95" customHeight="1" x14ac:dyDescent="0.25">
      <c r="A234" s="11" t="s">
        <v>2</v>
      </c>
      <c r="B234" s="12" t="s">
        <v>41</v>
      </c>
      <c r="C234" s="12"/>
      <c r="D234" s="12">
        <v>1968</v>
      </c>
    </row>
    <row r="235" spans="1:4" ht="19.95" customHeight="1" x14ac:dyDescent="0.25">
      <c r="A235" s="11" t="s">
        <v>18</v>
      </c>
      <c r="B235" s="12" t="s">
        <v>41</v>
      </c>
      <c r="C235" s="12"/>
      <c r="D235" s="12">
        <v>1968</v>
      </c>
    </row>
    <row r="236" spans="1:4" ht="19.95" customHeight="1" x14ac:dyDescent="0.25">
      <c r="A236" s="11" t="s">
        <v>19</v>
      </c>
      <c r="B236" s="12" t="s">
        <v>41</v>
      </c>
      <c r="C236" s="12"/>
      <c r="D236" s="12">
        <v>1968</v>
      </c>
    </row>
    <row r="237" spans="1:4" ht="19.95" customHeight="1" x14ac:dyDescent="0.25">
      <c r="A237" s="11" t="s">
        <v>20</v>
      </c>
      <c r="B237" s="12" t="s">
        <v>41</v>
      </c>
      <c r="C237" s="12"/>
      <c r="D237" s="12">
        <v>1968</v>
      </c>
    </row>
    <row r="238" spans="1:4" ht="19.95" customHeight="1" x14ac:dyDescent="0.25">
      <c r="A238" s="11" t="s">
        <v>21</v>
      </c>
      <c r="B238" s="12" t="s">
        <v>41</v>
      </c>
      <c r="C238" s="12"/>
      <c r="D238" s="12">
        <v>1968</v>
      </c>
    </row>
    <row r="239" spans="1:4" ht="19.95" customHeight="1" x14ac:dyDescent="0.25">
      <c r="A239" s="11" t="s">
        <v>22</v>
      </c>
      <c r="B239" s="12" t="s">
        <v>41</v>
      </c>
      <c r="C239" s="12"/>
      <c r="D239" s="12">
        <v>1968</v>
      </c>
    </row>
    <row r="240" spans="1:4" ht="19.95" customHeight="1" x14ac:dyDescent="0.25">
      <c r="A240" s="11" t="s">
        <v>23</v>
      </c>
      <c r="B240" s="12" t="s">
        <v>41</v>
      </c>
      <c r="C240" s="12"/>
      <c r="D240" s="12">
        <v>1968</v>
      </c>
    </row>
    <row r="241" spans="1:4" ht="19.95" customHeight="1" x14ac:dyDescent="0.25">
      <c r="A241" s="11" t="s">
        <v>24</v>
      </c>
      <c r="B241" s="12" t="s">
        <v>41</v>
      </c>
      <c r="C241" s="12"/>
      <c r="D241" s="12">
        <v>1968</v>
      </c>
    </row>
    <row r="242" spans="1:4" ht="19.95" customHeight="1" x14ac:dyDescent="0.25">
      <c r="A242" s="11" t="s">
        <v>25</v>
      </c>
      <c r="B242" s="12" t="s">
        <v>41</v>
      </c>
      <c r="C242" s="12"/>
      <c r="D242" s="12">
        <v>1968</v>
      </c>
    </row>
    <row r="243" spans="1:4" ht="19.95" customHeight="1" x14ac:dyDescent="0.25">
      <c r="A243" s="11" t="s">
        <v>26</v>
      </c>
      <c r="B243" s="12" t="s">
        <v>41</v>
      </c>
      <c r="C243" s="12"/>
      <c r="D243" s="12">
        <v>1968</v>
      </c>
    </row>
    <row r="244" spans="1:4" ht="19.95" customHeight="1" x14ac:dyDescent="0.25">
      <c r="A244" s="11" t="s">
        <v>27</v>
      </c>
      <c r="B244" s="12" t="s">
        <v>41</v>
      </c>
      <c r="C244" s="12"/>
      <c r="D244" s="12">
        <v>1968</v>
      </c>
    </row>
    <row r="245" spans="1:4" ht="19.95" customHeight="1" x14ac:dyDescent="0.25">
      <c r="A245" s="11" t="s">
        <v>29</v>
      </c>
      <c r="B245" s="12" t="s">
        <v>41</v>
      </c>
      <c r="C245" s="12"/>
      <c r="D245" s="12">
        <v>1968</v>
      </c>
    </row>
    <row r="246" spans="1:4" ht="19.95" customHeight="1" x14ac:dyDescent="0.25">
      <c r="A246" s="11" t="s">
        <v>30</v>
      </c>
      <c r="B246" s="12" t="s">
        <v>41</v>
      </c>
      <c r="C246" s="12"/>
      <c r="D246" s="12">
        <v>1968</v>
      </c>
    </row>
    <row r="247" spans="1:4" ht="19.95" customHeight="1" x14ac:dyDescent="0.25">
      <c r="A247" s="11" t="s">
        <v>31</v>
      </c>
      <c r="B247" s="12" t="s">
        <v>41</v>
      </c>
      <c r="C247" s="12"/>
      <c r="D247" s="12">
        <v>1968</v>
      </c>
    </row>
    <row r="248" spans="1:4" ht="19.95" customHeight="1" x14ac:dyDescent="0.25">
      <c r="A248" s="11" t="s">
        <v>32</v>
      </c>
      <c r="B248" s="12" t="s">
        <v>41</v>
      </c>
      <c r="C248" s="12"/>
      <c r="D248" s="12">
        <v>1968</v>
      </c>
    </row>
    <row r="249" spans="1:4" ht="19.95" customHeight="1" x14ac:dyDescent="0.25">
      <c r="A249" s="11" t="s">
        <v>33</v>
      </c>
      <c r="B249" s="12" t="s">
        <v>41</v>
      </c>
      <c r="C249" s="12"/>
      <c r="D249" s="12">
        <v>1968</v>
      </c>
    </row>
    <row r="250" spans="1:4" ht="19.95" customHeight="1" x14ac:dyDescent="0.25">
      <c r="A250" s="11" t="s">
        <v>34</v>
      </c>
      <c r="B250" s="12" t="s">
        <v>41</v>
      </c>
      <c r="C250" s="12"/>
      <c r="D250" s="12">
        <v>1968</v>
      </c>
    </row>
    <row r="251" spans="1:4" ht="19.95" customHeight="1" x14ac:dyDescent="0.25">
      <c r="A251" s="11" t="s">
        <v>35</v>
      </c>
      <c r="B251" s="12" t="s">
        <v>41</v>
      </c>
      <c r="C251" s="12"/>
      <c r="D251" s="12">
        <v>1968</v>
      </c>
    </row>
    <row r="252" spans="1:4" ht="19.95" customHeight="1" x14ac:dyDescent="0.25">
      <c r="A252" s="11" t="s">
        <v>36</v>
      </c>
      <c r="B252" s="12" t="s">
        <v>41</v>
      </c>
      <c r="C252" s="12"/>
      <c r="D252" s="12">
        <v>1968</v>
      </c>
    </row>
    <row r="253" spans="1:4" ht="19.95" customHeight="1" x14ac:dyDescent="0.25">
      <c r="A253" s="11" t="s">
        <v>37</v>
      </c>
      <c r="B253" s="12" t="s">
        <v>41</v>
      </c>
      <c r="C253" s="12"/>
      <c r="D253" s="12">
        <v>1968</v>
      </c>
    </row>
    <row r="254" spans="1:4" ht="19.95" customHeight="1" x14ac:dyDescent="0.25">
      <c r="A254" s="11" t="s">
        <v>38</v>
      </c>
      <c r="B254" s="12" t="s">
        <v>41</v>
      </c>
      <c r="C254" s="12"/>
      <c r="D254" s="12">
        <v>1968</v>
      </c>
    </row>
    <row r="255" spans="1:4" ht="19.95" customHeight="1" x14ac:dyDescent="0.25">
      <c r="A255" s="11" t="s">
        <v>39</v>
      </c>
      <c r="B255" s="12" t="s">
        <v>41</v>
      </c>
      <c r="C255" s="12"/>
      <c r="D255" s="12">
        <v>1968</v>
      </c>
    </row>
    <row r="256" spans="1:4" ht="19.95" customHeight="1" x14ac:dyDescent="0.25">
      <c r="A256" s="11" t="s">
        <v>40</v>
      </c>
      <c r="B256" s="12" t="s">
        <v>41</v>
      </c>
      <c r="C256" s="12"/>
      <c r="D256" s="12">
        <v>1968</v>
      </c>
    </row>
    <row r="257" spans="1:4" ht="19.95" customHeight="1" x14ac:dyDescent="0.25">
      <c r="A257" s="11" t="s">
        <v>10</v>
      </c>
      <c r="B257" s="12" t="s">
        <v>41</v>
      </c>
      <c r="C257" s="12"/>
      <c r="D257" s="12">
        <v>1969</v>
      </c>
    </row>
    <row r="258" spans="1:4" ht="19.95" customHeight="1" x14ac:dyDescent="0.25">
      <c r="A258" s="11" t="s">
        <v>13</v>
      </c>
      <c r="B258" s="12" t="s">
        <v>41</v>
      </c>
      <c r="C258" s="12"/>
      <c r="D258" s="12">
        <v>1969</v>
      </c>
    </row>
    <row r="259" spans="1:4" ht="19.95" customHeight="1" x14ac:dyDescent="0.25">
      <c r="A259" s="11" t="s">
        <v>15</v>
      </c>
      <c r="B259" s="12" t="s">
        <v>41</v>
      </c>
      <c r="C259" s="12"/>
      <c r="D259" s="12">
        <v>1969</v>
      </c>
    </row>
    <row r="260" spans="1:4" ht="19.95" customHeight="1" x14ac:dyDescent="0.25">
      <c r="A260" s="11" t="s">
        <v>16</v>
      </c>
      <c r="B260" s="12" t="s">
        <v>41</v>
      </c>
      <c r="C260" s="12"/>
      <c r="D260" s="12">
        <v>1969</v>
      </c>
    </row>
    <row r="261" spans="1:4" ht="19.95" customHeight="1" x14ac:dyDescent="0.25">
      <c r="A261" s="11" t="s">
        <v>17</v>
      </c>
      <c r="B261" s="12" t="s">
        <v>41</v>
      </c>
      <c r="C261" s="12"/>
      <c r="D261" s="12">
        <v>1969</v>
      </c>
    </row>
    <row r="262" spans="1:4" ht="19.95" customHeight="1" x14ac:dyDescent="0.25">
      <c r="A262" s="11" t="s">
        <v>2</v>
      </c>
      <c r="B262" s="12" t="s">
        <v>41</v>
      </c>
      <c r="C262" s="12"/>
      <c r="D262" s="12">
        <v>1969</v>
      </c>
    </row>
    <row r="263" spans="1:4" ht="19.95" customHeight="1" x14ac:dyDescent="0.25">
      <c r="A263" s="11" t="s">
        <v>18</v>
      </c>
      <c r="B263" s="12" t="s">
        <v>41</v>
      </c>
      <c r="C263" s="12"/>
      <c r="D263" s="12">
        <v>1969</v>
      </c>
    </row>
    <row r="264" spans="1:4" ht="19.95" customHeight="1" x14ac:dyDescent="0.25">
      <c r="A264" s="11" t="s">
        <v>19</v>
      </c>
      <c r="B264" s="12" t="s">
        <v>41</v>
      </c>
      <c r="C264" s="12"/>
      <c r="D264" s="12">
        <v>1969</v>
      </c>
    </row>
    <row r="265" spans="1:4" ht="19.95" customHeight="1" x14ac:dyDescent="0.25">
      <c r="A265" s="11" t="s">
        <v>20</v>
      </c>
      <c r="B265" s="12" t="s">
        <v>41</v>
      </c>
      <c r="C265" s="12"/>
      <c r="D265" s="12">
        <v>1969</v>
      </c>
    </row>
    <row r="266" spans="1:4" ht="19.95" customHeight="1" x14ac:dyDescent="0.25">
      <c r="A266" s="11" t="s">
        <v>21</v>
      </c>
      <c r="B266" s="12" t="s">
        <v>41</v>
      </c>
      <c r="C266" s="12"/>
      <c r="D266" s="12">
        <v>1969</v>
      </c>
    </row>
    <row r="267" spans="1:4" ht="19.95" customHeight="1" x14ac:dyDescent="0.25">
      <c r="A267" s="11" t="s">
        <v>22</v>
      </c>
      <c r="B267" s="12" t="s">
        <v>41</v>
      </c>
      <c r="C267" s="12"/>
      <c r="D267" s="12">
        <v>1969</v>
      </c>
    </row>
    <row r="268" spans="1:4" ht="19.95" customHeight="1" x14ac:dyDescent="0.25">
      <c r="A268" s="11" t="s">
        <v>23</v>
      </c>
      <c r="B268" s="12" t="s">
        <v>41</v>
      </c>
      <c r="C268" s="12"/>
      <c r="D268" s="12">
        <v>1969</v>
      </c>
    </row>
    <row r="269" spans="1:4" ht="19.95" customHeight="1" x14ac:dyDescent="0.25">
      <c r="A269" s="11" t="s">
        <v>24</v>
      </c>
      <c r="B269" s="12" t="s">
        <v>41</v>
      </c>
      <c r="C269" s="12"/>
      <c r="D269" s="12">
        <v>1969</v>
      </c>
    </row>
    <row r="270" spans="1:4" ht="19.95" customHeight="1" x14ac:dyDescent="0.25">
      <c r="A270" s="11" t="s">
        <v>25</v>
      </c>
      <c r="B270" s="12" t="s">
        <v>41</v>
      </c>
      <c r="C270" s="12"/>
      <c r="D270" s="12">
        <v>1969</v>
      </c>
    </row>
    <row r="271" spans="1:4" ht="19.95" customHeight="1" x14ac:dyDescent="0.25">
      <c r="A271" s="11" t="s">
        <v>26</v>
      </c>
      <c r="B271" s="12" t="s">
        <v>41</v>
      </c>
      <c r="C271" s="12"/>
      <c r="D271" s="12">
        <v>1969</v>
      </c>
    </row>
    <row r="272" spans="1:4" ht="19.95" customHeight="1" x14ac:dyDescent="0.25">
      <c r="A272" s="11" t="s">
        <v>27</v>
      </c>
      <c r="B272" s="12" t="s">
        <v>41</v>
      </c>
      <c r="C272" s="12"/>
      <c r="D272" s="12">
        <v>1969</v>
      </c>
    </row>
    <row r="273" spans="1:4" ht="19.95" customHeight="1" x14ac:dyDescent="0.25">
      <c r="A273" s="11" t="s">
        <v>29</v>
      </c>
      <c r="B273" s="12" t="s">
        <v>41</v>
      </c>
      <c r="C273" s="12"/>
      <c r="D273" s="12">
        <v>1969</v>
      </c>
    </row>
    <row r="274" spans="1:4" ht="19.95" customHeight="1" x14ac:dyDescent="0.25">
      <c r="A274" s="11" t="s">
        <v>30</v>
      </c>
      <c r="B274" s="12" t="s">
        <v>41</v>
      </c>
      <c r="C274" s="12"/>
      <c r="D274" s="12">
        <v>1969</v>
      </c>
    </row>
    <row r="275" spans="1:4" ht="19.95" customHeight="1" x14ac:dyDescent="0.25">
      <c r="A275" s="11" t="s">
        <v>31</v>
      </c>
      <c r="B275" s="12" t="s">
        <v>41</v>
      </c>
      <c r="C275" s="12"/>
      <c r="D275" s="12">
        <v>1969</v>
      </c>
    </row>
    <row r="276" spans="1:4" ht="19.95" customHeight="1" x14ac:dyDescent="0.25">
      <c r="A276" s="11" t="s">
        <v>32</v>
      </c>
      <c r="B276" s="12" t="s">
        <v>41</v>
      </c>
      <c r="C276" s="12"/>
      <c r="D276" s="12">
        <v>1969</v>
      </c>
    </row>
    <row r="277" spans="1:4" ht="19.95" customHeight="1" x14ac:dyDescent="0.25">
      <c r="A277" s="11" t="s">
        <v>33</v>
      </c>
      <c r="B277" s="12" t="s">
        <v>41</v>
      </c>
      <c r="C277" s="12"/>
      <c r="D277" s="12">
        <v>1969</v>
      </c>
    </row>
    <row r="278" spans="1:4" ht="19.95" customHeight="1" x14ac:dyDescent="0.25">
      <c r="A278" s="11" t="s">
        <v>34</v>
      </c>
      <c r="B278" s="12" t="s">
        <v>41</v>
      </c>
      <c r="C278" s="12"/>
      <c r="D278" s="12">
        <v>1969</v>
      </c>
    </row>
    <row r="279" spans="1:4" ht="19.95" customHeight="1" x14ac:dyDescent="0.25">
      <c r="A279" s="11" t="s">
        <v>35</v>
      </c>
      <c r="B279" s="12" t="s">
        <v>41</v>
      </c>
      <c r="C279" s="12"/>
      <c r="D279" s="12">
        <v>1969</v>
      </c>
    </row>
    <row r="280" spans="1:4" ht="19.95" customHeight="1" x14ac:dyDescent="0.25">
      <c r="A280" s="11" t="s">
        <v>36</v>
      </c>
      <c r="B280" s="12" t="s">
        <v>41</v>
      </c>
      <c r="C280" s="12"/>
      <c r="D280" s="12">
        <v>1969</v>
      </c>
    </row>
    <row r="281" spans="1:4" ht="19.95" customHeight="1" x14ac:dyDescent="0.25">
      <c r="A281" s="11" t="s">
        <v>37</v>
      </c>
      <c r="B281" s="12" t="s">
        <v>41</v>
      </c>
      <c r="C281" s="12"/>
      <c r="D281" s="12">
        <v>1969</v>
      </c>
    </row>
    <row r="282" spans="1:4" ht="19.95" customHeight="1" x14ac:dyDescent="0.25">
      <c r="A282" s="11" t="s">
        <v>38</v>
      </c>
      <c r="B282" s="12" t="s">
        <v>41</v>
      </c>
      <c r="C282" s="12"/>
      <c r="D282" s="12">
        <v>1969</v>
      </c>
    </row>
    <row r="283" spans="1:4" ht="19.95" customHeight="1" x14ac:dyDescent="0.25">
      <c r="A283" s="11" t="s">
        <v>39</v>
      </c>
      <c r="B283" s="12" t="s">
        <v>41</v>
      </c>
      <c r="C283" s="12"/>
      <c r="D283" s="12">
        <v>1969</v>
      </c>
    </row>
    <row r="284" spans="1:4" ht="19.95" customHeight="1" x14ac:dyDescent="0.25">
      <c r="A284" s="11" t="s">
        <v>40</v>
      </c>
      <c r="B284" s="12" t="s">
        <v>41</v>
      </c>
      <c r="C284" s="12"/>
      <c r="D284" s="12">
        <v>1969</v>
      </c>
    </row>
    <row r="285" spans="1:4" ht="19.95" customHeight="1" x14ac:dyDescent="0.25">
      <c r="A285" s="11" t="s">
        <v>10</v>
      </c>
      <c r="B285" s="12" t="s">
        <v>41</v>
      </c>
      <c r="C285" s="12"/>
      <c r="D285" s="12">
        <v>1970</v>
      </c>
    </row>
    <row r="286" spans="1:4" ht="19.95" customHeight="1" x14ac:dyDescent="0.25">
      <c r="A286" s="11" t="s">
        <v>13</v>
      </c>
      <c r="B286" s="12" t="s">
        <v>41</v>
      </c>
      <c r="C286" s="12"/>
      <c r="D286" s="12">
        <v>1970</v>
      </c>
    </row>
    <row r="287" spans="1:4" ht="19.95" customHeight="1" x14ac:dyDescent="0.25">
      <c r="A287" s="11" t="s">
        <v>15</v>
      </c>
      <c r="B287" s="12" t="s">
        <v>41</v>
      </c>
      <c r="C287" s="12"/>
      <c r="D287" s="12">
        <v>1970</v>
      </c>
    </row>
    <row r="288" spans="1:4" ht="19.95" customHeight="1" x14ac:dyDescent="0.25">
      <c r="A288" s="11" t="s">
        <v>16</v>
      </c>
      <c r="B288" s="12" t="s">
        <v>41</v>
      </c>
      <c r="C288" s="12"/>
      <c r="D288" s="12">
        <v>1970</v>
      </c>
    </row>
    <row r="289" spans="1:4" ht="19.95" customHeight="1" x14ac:dyDescent="0.25">
      <c r="A289" s="11" t="s">
        <v>17</v>
      </c>
      <c r="B289" s="12" t="s">
        <v>41</v>
      </c>
      <c r="C289" s="12"/>
      <c r="D289" s="12">
        <v>1970</v>
      </c>
    </row>
    <row r="290" spans="1:4" ht="19.95" customHeight="1" x14ac:dyDescent="0.25">
      <c r="A290" s="11" t="s">
        <v>2</v>
      </c>
      <c r="B290" s="12" t="s">
        <v>41</v>
      </c>
      <c r="C290" s="12"/>
      <c r="D290" s="12">
        <v>1970</v>
      </c>
    </row>
    <row r="291" spans="1:4" ht="19.95" customHeight="1" x14ac:dyDescent="0.25">
      <c r="A291" s="11" t="s">
        <v>18</v>
      </c>
      <c r="B291" s="12" t="s">
        <v>41</v>
      </c>
      <c r="C291" s="12"/>
      <c r="D291" s="12">
        <v>1970</v>
      </c>
    </row>
    <row r="292" spans="1:4" ht="19.95" customHeight="1" x14ac:dyDescent="0.25">
      <c r="A292" s="11" t="s">
        <v>19</v>
      </c>
      <c r="B292" s="12" t="s">
        <v>41</v>
      </c>
      <c r="C292" s="12"/>
      <c r="D292" s="12">
        <v>1970</v>
      </c>
    </row>
    <row r="293" spans="1:4" ht="19.95" customHeight="1" x14ac:dyDescent="0.25">
      <c r="A293" s="11" t="s">
        <v>20</v>
      </c>
      <c r="B293" s="12" t="s">
        <v>41</v>
      </c>
      <c r="C293" s="12"/>
      <c r="D293" s="12">
        <v>1970</v>
      </c>
    </row>
    <row r="294" spans="1:4" ht="19.95" customHeight="1" x14ac:dyDescent="0.25">
      <c r="A294" s="11" t="s">
        <v>21</v>
      </c>
      <c r="B294" s="12" t="s">
        <v>41</v>
      </c>
      <c r="C294" s="12"/>
      <c r="D294" s="12">
        <v>1970</v>
      </c>
    </row>
    <row r="295" spans="1:4" ht="19.95" customHeight="1" x14ac:dyDescent="0.25">
      <c r="A295" s="11" t="s">
        <v>22</v>
      </c>
      <c r="B295" s="12" t="s">
        <v>41</v>
      </c>
      <c r="C295" s="12"/>
      <c r="D295" s="12">
        <v>1970</v>
      </c>
    </row>
    <row r="296" spans="1:4" ht="19.95" customHeight="1" x14ac:dyDescent="0.25">
      <c r="A296" s="11" t="s">
        <v>23</v>
      </c>
      <c r="B296" s="12" t="s">
        <v>41</v>
      </c>
      <c r="C296" s="12"/>
      <c r="D296" s="12">
        <v>1970</v>
      </c>
    </row>
    <row r="297" spans="1:4" ht="19.95" customHeight="1" x14ac:dyDescent="0.25">
      <c r="A297" s="11" t="s">
        <v>24</v>
      </c>
      <c r="B297" s="12" t="s">
        <v>41</v>
      </c>
      <c r="C297" s="12"/>
      <c r="D297" s="12">
        <v>1970</v>
      </c>
    </row>
    <row r="298" spans="1:4" ht="19.95" customHeight="1" x14ac:dyDescent="0.25">
      <c r="A298" s="11" t="s">
        <v>25</v>
      </c>
      <c r="B298" s="12" t="s">
        <v>41</v>
      </c>
      <c r="C298" s="12"/>
      <c r="D298" s="12">
        <v>1970</v>
      </c>
    </row>
    <row r="299" spans="1:4" ht="19.95" customHeight="1" x14ac:dyDescent="0.25">
      <c r="A299" s="11" t="s">
        <v>26</v>
      </c>
      <c r="B299" s="12" t="s">
        <v>41</v>
      </c>
      <c r="C299" s="12"/>
      <c r="D299" s="12">
        <v>1970</v>
      </c>
    </row>
    <row r="300" spans="1:4" ht="19.95" customHeight="1" x14ac:dyDescent="0.25">
      <c r="A300" s="11" t="s">
        <v>27</v>
      </c>
      <c r="B300" s="12" t="s">
        <v>41</v>
      </c>
      <c r="C300" s="12"/>
      <c r="D300" s="12">
        <v>1970</v>
      </c>
    </row>
    <row r="301" spans="1:4" ht="19.95" customHeight="1" x14ac:dyDescent="0.25">
      <c r="A301" s="11" t="s">
        <v>29</v>
      </c>
      <c r="B301" s="12" t="s">
        <v>41</v>
      </c>
      <c r="C301" s="12"/>
      <c r="D301" s="12">
        <v>1970</v>
      </c>
    </row>
    <row r="302" spans="1:4" ht="19.95" customHeight="1" x14ac:dyDescent="0.25">
      <c r="A302" s="11" t="s">
        <v>30</v>
      </c>
      <c r="B302" s="12" t="s">
        <v>41</v>
      </c>
      <c r="C302" s="12"/>
      <c r="D302" s="12">
        <v>1970</v>
      </c>
    </row>
    <row r="303" spans="1:4" ht="19.95" customHeight="1" x14ac:dyDescent="0.25">
      <c r="A303" s="11" t="s">
        <v>31</v>
      </c>
      <c r="B303" s="12" t="s">
        <v>41</v>
      </c>
      <c r="C303" s="12"/>
      <c r="D303" s="12">
        <v>1970</v>
      </c>
    </row>
    <row r="304" spans="1:4" ht="19.95" customHeight="1" x14ac:dyDescent="0.25">
      <c r="A304" s="11" t="s">
        <v>32</v>
      </c>
      <c r="B304" s="12" t="s">
        <v>41</v>
      </c>
      <c r="C304" s="12"/>
      <c r="D304" s="12">
        <v>1970</v>
      </c>
    </row>
    <row r="305" spans="1:4" ht="19.95" customHeight="1" x14ac:dyDescent="0.25">
      <c r="A305" s="11" t="s">
        <v>33</v>
      </c>
      <c r="B305" s="12" t="s">
        <v>41</v>
      </c>
      <c r="C305" s="12"/>
      <c r="D305" s="12">
        <v>1970</v>
      </c>
    </row>
    <row r="306" spans="1:4" ht="19.95" customHeight="1" x14ac:dyDescent="0.25">
      <c r="A306" s="11" t="s">
        <v>34</v>
      </c>
      <c r="B306" s="12" t="s">
        <v>41</v>
      </c>
      <c r="C306" s="12"/>
      <c r="D306" s="12">
        <v>1970</v>
      </c>
    </row>
    <row r="307" spans="1:4" ht="19.95" customHeight="1" x14ac:dyDescent="0.25">
      <c r="A307" s="11" t="s">
        <v>35</v>
      </c>
      <c r="B307" s="12" t="s">
        <v>41</v>
      </c>
      <c r="C307" s="12"/>
      <c r="D307" s="12">
        <v>1970</v>
      </c>
    </row>
    <row r="308" spans="1:4" ht="19.95" customHeight="1" x14ac:dyDescent="0.25">
      <c r="A308" s="11" t="s">
        <v>36</v>
      </c>
      <c r="B308" s="12" t="s">
        <v>41</v>
      </c>
      <c r="C308" s="12"/>
      <c r="D308" s="12">
        <v>1970</v>
      </c>
    </row>
    <row r="309" spans="1:4" ht="19.95" customHeight="1" x14ac:dyDescent="0.25">
      <c r="A309" s="11" t="s">
        <v>37</v>
      </c>
      <c r="B309" s="12" t="s">
        <v>41</v>
      </c>
      <c r="C309" s="12"/>
      <c r="D309" s="12">
        <v>1970</v>
      </c>
    </row>
    <row r="310" spans="1:4" ht="19.95" customHeight="1" x14ac:dyDescent="0.25">
      <c r="A310" s="11" t="s">
        <v>38</v>
      </c>
      <c r="B310" s="12" t="s">
        <v>41</v>
      </c>
      <c r="C310" s="12"/>
      <c r="D310" s="12">
        <v>1970</v>
      </c>
    </row>
    <row r="311" spans="1:4" ht="19.95" customHeight="1" x14ac:dyDescent="0.25">
      <c r="A311" s="11" t="s">
        <v>39</v>
      </c>
      <c r="B311" s="12" t="s">
        <v>41</v>
      </c>
      <c r="C311" s="12"/>
      <c r="D311" s="12">
        <v>1970</v>
      </c>
    </row>
    <row r="312" spans="1:4" ht="19.95" customHeight="1" x14ac:dyDescent="0.25">
      <c r="A312" s="11" t="s">
        <v>40</v>
      </c>
      <c r="B312" s="12" t="s">
        <v>41</v>
      </c>
      <c r="C312" s="12"/>
      <c r="D312" s="12">
        <v>1970</v>
      </c>
    </row>
    <row r="313" spans="1:4" ht="19.95" customHeight="1" x14ac:dyDescent="0.25">
      <c r="A313" s="11" t="s">
        <v>10</v>
      </c>
      <c r="B313" s="12" t="s">
        <v>41</v>
      </c>
      <c r="C313" s="12"/>
      <c r="D313" s="12">
        <v>1971</v>
      </c>
    </row>
    <row r="314" spans="1:4" ht="19.95" customHeight="1" x14ac:dyDescent="0.25">
      <c r="A314" s="11" t="s">
        <v>13</v>
      </c>
      <c r="B314" s="12" t="s">
        <v>41</v>
      </c>
      <c r="C314" s="12"/>
      <c r="D314" s="12">
        <v>1971</v>
      </c>
    </row>
    <row r="315" spans="1:4" ht="19.95" customHeight="1" x14ac:dyDescent="0.25">
      <c r="A315" s="11" t="s">
        <v>15</v>
      </c>
      <c r="B315" s="12" t="s">
        <v>41</v>
      </c>
      <c r="C315" s="12"/>
      <c r="D315" s="12">
        <v>1971</v>
      </c>
    </row>
    <row r="316" spans="1:4" ht="19.95" customHeight="1" x14ac:dyDescent="0.25">
      <c r="A316" s="11" t="s">
        <v>16</v>
      </c>
      <c r="B316" s="12" t="s">
        <v>41</v>
      </c>
      <c r="C316" s="12"/>
      <c r="D316" s="12">
        <v>1971</v>
      </c>
    </row>
    <row r="317" spans="1:4" ht="19.95" customHeight="1" x14ac:dyDescent="0.25">
      <c r="A317" s="11" t="s">
        <v>17</v>
      </c>
      <c r="B317" s="12" t="s">
        <v>41</v>
      </c>
      <c r="C317" s="12"/>
      <c r="D317" s="12">
        <v>1971</v>
      </c>
    </row>
    <row r="318" spans="1:4" ht="19.95" customHeight="1" x14ac:dyDescent="0.25">
      <c r="A318" s="11" t="s">
        <v>2</v>
      </c>
      <c r="B318" s="12" t="s">
        <v>41</v>
      </c>
      <c r="C318" s="12"/>
      <c r="D318" s="12">
        <v>1971</v>
      </c>
    </row>
    <row r="319" spans="1:4" ht="19.95" customHeight="1" x14ac:dyDescent="0.25">
      <c r="A319" s="11" t="s">
        <v>18</v>
      </c>
      <c r="B319" s="12" t="s">
        <v>41</v>
      </c>
      <c r="C319" s="12"/>
      <c r="D319" s="12">
        <v>1971</v>
      </c>
    </row>
    <row r="320" spans="1:4" ht="19.95" customHeight="1" x14ac:dyDescent="0.25">
      <c r="A320" s="11" t="s">
        <v>19</v>
      </c>
      <c r="B320" s="12" t="s">
        <v>41</v>
      </c>
      <c r="C320" s="12"/>
      <c r="D320" s="12">
        <v>1971</v>
      </c>
    </row>
    <row r="321" spans="1:4" ht="19.95" customHeight="1" x14ac:dyDescent="0.25">
      <c r="A321" s="11" t="s">
        <v>20</v>
      </c>
      <c r="B321" s="12" t="s">
        <v>41</v>
      </c>
      <c r="C321" s="12"/>
      <c r="D321" s="12">
        <v>1971</v>
      </c>
    </row>
    <row r="322" spans="1:4" ht="19.95" customHeight="1" x14ac:dyDescent="0.25">
      <c r="A322" s="11" t="s">
        <v>21</v>
      </c>
      <c r="B322" s="12" t="s">
        <v>41</v>
      </c>
      <c r="C322" s="12"/>
      <c r="D322" s="12">
        <v>1971</v>
      </c>
    </row>
    <row r="323" spans="1:4" ht="19.95" customHeight="1" x14ac:dyDescent="0.25">
      <c r="A323" s="11" t="s">
        <v>22</v>
      </c>
      <c r="B323" s="12" t="s">
        <v>41</v>
      </c>
      <c r="C323" s="12"/>
      <c r="D323" s="12">
        <v>1971</v>
      </c>
    </row>
    <row r="324" spans="1:4" ht="19.95" customHeight="1" x14ac:dyDescent="0.25">
      <c r="A324" s="11" t="s">
        <v>23</v>
      </c>
      <c r="B324" s="12" t="s">
        <v>41</v>
      </c>
      <c r="C324" s="12"/>
      <c r="D324" s="12">
        <v>1971</v>
      </c>
    </row>
    <row r="325" spans="1:4" ht="19.95" customHeight="1" x14ac:dyDescent="0.25">
      <c r="A325" s="11" t="s">
        <v>24</v>
      </c>
      <c r="B325" s="12" t="s">
        <v>41</v>
      </c>
      <c r="C325" s="12"/>
      <c r="D325" s="12">
        <v>1971</v>
      </c>
    </row>
    <row r="326" spans="1:4" ht="19.95" customHeight="1" x14ac:dyDescent="0.25">
      <c r="A326" s="11" t="s">
        <v>25</v>
      </c>
      <c r="B326" s="12" t="s">
        <v>41</v>
      </c>
      <c r="C326" s="12"/>
      <c r="D326" s="12">
        <v>1971</v>
      </c>
    </row>
    <row r="327" spans="1:4" ht="19.95" customHeight="1" x14ac:dyDescent="0.25">
      <c r="A327" s="11" t="s">
        <v>26</v>
      </c>
      <c r="B327" s="12" t="s">
        <v>41</v>
      </c>
      <c r="C327" s="12"/>
      <c r="D327" s="12">
        <v>1971</v>
      </c>
    </row>
    <row r="328" spans="1:4" ht="19.95" customHeight="1" x14ac:dyDescent="0.25">
      <c r="A328" s="11" t="s">
        <v>27</v>
      </c>
      <c r="B328" s="12" t="s">
        <v>41</v>
      </c>
      <c r="C328" s="12"/>
      <c r="D328" s="12">
        <v>1971</v>
      </c>
    </row>
    <row r="329" spans="1:4" ht="19.95" customHeight="1" x14ac:dyDescent="0.25">
      <c r="A329" s="11" t="s">
        <v>29</v>
      </c>
      <c r="B329" s="12" t="s">
        <v>41</v>
      </c>
      <c r="C329" s="12"/>
      <c r="D329" s="12">
        <v>1971</v>
      </c>
    </row>
    <row r="330" spans="1:4" ht="19.95" customHeight="1" x14ac:dyDescent="0.25">
      <c r="A330" s="11" t="s">
        <v>30</v>
      </c>
      <c r="B330" s="12" t="s">
        <v>41</v>
      </c>
      <c r="C330" s="12"/>
      <c r="D330" s="12">
        <v>1971</v>
      </c>
    </row>
    <row r="331" spans="1:4" ht="19.95" customHeight="1" x14ac:dyDescent="0.25">
      <c r="A331" s="11" t="s">
        <v>31</v>
      </c>
      <c r="B331" s="12" t="s">
        <v>41</v>
      </c>
      <c r="C331" s="12"/>
      <c r="D331" s="12">
        <v>1971</v>
      </c>
    </row>
    <row r="332" spans="1:4" ht="19.95" customHeight="1" x14ac:dyDescent="0.25">
      <c r="A332" s="11" t="s">
        <v>32</v>
      </c>
      <c r="B332" s="12" t="s">
        <v>41</v>
      </c>
      <c r="C332" s="12"/>
      <c r="D332" s="12">
        <v>1971</v>
      </c>
    </row>
    <row r="333" spans="1:4" ht="19.95" customHeight="1" x14ac:dyDescent="0.25">
      <c r="A333" s="11" t="s">
        <v>33</v>
      </c>
      <c r="B333" s="12" t="s">
        <v>41</v>
      </c>
      <c r="C333" s="12"/>
      <c r="D333" s="12">
        <v>1971</v>
      </c>
    </row>
    <row r="334" spans="1:4" ht="19.95" customHeight="1" x14ac:dyDescent="0.25">
      <c r="A334" s="11" t="s">
        <v>34</v>
      </c>
      <c r="B334" s="12" t="s">
        <v>41</v>
      </c>
      <c r="C334" s="12"/>
      <c r="D334" s="12">
        <v>1971</v>
      </c>
    </row>
    <row r="335" spans="1:4" ht="19.95" customHeight="1" x14ac:dyDescent="0.25">
      <c r="A335" s="11" t="s">
        <v>35</v>
      </c>
      <c r="B335" s="12" t="s">
        <v>41</v>
      </c>
      <c r="C335" s="12"/>
      <c r="D335" s="12">
        <v>1971</v>
      </c>
    </row>
    <row r="336" spans="1:4" ht="19.95" customHeight="1" x14ac:dyDescent="0.25">
      <c r="A336" s="11" t="s">
        <v>36</v>
      </c>
      <c r="B336" s="12" t="s">
        <v>41</v>
      </c>
      <c r="C336" s="12"/>
      <c r="D336" s="12">
        <v>1971</v>
      </c>
    </row>
    <row r="337" spans="1:4" ht="19.95" customHeight="1" x14ac:dyDescent="0.25">
      <c r="A337" s="11" t="s">
        <v>37</v>
      </c>
      <c r="B337" s="12" t="s">
        <v>41</v>
      </c>
      <c r="C337" s="12"/>
      <c r="D337" s="12">
        <v>1971</v>
      </c>
    </row>
    <row r="338" spans="1:4" ht="19.95" customHeight="1" x14ac:dyDescent="0.25">
      <c r="A338" s="11" t="s">
        <v>38</v>
      </c>
      <c r="B338" s="12" t="s">
        <v>41</v>
      </c>
      <c r="C338" s="12"/>
      <c r="D338" s="12">
        <v>1971</v>
      </c>
    </row>
    <row r="339" spans="1:4" ht="19.95" customHeight="1" x14ac:dyDescent="0.25">
      <c r="A339" s="11" t="s">
        <v>39</v>
      </c>
      <c r="B339" s="12" t="s">
        <v>41</v>
      </c>
      <c r="C339" s="12"/>
      <c r="D339" s="12">
        <v>1971</v>
      </c>
    </row>
    <row r="340" spans="1:4" ht="19.95" customHeight="1" x14ac:dyDescent="0.25">
      <c r="A340" s="11" t="s">
        <v>40</v>
      </c>
      <c r="B340" s="12" t="s">
        <v>41</v>
      </c>
      <c r="C340" s="12"/>
      <c r="D340" s="12">
        <v>1971</v>
      </c>
    </row>
    <row r="341" spans="1:4" ht="19.95" customHeight="1" x14ac:dyDescent="0.25">
      <c r="A341" s="11" t="s">
        <v>10</v>
      </c>
      <c r="B341" s="12" t="s">
        <v>41</v>
      </c>
      <c r="C341" s="12"/>
      <c r="D341" s="12">
        <v>1972</v>
      </c>
    </row>
    <row r="342" spans="1:4" ht="19.95" customHeight="1" x14ac:dyDescent="0.25">
      <c r="A342" s="11" t="s">
        <v>13</v>
      </c>
      <c r="B342" s="12" t="s">
        <v>41</v>
      </c>
      <c r="C342" s="12"/>
      <c r="D342" s="12">
        <v>1972</v>
      </c>
    </row>
    <row r="343" spans="1:4" ht="19.95" customHeight="1" x14ac:dyDescent="0.25">
      <c r="A343" s="11" t="s">
        <v>15</v>
      </c>
      <c r="B343" s="12" t="s">
        <v>41</v>
      </c>
      <c r="C343" s="12"/>
      <c r="D343" s="12">
        <v>1972</v>
      </c>
    </row>
    <row r="344" spans="1:4" ht="19.95" customHeight="1" x14ac:dyDescent="0.25">
      <c r="A344" s="11" t="s">
        <v>16</v>
      </c>
      <c r="B344" s="12" t="s">
        <v>41</v>
      </c>
      <c r="C344" s="12"/>
      <c r="D344" s="12">
        <v>1972</v>
      </c>
    </row>
    <row r="345" spans="1:4" ht="19.95" customHeight="1" x14ac:dyDescent="0.25">
      <c r="A345" s="11" t="s">
        <v>17</v>
      </c>
      <c r="B345" s="12" t="s">
        <v>41</v>
      </c>
      <c r="C345" s="12"/>
      <c r="D345" s="12">
        <v>1972</v>
      </c>
    </row>
    <row r="346" spans="1:4" ht="19.95" customHeight="1" x14ac:dyDescent="0.25">
      <c r="A346" s="11" t="s">
        <v>2</v>
      </c>
      <c r="B346" s="12" t="s">
        <v>41</v>
      </c>
      <c r="C346" s="12"/>
      <c r="D346" s="12">
        <v>1972</v>
      </c>
    </row>
    <row r="347" spans="1:4" ht="19.95" customHeight="1" x14ac:dyDescent="0.25">
      <c r="A347" s="11" t="s">
        <v>18</v>
      </c>
      <c r="B347" s="12" t="s">
        <v>41</v>
      </c>
      <c r="C347" s="12"/>
      <c r="D347" s="12">
        <v>1972</v>
      </c>
    </row>
    <row r="348" spans="1:4" ht="19.95" customHeight="1" x14ac:dyDescent="0.25">
      <c r="A348" s="11" t="s">
        <v>19</v>
      </c>
      <c r="B348" s="12" t="s">
        <v>41</v>
      </c>
      <c r="C348" s="12"/>
      <c r="D348" s="12">
        <v>1972</v>
      </c>
    </row>
    <row r="349" spans="1:4" ht="19.95" customHeight="1" x14ac:dyDescent="0.25">
      <c r="A349" s="11" t="s">
        <v>20</v>
      </c>
      <c r="B349" s="12" t="s">
        <v>41</v>
      </c>
      <c r="C349" s="12"/>
      <c r="D349" s="12">
        <v>1972</v>
      </c>
    </row>
    <row r="350" spans="1:4" ht="19.95" customHeight="1" x14ac:dyDescent="0.25">
      <c r="A350" s="11" t="s">
        <v>21</v>
      </c>
      <c r="B350" s="12" t="s">
        <v>41</v>
      </c>
      <c r="C350" s="12"/>
      <c r="D350" s="12">
        <v>1972</v>
      </c>
    </row>
    <row r="351" spans="1:4" ht="19.95" customHeight="1" x14ac:dyDescent="0.25">
      <c r="A351" s="11" t="s">
        <v>22</v>
      </c>
      <c r="B351" s="12" t="s">
        <v>41</v>
      </c>
      <c r="C351" s="12"/>
      <c r="D351" s="12">
        <v>1972</v>
      </c>
    </row>
    <row r="352" spans="1:4" ht="19.95" customHeight="1" x14ac:dyDescent="0.25">
      <c r="A352" s="11" t="s">
        <v>23</v>
      </c>
      <c r="B352" s="12" t="s">
        <v>41</v>
      </c>
      <c r="C352" s="12"/>
      <c r="D352" s="12">
        <v>1972</v>
      </c>
    </row>
    <row r="353" spans="1:4" ht="19.95" customHeight="1" x14ac:dyDescent="0.25">
      <c r="A353" s="11" t="s">
        <v>24</v>
      </c>
      <c r="B353" s="12" t="s">
        <v>41</v>
      </c>
      <c r="C353" s="12"/>
      <c r="D353" s="12">
        <v>1972</v>
      </c>
    </row>
    <row r="354" spans="1:4" ht="19.95" customHeight="1" x14ac:dyDescent="0.25">
      <c r="A354" s="11" t="s">
        <v>25</v>
      </c>
      <c r="B354" s="12" t="s">
        <v>41</v>
      </c>
      <c r="C354" s="12"/>
      <c r="D354" s="12">
        <v>1972</v>
      </c>
    </row>
    <row r="355" spans="1:4" ht="19.95" customHeight="1" x14ac:dyDescent="0.25">
      <c r="A355" s="11" t="s">
        <v>26</v>
      </c>
      <c r="B355" s="12" t="s">
        <v>41</v>
      </c>
      <c r="C355" s="12"/>
      <c r="D355" s="12">
        <v>1972</v>
      </c>
    </row>
    <row r="356" spans="1:4" ht="19.95" customHeight="1" x14ac:dyDescent="0.25">
      <c r="A356" s="11" t="s">
        <v>27</v>
      </c>
      <c r="B356" s="12" t="s">
        <v>41</v>
      </c>
      <c r="C356" s="12"/>
      <c r="D356" s="12">
        <v>1972</v>
      </c>
    </row>
    <row r="357" spans="1:4" ht="19.95" customHeight="1" x14ac:dyDescent="0.25">
      <c r="A357" s="11" t="s">
        <v>29</v>
      </c>
      <c r="B357" s="12" t="s">
        <v>41</v>
      </c>
      <c r="C357" s="12"/>
      <c r="D357" s="12">
        <v>1972</v>
      </c>
    </row>
    <row r="358" spans="1:4" ht="19.95" customHeight="1" x14ac:dyDescent="0.25">
      <c r="A358" s="11" t="s">
        <v>30</v>
      </c>
      <c r="B358" s="12" t="s">
        <v>41</v>
      </c>
      <c r="C358" s="12"/>
      <c r="D358" s="12">
        <v>1972</v>
      </c>
    </row>
    <row r="359" spans="1:4" ht="19.95" customHeight="1" x14ac:dyDescent="0.25">
      <c r="A359" s="11" t="s">
        <v>31</v>
      </c>
      <c r="B359" s="12" t="s">
        <v>41</v>
      </c>
      <c r="C359" s="12"/>
      <c r="D359" s="12">
        <v>1972</v>
      </c>
    </row>
    <row r="360" spans="1:4" ht="19.95" customHeight="1" x14ac:dyDescent="0.25">
      <c r="A360" s="11" t="s">
        <v>32</v>
      </c>
      <c r="B360" s="12" t="s">
        <v>41</v>
      </c>
      <c r="C360" s="12"/>
      <c r="D360" s="12">
        <v>1972</v>
      </c>
    </row>
    <row r="361" spans="1:4" ht="19.95" customHeight="1" x14ac:dyDescent="0.25">
      <c r="A361" s="11" t="s">
        <v>33</v>
      </c>
      <c r="B361" s="12" t="s">
        <v>41</v>
      </c>
      <c r="C361" s="12"/>
      <c r="D361" s="12">
        <v>1972</v>
      </c>
    </row>
    <row r="362" spans="1:4" ht="19.95" customHeight="1" x14ac:dyDescent="0.25">
      <c r="A362" s="11" t="s">
        <v>34</v>
      </c>
      <c r="B362" s="12" t="s">
        <v>41</v>
      </c>
      <c r="C362" s="12"/>
      <c r="D362" s="12">
        <v>1972</v>
      </c>
    </row>
    <row r="363" spans="1:4" ht="19.95" customHeight="1" x14ac:dyDescent="0.25">
      <c r="A363" s="11" t="s">
        <v>35</v>
      </c>
      <c r="B363" s="12" t="s">
        <v>41</v>
      </c>
      <c r="C363" s="12"/>
      <c r="D363" s="12">
        <v>1972</v>
      </c>
    </row>
    <row r="364" spans="1:4" ht="19.95" customHeight="1" x14ac:dyDescent="0.25">
      <c r="A364" s="11" t="s">
        <v>36</v>
      </c>
      <c r="B364" s="12" t="s">
        <v>41</v>
      </c>
      <c r="C364" s="12"/>
      <c r="D364" s="12">
        <v>1972</v>
      </c>
    </row>
    <row r="365" spans="1:4" ht="19.95" customHeight="1" x14ac:dyDescent="0.25">
      <c r="A365" s="11" t="s">
        <v>37</v>
      </c>
      <c r="B365" s="12" t="s">
        <v>41</v>
      </c>
      <c r="C365" s="12"/>
      <c r="D365" s="12">
        <v>1972</v>
      </c>
    </row>
    <row r="366" spans="1:4" ht="19.95" customHeight="1" x14ac:dyDescent="0.25">
      <c r="A366" s="11" t="s">
        <v>38</v>
      </c>
      <c r="B366" s="12" t="s">
        <v>41</v>
      </c>
      <c r="C366" s="12"/>
      <c r="D366" s="12">
        <v>1972</v>
      </c>
    </row>
    <row r="367" spans="1:4" ht="19.95" customHeight="1" x14ac:dyDescent="0.25">
      <c r="A367" s="11" t="s">
        <v>39</v>
      </c>
      <c r="B367" s="12" t="s">
        <v>41</v>
      </c>
      <c r="C367" s="12"/>
      <c r="D367" s="12">
        <v>1972</v>
      </c>
    </row>
    <row r="368" spans="1:4" ht="19.95" customHeight="1" x14ac:dyDescent="0.25">
      <c r="A368" s="11" t="s">
        <v>40</v>
      </c>
      <c r="B368" s="12" t="s">
        <v>41</v>
      </c>
      <c r="C368" s="12"/>
      <c r="D368" s="12">
        <v>1972</v>
      </c>
    </row>
    <row r="369" spans="1:4" ht="19.95" customHeight="1" x14ac:dyDescent="0.25">
      <c r="A369" s="11" t="s">
        <v>10</v>
      </c>
      <c r="B369" s="12" t="s">
        <v>41</v>
      </c>
      <c r="C369" s="12"/>
      <c r="D369" s="12">
        <v>1973</v>
      </c>
    </row>
    <row r="370" spans="1:4" ht="19.95" customHeight="1" x14ac:dyDescent="0.25">
      <c r="A370" s="11" t="s">
        <v>13</v>
      </c>
      <c r="B370" s="12" t="s">
        <v>41</v>
      </c>
      <c r="C370" s="12"/>
      <c r="D370" s="12">
        <v>1973</v>
      </c>
    </row>
    <row r="371" spans="1:4" ht="19.95" customHeight="1" x14ac:dyDescent="0.25">
      <c r="A371" s="11" t="s">
        <v>15</v>
      </c>
      <c r="B371" s="12" t="s">
        <v>41</v>
      </c>
      <c r="C371" s="12"/>
      <c r="D371" s="12">
        <v>1973</v>
      </c>
    </row>
    <row r="372" spans="1:4" ht="19.95" customHeight="1" x14ac:dyDescent="0.25">
      <c r="A372" s="11" t="s">
        <v>16</v>
      </c>
      <c r="B372" s="12" t="s">
        <v>41</v>
      </c>
      <c r="C372" s="12"/>
      <c r="D372" s="12">
        <v>1973</v>
      </c>
    </row>
    <row r="373" spans="1:4" ht="19.95" customHeight="1" x14ac:dyDescent="0.25">
      <c r="A373" s="11" t="s">
        <v>17</v>
      </c>
      <c r="B373" s="12" t="s">
        <v>41</v>
      </c>
      <c r="C373" s="12"/>
      <c r="D373" s="12">
        <v>1973</v>
      </c>
    </row>
    <row r="374" spans="1:4" ht="19.95" customHeight="1" x14ac:dyDescent="0.25">
      <c r="A374" s="11" t="s">
        <v>2</v>
      </c>
      <c r="B374" s="12" t="s">
        <v>41</v>
      </c>
      <c r="C374" s="12"/>
      <c r="D374" s="12">
        <v>1973</v>
      </c>
    </row>
    <row r="375" spans="1:4" ht="19.95" customHeight="1" x14ac:dyDescent="0.25">
      <c r="A375" s="11" t="s">
        <v>18</v>
      </c>
      <c r="B375" s="12" t="s">
        <v>41</v>
      </c>
      <c r="C375" s="12"/>
      <c r="D375" s="12">
        <v>1973</v>
      </c>
    </row>
    <row r="376" spans="1:4" ht="19.95" customHeight="1" x14ac:dyDescent="0.25">
      <c r="A376" s="11" t="s">
        <v>19</v>
      </c>
      <c r="B376" s="12" t="s">
        <v>41</v>
      </c>
      <c r="C376" s="12"/>
      <c r="D376" s="12">
        <v>1973</v>
      </c>
    </row>
    <row r="377" spans="1:4" ht="19.95" customHeight="1" x14ac:dyDescent="0.25">
      <c r="A377" s="11" t="s">
        <v>20</v>
      </c>
      <c r="B377" s="12" t="s">
        <v>41</v>
      </c>
      <c r="C377" s="12"/>
      <c r="D377" s="12">
        <v>1973</v>
      </c>
    </row>
    <row r="378" spans="1:4" ht="19.95" customHeight="1" x14ac:dyDescent="0.25">
      <c r="A378" s="11" t="s">
        <v>21</v>
      </c>
      <c r="B378" s="12" t="s">
        <v>41</v>
      </c>
      <c r="C378" s="12"/>
      <c r="D378" s="12">
        <v>1973</v>
      </c>
    </row>
    <row r="379" spans="1:4" ht="19.95" customHeight="1" x14ac:dyDescent="0.25">
      <c r="A379" s="11" t="s">
        <v>22</v>
      </c>
      <c r="B379" s="12" t="s">
        <v>41</v>
      </c>
      <c r="C379" s="12"/>
      <c r="D379" s="12">
        <v>1973</v>
      </c>
    </row>
    <row r="380" spans="1:4" ht="19.95" customHeight="1" x14ac:dyDescent="0.25">
      <c r="A380" s="11" t="s">
        <v>23</v>
      </c>
      <c r="B380" s="12" t="s">
        <v>41</v>
      </c>
      <c r="C380" s="12"/>
      <c r="D380" s="12">
        <v>1973</v>
      </c>
    </row>
    <row r="381" spans="1:4" ht="19.95" customHeight="1" x14ac:dyDescent="0.25">
      <c r="A381" s="11" t="s">
        <v>24</v>
      </c>
      <c r="B381" s="12" t="s">
        <v>41</v>
      </c>
      <c r="C381" s="12"/>
      <c r="D381" s="12">
        <v>1973</v>
      </c>
    </row>
    <row r="382" spans="1:4" ht="19.95" customHeight="1" x14ac:dyDescent="0.25">
      <c r="A382" s="11" t="s">
        <v>25</v>
      </c>
      <c r="B382" s="12" t="s">
        <v>41</v>
      </c>
      <c r="C382" s="12"/>
      <c r="D382" s="12">
        <v>1973</v>
      </c>
    </row>
    <row r="383" spans="1:4" ht="19.95" customHeight="1" x14ac:dyDescent="0.25">
      <c r="A383" s="11" t="s">
        <v>26</v>
      </c>
      <c r="B383" s="12" t="s">
        <v>41</v>
      </c>
      <c r="C383" s="12"/>
      <c r="D383" s="12">
        <v>1973</v>
      </c>
    </row>
    <row r="384" spans="1:4" ht="19.95" customHeight="1" x14ac:dyDescent="0.25">
      <c r="A384" s="11" t="s">
        <v>27</v>
      </c>
      <c r="B384" s="12" t="s">
        <v>41</v>
      </c>
      <c r="C384" s="12"/>
      <c r="D384" s="12">
        <v>1973</v>
      </c>
    </row>
    <row r="385" spans="1:4" ht="19.95" customHeight="1" x14ac:dyDescent="0.25">
      <c r="A385" s="11" t="s">
        <v>29</v>
      </c>
      <c r="B385" s="12" t="s">
        <v>41</v>
      </c>
      <c r="C385" s="12"/>
      <c r="D385" s="12">
        <v>1973</v>
      </c>
    </row>
    <row r="386" spans="1:4" ht="19.95" customHeight="1" x14ac:dyDescent="0.25">
      <c r="A386" s="11" t="s">
        <v>30</v>
      </c>
      <c r="B386" s="12" t="s">
        <v>41</v>
      </c>
      <c r="C386" s="12"/>
      <c r="D386" s="12">
        <v>1973</v>
      </c>
    </row>
    <row r="387" spans="1:4" ht="19.95" customHeight="1" x14ac:dyDescent="0.25">
      <c r="A387" s="11" t="s">
        <v>31</v>
      </c>
      <c r="B387" s="12" t="s">
        <v>41</v>
      </c>
      <c r="C387" s="12"/>
      <c r="D387" s="12">
        <v>1973</v>
      </c>
    </row>
    <row r="388" spans="1:4" ht="19.95" customHeight="1" x14ac:dyDescent="0.25">
      <c r="A388" s="11" t="s">
        <v>32</v>
      </c>
      <c r="B388" s="12" t="s">
        <v>41</v>
      </c>
      <c r="C388" s="12"/>
      <c r="D388" s="12">
        <v>1973</v>
      </c>
    </row>
    <row r="389" spans="1:4" ht="19.95" customHeight="1" x14ac:dyDescent="0.25">
      <c r="A389" s="11" t="s">
        <v>33</v>
      </c>
      <c r="B389" s="12" t="s">
        <v>41</v>
      </c>
      <c r="C389" s="12"/>
      <c r="D389" s="12">
        <v>1973</v>
      </c>
    </row>
    <row r="390" spans="1:4" ht="19.95" customHeight="1" x14ac:dyDescent="0.25">
      <c r="A390" s="11" t="s">
        <v>34</v>
      </c>
      <c r="B390" s="12" t="s">
        <v>41</v>
      </c>
      <c r="C390" s="12"/>
      <c r="D390" s="12">
        <v>1973</v>
      </c>
    </row>
    <row r="391" spans="1:4" ht="19.95" customHeight="1" x14ac:dyDescent="0.25">
      <c r="A391" s="11" t="s">
        <v>35</v>
      </c>
      <c r="B391" s="12" t="s">
        <v>41</v>
      </c>
      <c r="C391" s="12"/>
      <c r="D391" s="12">
        <v>1973</v>
      </c>
    </row>
    <row r="392" spans="1:4" ht="19.95" customHeight="1" x14ac:dyDescent="0.25">
      <c r="A392" s="11" t="s">
        <v>36</v>
      </c>
      <c r="B392" s="12" t="s">
        <v>41</v>
      </c>
      <c r="C392" s="12"/>
      <c r="D392" s="12">
        <v>1973</v>
      </c>
    </row>
    <row r="393" spans="1:4" ht="19.95" customHeight="1" x14ac:dyDescent="0.25">
      <c r="A393" s="11" t="s">
        <v>37</v>
      </c>
      <c r="B393" s="12" t="s">
        <v>41</v>
      </c>
      <c r="C393" s="12"/>
      <c r="D393" s="12">
        <v>1973</v>
      </c>
    </row>
    <row r="394" spans="1:4" ht="19.95" customHeight="1" x14ac:dyDescent="0.25">
      <c r="A394" s="11" t="s">
        <v>38</v>
      </c>
      <c r="B394" s="12" t="s">
        <v>41</v>
      </c>
      <c r="C394" s="12"/>
      <c r="D394" s="12">
        <v>1973</v>
      </c>
    </row>
    <row r="395" spans="1:4" ht="19.95" customHeight="1" x14ac:dyDescent="0.25">
      <c r="A395" s="11" t="s">
        <v>39</v>
      </c>
      <c r="B395" s="12" t="s">
        <v>41</v>
      </c>
      <c r="C395" s="12"/>
      <c r="D395" s="12">
        <v>1973</v>
      </c>
    </row>
    <row r="396" spans="1:4" ht="19.95" customHeight="1" x14ac:dyDescent="0.25">
      <c r="A396" s="11" t="s">
        <v>40</v>
      </c>
      <c r="B396" s="12" t="s">
        <v>41</v>
      </c>
      <c r="C396" s="12"/>
      <c r="D396" s="12">
        <v>1973</v>
      </c>
    </row>
    <row r="397" spans="1:4" ht="19.95" customHeight="1" x14ac:dyDescent="0.25">
      <c r="A397" s="11" t="s">
        <v>10</v>
      </c>
      <c r="B397" s="12" t="s">
        <v>41</v>
      </c>
      <c r="C397" s="12"/>
      <c r="D397" s="12">
        <v>1974</v>
      </c>
    </row>
    <row r="398" spans="1:4" ht="19.95" customHeight="1" x14ac:dyDescent="0.25">
      <c r="A398" s="11" t="s">
        <v>13</v>
      </c>
      <c r="B398" s="12" t="s">
        <v>41</v>
      </c>
      <c r="C398" s="12"/>
      <c r="D398" s="12">
        <v>1974</v>
      </c>
    </row>
    <row r="399" spans="1:4" ht="19.95" customHeight="1" x14ac:dyDescent="0.25">
      <c r="A399" s="11" t="s">
        <v>15</v>
      </c>
      <c r="B399" s="12" t="s">
        <v>41</v>
      </c>
      <c r="C399" s="12"/>
      <c r="D399" s="12">
        <v>1974</v>
      </c>
    </row>
    <row r="400" spans="1:4" ht="19.95" customHeight="1" x14ac:dyDescent="0.25">
      <c r="A400" s="11" t="s">
        <v>16</v>
      </c>
      <c r="B400" s="12" t="s">
        <v>41</v>
      </c>
      <c r="C400" s="12"/>
      <c r="D400" s="12">
        <v>1974</v>
      </c>
    </row>
    <row r="401" spans="1:4" ht="19.95" customHeight="1" x14ac:dyDescent="0.25">
      <c r="A401" s="11" t="s">
        <v>17</v>
      </c>
      <c r="B401" s="12" t="s">
        <v>41</v>
      </c>
      <c r="C401" s="12"/>
      <c r="D401" s="12">
        <v>1974</v>
      </c>
    </row>
    <row r="402" spans="1:4" ht="19.95" customHeight="1" x14ac:dyDescent="0.25">
      <c r="A402" s="11" t="s">
        <v>2</v>
      </c>
      <c r="B402" s="12" t="s">
        <v>41</v>
      </c>
      <c r="C402" s="12"/>
      <c r="D402" s="12">
        <v>1974</v>
      </c>
    </row>
    <row r="403" spans="1:4" ht="19.95" customHeight="1" x14ac:dyDescent="0.25">
      <c r="A403" s="11" t="s">
        <v>18</v>
      </c>
      <c r="B403" s="12" t="s">
        <v>41</v>
      </c>
      <c r="C403" s="12"/>
      <c r="D403" s="12">
        <v>1974</v>
      </c>
    </row>
    <row r="404" spans="1:4" ht="19.95" customHeight="1" x14ac:dyDescent="0.25">
      <c r="A404" s="11" t="s">
        <v>19</v>
      </c>
      <c r="B404" s="12" t="s">
        <v>41</v>
      </c>
      <c r="C404" s="12"/>
      <c r="D404" s="12">
        <v>1974</v>
      </c>
    </row>
    <row r="405" spans="1:4" ht="19.95" customHeight="1" x14ac:dyDescent="0.25">
      <c r="A405" s="11" t="s">
        <v>20</v>
      </c>
      <c r="B405" s="12" t="s">
        <v>41</v>
      </c>
      <c r="C405" s="12"/>
      <c r="D405" s="12">
        <v>1974</v>
      </c>
    </row>
    <row r="406" spans="1:4" ht="19.95" customHeight="1" x14ac:dyDescent="0.25">
      <c r="A406" s="11" t="s">
        <v>21</v>
      </c>
      <c r="B406" s="12" t="s">
        <v>41</v>
      </c>
      <c r="C406" s="12"/>
      <c r="D406" s="12">
        <v>1974</v>
      </c>
    </row>
    <row r="407" spans="1:4" ht="19.95" customHeight="1" x14ac:dyDescent="0.25">
      <c r="A407" s="11" t="s">
        <v>22</v>
      </c>
      <c r="B407" s="12" t="s">
        <v>41</v>
      </c>
      <c r="C407" s="12"/>
      <c r="D407" s="12">
        <v>1974</v>
      </c>
    </row>
    <row r="408" spans="1:4" ht="19.95" customHeight="1" x14ac:dyDescent="0.25">
      <c r="A408" s="11" t="s">
        <v>23</v>
      </c>
      <c r="B408" s="12" t="s">
        <v>41</v>
      </c>
      <c r="C408" s="12"/>
      <c r="D408" s="12">
        <v>1974</v>
      </c>
    </row>
    <row r="409" spans="1:4" ht="19.95" customHeight="1" x14ac:dyDescent="0.25">
      <c r="A409" s="11" t="s">
        <v>24</v>
      </c>
      <c r="B409" s="12" t="s">
        <v>41</v>
      </c>
      <c r="C409" s="12"/>
      <c r="D409" s="12">
        <v>1974</v>
      </c>
    </row>
    <row r="410" spans="1:4" ht="19.95" customHeight="1" x14ac:dyDescent="0.25">
      <c r="A410" s="11" t="s">
        <v>25</v>
      </c>
      <c r="B410" s="12" t="s">
        <v>41</v>
      </c>
      <c r="C410" s="12"/>
      <c r="D410" s="12">
        <v>1974</v>
      </c>
    </row>
    <row r="411" spans="1:4" ht="19.95" customHeight="1" x14ac:dyDescent="0.25">
      <c r="A411" s="11" t="s">
        <v>26</v>
      </c>
      <c r="B411" s="12" t="s">
        <v>41</v>
      </c>
      <c r="C411" s="12"/>
      <c r="D411" s="12">
        <v>1974</v>
      </c>
    </row>
    <row r="412" spans="1:4" ht="19.95" customHeight="1" x14ac:dyDescent="0.25">
      <c r="A412" s="11" t="s">
        <v>27</v>
      </c>
      <c r="B412" s="12" t="s">
        <v>41</v>
      </c>
      <c r="C412" s="12"/>
      <c r="D412" s="12">
        <v>1974</v>
      </c>
    </row>
    <row r="413" spans="1:4" ht="19.95" customHeight="1" x14ac:dyDescent="0.25">
      <c r="A413" s="11" t="s">
        <v>29</v>
      </c>
      <c r="B413" s="12" t="s">
        <v>41</v>
      </c>
      <c r="C413" s="12"/>
      <c r="D413" s="12">
        <v>1974</v>
      </c>
    </row>
    <row r="414" spans="1:4" ht="19.95" customHeight="1" x14ac:dyDescent="0.25">
      <c r="A414" s="11" t="s">
        <v>30</v>
      </c>
      <c r="B414" s="12" t="s">
        <v>41</v>
      </c>
      <c r="C414" s="12"/>
      <c r="D414" s="12">
        <v>1974</v>
      </c>
    </row>
    <row r="415" spans="1:4" ht="19.95" customHeight="1" x14ac:dyDescent="0.25">
      <c r="A415" s="11" t="s">
        <v>31</v>
      </c>
      <c r="B415" s="12" t="s">
        <v>41</v>
      </c>
      <c r="C415" s="12"/>
      <c r="D415" s="12">
        <v>1974</v>
      </c>
    </row>
    <row r="416" spans="1:4" ht="19.95" customHeight="1" x14ac:dyDescent="0.25">
      <c r="A416" s="11" t="s">
        <v>32</v>
      </c>
      <c r="B416" s="12" t="s">
        <v>41</v>
      </c>
      <c r="C416" s="12"/>
      <c r="D416" s="12">
        <v>1974</v>
      </c>
    </row>
    <row r="417" spans="1:4" ht="19.95" customHeight="1" x14ac:dyDescent="0.25">
      <c r="A417" s="11" t="s">
        <v>33</v>
      </c>
      <c r="B417" s="12" t="s">
        <v>41</v>
      </c>
      <c r="C417" s="12"/>
      <c r="D417" s="12">
        <v>1974</v>
      </c>
    </row>
    <row r="418" spans="1:4" ht="19.95" customHeight="1" x14ac:dyDescent="0.25">
      <c r="A418" s="11" t="s">
        <v>34</v>
      </c>
      <c r="B418" s="12" t="s">
        <v>41</v>
      </c>
      <c r="C418" s="12"/>
      <c r="D418" s="12">
        <v>1974</v>
      </c>
    </row>
    <row r="419" spans="1:4" ht="19.95" customHeight="1" x14ac:dyDescent="0.25">
      <c r="A419" s="11" t="s">
        <v>35</v>
      </c>
      <c r="B419" s="12" t="s">
        <v>41</v>
      </c>
      <c r="C419" s="12"/>
      <c r="D419" s="12">
        <v>1974</v>
      </c>
    </row>
    <row r="420" spans="1:4" ht="19.95" customHeight="1" x14ac:dyDescent="0.25">
      <c r="A420" s="11" t="s">
        <v>36</v>
      </c>
      <c r="B420" s="12" t="s">
        <v>41</v>
      </c>
      <c r="C420" s="12"/>
      <c r="D420" s="12">
        <v>1974</v>
      </c>
    </row>
    <row r="421" spans="1:4" ht="19.95" customHeight="1" x14ac:dyDescent="0.25">
      <c r="A421" s="11" t="s">
        <v>37</v>
      </c>
      <c r="B421" s="12" t="s">
        <v>41</v>
      </c>
      <c r="C421" s="12"/>
      <c r="D421" s="12">
        <v>1974</v>
      </c>
    </row>
    <row r="422" spans="1:4" ht="19.95" customHeight="1" x14ac:dyDescent="0.25">
      <c r="A422" s="11" t="s">
        <v>38</v>
      </c>
      <c r="B422" s="12" t="s">
        <v>41</v>
      </c>
      <c r="C422" s="12"/>
      <c r="D422" s="12">
        <v>1974</v>
      </c>
    </row>
    <row r="423" spans="1:4" ht="19.95" customHeight="1" x14ac:dyDescent="0.25">
      <c r="A423" s="11" t="s">
        <v>39</v>
      </c>
      <c r="B423" s="12" t="s">
        <v>41</v>
      </c>
      <c r="C423" s="12"/>
      <c r="D423" s="12">
        <v>1974</v>
      </c>
    </row>
    <row r="424" spans="1:4" ht="19.95" customHeight="1" x14ac:dyDescent="0.25">
      <c r="A424" s="11" t="s">
        <v>40</v>
      </c>
      <c r="B424" s="12" t="s">
        <v>41</v>
      </c>
      <c r="C424" s="12"/>
      <c r="D424" s="12">
        <v>1974</v>
      </c>
    </row>
    <row r="425" spans="1:4" ht="19.95" customHeight="1" x14ac:dyDescent="0.25">
      <c r="A425" s="11" t="s">
        <v>10</v>
      </c>
      <c r="B425" s="12" t="s">
        <v>41</v>
      </c>
      <c r="C425" s="12"/>
      <c r="D425" s="12">
        <v>1975</v>
      </c>
    </row>
    <row r="426" spans="1:4" ht="19.95" customHeight="1" x14ac:dyDescent="0.25">
      <c r="A426" s="11" t="s">
        <v>13</v>
      </c>
      <c r="B426" s="12" t="s">
        <v>41</v>
      </c>
      <c r="C426" s="12"/>
      <c r="D426" s="12">
        <v>1975</v>
      </c>
    </row>
    <row r="427" spans="1:4" ht="19.95" customHeight="1" x14ac:dyDescent="0.25">
      <c r="A427" s="11" t="s">
        <v>15</v>
      </c>
      <c r="B427" s="12" t="s">
        <v>41</v>
      </c>
      <c r="C427" s="12"/>
      <c r="D427" s="12">
        <v>1975</v>
      </c>
    </row>
    <row r="428" spans="1:4" ht="19.95" customHeight="1" x14ac:dyDescent="0.25">
      <c r="A428" s="11" t="s">
        <v>16</v>
      </c>
      <c r="B428" s="12" t="s">
        <v>41</v>
      </c>
      <c r="C428" s="12"/>
      <c r="D428" s="12">
        <v>1975</v>
      </c>
    </row>
    <row r="429" spans="1:4" ht="19.95" customHeight="1" x14ac:dyDescent="0.25">
      <c r="A429" s="11" t="s">
        <v>17</v>
      </c>
      <c r="B429" s="12" t="s">
        <v>41</v>
      </c>
      <c r="C429" s="12"/>
      <c r="D429" s="12">
        <v>1975</v>
      </c>
    </row>
    <row r="430" spans="1:4" ht="19.95" customHeight="1" x14ac:dyDescent="0.25">
      <c r="A430" s="11" t="s">
        <v>2</v>
      </c>
      <c r="B430" s="12" t="s">
        <v>41</v>
      </c>
      <c r="C430" s="12"/>
      <c r="D430" s="12">
        <v>1975</v>
      </c>
    </row>
    <row r="431" spans="1:4" ht="19.95" customHeight="1" x14ac:dyDescent="0.25">
      <c r="A431" s="11" t="s">
        <v>18</v>
      </c>
      <c r="B431" s="12" t="s">
        <v>41</v>
      </c>
      <c r="C431" s="12"/>
      <c r="D431" s="12">
        <v>1975</v>
      </c>
    </row>
    <row r="432" spans="1:4" ht="19.95" customHeight="1" x14ac:dyDescent="0.25">
      <c r="A432" s="11" t="s">
        <v>19</v>
      </c>
      <c r="B432" s="12" t="s">
        <v>41</v>
      </c>
      <c r="C432" s="12"/>
      <c r="D432" s="12">
        <v>1975</v>
      </c>
    </row>
    <row r="433" spans="1:4" ht="19.95" customHeight="1" x14ac:dyDescent="0.25">
      <c r="A433" s="11" t="s">
        <v>20</v>
      </c>
      <c r="B433" s="12" t="s">
        <v>41</v>
      </c>
      <c r="C433" s="12"/>
      <c r="D433" s="12">
        <v>1975</v>
      </c>
    </row>
    <row r="434" spans="1:4" ht="19.95" customHeight="1" x14ac:dyDescent="0.25">
      <c r="A434" s="11" t="s">
        <v>21</v>
      </c>
      <c r="B434" s="12" t="s">
        <v>41</v>
      </c>
      <c r="C434" s="12"/>
      <c r="D434" s="12">
        <v>1975</v>
      </c>
    </row>
    <row r="435" spans="1:4" ht="19.95" customHeight="1" x14ac:dyDescent="0.25">
      <c r="A435" s="11" t="s">
        <v>22</v>
      </c>
      <c r="B435" s="12" t="s">
        <v>41</v>
      </c>
      <c r="C435" s="12"/>
      <c r="D435" s="12">
        <v>1975</v>
      </c>
    </row>
    <row r="436" spans="1:4" ht="19.95" customHeight="1" x14ac:dyDescent="0.25">
      <c r="A436" s="11" t="s">
        <v>23</v>
      </c>
      <c r="B436" s="12" t="s">
        <v>41</v>
      </c>
      <c r="C436" s="12"/>
      <c r="D436" s="12">
        <v>1975</v>
      </c>
    </row>
    <row r="437" spans="1:4" ht="19.95" customHeight="1" x14ac:dyDescent="0.25">
      <c r="A437" s="11" t="s">
        <v>24</v>
      </c>
      <c r="B437" s="12" t="s">
        <v>41</v>
      </c>
      <c r="C437" s="12"/>
      <c r="D437" s="12">
        <v>1975</v>
      </c>
    </row>
    <row r="438" spans="1:4" ht="19.95" customHeight="1" x14ac:dyDescent="0.25">
      <c r="A438" s="11" t="s">
        <v>25</v>
      </c>
      <c r="B438" s="12" t="s">
        <v>41</v>
      </c>
      <c r="C438" s="12"/>
      <c r="D438" s="12">
        <v>1975</v>
      </c>
    </row>
    <row r="439" spans="1:4" ht="19.95" customHeight="1" x14ac:dyDescent="0.25">
      <c r="A439" s="11" t="s">
        <v>26</v>
      </c>
      <c r="B439" s="12" t="s">
        <v>41</v>
      </c>
      <c r="C439" s="12"/>
      <c r="D439" s="12">
        <v>1975</v>
      </c>
    </row>
    <row r="440" spans="1:4" ht="19.95" customHeight="1" x14ac:dyDescent="0.25">
      <c r="A440" s="11" t="s">
        <v>27</v>
      </c>
      <c r="B440" s="12" t="s">
        <v>41</v>
      </c>
      <c r="C440" s="12"/>
      <c r="D440" s="12">
        <v>1975</v>
      </c>
    </row>
    <row r="441" spans="1:4" ht="19.95" customHeight="1" x14ac:dyDescent="0.25">
      <c r="A441" s="11" t="s">
        <v>29</v>
      </c>
      <c r="B441" s="12" t="s">
        <v>41</v>
      </c>
      <c r="C441" s="12"/>
      <c r="D441" s="12">
        <v>1975</v>
      </c>
    </row>
    <row r="442" spans="1:4" ht="19.95" customHeight="1" x14ac:dyDescent="0.25">
      <c r="A442" s="11" t="s">
        <v>30</v>
      </c>
      <c r="B442" s="12" t="s">
        <v>41</v>
      </c>
      <c r="C442" s="12"/>
      <c r="D442" s="12">
        <v>1975</v>
      </c>
    </row>
    <row r="443" spans="1:4" ht="19.95" customHeight="1" x14ac:dyDescent="0.25">
      <c r="A443" s="11" t="s">
        <v>31</v>
      </c>
      <c r="B443" s="12" t="s">
        <v>41</v>
      </c>
      <c r="C443" s="12"/>
      <c r="D443" s="12">
        <v>1975</v>
      </c>
    </row>
    <row r="444" spans="1:4" ht="19.95" customHeight="1" x14ac:dyDescent="0.25">
      <c r="A444" s="11" t="s">
        <v>32</v>
      </c>
      <c r="B444" s="12" t="s">
        <v>41</v>
      </c>
      <c r="C444" s="12"/>
      <c r="D444" s="12">
        <v>1975</v>
      </c>
    </row>
    <row r="445" spans="1:4" ht="19.95" customHeight="1" x14ac:dyDescent="0.25">
      <c r="A445" s="11" t="s">
        <v>33</v>
      </c>
      <c r="B445" s="12" t="s">
        <v>41</v>
      </c>
      <c r="C445" s="12"/>
      <c r="D445" s="12">
        <v>1975</v>
      </c>
    </row>
    <row r="446" spans="1:4" ht="19.95" customHeight="1" x14ac:dyDescent="0.25">
      <c r="A446" s="11" t="s">
        <v>34</v>
      </c>
      <c r="B446" s="12" t="s">
        <v>41</v>
      </c>
      <c r="C446" s="12"/>
      <c r="D446" s="12">
        <v>1975</v>
      </c>
    </row>
    <row r="447" spans="1:4" ht="19.95" customHeight="1" x14ac:dyDescent="0.25">
      <c r="A447" s="11" t="s">
        <v>35</v>
      </c>
      <c r="B447" s="12" t="s">
        <v>41</v>
      </c>
      <c r="C447" s="12"/>
      <c r="D447" s="12">
        <v>1975</v>
      </c>
    </row>
    <row r="448" spans="1:4" ht="19.95" customHeight="1" x14ac:dyDescent="0.25">
      <c r="A448" s="11" t="s">
        <v>36</v>
      </c>
      <c r="B448" s="12" t="s">
        <v>41</v>
      </c>
      <c r="C448" s="12"/>
      <c r="D448" s="12">
        <v>1975</v>
      </c>
    </row>
    <row r="449" spans="1:4" ht="19.95" customHeight="1" x14ac:dyDescent="0.25">
      <c r="A449" s="11" t="s">
        <v>37</v>
      </c>
      <c r="B449" s="12" t="s">
        <v>41</v>
      </c>
      <c r="C449" s="12"/>
      <c r="D449" s="12">
        <v>1975</v>
      </c>
    </row>
    <row r="450" spans="1:4" ht="19.95" customHeight="1" x14ac:dyDescent="0.25">
      <c r="A450" s="11" t="s">
        <v>38</v>
      </c>
      <c r="B450" s="12" t="s">
        <v>41</v>
      </c>
      <c r="C450" s="12"/>
      <c r="D450" s="12">
        <v>1975</v>
      </c>
    </row>
    <row r="451" spans="1:4" ht="19.95" customHeight="1" x14ac:dyDescent="0.25">
      <c r="A451" s="11" t="s">
        <v>39</v>
      </c>
      <c r="B451" s="12" t="s">
        <v>41</v>
      </c>
      <c r="C451" s="12"/>
      <c r="D451" s="12">
        <v>1975</v>
      </c>
    </row>
    <row r="452" spans="1:4" ht="19.95" customHeight="1" x14ac:dyDescent="0.25">
      <c r="A452" s="11" t="s">
        <v>40</v>
      </c>
      <c r="B452" s="12" t="s">
        <v>41</v>
      </c>
      <c r="C452" s="12"/>
      <c r="D452" s="12">
        <v>1975</v>
      </c>
    </row>
    <row r="453" spans="1:4" ht="19.95" customHeight="1" x14ac:dyDescent="0.25">
      <c r="A453" s="11" t="s">
        <v>10</v>
      </c>
      <c r="B453" s="12" t="s">
        <v>41</v>
      </c>
      <c r="C453" s="12"/>
      <c r="D453" s="12">
        <v>1976</v>
      </c>
    </row>
    <row r="454" spans="1:4" ht="19.95" customHeight="1" x14ac:dyDescent="0.25">
      <c r="A454" s="11" t="s">
        <v>13</v>
      </c>
      <c r="B454" s="12" t="s">
        <v>41</v>
      </c>
      <c r="C454" s="12"/>
      <c r="D454" s="12">
        <v>1976</v>
      </c>
    </row>
    <row r="455" spans="1:4" ht="19.95" customHeight="1" x14ac:dyDescent="0.25">
      <c r="A455" s="11" t="s">
        <v>15</v>
      </c>
      <c r="B455" s="12" t="s">
        <v>41</v>
      </c>
      <c r="C455" s="12"/>
      <c r="D455" s="12">
        <v>1976</v>
      </c>
    </row>
    <row r="456" spans="1:4" ht="19.95" customHeight="1" x14ac:dyDescent="0.25">
      <c r="A456" s="11" t="s">
        <v>16</v>
      </c>
      <c r="B456" s="12" t="s">
        <v>41</v>
      </c>
      <c r="C456" s="12"/>
      <c r="D456" s="12">
        <v>1976</v>
      </c>
    </row>
    <row r="457" spans="1:4" ht="19.95" customHeight="1" x14ac:dyDescent="0.25">
      <c r="A457" s="11" t="s">
        <v>17</v>
      </c>
      <c r="B457" s="12" t="s">
        <v>41</v>
      </c>
      <c r="C457" s="12"/>
      <c r="D457" s="12">
        <v>1976</v>
      </c>
    </row>
    <row r="458" spans="1:4" ht="19.95" customHeight="1" x14ac:dyDescent="0.25">
      <c r="A458" s="11" t="s">
        <v>2</v>
      </c>
      <c r="B458" s="12" t="s">
        <v>41</v>
      </c>
      <c r="C458" s="12"/>
      <c r="D458" s="12">
        <v>1976</v>
      </c>
    </row>
    <row r="459" spans="1:4" ht="19.95" customHeight="1" x14ac:dyDescent="0.25">
      <c r="A459" s="11" t="s">
        <v>18</v>
      </c>
      <c r="B459" s="12" t="s">
        <v>41</v>
      </c>
      <c r="C459" s="12"/>
      <c r="D459" s="12">
        <v>1976</v>
      </c>
    </row>
    <row r="460" spans="1:4" ht="19.95" customHeight="1" x14ac:dyDescent="0.25">
      <c r="A460" s="11" t="s">
        <v>19</v>
      </c>
      <c r="B460" s="12" t="s">
        <v>41</v>
      </c>
      <c r="C460" s="12"/>
      <c r="D460" s="12">
        <v>1976</v>
      </c>
    </row>
    <row r="461" spans="1:4" ht="19.95" customHeight="1" x14ac:dyDescent="0.25">
      <c r="A461" s="11" t="s">
        <v>20</v>
      </c>
      <c r="B461" s="12" t="s">
        <v>41</v>
      </c>
      <c r="C461" s="12"/>
      <c r="D461" s="12">
        <v>1976</v>
      </c>
    </row>
    <row r="462" spans="1:4" ht="19.95" customHeight="1" x14ac:dyDescent="0.25">
      <c r="A462" s="11" t="s">
        <v>21</v>
      </c>
      <c r="B462" s="12" t="s">
        <v>41</v>
      </c>
      <c r="C462" s="12"/>
      <c r="D462" s="12">
        <v>1976</v>
      </c>
    </row>
    <row r="463" spans="1:4" ht="19.95" customHeight="1" x14ac:dyDescent="0.25">
      <c r="A463" s="11" t="s">
        <v>22</v>
      </c>
      <c r="B463" s="12" t="s">
        <v>41</v>
      </c>
      <c r="C463" s="12"/>
      <c r="D463" s="12">
        <v>1976</v>
      </c>
    </row>
    <row r="464" spans="1:4" ht="19.95" customHeight="1" x14ac:dyDescent="0.25">
      <c r="A464" s="11" t="s">
        <v>23</v>
      </c>
      <c r="B464" s="12" t="s">
        <v>41</v>
      </c>
      <c r="C464" s="12"/>
      <c r="D464" s="12">
        <v>1976</v>
      </c>
    </row>
    <row r="465" spans="1:4" ht="19.95" customHeight="1" x14ac:dyDescent="0.25">
      <c r="A465" s="11" t="s">
        <v>24</v>
      </c>
      <c r="B465" s="12" t="s">
        <v>41</v>
      </c>
      <c r="C465" s="12"/>
      <c r="D465" s="12">
        <v>1976</v>
      </c>
    </row>
    <row r="466" spans="1:4" ht="19.95" customHeight="1" x14ac:dyDescent="0.25">
      <c r="A466" s="11" t="s">
        <v>25</v>
      </c>
      <c r="B466" s="12" t="s">
        <v>41</v>
      </c>
      <c r="C466" s="12"/>
      <c r="D466" s="12">
        <v>1976</v>
      </c>
    </row>
    <row r="467" spans="1:4" ht="19.95" customHeight="1" x14ac:dyDescent="0.25">
      <c r="A467" s="11" t="s">
        <v>26</v>
      </c>
      <c r="B467" s="12" t="s">
        <v>41</v>
      </c>
      <c r="C467" s="12"/>
      <c r="D467" s="12">
        <v>1976</v>
      </c>
    </row>
    <row r="468" spans="1:4" ht="19.95" customHeight="1" x14ac:dyDescent="0.25">
      <c r="A468" s="11" t="s">
        <v>27</v>
      </c>
      <c r="B468" s="12" t="s">
        <v>41</v>
      </c>
      <c r="C468" s="12"/>
      <c r="D468" s="12">
        <v>1976</v>
      </c>
    </row>
    <row r="469" spans="1:4" ht="19.95" customHeight="1" x14ac:dyDescent="0.25">
      <c r="A469" s="11" t="s">
        <v>29</v>
      </c>
      <c r="B469" s="12" t="s">
        <v>41</v>
      </c>
      <c r="C469" s="12"/>
      <c r="D469" s="12">
        <v>1976</v>
      </c>
    </row>
    <row r="470" spans="1:4" ht="19.95" customHeight="1" x14ac:dyDescent="0.25">
      <c r="A470" s="11" t="s">
        <v>30</v>
      </c>
      <c r="B470" s="12" t="s">
        <v>41</v>
      </c>
      <c r="C470" s="12"/>
      <c r="D470" s="12">
        <v>1976</v>
      </c>
    </row>
    <row r="471" spans="1:4" ht="19.95" customHeight="1" x14ac:dyDescent="0.25">
      <c r="A471" s="11" t="s">
        <v>31</v>
      </c>
      <c r="B471" s="12" t="s">
        <v>41</v>
      </c>
      <c r="C471" s="12"/>
      <c r="D471" s="12">
        <v>1976</v>
      </c>
    </row>
    <row r="472" spans="1:4" ht="19.95" customHeight="1" x14ac:dyDescent="0.25">
      <c r="A472" s="11" t="s">
        <v>32</v>
      </c>
      <c r="B472" s="12" t="s">
        <v>41</v>
      </c>
      <c r="C472" s="12"/>
      <c r="D472" s="12">
        <v>1976</v>
      </c>
    </row>
    <row r="473" spans="1:4" ht="19.95" customHeight="1" x14ac:dyDescent="0.25">
      <c r="A473" s="11" t="s">
        <v>33</v>
      </c>
      <c r="B473" s="12" t="s">
        <v>41</v>
      </c>
      <c r="C473" s="12"/>
      <c r="D473" s="12">
        <v>1976</v>
      </c>
    </row>
    <row r="474" spans="1:4" ht="19.95" customHeight="1" x14ac:dyDescent="0.25">
      <c r="A474" s="11" t="s">
        <v>34</v>
      </c>
      <c r="B474" s="12" t="s">
        <v>41</v>
      </c>
      <c r="C474" s="12"/>
      <c r="D474" s="12">
        <v>1976</v>
      </c>
    </row>
    <row r="475" spans="1:4" ht="19.95" customHeight="1" x14ac:dyDescent="0.25">
      <c r="A475" s="11" t="s">
        <v>35</v>
      </c>
      <c r="B475" s="12" t="s">
        <v>41</v>
      </c>
      <c r="C475" s="12"/>
      <c r="D475" s="12">
        <v>1976</v>
      </c>
    </row>
    <row r="476" spans="1:4" ht="19.95" customHeight="1" x14ac:dyDescent="0.25">
      <c r="A476" s="11" t="s">
        <v>36</v>
      </c>
      <c r="B476" s="12" t="s">
        <v>41</v>
      </c>
      <c r="C476" s="12"/>
      <c r="D476" s="12">
        <v>1976</v>
      </c>
    </row>
    <row r="477" spans="1:4" ht="19.95" customHeight="1" x14ac:dyDescent="0.25">
      <c r="A477" s="11" t="s">
        <v>37</v>
      </c>
      <c r="B477" s="12" t="s">
        <v>41</v>
      </c>
      <c r="C477" s="12"/>
      <c r="D477" s="12">
        <v>1976</v>
      </c>
    </row>
    <row r="478" spans="1:4" ht="19.95" customHeight="1" x14ac:dyDescent="0.25">
      <c r="A478" s="11" t="s">
        <v>38</v>
      </c>
      <c r="B478" s="12" t="s">
        <v>41</v>
      </c>
      <c r="C478" s="12"/>
      <c r="D478" s="12">
        <v>1976</v>
      </c>
    </row>
    <row r="479" spans="1:4" ht="19.95" customHeight="1" x14ac:dyDescent="0.25">
      <c r="A479" s="11" t="s">
        <v>39</v>
      </c>
      <c r="B479" s="12" t="s">
        <v>41</v>
      </c>
      <c r="C479" s="12"/>
      <c r="D479" s="12">
        <v>1976</v>
      </c>
    </row>
    <row r="480" spans="1:4" ht="19.95" customHeight="1" x14ac:dyDescent="0.25">
      <c r="A480" s="11" t="s">
        <v>40</v>
      </c>
      <c r="B480" s="12" t="s">
        <v>41</v>
      </c>
      <c r="C480" s="12"/>
      <c r="D480" s="12">
        <v>1976</v>
      </c>
    </row>
    <row r="481" spans="1:4" ht="19.95" customHeight="1" x14ac:dyDescent="0.25">
      <c r="A481" s="11" t="s">
        <v>10</v>
      </c>
      <c r="B481" s="12" t="s">
        <v>41</v>
      </c>
      <c r="C481" s="12"/>
      <c r="D481" s="12">
        <v>1977</v>
      </c>
    </row>
    <row r="482" spans="1:4" ht="19.95" customHeight="1" x14ac:dyDescent="0.25">
      <c r="A482" s="11" t="s">
        <v>13</v>
      </c>
      <c r="B482" s="12" t="s">
        <v>41</v>
      </c>
      <c r="C482" s="12"/>
      <c r="D482" s="12">
        <v>1977</v>
      </c>
    </row>
    <row r="483" spans="1:4" ht="19.95" customHeight="1" x14ac:dyDescent="0.25">
      <c r="A483" s="11" t="s">
        <v>15</v>
      </c>
      <c r="B483" s="12" t="s">
        <v>41</v>
      </c>
      <c r="C483" s="12"/>
      <c r="D483" s="12">
        <v>1977</v>
      </c>
    </row>
    <row r="484" spans="1:4" ht="19.95" customHeight="1" x14ac:dyDescent="0.25">
      <c r="A484" s="11" t="s">
        <v>16</v>
      </c>
      <c r="B484" s="12" t="s">
        <v>41</v>
      </c>
      <c r="C484" s="12"/>
      <c r="D484" s="12">
        <v>1977</v>
      </c>
    </row>
    <row r="485" spans="1:4" ht="19.95" customHeight="1" x14ac:dyDescent="0.25">
      <c r="A485" s="11" t="s">
        <v>17</v>
      </c>
      <c r="B485" s="12" t="s">
        <v>41</v>
      </c>
      <c r="C485" s="12"/>
      <c r="D485" s="12">
        <v>1977</v>
      </c>
    </row>
    <row r="486" spans="1:4" ht="19.95" customHeight="1" x14ac:dyDescent="0.25">
      <c r="A486" s="11" t="s">
        <v>2</v>
      </c>
      <c r="B486" s="12" t="s">
        <v>41</v>
      </c>
      <c r="C486" s="12"/>
      <c r="D486" s="12">
        <v>1977</v>
      </c>
    </row>
    <row r="487" spans="1:4" ht="19.95" customHeight="1" x14ac:dyDescent="0.25">
      <c r="A487" s="11" t="s">
        <v>18</v>
      </c>
      <c r="B487" s="12" t="s">
        <v>41</v>
      </c>
      <c r="C487" s="12"/>
      <c r="D487" s="12">
        <v>1977</v>
      </c>
    </row>
    <row r="488" spans="1:4" ht="19.95" customHeight="1" x14ac:dyDescent="0.25">
      <c r="A488" s="11" t="s">
        <v>19</v>
      </c>
      <c r="B488" s="12" t="s">
        <v>41</v>
      </c>
      <c r="C488" s="12"/>
      <c r="D488" s="12">
        <v>1977</v>
      </c>
    </row>
    <row r="489" spans="1:4" ht="19.95" customHeight="1" x14ac:dyDescent="0.25">
      <c r="A489" s="11" t="s">
        <v>20</v>
      </c>
      <c r="B489" s="12" t="s">
        <v>41</v>
      </c>
      <c r="C489" s="12"/>
      <c r="D489" s="12">
        <v>1977</v>
      </c>
    </row>
    <row r="490" spans="1:4" ht="19.95" customHeight="1" x14ac:dyDescent="0.25">
      <c r="A490" s="11" t="s">
        <v>21</v>
      </c>
      <c r="B490" s="12" t="s">
        <v>41</v>
      </c>
      <c r="C490" s="12"/>
      <c r="D490" s="12">
        <v>1977</v>
      </c>
    </row>
    <row r="491" spans="1:4" ht="19.95" customHeight="1" x14ac:dyDescent="0.25">
      <c r="A491" s="11" t="s">
        <v>22</v>
      </c>
      <c r="B491" s="12" t="s">
        <v>41</v>
      </c>
      <c r="C491" s="12"/>
      <c r="D491" s="12">
        <v>1977</v>
      </c>
    </row>
    <row r="492" spans="1:4" ht="19.95" customHeight="1" x14ac:dyDescent="0.25">
      <c r="A492" s="11" t="s">
        <v>23</v>
      </c>
      <c r="B492" s="12" t="s">
        <v>41</v>
      </c>
      <c r="C492" s="12"/>
      <c r="D492" s="12">
        <v>1977</v>
      </c>
    </row>
    <row r="493" spans="1:4" ht="19.95" customHeight="1" x14ac:dyDescent="0.25">
      <c r="A493" s="11" t="s">
        <v>24</v>
      </c>
      <c r="B493" s="12" t="s">
        <v>41</v>
      </c>
      <c r="C493" s="12"/>
      <c r="D493" s="12">
        <v>1977</v>
      </c>
    </row>
    <row r="494" spans="1:4" ht="19.95" customHeight="1" x14ac:dyDescent="0.25">
      <c r="A494" s="11" t="s">
        <v>25</v>
      </c>
      <c r="B494" s="12" t="s">
        <v>41</v>
      </c>
      <c r="C494" s="12"/>
      <c r="D494" s="12">
        <v>1977</v>
      </c>
    </row>
    <row r="495" spans="1:4" ht="19.95" customHeight="1" x14ac:dyDescent="0.25">
      <c r="A495" s="11" t="s">
        <v>26</v>
      </c>
      <c r="B495" s="12" t="s">
        <v>41</v>
      </c>
      <c r="C495" s="12"/>
      <c r="D495" s="12">
        <v>1977</v>
      </c>
    </row>
    <row r="496" spans="1:4" ht="19.95" customHeight="1" x14ac:dyDescent="0.25">
      <c r="A496" s="11" t="s">
        <v>27</v>
      </c>
      <c r="B496" s="12" t="s">
        <v>41</v>
      </c>
      <c r="C496" s="12"/>
      <c r="D496" s="12">
        <v>1977</v>
      </c>
    </row>
    <row r="497" spans="1:4" ht="19.95" customHeight="1" x14ac:dyDescent="0.25">
      <c r="A497" s="11" t="s">
        <v>29</v>
      </c>
      <c r="B497" s="12" t="s">
        <v>41</v>
      </c>
      <c r="C497" s="12"/>
      <c r="D497" s="12">
        <v>1977</v>
      </c>
    </row>
    <row r="498" spans="1:4" ht="19.95" customHeight="1" x14ac:dyDescent="0.25">
      <c r="A498" s="11" t="s">
        <v>30</v>
      </c>
      <c r="B498" s="12" t="s">
        <v>41</v>
      </c>
      <c r="C498" s="12"/>
      <c r="D498" s="12">
        <v>1977</v>
      </c>
    </row>
    <row r="499" spans="1:4" ht="19.95" customHeight="1" x14ac:dyDescent="0.25">
      <c r="A499" s="11" t="s">
        <v>31</v>
      </c>
      <c r="B499" s="12" t="s">
        <v>41</v>
      </c>
      <c r="C499" s="12"/>
      <c r="D499" s="12">
        <v>1977</v>
      </c>
    </row>
    <row r="500" spans="1:4" ht="19.95" customHeight="1" x14ac:dyDescent="0.25">
      <c r="A500" s="11" t="s">
        <v>32</v>
      </c>
      <c r="B500" s="12" t="s">
        <v>41</v>
      </c>
      <c r="C500" s="12"/>
      <c r="D500" s="12">
        <v>1977</v>
      </c>
    </row>
    <row r="501" spans="1:4" ht="19.95" customHeight="1" x14ac:dyDescent="0.25">
      <c r="A501" s="11" t="s">
        <v>33</v>
      </c>
      <c r="B501" s="12" t="s">
        <v>41</v>
      </c>
      <c r="C501" s="12"/>
      <c r="D501" s="12">
        <v>1977</v>
      </c>
    </row>
    <row r="502" spans="1:4" ht="19.95" customHeight="1" x14ac:dyDescent="0.25">
      <c r="A502" s="11" t="s">
        <v>34</v>
      </c>
      <c r="B502" s="12" t="s">
        <v>41</v>
      </c>
      <c r="C502" s="12"/>
      <c r="D502" s="12">
        <v>1977</v>
      </c>
    </row>
    <row r="503" spans="1:4" ht="19.95" customHeight="1" x14ac:dyDescent="0.25">
      <c r="A503" s="11" t="s">
        <v>35</v>
      </c>
      <c r="B503" s="12" t="s">
        <v>41</v>
      </c>
      <c r="C503" s="12"/>
      <c r="D503" s="12">
        <v>1977</v>
      </c>
    </row>
    <row r="504" spans="1:4" ht="19.95" customHeight="1" x14ac:dyDescent="0.25">
      <c r="A504" s="11" t="s">
        <v>36</v>
      </c>
      <c r="B504" s="12" t="s">
        <v>41</v>
      </c>
      <c r="C504" s="12"/>
      <c r="D504" s="12">
        <v>1977</v>
      </c>
    </row>
    <row r="505" spans="1:4" ht="19.95" customHeight="1" x14ac:dyDescent="0.25">
      <c r="A505" s="11" t="s">
        <v>37</v>
      </c>
      <c r="B505" s="12" t="s">
        <v>41</v>
      </c>
      <c r="C505" s="12"/>
      <c r="D505" s="12">
        <v>1977</v>
      </c>
    </row>
    <row r="506" spans="1:4" ht="19.95" customHeight="1" x14ac:dyDescent="0.25">
      <c r="A506" s="11" t="s">
        <v>38</v>
      </c>
      <c r="B506" s="12" t="s">
        <v>41</v>
      </c>
      <c r="C506" s="12"/>
      <c r="D506" s="12">
        <v>1977</v>
      </c>
    </row>
    <row r="507" spans="1:4" ht="19.95" customHeight="1" x14ac:dyDescent="0.25">
      <c r="A507" s="11" t="s">
        <v>39</v>
      </c>
      <c r="B507" s="12" t="s">
        <v>41</v>
      </c>
      <c r="C507" s="12"/>
      <c r="D507" s="12">
        <v>1977</v>
      </c>
    </row>
    <row r="508" spans="1:4" ht="19.95" customHeight="1" x14ac:dyDescent="0.25">
      <c r="A508" s="11" t="s">
        <v>40</v>
      </c>
      <c r="B508" s="12" t="s">
        <v>41</v>
      </c>
      <c r="C508" s="12"/>
      <c r="D508" s="12">
        <v>1977</v>
      </c>
    </row>
    <row r="509" spans="1:4" ht="19.95" customHeight="1" x14ac:dyDescent="0.25">
      <c r="A509" s="11" t="s">
        <v>10</v>
      </c>
      <c r="B509" s="12" t="s">
        <v>41</v>
      </c>
      <c r="C509" s="12"/>
      <c r="D509" s="12">
        <v>1978</v>
      </c>
    </row>
    <row r="510" spans="1:4" ht="19.95" customHeight="1" x14ac:dyDescent="0.25">
      <c r="A510" s="11" t="s">
        <v>13</v>
      </c>
      <c r="B510" s="12" t="s">
        <v>41</v>
      </c>
      <c r="C510" s="12"/>
      <c r="D510" s="12">
        <v>1978</v>
      </c>
    </row>
    <row r="511" spans="1:4" ht="19.95" customHeight="1" x14ac:dyDescent="0.25">
      <c r="A511" s="11" t="s">
        <v>15</v>
      </c>
      <c r="B511" s="12" t="s">
        <v>41</v>
      </c>
      <c r="C511" s="12"/>
      <c r="D511" s="12">
        <v>1978</v>
      </c>
    </row>
    <row r="512" spans="1:4" ht="19.95" customHeight="1" x14ac:dyDescent="0.25">
      <c r="A512" s="11" t="s">
        <v>16</v>
      </c>
      <c r="B512" s="12" t="s">
        <v>41</v>
      </c>
      <c r="C512" s="12"/>
      <c r="D512" s="12">
        <v>1978</v>
      </c>
    </row>
    <row r="513" spans="1:4" ht="19.95" customHeight="1" x14ac:dyDescent="0.25">
      <c r="A513" s="11" t="s">
        <v>17</v>
      </c>
      <c r="B513" s="12" t="s">
        <v>41</v>
      </c>
      <c r="C513" s="12"/>
      <c r="D513" s="12">
        <v>1978</v>
      </c>
    </row>
    <row r="514" spans="1:4" ht="19.95" customHeight="1" x14ac:dyDescent="0.25">
      <c r="A514" s="11" t="s">
        <v>2</v>
      </c>
      <c r="B514" s="12" t="s">
        <v>41</v>
      </c>
      <c r="C514" s="12"/>
      <c r="D514" s="12">
        <v>1978</v>
      </c>
    </row>
    <row r="515" spans="1:4" ht="19.95" customHeight="1" x14ac:dyDescent="0.25">
      <c r="A515" s="11" t="s">
        <v>18</v>
      </c>
      <c r="B515" s="12" t="s">
        <v>41</v>
      </c>
      <c r="C515" s="12"/>
      <c r="D515" s="12">
        <v>1978</v>
      </c>
    </row>
    <row r="516" spans="1:4" ht="19.95" customHeight="1" x14ac:dyDescent="0.25">
      <c r="A516" s="11" t="s">
        <v>19</v>
      </c>
      <c r="B516" s="12" t="s">
        <v>41</v>
      </c>
      <c r="C516" s="12"/>
      <c r="D516" s="12">
        <v>1978</v>
      </c>
    </row>
    <row r="517" spans="1:4" ht="19.95" customHeight="1" x14ac:dyDescent="0.25">
      <c r="A517" s="11" t="s">
        <v>20</v>
      </c>
      <c r="B517" s="12" t="s">
        <v>41</v>
      </c>
      <c r="C517" s="12"/>
      <c r="D517" s="12">
        <v>1978</v>
      </c>
    </row>
    <row r="518" spans="1:4" ht="19.95" customHeight="1" x14ac:dyDescent="0.25">
      <c r="A518" s="11" t="s">
        <v>21</v>
      </c>
      <c r="B518" s="12" t="s">
        <v>41</v>
      </c>
      <c r="C518" s="12"/>
      <c r="D518" s="12">
        <v>1978</v>
      </c>
    </row>
    <row r="519" spans="1:4" ht="19.95" customHeight="1" x14ac:dyDescent="0.25">
      <c r="A519" s="11" t="s">
        <v>22</v>
      </c>
      <c r="B519" s="12" t="s">
        <v>41</v>
      </c>
      <c r="C519" s="12"/>
      <c r="D519" s="12">
        <v>1978</v>
      </c>
    </row>
    <row r="520" spans="1:4" ht="19.95" customHeight="1" x14ac:dyDescent="0.25">
      <c r="A520" s="11" t="s">
        <v>23</v>
      </c>
      <c r="B520" s="12" t="s">
        <v>41</v>
      </c>
      <c r="C520" s="12"/>
      <c r="D520" s="12">
        <v>1978</v>
      </c>
    </row>
    <row r="521" spans="1:4" ht="19.95" customHeight="1" x14ac:dyDescent="0.25">
      <c r="A521" s="11" t="s">
        <v>24</v>
      </c>
      <c r="B521" s="12" t="s">
        <v>41</v>
      </c>
      <c r="C521" s="12"/>
      <c r="D521" s="12">
        <v>1978</v>
      </c>
    </row>
    <row r="522" spans="1:4" ht="19.95" customHeight="1" x14ac:dyDescent="0.25">
      <c r="A522" s="11" t="s">
        <v>25</v>
      </c>
      <c r="B522" s="12" t="s">
        <v>41</v>
      </c>
      <c r="C522" s="12"/>
      <c r="D522" s="12">
        <v>1978</v>
      </c>
    </row>
    <row r="523" spans="1:4" ht="19.95" customHeight="1" x14ac:dyDescent="0.25">
      <c r="A523" s="11" t="s">
        <v>26</v>
      </c>
      <c r="B523" s="12" t="s">
        <v>41</v>
      </c>
      <c r="C523" s="12"/>
      <c r="D523" s="12">
        <v>1978</v>
      </c>
    </row>
    <row r="524" spans="1:4" ht="19.95" customHeight="1" x14ac:dyDescent="0.25">
      <c r="A524" s="11" t="s">
        <v>27</v>
      </c>
      <c r="B524" s="12" t="s">
        <v>41</v>
      </c>
      <c r="C524" s="12"/>
      <c r="D524" s="12">
        <v>1978</v>
      </c>
    </row>
    <row r="525" spans="1:4" ht="19.95" customHeight="1" x14ac:dyDescent="0.25">
      <c r="A525" s="11" t="s">
        <v>29</v>
      </c>
      <c r="B525" s="12" t="s">
        <v>41</v>
      </c>
      <c r="C525" s="12"/>
      <c r="D525" s="12">
        <v>1978</v>
      </c>
    </row>
    <row r="526" spans="1:4" ht="19.95" customHeight="1" x14ac:dyDescent="0.25">
      <c r="A526" s="11" t="s">
        <v>30</v>
      </c>
      <c r="B526" s="12" t="s">
        <v>41</v>
      </c>
      <c r="C526" s="12"/>
      <c r="D526" s="12">
        <v>1978</v>
      </c>
    </row>
    <row r="527" spans="1:4" ht="19.95" customHeight="1" x14ac:dyDescent="0.25">
      <c r="A527" s="11" t="s">
        <v>31</v>
      </c>
      <c r="B527" s="12" t="s">
        <v>41</v>
      </c>
      <c r="C527" s="12"/>
      <c r="D527" s="12">
        <v>1978</v>
      </c>
    </row>
    <row r="528" spans="1:4" ht="19.95" customHeight="1" x14ac:dyDescent="0.25">
      <c r="A528" s="11" t="s">
        <v>32</v>
      </c>
      <c r="B528" s="12" t="s">
        <v>41</v>
      </c>
      <c r="C528" s="12"/>
      <c r="D528" s="12">
        <v>1978</v>
      </c>
    </row>
    <row r="529" spans="1:4" ht="19.95" customHeight="1" x14ac:dyDescent="0.25">
      <c r="A529" s="11" t="s">
        <v>33</v>
      </c>
      <c r="B529" s="12" t="s">
        <v>41</v>
      </c>
      <c r="C529" s="12"/>
      <c r="D529" s="12">
        <v>1978</v>
      </c>
    </row>
    <row r="530" spans="1:4" ht="19.95" customHeight="1" x14ac:dyDescent="0.25">
      <c r="A530" s="11" t="s">
        <v>34</v>
      </c>
      <c r="B530" s="12" t="s">
        <v>41</v>
      </c>
      <c r="C530" s="12"/>
      <c r="D530" s="12">
        <v>1978</v>
      </c>
    </row>
    <row r="531" spans="1:4" ht="19.95" customHeight="1" x14ac:dyDescent="0.25">
      <c r="A531" s="11" t="s">
        <v>35</v>
      </c>
      <c r="B531" s="12" t="s">
        <v>41</v>
      </c>
      <c r="C531" s="12"/>
      <c r="D531" s="12">
        <v>1978</v>
      </c>
    </row>
    <row r="532" spans="1:4" ht="19.95" customHeight="1" x14ac:dyDescent="0.25">
      <c r="A532" s="11" t="s">
        <v>36</v>
      </c>
      <c r="B532" s="12" t="s">
        <v>41</v>
      </c>
      <c r="C532" s="12"/>
      <c r="D532" s="12">
        <v>1978</v>
      </c>
    </row>
    <row r="533" spans="1:4" ht="19.95" customHeight="1" x14ac:dyDescent="0.25">
      <c r="A533" s="11" t="s">
        <v>37</v>
      </c>
      <c r="B533" s="12" t="s">
        <v>41</v>
      </c>
      <c r="C533" s="12"/>
      <c r="D533" s="12">
        <v>1978</v>
      </c>
    </row>
    <row r="534" spans="1:4" ht="19.95" customHeight="1" x14ac:dyDescent="0.25">
      <c r="A534" s="11" t="s">
        <v>38</v>
      </c>
      <c r="B534" s="12" t="s">
        <v>41</v>
      </c>
      <c r="C534" s="12"/>
      <c r="D534" s="12">
        <v>1978</v>
      </c>
    </row>
    <row r="535" spans="1:4" ht="19.95" customHeight="1" x14ac:dyDescent="0.25">
      <c r="A535" s="11" t="s">
        <v>39</v>
      </c>
      <c r="B535" s="12" t="s">
        <v>41</v>
      </c>
      <c r="C535" s="12"/>
      <c r="D535" s="12">
        <v>1978</v>
      </c>
    </row>
    <row r="536" spans="1:4" ht="19.95" customHeight="1" x14ac:dyDescent="0.25">
      <c r="A536" s="11" t="s">
        <v>40</v>
      </c>
      <c r="B536" s="12" t="s">
        <v>41</v>
      </c>
      <c r="C536" s="12"/>
      <c r="D536" s="12">
        <v>1978</v>
      </c>
    </row>
    <row r="537" spans="1:4" ht="19.95" customHeight="1" x14ac:dyDescent="0.25">
      <c r="A537" s="11" t="s">
        <v>10</v>
      </c>
      <c r="B537" s="12" t="s">
        <v>41</v>
      </c>
      <c r="C537" s="12"/>
      <c r="D537" s="12">
        <v>1979</v>
      </c>
    </row>
    <row r="538" spans="1:4" ht="19.95" customHeight="1" x14ac:dyDescent="0.25">
      <c r="A538" s="11" t="s">
        <v>13</v>
      </c>
      <c r="B538" s="12" t="s">
        <v>41</v>
      </c>
      <c r="C538" s="12"/>
      <c r="D538" s="12">
        <v>1979</v>
      </c>
    </row>
    <row r="539" spans="1:4" ht="19.95" customHeight="1" x14ac:dyDescent="0.25">
      <c r="A539" s="11" t="s">
        <v>15</v>
      </c>
      <c r="B539" s="12" t="s">
        <v>41</v>
      </c>
      <c r="C539" s="12"/>
      <c r="D539" s="12">
        <v>1979</v>
      </c>
    </row>
    <row r="540" spans="1:4" ht="19.95" customHeight="1" x14ac:dyDescent="0.25">
      <c r="A540" s="11" t="s">
        <v>16</v>
      </c>
      <c r="B540" s="12" t="s">
        <v>41</v>
      </c>
      <c r="C540" s="12"/>
      <c r="D540" s="12">
        <v>1979</v>
      </c>
    </row>
    <row r="541" spans="1:4" ht="19.95" customHeight="1" x14ac:dyDescent="0.25">
      <c r="A541" s="11" t="s">
        <v>17</v>
      </c>
      <c r="B541" s="12" t="s">
        <v>41</v>
      </c>
      <c r="C541" s="12"/>
      <c r="D541" s="12">
        <v>1979</v>
      </c>
    </row>
    <row r="542" spans="1:4" ht="19.95" customHeight="1" x14ac:dyDescent="0.25">
      <c r="A542" s="11" t="s">
        <v>2</v>
      </c>
      <c r="B542" s="12" t="s">
        <v>41</v>
      </c>
      <c r="C542" s="12"/>
      <c r="D542" s="12">
        <v>1979</v>
      </c>
    </row>
    <row r="543" spans="1:4" ht="19.95" customHeight="1" x14ac:dyDescent="0.25">
      <c r="A543" s="11" t="s">
        <v>18</v>
      </c>
      <c r="B543" s="12" t="s">
        <v>41</v>
      </c>
      <c r="C543" s="12"/>
      <c r="D543" s="12">
        <v>1979</v>
      </c>
    </row>
    <row r="544" spans="1:4" ht="19.95" customHeight="1" x14ac:dyDescent="0.25">
      <c r="A544" s="11" t="s">
        <v>19</v>
      </c>
      <c r="B544" s="12" t="s">
        <v>41</v>
      </c>
      <c r="C544" s="12"/>
      <c r="D544" s="12">
        <v>1979</v>
      </c>
    </row>
    <row r="545" spans="1:4" ht="19.95" customHeight="1" x14ac:dyDescent="0.25">
      <c r="A545" s="11" t="s">
        <v>20</v>
      </c>
      <c r="B545" s="12" t="s">
        <v>41</v>
      </c>
      <c r="C545" s="12"/>
      <c r="D545" s="12">
        <v>1979</v>
      </c>
    </row>
    <row r="546" spans="1:4" ht="19.95" customHeight="1" x14ac:dyDescent="0.25">
      <c r="A546" s="11" t="s">
        <v>21</v>
      </c>
      <c r="B546" s="12" t="s">
        <v>41</v>
      </c>
      <c r="C546" s="12"/>
      <c r="D546" s="12">
        <v>1979</v>
      </c>
    </row>
    <row r="547" spans="1:4" ht="19.95" customHeight="1" x14ac:dyDescent="0.25">
      <c r="A547" s="11" t="s">
        <v>22</v>
      </c>
      <c r="B547" s="12" t="s">
        <v>41</v>
      </c>
      <c r="C547" s="12"/>
      <c r="D547" s="12">
        <v>1979</v>
      </c>
    </row>
    <row r="548" spans="1:4" ht="19.95" customHeight="1" x14ac:dyDescent="0.25">
      <c r="A548" s="11" t="s">
        <v>23</v>
      </c>
      <c r="B548" s="12" t="s">
        <v>41</v>
      </c>
      <c r="C548" s="12"/>
      <c r="D548" s="12">
        <v>1979</v>
      </c>
    </row>
    <row r="549" spans="1:4" ht="19.95" customHeight="1" x14ac:dyDescent="0.25">
      <c r="A549" s="11" t="s">
        <v>24</v>
      </c>
      <c r="B549" s="12" t="s">
        <v>41</v>
      </c>
      <c r="C549" s="12"/>
      <c r="D549" s="12">
        <v>1979</v>
      </c>
    </row>
    <row r="550" spans="1:4" ht="19.95" customHeight="1" x14ac:dyDescent="0.25">
      <c r="A550" s="11" t="s">
        <v>25</v>
      </c>
      <c r="B550" s="12" t="s">
        <v>41</v>
      </c>
      <c r="C550" s="12"/>
      <c r="D550" s="12">
        <v>1979</v>
      </c>
    </row>
    <row r="551" spans="1:4" ht="19.95" customHeight="1" x14ac:dyDescent="0.25">
      <c r="A551" s="11" t="s">
        <v>26</v>
      </c>
      <c r="B551" s="12" t="s">
        <v>41</v>
      </c>
      <c r="C551" s="12"/>
      <c r="D551" s="12">
        <v>1979</v>
      </c>
    </row>
    <row r="552" spans="1:4" ht="19.95" customHeight="1" x14ac:dyDescent="0.25">
      <c r="A552" s="11" t="s">
        <v>27</v>
      </c>
      <c r="B552" s="12" t="s">
        <v>41</v>
      </c>
      <c r="C552" s="12"/>
      <c r="D552" s="12">
        <v>1979</v>
      </c>
    </row>
    <row r="553" spans="1:4" ht="19.95" customHeight="1" x14ac:dyDescent="0.25">
      <c r="A553" s="11" t="s">
        <v>29</v>
      </c>
      <c r="B553" s="12" t="s">
        <v>41</v>
      </c>
      <c r="C553" s="12"/>
      <c r="D553" s="12">
        <v>1979</v>
      </c>
    </row>
    <row r="554" spans="1:4" ht="19.95" customHeight="1" x14ac:dyDescent="0.25">
      <c r="A554" s="11" t="s">
        <v>30</v>
      </c>
      <c r="B554" s="12" t="s">
        <v>41</v>
      </c>
      <c r="C554" s="12"/>
      <c r="D554" s="12">
        <v>1979</v>
      </c>
    </row>
    <row r="555" spans="1:4" ht="19.95" customHeight="1" x14ac:dyDescent="0.25">
      <c r="A555" s="11" t="s">
        <v>31</v>
      </c>
      <c r="B555" s="12" t="s">
        <v>41</v>
      </c>
      <c r="C555" s="12"/>
      <c r="D555" s="12">
        <v>1979</v>
      </c>
    </row>
    <row r="556" spans="1:4" ht="19.95" customHeight="1" x14ac:dyDescent="0.25">
      <c r="A556" s="11" t="s">
        <v>32</v>
      </c>
      <c r="B556" s="12" t="s">
        <v>41</v>
      </c>
      <c r="C556" s="12"/>
      <c r="D556" s="12">
        <v>1979</v>
      </c>
    </row>
    <row r="557" spans="1:4" ht="19.95" customHeight="1" x14ac:dyDescent="0.25">
      <c r="A557" s="11" t="s">
        <v>33</v>
      </c>
      <c r="B557" s="12" t="s">
        <v>41</v>
      </c>
      <c r="C557" s="12"/>
      <c r="D557" s="12">
        <v>1979</v>
      </c>
    </row>
    <row r="558" spans="1:4" ht="19.95" customHeight="1" x14ac:dyDescent="0.25">
      <c r="A558" s="11" t="s">
        <v>34</v>
      </c>
      <c r="B558" s="12" t="s">
        <v>41</v>
      </c>
      <c r="C558" s="12"/>
      <c r="D558" s="12">
        <v>1979</v>
      </c>
    </row>
    <row r="559" spans="1:4" ht="19.95" customHeight="1" x14ac:dyDescent="0.25">
      <c r="A559" s="11" t="s">
        <v>35</v>
      </c>
      <c r="B559" s="12" t="s">
        <v>41</v>
      </c>
      <c r="C559" s="12"/>
      <c r="D559" s="12">
        <v>1979</v>
      </c>
    </row>
    <row r="560" spans="1:4" ht="19.95" customHeight="1" x14ac:dyDescent="0.25">
      <c r="A560" s="11" t="s">
        <v>36</v>
      </c>
      <c r="B560" s="12" t="s">
        <v>41</v>
      </c>
      <c r="C560" s="12"/>
      <c r="D560" s="12">
        <v>1979</v>
      </c>
    </row>
    <row r="561" spans="1:4" ht="19.95" customHeight="1" x14ac:dyDescent="0.25">
      <c r="A561" s="11" t="s">
        <v>37</v>
      </c>
      <c r="B561" s="12" t="s">
        <v>41</v>
      </c>
      <c r="C561" s="12"/>
      <c r="D561" s="12">
        <v>1979</v>
      </c>
    </row>
    <row r="562" spans="1:4" ht="19.95" customHeight="1" x14ac:dyDescent="0.25">
      <c r="A562" s="11" t="s">
        <v>38</v>
      </c>
      <c r="B562" s="12" t="s">
        <v>41</v>
      </c>
      <c r="C562" s="12"/>
      <c r="D562" s="12">
        <v>1979</v>
      </c>
    </row>
    <row r="563" spans="1:4" ht="19.95" customHeight="1" x14ac:dyDescent="0.25">
      <c r="A563" s="11" t="s">
        <v>39</v>
      </c>
      <c r="B563" s="12" t="s">
        <v>41</v>
      </c>
      <c r="C563" s="12"/>
      <c r="D563" s="12">
        <v>1979</v>
      </c>
    </row>
    <row r="564" spans="1:4" ht="19.95" customHeight="1" x14ac:dyDescent="0.25">
      <c r="A564" s="11" t="s">
        <v>40</v>
      </c>
      <c r="B564" s="12" t="s">
        <v>41</v>
      </c>
      <c r="C564" s="12"/>
      <c r="D564" s="12">
        <v>1979</v>
      </c>
    </row>
    <row r="565" spans="1:4" ht="19.95" customHeight="1" x14ac:dyDescent="0.25">
      <c r="A565" s="11" t="s">
        <v>10</v>
      </c>
      <c r="B565" s="12" t="s">
        <v>41</v>
      </c>
      <c r="C565" s="12"/>
      <c r="D565" s="12">
        <v>1980</v>
      </c>
    </row>
    <row r="566" spans="1:4" ht="19.95" customHeight="1" x14ac:dyDescent="0.25">
      <c r="A566" s="11" t="s">
        <v>13</v>
      </c>
      <c r="B566" s="12" t="s">
        <v>41</v>
      </c>
      <c r="C566" s="12"/>
      <c r="D566" s="12">
        <v>1980</v>
      </c>
    </row>
    <row r="567" spans="1:4" ht="19.95" customHeight="1" x14ac:dyDescent="0.25">
      <c r="A567" s="11" t="s">
        <v>15</v>
      </c>
      <c r="B567" s="12" t="s">
        <v>41</v>
      </c>
      <c r="C567" s="12"/>
      <c r="D567" s="12">
        <v>1980</v>
      </c>
    </row>
    <row r="568" spans="1:4" ht="19.95" customHeight="1" x14ac:dyDescent="0.25">
      <c r="A568" s="11" t="s">
        <v>16</v>
      </c>
      <c r="B568" s="12" t="s">
        <v>41</v>
      </c>
      <c r="C568" s="12"/>
      <c r="D568" s="12">
        <v>1980</v>
      </c>
    </row>
    <row r="569" spans="1:4" ht="19.95" customHeight="1" x14ac:dyDescent="0.25">
      <c r="A569" s="11" t="s">
        <v>17</v>
      </c>
      <c r="B569" s="12" t="s">
        <v>41</v>
      </c>
      <c r="C569" s="12"/>
      <c r="D569" s="12">
        <v>1980</v>
      </c>
    </row>
    <row r="570" spans="1:4" ht="19.95" customHeight="1" x14ac:dyDescent="0.25">
      <c r="A570" s="11" t="s">
        <v>2</v>
      </c>
      <c r="B570" s="12" t="s">
        <v>41</v>
      </c>
      <c r="C570" s="12"/>
      <c r="D570" s="12">
        <v>1980</v>
      </c>
    </row>
    <row r="571" spans="1:4" ht="19.95" customHeight="1" x14ac:dyDescent="0.25">
      <c r="A571" s="11" t="s">
        <v>18</v>
      </c>
      <c r="B571" s="12" t="s">
        <v>41</v>
      </c>
      <c r="C571" s="12"/>
      <c r="D571" s="12">
        <v>1980</v>
      </c>
    </row>
    <row r="572" spans="1:4" ht="19.95" customHeight="1" x14ac:dyDescent="0.25">
      <c r="A572" s="11" t="s">
        <v>19</v>
      </c>
      <c r="B572" s="12" t="s">
        <v>41</v>
      </c>
      <c r="C572" s="12"/>
      <c r="D572" s="12">
        <v>1980</v>
      </c>
    </row>
    <row r="573" spans="1:4" ht="19.95" customHeight="1" x14ac:dyDescent="0.25">
      <c r="A573" s="11" t="s">
        <v>20</v>
      </c>
      <c r="B573" s="12" t="s">
        <v>41</v>
      </c>
      <c r="C573" s="12"/>
      <c r="D573" s="12">
        <v>1980</v>
      </c>
    </row>
    <row r="574" spans="1:4" ht="19.95" customHeight="1" x14ac:dyDescent="0.25">
      <c r="A574" s="11" t="s">
        <v>21</v>
      </c>
      <c r="B574" s="12" t="s">
        <v>41</v>
      </c>
      <c r="C574" s="12"/>
      <c r="D574" s="12">
        <v>1980</v>
      </c>
    </row>
    <row r="575" spans="1:4" ht="19.95" customHeight="1" x14ac:dyDescent="0.25">
      <c r="A575" s="11" t="s">
        <v>22</v>
      </c>
      <c r="B575" s="12" t="s">
        <v>41</v>
      </c>
      <c r="C575" s="12"/>
      <c r="D575" s="12">
        <v>1980</v>
      </c>
    </row>
    <row r="576" spans="1:4" ht="19.95" customHeight="1" x14ac:dyDescent="0.25">
      <c r="A576" s="11" t="s">
        <v>23</v>
      </c>
      <c r="B576" s="12" t="s">
        <v>41</v>
      </c>
      <c r="C576" s="12"/>
      <c r="D576" s="12">
        <v>1980</v>
      </c>
    </row>
    <row r="577" spans="1:4" ht="19.95" customHeight="1" x14ac:dyDescent="0.25">
      <c r="A577" s="11" t="s">
        <v>24</v>
      </c>
      <c r="B577" s="12" t="s">
        <v>41</v>
      </c>
      <c r="C577" s="12"/>
      <c r="D577" s="12">
        <v>1980</v>
      </c>
    </row>
    <row r="578" spans="1:4" ht="19.95" customHeight="1" x14ac:dyDescent="0.25">
      <c r="A578" s="11" t="s">
        <v>25</v>
      </c>
      <c r="B578" s="12" t="s">
        <v>41</v>
      </c>
      <c r="C578" s="12"/>
      <c r="D578" s="12">
        <v>1980</v>
      </c>
    </row>
    <row r="579" spans="1:4" ht="19.95" customHeight="1" x14ac:dyDescent="0.25">
      <c r="A579" s="11" t="s">
        <v>26</v>
      </c>
      <c r="B579" s="12" t="s">
        <v>41</v>
      </c>
      <c r="C579" s="12"/>
      <c r="D579" s="12">
        <v>1980</v>
      </c>
    </row>
    <row r="580" spans="1:4" ht="19.95" customHeight="1" x14ac:dyDescent="0.25">
      <c r="A580" s="11" t="s">
        <v>27</v>
      </c>
      <c r="B580" s="12" t="s">
        <v>41</v>
      </c>
      <c r="C580" s="12"/>
      <c r="D580" s="12">
        <v>1980</v>
      </c>
    </row>
    <row r="581" spans="1:4" ht="19.95" customHeight="1" x14ac:dyDescent="0.25">
      <c r="A581" s="11" t="s">
        <v>29</v>
      </c>
      <c r="B581" s="12" t="s">
        <v>41</v>
      </c>
      <c r="C581" s="12"/>
      <c r="D581" s="12">
        <v>1980</v>
      </c>
    </row>
    <row r="582" spans="1:4" ht="19.95" customHeight="1" x14ac:dyDescent="0.25">
      <c r="A582" s="11" t="s">
        <v>30</v>
      </c>
      <c r="B582" s="12" t="s">
        <v>41</v>
      </c>
      <c r="C582" s="12"/>
      <c r="D582" s="12">
        <v>1980</v>
      </c>
    </row>
    <row r="583" spans="1:4" ht="19.95" customHeight="1" x14ac:dyDescent="0.25">
      <c r="A583" s="11" t="s">
        <v>31</v>
      </c>
      <c r="B583" s="12" t="s">
        <v>41</v>
      </c>
      <c r="C583" s="12"/>
      <c r="D583" s="12">
        <v>1980</v>
      </c>
    </row>
    <row r="584" spans="1:4" ht="19.95" customHeight="1" x14ac:dyDescent="0.25">
      <c r="A584" s="11" t="s">
        <v>32</v>
      </c>
      <c r="B584" s="12" t="s">
        <v>41</v>
      </c>
      <c r="C584" s="12"/>
      <c r="D584" s="12">
        <v>1980</v>
      </c>
    </row>
    <row r="585" spans="1:4" ht="19.95" customHeight="1" x14ac:dyDescent="0.25">
      <c r="A585" s="11" t="s">
        <v>33</v>
      </c>
      <c r="B585" s="12" t="s">
        <v>41</v>
      </c>
      <c r="C585" s="12"/>
      <c r="D585" s="12">
        <v>1980</v>
      </c>
    </row>
    <row r="586" spans="1:4" ht="19.95" customHeight="1" x14ac:dyDescent="0.25">
      <c r="A586" s="11" t="s">
        <v>34</v>
      </c>
      <c r="B586" s="12" t="s">
        <v>41</v>
      </c>
      <c r="C586" s="12"/>
      <c r="D586" s="12">
        <v>1980</v>
      </c>
    </row>
    <row r="587" spans="1:4" ht="19.95" customHeight="1" x14ac:dyDescent="0.25">
      <c r="A587" s="11" t="s">
        <v>35</v>
      </c>
      <c r="B587" s="12" t="s">
        <v>41</v>
      </c>
      <c r="C587" s="12"/>
      <c r="D587" s="12">
        <v>1980</v>
      </c>
    </row>
    <row r="588" spans="1:4" ht="19.95" customHeight="1" x14ac:dyDescent="0.25">
      <c r="A588" s="11" t="s">
        <v>36</v>
      </c>
      <c r="B588" s="12" t="s">
        <v>41</v>
      </c>
      <c r="C588" s="12"/>
      <c r="D588" s="12">
        <v>1980</v>
      </c>
    </row>
    <row r="589" spans="1:4" ht="19.95" customHeight="1" x14ac:dyDescent="0.25">
      <c r="A589" s="11" t="s">
        <v>37</v>
      </c>
      <c r="B589" s="12" t="s">
        <v>41</v>
      </c>
      <c r="C589" s="12"/>
      <c r="D589" s="12">
        <v>1980</v>
      </c>
    </row>
    <row r="590" spans="1:4" ht="19.95" customHeight="1" x14ac:dyDescent="0.25">
      <c r="A590" s="11" t="s">
        <v>38</v>
      </c>
      <c r="B590" s="12" t="s">
        <v>41</v>
      </c>
      <c r="C590" s="12"/>
      <c r="D590" s="12">
        <v>1980</v>
      </c>
    </row>
    <row r="591" spans="1:4" ht="19.95" customHeight="1" x14ac:dyDescent="0.25">
      <c r="A591" s="11" t="s">
        <v>39</v>
      </c>
      <c r="B591" s="12" t="s">
        <v>41</v>
      </c>
      <c r="C591" s="12"/>
      <c r="D591" s="12">
        <v>1980</v>
      </c>
    </row>
    <row r="592" spans="1:4" ht="19.95" customHeight="1" x14ac:dyDescent="0.25">
      <c r="A592" s="11" t="s">
        <v>40</v>
      </c>
      <c r="B592" s="12" t="s">
        <v>41</v>
      </c>
      <c r="C592" s="12"/>
      <c r="D592" s="12">
        <v>1980</v>
      </c>
    </row>
    <row r="593" spans="1:4" ht="19.95" customHeight="1" x14ac:dyDescent="0.25">
      <c r="A593" s="11" t="s">
        <v>10</v>
      </c>
      <c r="B593" s="12" t="s">
        <v>41</v>
      </c>
      <c r="C593" s="12"/>
      <c r="D593" s="12">
        <v>1981</v>
      </c>
    </row>
    <row r="594" spans="1:4" ht="19.95" customHeight="1" x14ac:dyDescent="0.25">
      <c r="A594" s="11" t="s">
        <v>13</v>
      </c>
      <c r="B594" s="12" t="s">
        <v>41</v>
      </c>
      <c r="C594" s="12"/>
      <c r="D594" s="12">
        <v>1981</v>
      </c>
    </row>
    <row r="595" spans="1:4" ht="19.95" customHeight="1" x14ac:dyDescent="0.25">
      <c r="A595" s="11" t="s">
        <v>15</v>
      </c>
      <c r="B595" s="12" t="s">
        <v>41</v>
      </c>
      <c r="C595" s="12"/>
      <c r="D595" s="12">
        <v>1981</v>
      </c>
    </row>
    <row r="596" spans="1:4" ht="19.95" customHeight="1" x14ac:dyDescent="0.25">
      <c r="A596" s="11" t="s">
        <v>16</v>
      </c>
      <c r="B596" s="12" t="s">
        <v>41</v>
      </c>
      <c r="C596" s="12"/>
      <c r="D596" s="12">
        <v>1981</v>
      </c>
    </row>
    <row r="597" spans="1:4" ht="19.95" customHeight="1" x14ac:dyDescent="0.25">
      <c r="A597" s="11" t="s">
        <v>17</v>
      </c>
      <c r="B597" s="12" t="s">
        <v>41</v>
      </c>
      <c r="C597" s="12"/>
      <c r="D597" s="12">
        <v>1981</v>
      </c>
    </row>
    <row r="598" spans="1:4" ht="19.95" customHeight="1" x14ac:dyDescent="0.25">
      <c r="A598" s="11" t="s">
        <v>2</v>
      </c>
      <c r="B598" s="12" t="s">
        <v>41</v>
      </c>
      <c r="C598" s="12"/>
      <c r="D598" s="12">
        <v>1981</v>
      </c>
    </row>
    <row r="599" spans="1:4" ht="19.95" customHeight="1" x14ac:dyDescent="0.25">
      <c r="A599" s="11" t="s">
        <v>18</v>
      </c>
      <c r="B599" s="12" t="s">
        <v>41</v>
      </c>
      <c r="C599" s="12"/>
      <c r="D599" s="12">
        <v>1981</v>
      </c>
    </row>
    <row r="600" spans="1:4" ht="19.95" customHeight="1" x14ac:dyDescent="0.25">
      <c r="A600" s="11" t="s">
        <v>19</v>
      </c>
      <c r="B600" s="12" t="s">
        <v>41</v>
      </c>
      <c r="C600" s="12"/>
      <c r="D600" s="12">
        <v>1981</v>
      </c>
    </row>
    <row r="601" spans="1:4" ht="19.95" customHeight="1" x14ac:dyDescent="0.25">
      <c r="A601" s="11" t="s">
        <v>20</v>
      </c>
      <c r="B601" s="12" t="s">
        <v>41</v>
      </c>
      <c r="C601" s="12"/>
      <c r="D601" s="12">
        <v>1981</v>
      </c>
    </row>
    <row r="602" spans="1:4" ht="19.95" customHeight="1" x14ac:dyDescent="0.25">
      <c r="A602" s="11" t="s">
        <v>21</v>
      </c>
      <c r="B602" s="12" t="s">
        <v>41</v>
      </c>
      <c r="C602" s="12"/>
      <c r="D602" s="12">
        <v>1981</v>
      </c>
    </row>
    <row r="603" spans="1:4" ht="19.95" customHeight="1" x14ac:dyDescent="0.25">
      <c r="A603" s="11" t="s">
        <v>22</v>
      </c>
      <c r="B603" s="12" t="s">
        <v>41</v>
      </c>
      <c r="C603" s="12"/>
      <c r="D603" s="12">
        <v>1981</v>
      </c>
    </row>
    <row r="604" spans="1:4" ht="19.95" customHeight="1" x14ac:dyDescent="0.25">
      <c r="A604" s="11" t="s">
        <v>23</v>
      </c>
      <c r="B604" s="12" t="s">
        <v>41</v>
      </c>
      <c r="C604" s="12"/>
      <c r="D604" s="12">
        <v>1981</v>
      </c>
    </row>
    <row r="605" spans="1:4" ht="19.95" customHeight="1" x14ac:dyDescent="0.25">
      <c r="A605" s="11" t="s">
        <v>24</v>
      </c>
      <c r="B605" s="12" t="s">
        <v>41</v>
      </c>
      <c r="C605" s="12"/>
      <c r="D605" s="12">
        <v>1981</v>
      </c>
    </row>
    <row r="606" spans="1:4" ht="19.95" customHeight="1" x14ac:dyDescent="0.25">
      <c r="A606" s="11" t="s">
        <v>25</v>
      </c>
      <c r="B606" s="12" t="s">
        <v>41</v>
      </c>
      <c r="C606" s="12"/>
      <c r="D606" s="12">
        <v>1981</v>
      </c>
    </row>
    <row r="607" spans="1:4" ht="19.95" customHeight="1" x14ac:dyDescent="0.25">
      <c r="A607" s="11" t="s">
        <v>26</v>
      </c>
      <c r="B607" s="12" t="s">
        <v>41</v>
      </c>
      <c r="C607" s="12"/>
      <c r="D607" s="12">
        <v>1981</v>
      </c>
    </row>
    <row r="608" spans="1:4" ht="19.95" customHeight="1" x14ac:dyDescent="0.25">
      <c r="A608" s="11" t="s">
        <v>27</v>
      </c>
      <c r="B608" s="12" t="s">
        <v>41</v>
      </c>
      <c r="C608" s="12"/>
      <c r="D608" s="12">
        <v>1981</v>
      </c>
    </row>
    <row r="609" spans="1:4" ht="19.95" customHeight="1" x14ac:dyDescent="0.25">
      <c r="A609" s="11" t="s">
        <v>29</v>
      </c>
      <c r="B609" s="12" t="s">
        <v>41</v>
      </c>
      <c r="C609" s="12"/>
      <c r="D609" s="12">
        <v>1981</v>
      </c>
    </row>
    <row r="610" spans="1:4" ht="19.95" customHeight="1" x14ac:dyDescent="0.25">
      <c r="A610" s="11" t="s">
        <v>30</v>
      </c>
      <c r="B610" s="12" t="s">
        <v>41</v>
      </c>
      <c r="C610" s="12"/>
      <c r="D610" s="12">
        <v>1981</v>
      </c>
    </row>
    <row r="611" spans="1:4" ht="19.95" customHeight="1" x14ac:dyDescent="0.25">
      <c r="A611" s="11" t="s">
        <v>31</v>
      </c>
      <c r="B611" s="12" t="s">
        <v>41</v>
      </c>
      <c r="C611" s="12"/>
      <c r="D611" s="12">
        <v>1981</v>
      </c>
    </row>
    <row r="612" spans="1:4" ht="19.95" customHeight="1" x14ac:dyDescent="0.25">
      <c r="A612" s="11" t="s">
        <v>32</v>
      </c>
      <c r="B612" s="12" t="s">
        <v>41</v>
      </c>
      <c r="C612" s="12"/>
      <c r="D612" s="12">
        <v>1981</v>
      </c>
    </row>
    <row r="613" spans="1:4" ht="19.95" customHeight="1" x14ac:dyDescent="0.25">
      <c r="A613" s="11" t="s">
        <v>33</v>
      </c>
      <c r="B613" s="12" t="s">
        <v>41</v>
      </c>
      <c r="C613" s="12"/>
      <c r="D613" s="12">
        <v>1981</v>
      </c>
    </row>
    <row r="614" spans="1:4" ht="19.95" customHeight="1" x14ac:dyDescent="0.25">
      <c r="A614" s="11" t="s">
        <v>34</v>
      </c>
      <c r="B614" s="12" t="s">
        <v>41</v>
      </c>
      <c r="C614" s="12"/>
      <c r="D614" s="12">
        <v>1981</v>
      </c>
    </row>
    <row r="615" spans="1:4" ht="19.95" customHeight="1" x14ac:dyDescent="0.25">
      <c r="A615" s="11" t="s">
        <v>35</v>
      </c>
      <c r="B615" s="12" t="s">
        <v>41</v>
      </c>
      <c r="C615" s="12"/>
      <c r="D615" s="12">
        <v>1981</v>
      </c>
    </row>
    <row r="616" spans="1:4" ht="19.95" customHeight="1" x14ac:dyDescent="0.25">
      <c r="A616" s="11" t="s">
        <v>36</v>
      </c>
      <c r="B616" s="12" t="s">
        <v>41</v>
      </c>
      <c r="C616" s="12"/>
      <c r="D616" s="12">
        <v>1981</v>
      </c>
    </row>
    <row r="617" spans="1:4" ht="19.95" customHeight="1" x14ac:dyDescent="0.25">
      <c r="A617" s="11" t="s">
        <v>37</v>
      </c>
      <c r="B617" s="12" t="s">
        <v>41</v>
      </c>
      <c r="C617" s="12"/>
      <c r="D617" s="12">
        <v>1981</v>
      </c>
    </row>
    <row r="618" spans="1:4" ht="19.95" customHeight="1" x14ac:dyDescent="0.25">
      <c r="A618" s="11" t="s">
        <v>38</v>
      </c>
      <c r="B618" s="12" t="s">
        <v>41</v>
      </c>
      <c r="C618" s="12"/>
      <c r="D618" s="12">
        <v>1981</v>
      </c>
    </row>
    <row r="619" spans="1:4" ht="19.95" customHeight="1" x14ac:dyDescent="0.25">
      <c r="A619" s="11" t="s">
        <v>39</v>
      </c>
      <c r="B619" s="12" t="s">
        <v>41</v>
      </c>
      <c r="C619" s="12"/>
      <c r="D619" s="12">
        <v>1981</v>
      </c>
    </row>
    <row r="620" spans="1:4" ht="19.95" customHeight="1" x14ac:dyDescent="0.25">
      <c r="A620" s="11" t="s">
        <v>40</v>
      </c>
      <c r="B620" s="12" t="s">
        <v>41</v>
      </c>
      <c r="C620" s="12"/>
      <c r="D620" s="12">
        <v>1981</v>
      </c>
    </row>
    <row r="621" spans="1:4" ht="19.95" customHeight="1" x14ac:dyDescent="0.25">
      <c r="A621" s="11" t="s">
        <v>10</v>
      </c>
      <c r="B621" s="12" t="s">
        <v>41</v>
      </c>
      <c r="C621" s="12"/>
      <c r="D621" s="12">
        <v>1982</v>
      </c>
    </row>
    <row r="622" spans="1:4" ht="19.95" customHeight="1" x14ac:dyDescent="0.25">
      <c r="A622" s="11" t="s">
        <v>13</v>
      </c>
      <c r="B622" s="12" t="s">
        <v>41</v>
      </c>
      <c r="C622" s="12"/>
      <c r="D622" s="12">
        <v>1982</v>
      </c>
    </row>
    <row r="623" spans="1:4" ht="19.95" customHeight="1" x14ac:dyDescent="0.25">
      <c r="A623" s="11" t="s">
        <v>15</v>
      </c>
      <c r="B623" s="12" t="s">
        <v>41</v>
      </c>
      <c r="C623" s="12"/>
      <c r="D623" s="12">
        <v>1982</v>
      </c>
    </row>
    <row r="624" spans="1:4" ht="19.95" customHeight="1" x14ac:dyDescent="0.25">
      <c r="A624" s="11" t="s">
        <v>16</v>
      </c>
      <c r="B624" s="12" t="s">
        <v>41</v>
      </c>
      <c r="C624" s="12"/>
      <c r="D624" s="12">
        <v>1982</v>
      </c>
    </row>
    <row r="625" spans="1:4" ht="19.95" customHeight="1" x14ac:dyDescent="0.25">
      <c r="A625" s="11" t="s">
        <v>17</v>
      </c>
      <c r="B625" s="12" t="s">
        <v>41</v>
      </c>
      <c r="C625" s="12"/>
      <c r="D625" s="12">
        <v>1982</v>
      </c>
    </row>
    <row r="626" spans="1:4" ht="19.95" customHeight="1" x14ac:dyDescent="0.25">
      <c r="A626" s="11" t="s">
        <v>2</v>
      </c>
      <c r="B626" s="12" t="s">
        <v>41</v>
      </c>
      <c r="C626" s="12"/>
      <c r="D626" s="12">
        <v>1982</v>
      </c>
    </row>
    <row r="627" spans="1:4" ht="19.95" customHeight="1" x14ac:dyDescent="0.25">
      <c r="A627" s="11" t="s">
        <v>18</v>
      </c>
      <c r="B627" s="12" t="s">
        <v>41</v>
      </c>
      <c r="C627" s="12"/>
      <c r="D627" s="12">
        <v>1982</v>
      </c>
    </row>
    <row r="628" spans="1:4" ht="19.95" customHeight="1" x14ac:dyDescent="0.25">
      <c r="A628" s="11" t="s">
        <v>19</v>
      </c>
      <c r="B628" s="12" t="s">
        <v>41</v>
      </c>
      <c r="C628" s="12"/>
      <c r="D628" s="12">
        <v>1982</v>
      </c>
    </row>
    <row r="629" spans="1:4" ht="19.95" customHeight="1" x14ac:dyDescent="0.25">
      <c r="A629" s="11" t="s">
        <v>20</v>
      </c>
      <c r="B629" s="12" t="s">
        <v>41</v>
      </c>
      <c r="C629" s="12"/>
      <c r="D629" s="12">
        <v>1982</v>
      </c>
    </row>
    <row r="630" spans="1:4" ht="19.95" customHeight="1" x14ac:dyDescent="0.25">
      <c r="A630" s="11" t="s">
        <v>21</v>
      </c>
      <c r="B630" s="12" t="s">
        <v>41</v>
      </c>
      <c r="C630" s="12"/>
      <c r="D630" s="12">
        <v>1982</v>
      </c>
    </row>
    <row r="631" spans="1:4" ht="19.95" customHeight="1" x14ac:dyDescent="0.25">
      <c r="A631" s="11" t="s">
        <v>22</v>
      </c>
      <c r="B631" s="12" t="s">
        <v>41</v>
      </c>
      <c r="C631" s="12"/>
      <c r="D631" s="12">
        <v>1982</v>
      </c>
    </row>
    <row r="632" spans="1:4" ht="19.95" customHeight="1" x14ac:dyDescent="0.25">
      <c r="A632" s="11" t="s">
        <v>23</v>
      </c>
      <c r="B632" s="12" t="s">
        <v>41</v>
      </c>
      <c r="C632" s="12"/>
      <c r="D632" s="12">
        <v>1982</v>
      </c>
    </row>
    <row r="633" spans="1:4" ht="19.95" customHeight="1" x14ac:dyDescent="0.25">
      <c r="A633" s="11" t="s">
        <v>24</v>
      </c>
      <c r="B633" s="12" t="s">
        <v>41</v>
      </c>
      <c r="C633" s="12"/>
      <c r="D633" s="12">
        <v>1982</v>
      </c>
    </row>
    <row r="634" spans="1:4" ht="19.95" customHeight="1" x14ac:dyDescent="0.25">
      <c r="A634" s="11" t="s">
        <v>25</v>
      </c>
      <c r="B634" s="12" t="s">
        <v>41</v>
      </c>
      <c r="C634" s="12"/>
      <c r="D634" s="12">
        <v>1982</v>
      </c>
    </row>
    <row r="635" spans="1:4" ht="19.95" customHeight="1" x14ac:dyDescent="0.25">
      <c r="A635" s="11" t="s">
        <v>26</v>
      </c>
      <c r="B635" s="12" t="s">
        <v>41</v>
      </c>
      <c r="C635" s="12"/>
      <c r="D635" s="12">
        <v>1982</v>
      </c>
    </row>
    <row r="636" spans="1:4" ht="19.95" customHeight="1" x14ac:dyDescent="0.25">
      <c r="A636" s="11" t="s">
        <v>27</v>
      </c>
      <c r="B636" s="12" t="s">
        <v>41</v>
      </c>
      <c r="C636" s="12"/>
      <c r="D636" s="12">
        <v>1982</v>
      </c>
    </row>
    <row r="637" spans="1:4" ht="19.95" customHeight="1" x14ac:dyDescent="0.25">
      <c r="A637" s="11" t="s">
        <v>29</v>
      </c>
      <c r="B637" s="12" t="s">
        <v>41</v>
      </c>
      <c r="C637" s="12"/>
      <c r="D637" s="12">
        <v>1982</v>
      </c>
    </row>
    <row r="638" spans="1:4" ht="19.95" customHeight="1" x14ac:dyDescent="0.25">
      <c r="A638" s="11" t="s">
        <v>30</v>
      </c>
      <c r="B638" s="12" t="s">
        <v>41</v>
      </c>
      <c r="C638" s="12"/>
      <c r="D638" s="12">
        <v>1982</v>
      </c>
    </row>
    <row r="639" spans="1:4" ht="19.95" customHeight="1" x14ac:dyDescent="0.25">
      <c r="A639" s="11" t="s">
        <v>31</v>
      </c>
      <c r="B639" s="12" t="s">
        <v>41</v>
      </c>
      <c r="C639" s="12"/>
      <c r="D639" s="12">
        <v>1982</v>
      </c>
    </row>
    <row r="640" spans="1:4" ht="19.95" customHeight="1" x14ac:dyDescent="0.25">
      <c r="A640" s="11" t="s">
        <v>32</v>
      </c>
      <c r="B640" s="12" t="s">
        <v>41</v>
      </c>
      <c r="C640" s="12"/>
      <c r="D640" s="12">
        <v>1982</v>
      </c>
    </row>
    <row r="641" spans="1:4" ht="19.95" customHeight="1" x14ac:dyDescent="0.25">
      <c r="A641" s="11" t="s">
        <v>33</v>
      </c>
      <c r="B641" s="12" t="s">
        <v>41</v>
      </c>
      <c r="C641" s="12"/>
      <c r="D641" s="12">
        <v>1982</v>
      </c>
    </row>
    <row r="642" spans="1:4" ht="19.95" customHeight="1" x14ac:dyDescent="0.25">
      <c r="A642" s="11" t="s">
        <v>34</v>
      </c>
      <c r="B642" s="12" t="s">
        <v>41</v>
      </c>
      <c r="C642" s="12"/>
      <c r="D642" s="12">
        <v>1982</v>
      </c>
    </row>
    <row r="643" spans="1:4" ht="19.95" customHeight="1" x14ac:dyDescent="0.25">
      <c r="A643" s="11" t="s">
        <v>35</v>
      </c>
      <c r="B643" s="12" t="s">
        <v>41</v>
      </c>
      <c r="C643" s="12"/>
      <c r="D643" s="12">
        <v>1982</v>
      </c>
    </row>
    <row r="644" spans="1:4" ht="19.95" customHeight="1" x14ac:dyDescent="0.25">
      <c r="A644" s="11" t="s">
        <v>36</v>
      </c>
      <c r="B644" s="12" t="s">
        <v>41</v>
      </c>
      <c r="C644" s="12"/>
      <c r="D644" s="12">
        <v>1982</v>
      </c>
    </row>
    <row r="645" spans="1:4" ht="19.95" customHeight="1" x14ac:dyDescent="0.25">
      <c r="A645" s="11" t="s">
        <v>37</v>
      </c>
      <c r="B645" s="12" t="s">
        <v>41</v>
      </c>
      <c r="C645" s="12"/>
      <c r="D645" s="12">
        <v>1982</v>
      </c>
    </row>
    <row r="646" spans="1:4" ht="19.95" customHeight="1" x14ac:dyDescent="0.25">
      <c r="A646" s="11" t="s">
        <v>38</v>
      </c>
      <c r="B646" s="12" t="s">
        <v>41</v>
      </c>
      <c r="C646" s="12"/>
      <c r="D646" s="12">
        <v>1982</v>
      </c>
    </row>
    <row r="647" spans="1:4" ht="19.95" customHeight="1" x14ac:dyDescent="0.25">
      <c r="A647" s="11" t="s">
        <v>39</v>
      </c>
      <c r="B647" s="12" t="s">
        <v>41</v>
      </c>
      <c r="C647" s="12"/>
      <c r="D647" s="12">
        <v>1982</v>
      </c>
    </row>
    <row r="648" spans="1:4" ht="19.95" customHeight="1" x14ac:dyDescent="0.25">
      <c r="A648" s="11" t="s">
        <v>40</v>
      </c>
      <c r="B648" s="12" t="s">
        <v>41</v>
      </c>
      <c r="C648" s="12"/>
      <c r="D648" s="12">
        <v>1982</v>
      </c>
    </row>
    <row r="649" spans="1:4" ht="19.95" customHeight="1" x14ac:dyDescent="0.25">
      <c r="A649" s="11" t="s">
        <v>10</v>
      </c>
      <c r="B649" s="12" t="s">
        <v>41</v>
      </c>
      <c r="C649" s="12"/>
      <c r="D649" s="12">
        <v>1983</v>
      </c>
    </row>
    <row r="650" spans="1:4" ht="19.95" customHeight="1" x14ac:dyDescent="0.25">
      <c r="A650" s="11" t="s">
        <v>13</v>
      </c>
      <c r="B650" s="12" t="s">
        <v>41</v>
      </c>
      <c r="C650" s="12"/>
      <c r="D650" s="12">
        <v>1983</v>
      </c>
    </row>
    <row r="651" spans="1:4" ht="19.95" customHeight="1" x14ac:dyDescent="0.25">
      <c r="A651" s="11" t="s">
        <v>15</v>
      </c>
      <c r="B651" s="12" t="s">
        <v>41</v>
      </c>
      <c r="C651" s="12"/>
      <c r="D651" s="12">
        <v>1983</v>
      </c>
    </row>
    <row r="652" spans="1:4" ht="19.95" customHeight="1" x14ac:dyDescent="0.25">
      <c r="A652" s="11" t="s">
        <v>16</v>
      </c>
      <c r="B652" s="12" t="s">
        <v>41</v>
      </c>
      <c r="C652" s="12"/>
      <c r="D652" s="12">
        <v>1983</v>
      </c>
    </row>
    <row r="653" spans="1:4" ht="19.95" customHeight="1" x14ac:dyDescent="0.25">
      <c r="A653" s="11" t="s">
        <v>17</v>
      </c>
      <c r="B653" s="12" t="s">
        <v>41</v>
      </c>
      <c r="C653" s="12"/>
      <c r="D653" s="12">
        <v>1983</v>
      </c>
    </row>
    <row r="654" spans="1:4" ht="19.95" customHeight="1" x14ac:dyDescent="0.25">
      <c r="A654" s="11" t="s">
        <v>2</v>
      </c>
      <c r="B654" s="12" t="s">
        <v>41</v>
      </c>
      <c r="C654" s="12"/>
      <c r="D654" s="12">
        <v>1983</v>
      </c>
    </row>
    <row r="655" spans="1:4" ht="19.95" customHeight="1" x14ac:dyDescent="0.25">
      <c r="A655" s="11" t="s">
        <v>18</v>
      </c>
      <c r="B655" s="12" t="s">
        <v>41</v>
      </c>
      <c r="C655" s="12"/>
      <c r="D655" s="12">
        <v>1983</v>
      </c>
    </row>
    <row r="656" spans="1:4" ht="19.95" customHeight="1" x14ac:dyDescent="0.25">
      <c r="A656" s="11" t="s">
        <v>19</v>
      </c>
      <c r="B656" s="12" t="s">
        <v>41</v>
      </c>
      <c r="C656" s="12"/>
      <c r="D656" s="12">
        <v>1983</v>
      </c>
    </row>
    <row r="657" spans="1:4" ht="19.95" customHeight="1" x14ac:dyDescent="0.25">
      <c r="A657" s="11" t="s">
        <v>20</v>
      </c>
      <c r="B657" s="12" t="s">
        <v>41</v>
      </c>
      <c r="C657" s="12"/>
      <c r="D657" s="12">
        <v>1983</v>
      </c>
    </row>
    <row r="658" spans="1:4" ht="19.95" customHeight="1" x14ac:dyDescent="0.25">
      <c r="A658" s="11" t="s">
        <v>21</v>
      </c>
      <c r="B658" s="12" t="s">
        <v>41</v>
      </c>
      <c r="C658" s="12"/>
      <c r="D658" s="12">
        <v>1983</v>
      </c>
    </row>
    <row r="659" spans="1:4" ht="19.95" customHeight="1" x14ac:dyDescent="0.25">
      <c r="A659" s="11" t="s">
        <v>22</v>
      </c>
      <c r="B659" s="12" t="s">
        <v>41</v>
      </c>
      <c r="C659" s="12"/>
      <c r="D659" s="12">
        <v>1983</v>
      </c>
    </row>
    <row r="660" spans="1:4" ht="19.95" customHeight="1" x14ac:dyDescent="0.25">
      <c r="A660" s="11" t="s">
        <v>23</v>
      </c>
      <c r="B660" s="12" t="s">
        <v>41</v>
      </c>
      <c r="C660" s="12"/>
      <c r="D660" s="12">
        <v>1983</v>
      </c>
    </row>
    <row r="661" spans="1:4" ht="19.95" customHeight="1" x14ac:dyDescent="0.25">
      <c r="A661" s="11" t="s">
        <v>24</v>
      </c>
      <c r="B661" s="12" t="s">
        <v>41</v>
      </c>
      <c r="C661" s="12"/>
      <c r="D661" s="12">
        <v>1983</v>
      </c>
    </row>
    <row r="662" spans="1:4" ht="19.95" customHeight="1" x14ac:dyDescent="0.25">
      <c r="A662" s="11" t="s">
        <v>25</v>
      </c>
      <c r="B662" s="12" t="s">
        <v>41</v>
      </c>
      <c r="C662" s="12"/>
      <c r="D662" s="12">
        <v>1983</v>
      </c>
    </row>
    <row r="663" spans="1:4" ht="19.95" customHeight="1" x14ac:dyDescent="0.25">
      <c r="A663" s="11" t="s">
        <v>26</v>
      </c>
      <c r="B663" s="12" t="s">
        <v>41</v>
      </c>
      <c r="C663" s="12"/>
      <c r="D663" s="12">
        <v>1983</v>
      </c>
    </row>
    <row r="664" spans="1:4" ht="19.95" customHeight="1" x14ac:dyDescent="0.25">
      <c r="A664" s="11" t="s">
        <v>27</v>
      </c>
      <c r="B664" s="12" t="s">
        <v>41</v>
      </c>
      <c r="C664" s="12"/>
      <c r="D664" s="12">
        <v>1983</v>
      </c>
    </row>
    <row r="665" spans="1:4" ht="19.95" customHeight="1" x14ac:dyDescent="0.25">
      <c r="A665" s="11" t="s">
        <v>29</v>
      </c>
      <c r="B665" s="12" t="s">
        <v>41</v>
      </c>
      <c r="C665" s="12"/>
      <c r="D665" s="12">
        <v>1983</v>
      </c>
    </row>
    <row r="666" spans="1:4" ht="19.95" customHeight="1" x14ac:dyDescent="0.25">
      <c r="A666" s="11" t="s">
        <v>30</v>
      </c>
      <c r="B666" s="12" t="s">
        <v>41</v>
      </c>
      <c r="C666" s="12"/>
      <c r="D666" s="12">
        <v>1983</v>
      </c>
    </row>
    <row r="667" spans="1:4" ht="19.95" customHeight="1" x14ac:dyDescent="0.25">
      <c r="A667" s="11" t="s">
        <v>31</v>
      </c>
      <c r="B667" s="12" t="s">
        <v>41</v>
      </c>
      <c r="C667" s="12"/>
      <c r="D667" s="12">
        <v>1983</v>
      </c>
    </row>
    <row r="668" spans="1:4" ht="19.95" customHeight="1" x14ac:dyDescent="0.25">
      <c r="A668" s="11" t="s">
        <v>32</v>
      </c>
      <c r="B668" s="12" t="s">
        <v>41</v>
      </c>
      <c r="C668" s="12"/>
      <c r="D668" s="12">
        <v>1983</v>
      </c>
    </row>
    <row r="669" spans="1:4" ht="19.95" customHeight="1" x14ac:dyDescent="0.25">
      <c r="A669" s="11" t="s">
        <v>33</v>
      </c>
      <c r="B669" s="12" t="s">
        <v>41</v>
      </c>
      <c r="C669" s="12"/>
      <c r="D669" s="12">
        <v>1983</v>
      </c>
    </row>
    <row r="670" spans="1:4" ht="19.95" customHeight="1" x14ac:dyDescent="0.25">
      <c r="A670" s="11" t="s">
        <v>34</v>
      </c>
      <c r="B670" s="12" t="s">
        <v>41</v>
      </c>
      <c r="C670" s="12"/>
      <c r="D670" s="12">
        <v>1983</v>
      </c>
    </row>
    <row r="671" spans="1:4" ht="19.95" customHeight="1" x14ac:dyDescent="0.25">
      <c r="A671" s="11" t="s">
        <v>35</v>
      </c>
      <c r="B671" s="12" t="s">
        <v>41</v>
      </c>
      <c r="C671" s="12"/>
      <c r="D671" s="12">
        <v>1983</v>
      </c>
    </row>
    <row r="672" spans="1:4" ht="19.95" customHeight="1" x14ac:dyDescent="0.25">
      <c r="A672" s="11" t="s">
        <v>36</v>
      </c>
      <c r="B672" s="12" t="s">
        <v>41</v>
      </c>
      <c r="C672" s="12"/>
      <c r="D672" s="12">
        <v>1983</v>
      </c>
    </row>
    <row r="673" spans="1:4" ht="19.95" customHeight="1" x14ac:dyDescent="0.25">
      <c r="A673" s="11" t="s">
        <v>37</v>
      </c>
      <c r="B673" s="12" t="s">
        <v>41</v>
      </c>
      <c r="C673" s="12"/>
      <c r="D673" s="12">
        <v>1983</v>
      </c>
    </row>
    <row r="674" spans="1:4" ht="19.95" customHeight="1" x14ac:dyDescent="0.25">
      <c r="A674" s="11" t="s">
        <v>38</v>
      </c>
      <c r="B674" s="12" t="s">
        <v>41</v>
      </c>
      <c r="C674" s="12"/>
      <c r="D674" s="12">
        <v>1983</v>
      </c>
    </row>
    <row r="675" spans="1:4" ht="19.95" customHeight="1" x14ac:dyDescent="0.25">
      <c r="A675" s="11" t="s">
        <v>39</v>
      </c>
      <c r="B675" s="12" t="s">
        <v>41</v>
      </c>
      <c r="C675" s="12"/>
      <c r="D675" s="12">
        <v>1983</v>
      </c>
    </row>
    <row r="676" spans="1:4" ht="19.95" customHeight="1" x14ac:dyDescent="0.25">
      <c r="A676" s="11" t="s">
        <v>40</v>
      </c>
      <c r="B676" s="12" t="s">
        <v>41</v>
      </c>
      <c r="C676" s="12"/>
      <c r="D676" s="12">
        <v>1983</v>
      </c>
    </row>
    <row r="677" spans="1:4" ht="19.95" customHeight="1" x14ac:dyDescent="0.25">
      <c r="A677" s="11" t="s">
        <v>10</v>
      </c>
      <c r="B677" s="12" t="s">
        <v>41</v>
      </c>
      <c r="C677" s="12"/>
      <c r="D677" s="12">
        <v>1984</v>
      </c>
    </row>
    <row r="678" spans="1:4" ht="19.95" customHeight="1" x14ac:dyDescent="0.25">
      <c r="A678" s="11" t="s">
        <v>13</v>
      </c>
      <c r="B678" s="12" t="s">
        <v>41</v>
      </c>
      <c r="C678" s="12"/>
      <c r="D678" s="12">
        <v>1984</v>
      </c>
    </row>
    <row r="679" spans="1:4" ht="19.95" customHeight="1" x14ac:dyDescent="0.25">
      <c r="A679" s="11" t="s">
        <v>15</v>
      </c>
      <c r="B679" s="12" t="s">
        <v>41</v>
      </c>
      <c r="C679" s="12"/>
      <c r="D679" s="12">
        <v>1984</v>
      </c>
    </row>
    <row r="680" spans="1:4" ht="19.95" customHeight="1" x14ac:dyDescent="0.25">
      <c r="A680" s="11" t="s">
        <v>16</v>
      </c>
      <c r="B680" s="12" t="s">
        <v>41</v>
      </c>
      <c r="C680" s="12"/>
      <c r="D680" s="12">
        <v>1984</v>
      </c>
    </row>
    <row r="681" spans="1:4" ht="19.95" customHeight="1" x14ac:dyDescent="0.25">
      <c r="A681" s="11" t="s">
        <v>17</v>
      </c>
      <c r="B681" s="12" t="s">
        <v>41</v>
      </c>
      <c r="C681" s="12"/>
      <c r="D681" s="12">
        <v>1984</v>
      </c>
    </row>
    <row r="682" spans="1:4" ht="19.95" customHeight="1" x14ac:dyDescent="0.25">
      <c r="A682" s="11" t="s">
        <v>2</v>
      </c>
      <c r="B682" s="12" t="s">
        <v>41</v>
      </c>
      <c r="C682" s="12"/>
      <c r="D682" s="12">
        <v>1984</v>
      </c>
    </row>
    <row r="683" spans="1:4" ht="19.95" customHeight="1" x14ac:dyDescent="0.25">
      <c r="A683" s="11" t="s">
        <v>18</v>
      </c>
      <c r="B683" s="12" t="s">
        <v>41</v>
      </c>
      <c r="C683" s="12"/>
      <c r="D683" s="12">
        <v>1984</v>
      </c>
    </row>
    <row r="684" spans="1:4" ht="19.95" customHeight="1" x14ac:dyDescent="0.25">
      <c r="A684" s="11" t="s">
        <v>19</v>
      </c>
      <c r="B684" s="12" t="s">
        <v>41</v>
      </c>
      <c r="C684" s="12"/>
      <c r="D684" s="12">
        <v>1984</v>
      </c>
    </row>
    <row r="685" spans="1:4" ht="19.95" customHeight="1" x14ac:dyDescent="0.25">
      <c r="A685" s="11" t="s">
        <v>20</v>
      </c>
      <c r="B685" s="12" t="s">
        <v>41</v>
      </c>
      <c r="C685" s="12"/>
      <c r="D685" s="12">
        <v>1984</v>
      </c>
    </row>
    <row r="686" spans="1:4" ht="19.95" customHeight="1" x14ac:dyDescent="0.25">
      <c r="A686" s="11" t="s">
        <v>21</v>
      </c>
      <c r="B686" s="12" t="s">
        <v>41</v>
      </c>
      <c r="C686" s="12"/>
      <c r="D686" s="12">
        <v>1984</v>
      </c>
    </row>
    <row r="687" spans="1:4" ht="19.95" customHeight="1" x14ac:dyDescent="0.25">
      <c r="A687" s="11" t="s">
        <v>22</v>
      </c>
      <c r="B687" s="12" t="s">
        <v>41</v>
      </c>
      <c r="C687" s="12"/>
      <c r="D687" s="12">
        <v>1984</v>
      </c>
    </row>
    <row r="688" spans="1:4" ht="19.95" customHeight="1" x14ac:dyDescent="0.25">
      <c r="A688" s="11" t="s">
        <v>23</v>
      </c>
      <c r="B688" s="12" t="s">
        <v>41</v>
      </c>
      <c r="C688" s="12"/>
      <c r="D688" s="12">
        <v>1984</v>
      </c>
    </row>
    <row r="689" spans="1:4" ht="19.95" customHeight="1" x14ac:dyDescent="0.25">
      <c r="A689" s="11" t="s">
        <v>24</v>
      </c>
      <c r="B689" s="12" t="s">
        <v>41</v>
      </c>
      <c r="C689" s="12"/>
      <c r="D689" s="12">
        <v>1984</v>
      </c>
    </row>
    <row r="690" spans="1:4" ht="19.95" customHeight="1" x14ac:dyDescent="0.25">
      <c r="A690" s="11" t="s">
        <v>25</v>
      </c>
      <c r="B690" s="12" t="s">
        <v>41</v>
      </c>
      <c r="C690" s="12"/>
      <c r="D690" s="12">
        <v>1984</v>
      </c>
    </row>
    <row r="691" spans="1:4" ht="19.95" customHeight="1" x14ac:dyDescent="0.25">
      <c r="A691" s="11" t="s">
        <v>26</v>
      </c>
      <c r="B691" s="12" t="s">
        <v>41</v>
      </c>
      <c r="C691" s="12"/>
      <c r="D691" s="12">
        <v>1984</v>
      </c>
    </row>
    <row r="692" spans="1:4" ht="19.95" customHeight="1" x14ac:dyDescent="0.25">
      <c r="A692" s="11" t="s">
        <v>27</v>
      </c>
      <c r="B692" s="12" t="s">
        <v>41</v>
      </c>
      <c r="C692" s="12"/>
      <c r="D692" s="12">
        <v>1984</v>
      </c>
    </row>
    <row r="693" spans="1:4" ht="19.95" customHeight="1" x14ac:dyDescent="0.25">
      <c r="A693" s="11" t="s">
        <v>29</v>
      </c>
      <c r="B693" s="12" t="s">
        <v>41</v>
      </c>
      <c r="C693" s="12"/>
      <c r="D693" s="12">
        <v>1984</v>
      </c>
    </row>
    <row r="694" spans="1:4" ht="19.95" customHeight="1" x14ac:dyDescent="0.25">
      <c r="A694" s="11" t="s">
        <v>30</v>
      </c>
      <c r="B694" s="12" t="s">
        <v>41</v>
      </c>
      <c r="C694" s="12"/>
      <c r="D694" s="12">
        <v>1984</v>
      </c>
    </row>
    <row r="695" spans="1:4" ht="19.95" customHeight="1" x14ac:dyDescent="0.25">
      <c r="A695" s="11" t="s">
        <v>31</v>
      </c>
      <c r="B695" s="12" t="s">
        <v>41</v>
      </c>
      <c r="C695" s="12"/>
      <c r="D695" s="12">
        <v>1984</v>
      </c>
    </row>
    <row r="696" spans="1:4" ht="19.95" customHeight="1" x14ac:dyDescent="0.25">
      <c r="A696" s="11" t="s">
        <v>32</v>
      </c>
      <c r="B696" s="12" t="s">
        <v>41</v>
      </c>
      <c r="C696" s="12"/>
      <c r="D696" s="12">
        <v>1984</v>
      </c>
    </row>
    <row r="697" spans="1:4" ht="19.95" customHeight="1" x14ac:dyDescent="0.25">
      <c r="A697" s="11" t="s">
        <v>33</v>
      </c>
      <c r="B697" s="12" t="s">
        <v>41</v>
      </c>
      <c r="C697" s="12"/>
      <c r="D697" s="12">
        <v>1984</v>
      </c>
    </row>
    <row r="698" spans="1:4" ht="19.95" customHeight="1" x14ac:dyDescent="0.25">
      <c r="A698" s="11" t="s">
        <v>34</v>
      </c>
      <c r="B698" s="12" t="s">
        <v>41</v>
      </c>
      <c r="C698" s="12"/>
      <c r="D698" s="12">
        <v>1984</v>
      </c>
    </row>
    <row r="699" spans="1:4" ht="19.95" customHeight="1" x14ac:dyDescent="0.25">
      <c r="A699" s="11" t="s">
        <v>35</v>
      </c>
      <c r="B699" s="12" t="s">
        <v>41</v>
      </c>
      <c r="C699" s="12"/>
      <c r="D699" s="12">
        <v>1984</v>
      </c>
    </row>
    <row r="700" spans="1:4" ht="19.95" customHeight="1" x14ac:dyDescent="0.25">
      <c r="A700" s="11" t="s">
        <v>36</v>
      </c>
      <c r="B700" s="12" t="s">
        <v>41</v>
      </c>
      <c r="C700" s="12"/>
      <c r="D700" s="12">
        <v>1984</v>
      </c>
    </row>
    <row r="701" spans="1:4" ht="19.95" customHeight="1" x14ac:dyDescent="0.25">
      <c r="A701" s="11" t="s">
        <v>37</v>
      </c>
      <c r="B701" s="12" t="s">
        <v>41</v>
      </c>
      <c r="C701" s="12"/>
      <c r="D701" s="12">
        <v>1984</v>
      </c>
    </row>
    <row r="702" spans="1:4" ht="19.95" customHeight="1" x14ac:dyDescent="0.25">
      <c r="A702" s="11" t="s">
        <v>38</v>
      </c>
      <c r="B702" s="12" t="s">
        <v>41</v>
      </c>
      <c r="C702" s="12"/>
      <c r="D702" s="12">
        <v>1984</v>
      </c>
    </row>
    <row r="703" spans="1:4" ht="19.95" customHeight="1" x14ac:dyDescent="0.25">
      <c r="A703" s="11" t="s">
        <v>39</v>
      </c>
      <c r="B703" s="12" t="s">
        <v>41</v>
      </c>
      <c r="C703" s="12"/>
      <c r="D703" s="12">
        <v>1984</v>
      </c>
    </row>
    <row r="704" spans="1:4" ht="19.95" customHeight="1" x14ac:dyDescent="0.25">
      <c r="A704" s="11" t="s">
        <v>40</v>
      </c>
      <c r="B704" s="12" t="s">
        <v>41</v>
      </c>
      <c r="C704" s="12"/>
      <c r="D704" s="12">
        <v>1984</v>
      </c>
    </row>
    <row r="705" spans="1:4" ht="19.95" customHeight="1" x14ac:dyDescent="0.25">
      <c r="A705" s="11" t="s">
        <v>10</v>
      </c>
      <c r="B705" s="12" t="s">
        <v>41</v>
      </c>
      <c r="C705" s="12"/>
      <c r="D705" s="12">
        <v>1985</v>
      </c>
    </row>
    <row r="706" spans="1:4" ht="19.95" customHeight="1" x14ac:dyDescent="0.25">
      <c r="A706" s="11" t="s">
        <v>13</v>
      </c>
      <c r="B706" s="12" t="s">
        <v>41</v>
      </c>
      <c r="C706" s="12"/>
      <c r="D706" s="12">
        <v>1985</v>
      </c>
    </row>
    <row r="707" spans="1:4" ht="19.95" customHeight="1" x14ac:dyDescent="0.25">
      <c r="A707" s="11" t="s">
        <v>15</v>
      </c>
      <c r="B707" s="12" t="s">
        <v>41</v>
      </c>
      <c r="C707" s="12"/>
      <c r="D707" s="12">
        <v>1985</v>
      </c>
    </row>
    <row r="708" spans="1:4" ht="19.95" customHeight="1" x14ac:dyDescent="0.25">
      <c r="A708" s="11" t="s">
        <v>16</v>
      </c>
      <c r="B708" s="12" t="s">
        <v>41</v>
      </c>
      <c r="C708" s="12"/>
      <c r="D708" s="12">
        <v>1985</v>
      </c>
    </row>
    <row r="709" spans="1:4" ht="19.95" customHeight="1" x14ac:dyDescent="0.25">
      <c r="A709" s="11" t="s">
        <v>17</v>
      </c>
      <c r="B709" s="12" t="s">
        <v>41</v>
      </c>
      <c r="C709" s="12"/>
      <c r="D709" s="12">
        <v>1985</v>
      </c>
    </row>
    <row r="710" spans="1:4" ht="19.95" customHeight="1" x14ac:dyDescent="0.25">
      <c r="A710" s="11" t="s">
        <v>2</v>
      </c>
      <c r="B710" s="12" t="s">
        <v>41</v>
      </c>
      <c r="C710" s="12"/>
      <c r="D710" s="12">
        <v>1985</v>
      </c>
    </row>
    <row r="711" spans="1:4" ht="19.95" customHeight="1" x14ac:dyDescent="0.25">
      <c r="A711" s="11" t="s">
        <v>18</v>
      </c>
      <c r="B711" s="12" t="s">
        <v>41</v>
      </c>
      <c r="C711" s="12"/>
      <c r="D711" s="12">
        <v>1985</v>
      </c>
    </row>
    <row r="712" spans="1:4" ht="19.95" customHeight="1" x14ac:dyDescent="0.25">
      <c r="A712" s="11" t="s">
        <v>19</v>
      </c>
      <c r="B712" s="12" t="s">
        <v>41</v>
      </c>
      <c r="C712" s="12"/>
      <c r="D712" s="12">
        <v>1985</v>
      </c>
    </row>
    <row r="713" spans="1:4" ht="19.95" customHeight="1" x14ac:dyDescent="0.25">
      <c r="A713" s="11" t="s">
        <v>20</v>
      </c>
      <c r="B713" s="12" t="s">
        <v>41</v>
      </c>
      <c r="C713" s="12"/>
      <c r="D713" s="12">
        <v>1985</v>
      </c>
    </row>
    <row r="714" spans="1:4" ht="19.95" customHeight="1" x14ac:dyDescent="0.25">
      <c r="A714" s="11" t="s">
        <v>21</v>
      </c>
      <c r="B714" s="12" t="s">
        <v>41</v>
      </c>
      <c r="C714" s="12"/>
      <c r="D714" s="12">
        <v>1985</v>
      </c>
    </row>
    <row r="715" spans="1:4" ht="19.95" customHeight="1" x14ac:dyDescent="0.25">
      <c r="A715" s="11" t="s">
        <v>22</v>
      </c>
      <c r="B715" s="12" t="s">
        <v>41</v>
      </c>
      <c r="C715" s="12"/>
      <c r="D715" s="12">
        <v>1985</v>
      </c>
    </row>
    <row r="716" spans="1:4" ht="19.95" customHeight="1" x14ac:dyDescent="0.25">
      <c r="A716" s="11" t="s">
        <v>23</v>
      </c>
      <c r="B716" s="12" t="s">
        <v>41</v>
      </c>
      <c r="C716" s="12"/>
      <c r="D716" s="12">
        <v>1985</v>
      </c>
    </row>
    <row r="717" spans="1:4" ht="19.95" customHeight="1" x14ac:dyDescent="0.25">
      <c r="A717" s="11" t="s">
        <v>24</v>
      </c>
      <c r="B717" s="12" t="s">
        <v>41</v>
      </c>
      <c r="C717" s="12"/>
      <c r="D717" s="12">
        <v>1985</v>
      </c>
    </row>
    <row r="718" spans="1:4" ht="19.95" customHeight="1" x14ac:dyDescent="0.25">
      <c r="A718" s="11" t="s">
        <v>25</v>
      </c>
      <c r="B718" s="12" t="s">
        <v>41</v>
      </c>
      <c r="C718" s="12"/>
      <c r="D718" s="12">
        <v>1985</v>
      </c>
    </row>
    <row r="719" spans="1:4" ht="19.95" customHeight="1" x14ac:dyDescent="0.25">
      <c r="A719" s="11" t="s">
        <v>26</v>
      </c>
      <c r="B719" s="12" t="s">
        <v>41</v>
      </c>
      <c r="C719" s="12"/>
      <c r="D719" s="12">
        <v>1985</v>
      </c>
    </row>
    <row r="720" spans="1:4" ht="19.95" customHeight="1" x14ac:dyDescent="0.25">
      <c r="A720" s="11" t="s">
        <v>27</v>
      </c>
      <c r="B720" s="12" t="s">
        <v>41</v>
      </c>
      <c r="C720" s="12"/>
      <c r="D720" s="12">
        <v>1985</v>
      </c>
    </row>
    <row r="721" spans="1:4" ht="19.95" customHeight="1" x14ac:dyDescent="0.25">
      <c r="A721" s="11" t="s">
        <v>29</v>
      </c>
      <c r="B721" s="12" t="s">
        <v>41</v>
      </c>
      <c r="C721" s="12"/>
      <c r="D721" s="12">
        <v>1985</v>
      </c>
    </row>
    <row r="722" spans="1:4" ht="19.95" customHeight="1" x14ac:dyDescent="0.25">
      <c r="A722" s="11" t="s">
        <v>30</v>
      </c>
      <c r="B722" s="12" t="s">
        <v>41</v>
      </c>
      <c r="C722" s="12"/>
      <c r="D722" s="12">
        <v>1985</v>
      </c>
    </row>
    <row r="723" spans="1:4" ht="19.95" customHeight="1" x14ac:dyDescent="0.25">
      <c r="A723" s="11" t="s">
        <v>31</v>
      </c>
      <c r="B723" s="12" t="s">
        <v>41</v>
      </c>
      <c r="C723" s="12"/>
      <c r="D723" s="12">
        <v>1985</v>
      </c>
    </row>
    <row r="724" spans="1:4" ht="19.95" customHeight="1" x14ac:dyDescent="0.25">
      <c r="A724" s="11" t="s">
        <v>32</v>
      </c>
      <c r="B724" s="12" t="s">
        <v>41</v>
      </c>
      <c r="C724" s="12"/>
      <c r="D724" s="12">
        <v>1985</v>
      </c>
    </row>
    <row r="725" spans="1:4" ht="19.95" customHeight="1" x14ac:dyDescent="0.25">
      <c r="A725" s="11" t="s">
        <v>33</v>
      </c>
      <c r="B725" s="12" t="s">
        <v>41</v>
      </c>
      <c r="C725" s="12"/>
      <c r="D725" s="12">
        <v>1985</v>
      </c>
    </row>
    <row r="726" spans="1:4" ht="19.95" customHeight="1" x14ac:dyDescent="0.25">
      <c r="A726" s="11" t="s">
        <v>34</v>
      </c>
      <c r="B726" s="12" t="s">
        <v>41</v>
      </c>
      <c r="C726" s="12"/>
      <c r="D726" s="12">
        <v>1985</v>
      </c>
    </row>
    <row r="727" spans="1:4" ht="19.95" customHeight="1" x14ac:dyDescent="0.25">
      <c r="A727" s="11" t="s">
        <v>35</v>
      </c>
      <c r="B727" s="12" t="s">
        <v>41</v>
      </c>
      <c r="C727" s="12"/>
      <c r="D727" s="12">
        <v>1985</v>
      </c>
    </row>
    <row r="728" spans="1:4" ht="19.95" customHeight="1" x14ac:dyDescent="0.25">
      <c r="A728" s="11" t="s">
        <v>36</v>
      </c>
      <c r="B728" s="12" t="s">
        <v>41</v>
      </c>
      <c r="C728" s="12"/>
      <c r="D728" s="12">
        <v>1985</v>
      </c>
    </row>
    <row r="729" spans="1:4" ht="19.95" customHeight="1" x14ac:dyDescent="0.25">
      <c r="A729" s="11" t="s">
        <v>37</v>
      </c>
      <c r="B729" s="12" t="s">
        <v>41</v>
      </c>
      <c r="C729" s="12"/>
      <c r="D729" s="12">
        <v>1985</v>
      </c>
    </row>
    <row r="730" spans="1:4" ht="19.95" customHeight="1" x14ac:dyDescent="0.25">
      <c r="A730" s="11" t="s">
        <v>38</v>
      </c>
      <c r="B730" s="12" t="s">
        <v>41</v>
      </c>
      <c r="C730" s="12"/>
      <c r="D730" s="12">
        <v>1985</v>
      </c>
    </row>
    <row r="731" spans="1:4" ht="19.95" customHeight="1" x14ac:dyDescent="0.25">
      <c r="A731" s="11" t="s">
        <v>39</v>
      </c>
      <c r="B731" s="12" t="s">
        <v>41</v>
      </c>
      <c r="C731" s="12"/>
      <c r="D731" s="12">
        <v>1985</v>
      </c>
    </row>
    <row r="732" spans="1:4" ht="19.95" customHeight="1" x14ac:dyDescent="0.25">
      <c r="A732" s="11" t="s">
        <v>40</v>
      </c>
      <c r="B732" s="12" t="s">
        <v>41</v>
      </c>
      <c r="C732" s="12"/>
      <c r="D732" s="12">
        <v>1985</v>
      </c>
    </row>
    <row r="733" spans="1:4" ht="19.95" customHeight="1" x14ac:dyDescent="0.25">
      <c r="A733" s="11" t="s">
        <v>10</v>
      </c>
      <c r="B733" s="12" t="s">
        <v>41</v>
      </c>
      <c r="C733" s="12"/>
      <c r="D733" s="12">
        <v>1986</v>
      </c>
    </row>
    <row r="734" spans="1:4" ht="19.95" customHeight="1" x14ac:dyDescent="0.25">
      <c r="A734" s="11" t="s">
        <v>13</v>
      </c>
      <c r="B734" s="12" t="s">
        <v>41</v>
      </c>
      <c r="C734" s="12"/>
      <c r="D734" s="12">
        <v>1986</v>
      </c>
    </row>
    <row r="735" spans="1:4" ht="19.95" customHeight="1" x14ac:dyDescent="0.25">
      <c r="A735" s="11" t="s">
        <v>15</v>
      </c>
      <c r="B735" s="12" t="s">
        <v>41</v>
      </c>
      <c r="C735" s="12"/>
      <c r="D735" s="12">
        <v>1986</v>
      </c>
    </row>
    <row r="736" spans="1:4" ht="19.95" customHeight="1" x14ac:dyDescent="0.25">
      <c r="A736" s="11" t="s">
        <v>16</v>
      </c>
      <c r="B736" s="12" t="s">
        <v>41</v>
      </c>
      <c r="C736" s="12"/>
      <c r="D736" s="12">
        <v>1986</v>
      </c>
    </row>
    <row r="737" spans="1:4" ht="19.95" customHeight="1" x14ac:dyDescent="0.25">
      <c r="A737" s="11" t="s">
        <v>17</v>
      </c>
      <c r="B737" s="12" t="s">
        <v>41</v>
      </c>
      <c r="C737" s="12"/>
      <c r="D737" s="12">
        <v>1986</v>
      </c>
    </row>
    <row r="738" spans="1:4" ht="19.95" customHeight="1" x14ac:dyDescent="0.25">
      <c r="A738" s="11" t="s">
        <v>2</v>
      </c>
      <c r="B738" s="12" t="s">
        <v>41</v>
      </c>
      <c r="C738" s="12"/>
      <c r="D738" s="12">
        <v>1986</v>
      </c>
    </row>
    <row r="739" spans="1:4" ht="19.95" customHeight="1" x14ac:dyDescent="0.25">
      <c r="A739" s="11" t="s">
        <v>18</v>
      </c>
      <c r="B739" s="12" t="s">
        <v>41</v>
      </c>
      <c r="C739" s="12"/>
      <c r="D739" s="12">
        <v>1986</v>
      </c>
    </row>
    <row r="740" spans="1:4" ht="19.95" customHeight="1" x14ac:dyDescent="0.25">
      <c r="A740" s="11" t="s">
        <v>19</v>
      </c>
      <c r="B740" s="12" t="s">
        <v>41</v>
      </c>
      <c r="C740" s="12"/>
      <c r="D740" s="12">
        <v>1986</v>
      </c>
    </row>
    <row r="741" spans="1:4" ht="19.95" customHeight="1" x14ac:dyDescent="0.25">
      <c r="A741" s="11" t="s">
        <v>20</v>
      </c>
      <c r="B741" s="12" t="s">
        <v>41</v>
      </c>
      <c r="C741" s="12"/>
      <c r="D741" s="12">
        <v>1986</v>
      </c>
    </row>
    <row r="742" spans="1:4" ht="19.95" customHeight="1" x14ac:dyDescent="0.25">
      <c r="A742" s="11" t="s">
        <v>21</v>
      </c>
      <c r="B742" s="12" t="s">
        <v>41</v>
      </c>
      <c r="C742" s="12"/>
      <c r="D742" s="12">
        <v>1986</v>
      </c>
    </row>
    <row r="743" spans="1:4" ht="19.95" customHeight="1" x14ac:dyDescent="0.25">
      <c r="A743" s="11" t="s">
        <v>22</v>
      </c>
      <c r="B743" s="12" t="s">
        <v>41</v>
      </c>
      <c r="C743" s="12"/>
      <c r="D743" s="12">
        <v>1986</v>
      </c>
    </row>
    <row r="744" spans="1:4" ht="19.95" customHeight="1" x14ac:dyDescent="0.25">
      <c r="A744" s="11" t="s">
        <v>23</v>
      </c>
      <c r="B744" s="12" t="s">
        <v>41</v>
      </c>
      <c r="C744" s="12"/>
      <c r="D744" s="12">
        <v>1986</v>
      </c>
    </row>
    <row r="745" spans="1:4" ht="19.95" customHeight="1" x14ac:dyDescent="0.25">
      <c r="A745" s="11" t="s">
        <v>24</v>
      </c>
      <c r="B745" s="12" t="s">
        <v>41</v>
      </c>
      <c r="C745" s="12"/>
      <c r="D745" s="12">
        <v>1986</v>
      </c>
    </row>
    <row r="746" spans="1:4" ht="19.95" customHeight="1" x14ac:dyDescent="0.25">
      <c r="A746" s="11" t="s">
        <v>25</v>
      </c>
      <c r="B746" s="12" t="s">
        <v>41</v>
      </c>
      <c r="C746" s="12"/>
      <c r="D746" s="12">
        <v>1986</v>
      </c>
    </row>
    <row r="747" spans="1:4" ht="19.95" customHeight="1" x14ac:dyDescent="0.25">
      <c r="A747" s="11" t="s">
        <v>26</v>
      </c>
      <c r="B747" s="12" t="s">
        <v>41</v>
      </c>
      <c r="C747" s="12"/>
      <c r="D747" s="12">
        <v>1986</v>
      </c>
    </row>
    <row r="748" spans="1:4" ht="19.95" customHeight="1" x14ac:dyDescent="0.25">
      <c r="A748" s="11" t="s">
        <v>27</v>
      </c>
      <c r="B748" s="12" t="s">
        <v>41</v>
      </c>
      <c r="C748" s="12"/>
      <c r="D748" s="12">
        <v>1986</v>
      </c>
    </row>
    <row r="749" spans="1:4" ht="19.95" customHeight="1" x14ac:dyDescent="0.25">
      <c r="A749" s="11" t="s">
        <v>29</v>
      </c>
      <c r="B749" s="12" t="s">
        <v>41</v>
      </c>
      <c r="C749" s="12"/>
      <c r="D749" s="12">
        <v>1986</v>
      </c>
    </row>
    <row r="750" spans="1:4" ht="19.95" customHeight="1" x14ac:dyDescent="0.25">
      <c r="A750" s="11" t="s">
        <v>30</v>
      </c>
      <c r="B750" s="12" t="s">
        <v>41</v>
      </c>
      <c r="C750" s="12"/>
      <c r="D750" s="12">
        <v>1986</v>
      </c>
    </row>
    <row r="751" spans="1:4" ht="19.95" customHeight="1" x14ac:dyDescent="0.25">
      <c r="A751" s="11" t="s">
        <v>31</v>
      </c>
      <c r="B751" s="12" t="s">
        <v>41</v>
      </c>
      <c r="C751" s="12"/>
      <c r="D751" s="12">
        <v>1986</v>
      </c>
    </row>
    <row r="752" spans="1:4" ht="19.95" customHeight="1" x14ac:dyDescent="0.25">
      <c r="A752" s="11" t="s">
        <v>32</v>
      </c>
      <c r="B752" s="12" t="s">
        <v>41</v>
      </c>
      <c r="C752" s="12"/>
      <c r="D752" s="12">
        <v>1986</v>
      </c>
    </row>
    <row r="753" spans="1:4" ht="19.95" customHeight="1" x14ac:dyDescent="0.25">
      <c r="A753" s="11" t="s">
        <v>33</v>
      </c>
      <c r="B753" s="12" t="s">
        <v>41</v>
      </c>
      <c r="C753" s="12"/>
      <c r="D753" s="12">
        <v>1986</v>
      </c>
    </row>
    <row r="754" spans="1:4" ht="19.95" customHeight="1" x14ac:dyDescent="0.25">
      <c r="A754" s="11" t="s">
        <v>34</v>
      </c>
      <c r="B754" s="12" t="s">
        <v>41</v>
      </c>
      <c r="C754" s="12"/>
      <c r="D754" s="12">
        <v>1986</v>
      </c>
    </row>
    <row r="755" spans="1:4" ht="19.95" customHeight="1" x14ac:dyDescent="0.25">
      <c r="A755" s="11" t="s">
        <v>35</v>
      </c>
      <c r="B755" s="12" t="s">
        <v>41</v>
      </c>
      <c r="C755" s="12"/>
      <c r="D755" s="12">
        <v>1986</v>
      </c>
    </row>
    <row r="756" spans="1:4" ht="19.95" customHeight="1" x14ac:dyDescent="0.25">
      <c r="A756" s="11" t="s">
        <v>36</v>
      </c>
      <c r="B756" s="12" t="s">
        <v>41</v>
      </c>
      <c r="C756" s="12"/>
      <c r="D756" s="12">
        <v>1986</v>
      </c>
    </row>
    <row r="757" spans="1:4" ht="19.95" customHeight="1" x14ac:dyDescent="0.25">
      <c r="A757" s="11" t="s">
        <v>37</v>
      </c>
      <c r="B757" s="12" t="s">
        <v>41</v>
      </c>
      <c r="C757" s="12"/>
      <c r="D757" s="12">
        <v>1986</v>
      </c>
    </row>
    <row r="758" spans="1:4" ht="19.95" customHeight="1" x14ac:dyDescent="0.25">
      <c r="A758" s="11" t="s">
        <v>38</v>
      </c>
      <c r="B758" s="12" t="s">
        <v>41</v>
      </c>
      <c r="C758" s="12"/>
      <c r="D758" s="12">
        <v>1986</v>
      </c>
    </row>
    <row r="759" spans="1:4" ht="19.95" customHeight="1" x14ac:dyDescent="0.25">
      <c r="A759" s="11" t="s">
        <v>39</v>
      </c>
      <c r="B759" s="12" t="s">
        <v>41</v>
      </c>
      <c r="C759" s="12"/>
      <c r="D759" s="12">
        <v>1986</v>
      </c>
    </row>
    <row r="760" spans="1:4" ht="19.95" customHeight="1" x14ac:dyDescent="0.25">
      <c r="A760" s="11" t="s">
        <v>40</v>
      </c>
      <c r="B760" s="12" t="s">
        <v>41</v>
      </c>
      <c r="C760" s="12"/>
      <c r="D760" s="12">
        <v>1986</v>
      </c>
    </row>
    <row r="761" spans="1:4" ht="19.95" customHeight="1" x14ac:dyDescent="0.25">
      <c r="A761" s="11" t="s">
        <v>10</v>
      </c>
      <c r="B761" s="12" t="s">
        <v>41</v>
      </c>
      <c r="C761" s="12"/>
      <c r="D761" s="12">
        <v>1987</v>
      </c>
    </row>
    <row r="762" spans="1:4" ht="19.95" customHeight="1" x14ac:dyDescent="0.25">
      <c r="A762" s="11" t="s">
        <v>13</v>
      </c>
      <c r="B762" s="12" t="s">
        <v>41</v>
      </c>
      <c r="C762" s="12"/>
      <c r="D762" s="12">
        <v>1987</v>
      </c>
    </row>
    <row r="763" spans="1:4" ht="19.95" customHeight="1" x14ac:dyDescent="0.25">
      <c r="A763" s="11" t="s">
        <v>15</v>
      </c>
      <c r="B763" s="12" t="s">
        <v>41</v>
      </c>
      <c r="C763" s="12"/>
      <c r="D763" s="12">
        <v>1987</v>
      </c>
    </row>
    <row r="764" spans="1:4" ht="19.95" customHeight="1" x14ac:dyDescent="0.25">
      <c r="A764" s="11" t="s">
        <v>16</v>
      </c>
      <c r="B764" s="12" t="s">
        <v>41</v>
      </c>
      <c r="C764" s="12"/>
      <c r="D764" s="12">
        <v>1987</v>
      </c>
    </row>
    <row r="765" spans="1:4" ht="19.95" customHeight="1" x14ac:dyDescent="0.25">
      <c r="A765" s="11" t="s">
        <v>17</v>
      </c>
      <c r="B765" s="12" t="s">
        <v>41</v>
      </c>
      <c r="C765" s="12"/>
      <c r="D765" s="12">
        <v>1987</v>
      </c>
    </row>
    <row r="766" spans="1:4" ht="19.95" customHeight="1" x14ac:dyDescent="0.25">
      <c r="A766" s="11" t="s">
        <v>2</v>
      </c>
      <c r="B766" s="12" t="s">
        <v>41</v>
      </c>
      <c r="C766" s="12"/>
      <c r="D766" s="12">
        <v>1987</v>
      </c>
    </row>
    <row r="767" spans="1:4" ht="19.95" customHeight="1" x14ac:dyDescent="0.25">
      <c r="A767" s="11" t="s">
        <v>18</v>
      </c>
      <c r="B767" s="12" t="s">
        <v>41</v>
      </c>
      <c r="C767" s="12"/>
      <c r="D767" s="12">
        <v>1987</v>
      </c>
    </row>
    <row r="768" spans="1:4" ht="19.95" customHeight="1" x14ac:dyDescent="0.25">
      <c r="A768" s="11" t="s">
        <v>19</v>
      </c>
      <c r="B768" s="12" t="s">
        <v>41</v>
      </c>
      <c r="C768" s="12"/>
      <c r="D768" s="12">
        <v>1987</v>
      </c>
    </row>
    <row r="769" spans="1:4" ht="19.95" customHeight="1" x14ac:dyDescent="0.25">
      <c r="A769" s="11" t="s">
        <v>20</v>
      </c>
      <c r="B769" s="12" t="s">
        <v>41</v>
      </c>
      <c r="C769" s="12"/>
      <c r="D769" s="12">
        <v>1987</v>
      </c>
    </row>
    <row r="770" spans="1:4" ht="19.95" customHeight="1" x14ac:dyDescent="0.25">
      <c r="A770" s="11" t="s">
        <v>21</v>
      </c>
      <c r="B770" s="12" t="s">
        <v>41</v>
      </c>
      <c r="C770" s="12"/>
      <c r="D770" s="12">
        <v>1987</v>
      </c>
    </row>
    <row r="771" spans="1:4" ht="19.95" customHeight="1" x14ac:dyDescent="0.25">
      <c r="A771" s="11" t="s">
        <v>22</v>
      </c>
      <c r="B771" s="12" t="s">
        <v>41</v>
      </c>
      <c r="C771" s="12"/>
      <c r="D771" s="12">
        <v>1987</v>
      </c>
    </row>
    <row r="772" spans="1:4" ht="19.95" customHeight="1" x14ac:dyDescent="0.25">
      <c r="A772" s="11" t="s">
        <v>23</v>
      </c>
      <c r="B772" s="12" t="s">
        <v>41</v>
      </c>
      <c r="C772" s="12"/>
      <c r="D772" s="12">
        <v>1987</v>
      </c>
    </row>
    <row r="773" spans="1:4" ht="19.95" customHeight="1" x14ac:dyDescent="0.25">
      <c r="A773" s="11" t="s">
        <v>24</v>
      </c>
      <c r="B773" s="12" t="s">
        <v>41</v>
      </c>
      <c r="C773" s="12"/>
      <c r="D773" s="12">
        <v>1987</v>
      </c>
    </row>
    <row r="774" spans="1:4" ht="19.95" customHeight="1" x14ac:dyDescent="0.25">
      <c r="A774" s="11" t="s">
        <v>25</v>
      </c>
      <c r="B774" s="12" t="s">
        <v>41</v>
      </c>
      <c r="C774" s="12"/>
      <c r="D774" s="12">
        <v>1987</v>
      </c>
    </row>
    <row r="775" spans="1:4" ht="19.95" customHeight="1" x14ac:dyDescent="0.25">
      <c r="A775" s="11" t="s">
        <v>26</v>
      </c>
      <c r="B775" s="12" t="s">
        <v>41</v>
      </c>
      <c r="C775" s="12"/>
      <c r="D775" s="12">
        <v>1987</v>
      </c>
    </row>
    <row r="776" spans="1:4" ht="19.95" customHeight="1" x14ac:dyDescent="0.25">
      <c r="A776" s="11" t="s">
        <v>27</v>
      </c>
      <c r="B776" s="12" t="s">
        <v>41</v>
      </c>
      <c r="C776" s="12"/>
      <c r="D776" s="12">
        <v>1987</v>
      </c>
    </row>
    <row r="777" spans="1:4" ht="19.95" customHeight="1" x14ac:dyDescent="0.25">
      <c r="A777" s="11" t="s">
        <v>29</v>
      </c>
      <c r="B777" s="12" t="s">
        <v>41</v>
      </c>
      <c r="C777" s="12"/>
      <c r="D777" s="12">
        <v>1987</v>
      </c>
    </row>
    <row r="778" spans="1:4" ht="19.95" customHeight="1" x14ac:dyDescent="0.25">
      <c r="A778" s="11" t="s">
        <v>30</v>
      </c>
      <c r="B778" s="12" t="s">
        <v>41</v>
      </c>
      <c r="C778" s="12"/>
      <c r="D778" s="12">
        <v>1987</v>
      </c>
    </row>
    <row r="779" spans="1:4" ht="19.95" customHeight="1" x14ac:dyDescent="0.25">
      <c r="A779" s="11" t="s">
        <v>31</v>
      </c>
      <c r="B779" s="12" t="s">
        <v>41</v>
      </c>
      <c r="C779" s="12"/>
      <c r="D779" s="12">
        <v>1987</v>
      </c>
    </row>
    <row r="780" spans="1:4" ht="19.95" customHeight="1" x14ac:dyDescent="0.25">
      <c r="A780" s="11" t="s">
        <v>32</v>
      </c>
      <c r="B780" s="12" t="s">
        <v>41</v>
      </c>
      <c r="C780" s="12"/>
      <c r="D780" s="12">
        <v>1987</v>
      </c>
    </row>
    <row r="781" spans="1:4" ht="19.95" customHeight="1" x14ac:dyDescent="0.25">
      <c r="A781" s="11" t="s">
        <v>33</v>
      </c>
      <c r="B781" s="12" t="s">
        <v>41</v>
      </c>
      <c r="C781" s="12"/>
      <c r="D781" s="12">
        <v>1987</v>
      </c>
    </row>
    <row r="782" spans="1:4" ht="19.95" customHeight="1" x14ac:dyDescent="0.25">
      <c r="A782" s="11" t="s">
        <v>34</v>
      </c>
      <c r="B782" s="12" t="s">
        <v>41</v>
      </c>
      <c r="C782" s="12"/>
      <c r="D782" s="12">
        <v>1987</v>
      </c>
    </row>
    <row r="783" spans="1:4" ht="19.95" customHeight="1" x14ac:dyDescent="0.25">
      <c r="A783" s="11" t="s">
        <v>35</v>
      </c>
      <c r="B783" s="12" t="s">
        <v>41</v>
      </c>
      <c r="C783" s="12"/>
      <c r="D783" s="12">
        <v>1987</v>
      </c>
    </row>
    <row r="784" spans="1:4" ht="19.95" customHeight="1" x14ac:dyDescent="0.25">
      <c r="A784" s="11" t="s">
        <v>36</v>
      </c>
      <c r="B784" s="12" t="s">
        <v>41</v>
      </c>
      <c r="C784" s="12"/>
      <c r="D784" s="12">
        <v>1987</v>
      </c>
    </row>
    <row r="785" spans="1:4" ht="19.95" customHeight="1" x14ac:dyDescent="0.25">
      <c r="A785" s="11" t="s">
        <v>37</v>
      </c>
      <c r="B785" s="12" t="s">
        <v>41</v>
      </c>
      <c r="C785" s="12"/>
      <c r="D785" s="12">
        <v>1987</v>
      </c>
    </row>
    <row r="786" spans="1:4" ht="19.95" customHeight="1" x14ac:dyDescent="0.25">
      <c r="A786" s="11" t="s">
        <v>38</v>
      </c>
      <c r="B786" s="12" t="s">
        <v>41</v>
      </c>
      <c r="C786" s="12"/>
      <c r="D786" s="12">
        <v>1987</v>
      </c>
    </row>
    <row r="787" spans="1:4" ht="19.95" customHeight="1" x14ac:dyDescent="0.25">
      <c r="A787" s="11" t="s">
        <v>39</v>
      </c>
      <c r="B787" s="12" t="s">
        <v>41</v>
      </c>
      <c r="C787" s="12"/>
      <c r="D787" s="12">
        <v>1987</v>
      </c>
    </row>
    <row r="788" spans="1:4" ht="19.95" customHeight="1" x14ac:dyDescent="0.25">
      <c r="A788" s="11" t="s">
        <v>40</v>
      </c>
      <c r="B788" s="12" t="s">
        <v>41</v>
      </c>
      <c r="C788" s="12"/>
      <c r="D788" s="12">
        <v>1987</v>
      </c>
    </row>
    <row r="789" spans="1:4" ht="19.95" customHeight="1" x14ac:dyDescent="0.25">
      <c r="A789" s="11" t="s">
        <v>10</v>
      </c>
      <c r="B789" s="12" t="s">
        <v>41</v>
      </c>
      <c r="C789" s="12"/>
      <c r="D789" s="12">
        <v>1988</v>
      </c>
    </row>
    <row r="790" spans="1:4" ht="19.95" customHeight="1" x14ac:dyDescent="0.25">
      <c r="A790" s="11" t="s">
        <v>13</v>
      </c>
      <c r="B790" s="12" t="s">
        <v>41</v>
      </c>
      <c r="C790" s="12"/>
      <c r="D790" s="12">
        <v>1988</v>
      </c>
    </row>
    <row r="791" spans="1:4" ht="19.95" customHeight="1" x14ac:dyDescent="0.25">
      <c r="A791" s="11" t="s">
        <v>15</v>
      </c>
      <c r="B791" s="12" t="s">
        <v>41</v>
      </c>
      <c r="C791" s="12"/>
      <c r="D791" s="12">
        <v>1988</v>
      </c>
    </row>
    <row r="792" spans="1:4" ht="19.95" customHeight="1" x14ac:dyDescent="0.25">
      <c r="A792" s="11" t="s">
        <v>16</v>
      </c>
      <c r="B792" s="12" t="s">
        <v>41</v>
      </c>
      <c r="C792" s="12"/>
      <c r="D792" s="12">
        <v>1988</v>
      </c>
    </row>
    <row r="793" spans="1:4" ht="19.95" customHeight="1" x14ac:dyDescent="0.25">
      <c r="A793" s="11" t="s">
        <v>17</v>
      </c>
      <c r="B793" s="12" t="s">
        <v>41</v>
      </c>
      <c r="C793" s="12"/>
      <c r="D793" s="12">
        <v>1988</v>
      </c>
    </row>
    <row r="794" spans="1:4" ht="19.95" customHeight="1" x14ac:dyDescent="0.25">
      <c r="A794" s="11" t="s">
        <v>2</v>
      </c>
      <c r="B794" s="12" t="s">
        <v>41</v>
      </c>
      <c r="C794" s="12"/>
      <c r="D794" s="12">
        <v>1988</v>
      </c>
    </row>
    <row r="795" spans="1:4" ht="19.95" customHeight="1" x14ac:dyDescent="0.25">
      <c r="A795" s="11" t="s">
        <v>18</v>
      </c>
      <c r="B795" s="12" t="s">
        <v>41</v>
      </c>
      <c r="C795" s="12"/>
      <c r="D795" s="12">
        <v>1988</v>
      </c>
    </row>
    <row r="796" spans="1:4" ht="19.95" customHeight="1" x14ac:dyDescent="0.25">
      <c r="A796" s="11" t="s">
        <v>19</v>
      </c>
      <c r="B796" s="12" t="s">
        <v>41</v>
      </c>
      <c r="C796" s="12"/>
      <c r="D796" s="12">
        <v>1988</v>
      </c>
    </row>
    <row r="797" spans="1:4" ht="19.95" customHeight="1" x14ac:dyDescent="0.25">
      <c r="A797" s="11" t="s">
        <v>20</v>
      </c>
      <c r="B797" s="12" t="s">
        <v>41</v>
      </c>
      <c r="C797" s="12"/>
      <c r="D797" s="12">
        <v>1988</v>
      </c>
    </row>
    <row r="798" spans="1:4" ht="19.95" customHeight="1" x14ac:dyDescent="0.25">
      <c r="A798" s="11" t="s">
        <v>21</v>
      </c>
      <c r="B798" s="12" t="s">
        <v>41</v>
      </c>
      <c r="C798" s="12"/>
      <c r="D798" s="12">
        <v>1988</v>
      </c>
    </row>
    <row r="799" spans="1:4" ht="19.95" customHeight="1" x14ac:dyDescent="0.25">
      <c r="A799" s="11" t="s">
        <v>22</v>
      </c>
      <c r="B799" s="12" t="s">
        <v>41</v>
      </c>
      <c r="C799" s="12"/>
      <c r="D799" s="12">
        <v>1988</v>
      </c>
    </row>
    <row r="800" spans="1:4" ht="19.95" customHeight="1" x14ac:dyDescent="0.25">
      <c r="A800" s="11" t="s">
        <v>23</v>
      </c>
      <c r="B800" s="12" t="s">
        <v>41</v>
      </c>
      <c r="C800" s="12"/>
      <c r="D800" s="12">
        <v>1988</v>
      </c>
    </row>
    <row r="801" spans="1:4" ht="19.95" customHeight="1" x14ac:dyDescent="0.25">
      <c r="A801" s="11" t="s">
        <v>24</v>
      </c>
      <c r="B801" s="12" t="s">
        <v>41</v>
      </c>
      <c r="C801" s="12"/>
      <c r="D801" s="12">
        <v>1988</v>
      </c>
    </row>
    <row r="802" spans="1:4" ht="19.95" customHeight="1" x14ac:dyDescent="0.25">
      <c r="A802" s="11" t="s">
        <v>25</v>
      </c>
      <c r="B802" s="12" t="s">
        <v>41</v>
      </c>
      <c r="C802" s="12"/>
      <c r="D802" s="12">
        <v>1988</v>
      </c>
    </row>
    <row r="803" spans="1:4" ht="19.95" customHeight="1" x14ac:dyDescent="0.25">
      <c r="A803" s="11" t="s">
        <v>26</v>
      </c>
      <c r="B803" s="12" t="s">
        <v>41</v>
      </c>
      <c r="C803" s="12"/>
      <c r="D803" s="12">
        <v>1988</v>
      </c>
    </row>
    <row r="804" spans="1:4" ht="19.95" customHeight="1" x14ac:dyDescent="0.25">
      <c r="A804" s="11" t="s">
        <v>27</v>
      </c>
      <c r="B804" s="12" t="s">
        <v>41</v>
      </c>
      <c r="C804" s="12"/>
      <c r="D804" s="12">
        <v>1988</v>
      </c>
    </row>
    <row r="805" spans="1:4" ht="19.95" customHeight="1" x14ac:dyDescent="0.25">
      <c r="A805" s="11" t="s">
        <v>29</v>
      </c>
      <c r="B805" s="12" t="s">
        <v>41</v>
      </c>
      <c r="C805" s="12"/>
      <c r="D805" s="12">
        <v>1988</v>
      </c>
    </row>
    <row r="806" spans="1:4" ht="19.95" customHeight="1" x14ac:dyDescent="0.25">
      <c r="A806" s="11" t="s">
        <v>30</v>
      </c>
      <c r="B806" s="12" t="s">
        <v>41</v>
      </c>
      <c r="C806" s="12"/>
      <c r="D806" s="12">
        <v>1988</v>
      </c>
    </row>
    <row r="807" spans="1:4" ht="19.95" customHeight="1" x14ac:dyDescent="0.25">
      <c r="A807" s="11" t="s">
        <v>31</v>
      </c>
      <c r="B807" s="12" t="s">
        <v>41</v>
      </c>
      <c r="C807" s="12"/>
      <c r="D807" s="12">
        <v>1988</v>
      </c>
    </row>
    <row r="808" spans="1:4" ht="19.95" customHeight="1" x14ac:dyDescent="0.25">
      <c r="A808" s="11" t="s">
        <v>32</v>
      </c>
      <c r="B808" s="12" t="s">
        <v>41</v>
      </c>
      <c r="C808" s="12"/>
      <c r="D808" s="12">
        <v>1988</v>
      </c>
    </row>
    <row r="809" spans="1:4" ht="19.95" customHeight="1" x14ac:dyDescent="0.25">
      <c r="A809" s="11" t="s">
        <v>33</v>
      </c>
      <c r="B809" s="12" t="s">
        <v>41</v>
      </c>
      <c r="C809" s="12"/>
      <c r="D809" s="12">
        <v>1988</v>
      </c>
    </row>
    <row r="810" spans="1:4" ht="19.95" customHeight="1" x14ac:dyDescent="0.25">
      <c r="A810" s="11" t="s">
        <v>34</v>
      </c>
      <c r="B810" s="12" t="s">
        <v>41</v>
      </c>
      <c r="C810" s="12"/>
      <c r="D810" s="12">
        <v>1988</v>
      </c>
    </row>
    <row r="811" spans="1:4" ht="19.95" customHeight="1" x14ac:dyDescent="0.25">
      <c r="A811" s="11" t="s">
        <v>35</v>
      </c>
      <c r="B811" s="12" t="s">
        <v>41</v>
      </c>
      <c r="C811" s="12"/>
      <c r="D811" s="12">
        <v>1988</v>
      </c>
    </row>
    <row r="812" spans="1:4" ht="19.95" customHeight="1" x14ac:dyDescent="0.25">
      <c r="A812" s="11" t="s">
        <v>36</v>
      </c>
      <c r="B812" s="12" t="s">
        <v>41</v>
      </c>
      <c r="C812" s="12"/>
      <c r="D812" s="12">
        <v>1988</v>
      </c>
    </row>
    <row r="813" spans="1:4" ht="19.95" customHeight="1" x14ac:dyDescent="0.25">
      <c r="A813" s="11" t="s">
        <v>37</v>
      </c>
      <c r="B813" s="12" t="s">
        <v>41</v>
      </c>
      <c r="C813" s="12"/>
      <c r="D813" s="12">
        <v>1988</v>
      </c>
    </row>
    <row r="814" spans="1:4" ht="19.95" customHeight="1" x14ac:dyDescent="0.25">
      <c r="A814" s="11" t="s">
        <v>38</v>
      </c>
      <c r="B814" s="12" t="s">
        <v>41</v>
      </c>
      <c r="C814" s="12"/>
      <c r="D814" s="12">
        <v>1988</v>
      </c>
    </row>
    <row r="815" spans="1:4" ht="19.95" customHeight="1" x14ac:dyDescent="0.25">
      <c r="A815" s="11" t="s">
        <v>39</v>
      </c>
      <c r="B815" s="12" t="s">
        <v>41</v>
      </c>
      <c r="C815" s="12"/>
      <c r="D815" s="12">
        <v>1988</v>
      </c>
    </row>
    <row r="816" spans="1:4" ht="19.95" customHeight="1" x14ac:dyDescent="0.25">
      <c r="A816" s="11" t="s">
        <v>40</v>
      </c>
      <c r="B816" s="12" t="s">
        <v>41</v>
      </c>
      <c r="C816" s="12"/>
      <c r="D816" s="12">
        <v>1988</v>
      </c>
    </row>
    <row r="817" spans="1:4" ht="19.95" customHeight="1" x14ac:dyDescent="0.25">
      <c r="A817" s="11" t="s">
        <v>10</v>
      </c>
      <c r="B817" s="12" t="s">
        <v>41</v>
      </c>
      <c r="C817" s="12"/>
      <c r="D817" s="12">
        <v>1989</v>
      </c>
    </row>
    <row r="818" spans="1:4" ht="19.95" customHeight="1" x14ac:dyDescent="0.25">
      <c r="A818" s="11" t="s">
        <v>13</v>
      </c>
      <c r="B818" s="12" t="s">
        <v>41</v>
      </c>
      <c r="C818" s="12"/>
      <c r="D818" s="12">
        <v>1989</v>
      </c>
    </row>
    <row r="819" spans="1:4" ht="19.95" customHeight="1" x14ac:dyDescent="0.25">
      <c r="A819" s="11" t="s">
        <v>15</v>
      </c>
      <c r="B819" s="12" t="s">
        <v>41</v>
      </c>
      <c r="C819" s="12"/>
      <c r="D819" s="12">
        <v>1989</v>
      </c>
    </row>
    <row r="820" spans="1:4" ht="19.95" customHeight="1" x14ac:dyDescent="0.25">
      <c r="A820" s="11" t="s">
        <v>16</v>
      </c>
      <c r="B820" s="12" t="s">
        <v>41</v>
      </c>
      <c r="C820" s="12"/>
      <c r="D820" s="12">
        <v>1989</v>
      </c>
    </row>
    <row r="821" spans="1:4" ht="19.95" customHeight="1" x14ac:dyDescent="0.25">
      <c r="A821" s="11" t="s">
        <v>17</v>
      </c>
      <c r="B821" s="12" t="s">
        <v>41</v>
      </c>
      <c r="C821" s="12"/>
      <c r="D821" s="12">
        <v>1989</v>
      </c>
    </row>
    <row r="822" spans="1:4" ht="19.95" customHeight="1" x14ac:dyDescent="0.25">
      <c r="A822" s="11" t="s">
        <v>2</v>
      </c>
      <c r="B822" s="12" t="s">
        <v>41</v>
      </c>
      <c r="C822" s="12"/>
      <c r="D822" s="12">
        <v>1989</v>
      </c>
    </row>
    <row r="823" spans="1:4" ht="19.95" customHeight="1" x14ac:dyDescent="0.25">
      <c r="A823" s="11" t="s">
        <v>18</v>
      </c>
      <c r="B823" s="12" t="s">
        <v>41</v>
      </c>
      <c r="C823" s="12"/>
      <c r="D823" s="12">
        <v>1989</v>
      </c>
    </row>
    <row r="824" spans="1:4" ht="19.95" customHeight="1" x14ac:dyDescent="0.25">
      <c r="A824" s="11" t="s">
        <v>19</v>
      </c>
      <c r="B824" s="12" t="s">
        <v>41</v>
      </c>
      <c r="C824" s="12"/>
      <c r="D824" s="12">
        <v>1989</v>
      </c>
    </row>
    <row r="825" spans="1:4" ht="19.95" customHeight="1" x14ac:dyDescent="0.25">
      <c r="A825" s="11" t="s">
        <v>20</v>
      </c>
      <c r="B825" s="12" t="s">
        <v>41</v>
      </c>
      <c r="C825" s="12"/>
      <c r="D825" s="12">
        <v>1989</v>
      </c>
    </row>
    <row r="826" spans="1:4" ht="19.95" customHeight="1" x14ac:dyDescent="0.25">
      <c r="A826" s="11" t="s">
        <v>21</v>
      </c>
      <c r="B826" s="12" t="s">
        <v>41</v>
      </c>
      <c r="C826" s="12"/>
      <c r="D826" s="12">
        <v>1989</v>
      </c>
    </row>
    <row r="827" spans="1:4" ht="19.95" customHeight="1" x14ac:dyDescent="0.25">
      <c r="A827" s="11" t="s">
        <v>22</v>
      </c>
      <c r="B827" s="12" t="s">
        <v>41</v>
      </c>
      <c r="C827" s="12"/>
      <c r="D827" s="12">
        <v>1989</v>
      </c>
    </row>
    <row r="828" spans="1:4" ht="19.95" customHeight="1" x14ac:dyDescent="0.25">
      <c r="A828" s="11" t="s">
        <v>23</v>
      </c>
      <c r="B828" s="12" t="s">
        <v>41</v>
      </c>
      <c r="C828" s="12"/>
      <c r="D828" s="12">
        <v>1989</v>
      </c>
    </row>
    <row r="829" spans="1:4" ht="19.95" customHeight="1" x14ac:dyDescent="0.25">
      <c r="A829" s="11" t="s">
        <v>24</v>
      </c>
      <c r="B829" s="12" t="s">
        <v>41</v>
      </c>
      <c r="C829" s="12"/>
      <c r="D829" s="12">
        <v>1989</v>
      </c>
    </row>
    <row r="830" spans="1:4" ht="19.95" customHeight="1" x14ac:dyDescent="0.25">
      <c r="A830" s="11" t="s">
        <v>25</v>
      </c>
      <c r="B830" s="12" t="s">
        <v>41</v>
      </c>
      <c r="C830" s="12"/>
      <c r="D830" s="12">
        <v>1989</v>
      </c>
    </row>
    <row r="831" spans="1:4" ht="19.95" customHeight="1" x14ac:dyDescent="0.25">
      <c r="A831" s="11" t="s">
        <v>26</v>
      </c>
      <c r="B831" s="12" t="s">
        <v>41</v>
      </c>
      <c r="C831" s="12"/>
      <c r="D831" s="12">
        <v>1989</v>
      </c>
    </row>
    <row r="832" spans="1:4" ht="19.95" customHeight="1" x14ac:dyDescent="0.25">
      <c r="A832" s="11" t="s">
        <v>27</v>
      </c>
      <c r="B832" s="12" t="s">
        <v>41</v>
      </c>
      <c r="C832" s="12"/>
      <c r="D832" s="12">
        <v>1989</v>
      </c>
    </row>
    <row r="833" spans="1:4" ht="19.95" customHeight="1" x14ac:dyDescent="0.25">
      <c r="A833" s="11" t="s">
        <v>29</v>
      </c>
      <c r="B833" s="12" t="s">
        <v>41</v>
      </c>
      <c r="C833" s="12"/>
      <c r="D833" s="12">
        <v>1989</v>
      </c>
    </row>
    <row r="834" spans="1:4" ht="19.95" customHeight="1" x14ac:dyDescent="0.25">
      <c r="A834" s="11" t="s">
        <v>30</v>
      </c>
      <c r="B834" s="12" t="s">
        <v>41</v>
      </c>
      <c r="C834" s="12"/>
      <c r="D834" s="12">
        <v>1989</v>
      </c>
    </row>
    <row r="835" spans="1:4" ht="19.95" customHeight="1" x14ac:dyDescent="0.25">
      <c r="A835" s="11" t="s">
        <v>31</v>
      </c>
      <c r="B835" s="12" t="s">
        <v>41</v>
      </c>
      <c r="C835" s="12"/>
      <c r="D835" s="12">
        <v>1989</v>
      </c>
    </row>
    <row r="836" spans="1:4" ht="19.95" customHeight="1" x14ac:dyDescent="0.25">
      <c r="A836" s="11" t="s">
        <v>32</v>
      </c>
      <c r="B836" s="12" t="s">
        <v>41</v>
      </c>
      <c r="C836" s="12"/>
      <c r="D836" s="12">
        <v>1989</v>
      </c>
    </row>
    <row r="837" spans="1:4" ht="19.95" customHeight="1" x14ac:dyDescent="0.25">
      <c r="A837" s="11" t="s">
        <v>33</v>
      </c>
      <c r="B837" s="12" t="s">
        <v>41</v>
      </c>
      <c r="C837" s="12"/>
      <c r="D837" s="12">
        <v>1989</v>
      </c>
    </row>
    <row r="838" spans="1:4" ht="19.95" customHeight="1" x14ac:dyDescent="0.25">
      <c r="A838" s="11" t="s">
        <v>34</v>
      </c>
      <c r="B838" s="12" t="s">
        <v>41</v>
      </c>
      <c r="C838" s="12"/>
      <c r="D838" s="12">
        <v>1989</v>
      </c>
    </row>
    <row r="839" spans="1:4" ht="19.95" customHeight="1" x14ac:dyDescent="0.25">
      <c r="A839" s="11" t="s">
        <v>35</v>
      </c>
      <c r="B839" s="12" t="s">
        <v>41</v>
      </c>
      <c r="C839" s="12"/>
      <c r="D839" s="12">
        <v>1989</v>
      </c>
    </row>
    <row r="840" spans="1:4" ht="19.95" customHeight="1" x14ac:dyDescent="0.25">
      <c r="A840" s="11" t="s">
        <v>36</v>
      </c>
      <c r="B840" s="12" t="s">
        <v>41</v>
      </c>
      <c r="C840" s="12"/>
      <c r="D840" s="12">
        <v>1989</v>
      </c>
    </row>
    <row r="841" spans="1:4" ht="19.95" customHeight="1" x14ac:dyDescent="0.25">
      <c r="A841" s="11" t="s">
        <v>37</v>
      </c>
      <c r="B841" s="12" t="s">
        <v>41</v>
      </c>
      <c r="C841" s="12"/>
      <c r="D841" s="12">
        <v>1989</v>
      </c>
    </row>
    <row r="842" spans="1:4" ht="19.95" customHeight="1" x14ac:dyDescent="0.25">
      <c r="A842" s="11" t="s">
        <v>38</v>
      </c>
      <c r="B842" s="12" t="s">
        <v>41</v>
      </c>
      <c r="C842" s="12"/>
      <c r="D842" s="12">
        <v>1989</v>
      </c>
    </row>
    <row r="843" spans="1:4" ht="19.95" customHeight="1" x14ac:dyDescent="0.25">
      <c r="A843" s="11" t="s">
        <v>39</v>
      </c>
      <c r="B843" s="12" t="s">
        <v>41</v>
      </c>
      <c r="C843" s="12"/>
      <c r="D843" s="12">
        <v>1989</v>
      </c>
    </row>
    <row r="844" spans="1:4" ht="19.95" customHeight="1" x14ac:dyDescent="0.25">
      <c r="A844" s="11" t="s">
        <v>40</v>
      </c>
      <c r="B844" s="12" t="s">
        <v>41</v>
      </c>
      <c r="C844" s="12"/>
      <c r="D844" s="12">
        <v>1989</v>
      </c>
    </row>
    <row r="845" spans="1:4" ht="19.95" customHeight="1" x14ac:dyDescent="0.25">
      <c r="A845" s="11" t="s">
        <v>10</v>
      </c>
      <c r="B845" s="12" t="s">
        <v>41</v>
      </c>
      <c r="C845" s="12"/>
      <c r="D845" s="12">
        <v>1990</v>
      </c>
    </row>
    <row r="846" spans="1:4" ht="19.95" customHeight="1" x14ac:dyDescent="0.25">
      <c r="A846" s="11" t="s">
        <v>13</v>
      </c>
      <c r="B846" s="12" t="s">
        <v>41</v>
      </c>
      <c r="C846" s="12">
        <v>5.4870045558104401</v>
      </c>
      <c r="D846" s="12">
        <v>1990</v>
      </c>
    </row>
    <row r="847" spans="1:4" ht="19.95" customHeight="1" x14ac:dyDescent="0.25">
      <c r="A847" s="11" t="s">
        <v>15</v>
      </c>
      <c r="B847" s="12" t="s">
        <v>41</v>
      </c>
      <c r="C847" s="12">
        <v>9.9999997764825804E-3</v>
      </c>
      <c r="D847" s="12">
        <v>1990</v>
      </c>
    </row>
    <row r="848" spans="1:4" ht="19.95" customHeight="1" x14ac:dyDescent="0.25">
      <c r="A848" s="11" t="s">
        <v>16</v>
      </c>
      <c r="B848" s="12" t="s">
        <v>41</v>
      </c>
      <c r="C848" s="12">
        <v>3.0089544334496798</v>
      </c>
      <c r="D848" s="12">
        <v>1990</v>
      </c>
    </row>
    <row r="849" spans="1:4" ht="19.95" customHeight="1" x14ac:dyDescent="0.25">
      <c r="A849" s="11" t="s">
        <v>17</v>
      </c>
      <c r="B849" s="12" t="s">
        <v>41</v>
      </c>
      <c r="C849" s="12">
        <v>87.781186418693395</v>
      </c>
      <c r="D849" s="12">
        <v>1990</v>
      </c>
    </row>
    <row r="850" spans="1:4" ht="19.95" customHeight="1" x14ac:dyDescent="0.25">
      <c r="A850" s="11" t="s">
        <v>2</v>
      </c>
      <c r="B850" s="12" t="s">
        <v>41</v>
      </c>
      <c r="C850" s="12"/>
      <c r="D850" s="12">
        <v>1990</v>
      </c>
    </row>
    <row r="851" spans="1:4" ht="19.95" customHeight="1" x14ac:dyDescent="0.25">
      <c r="A851" s="11" t="s">
        <v>18</v>
      </c>
      <c r="B851" s="12" t="s">
        <v>41</v>
      </c>
      <c r="C851" s="12"/>
      <c r="D851" s="12">
        <v>1990</v>
      </c>
    </row>
    <row r="852" spans="1:4" ht="19.95" customHeight="1" x14ac:dyDescent="0.25">
      <c r="A852" s="11" t="s">
        <v>19</v>
      </c>
      <c r="B852" s="12" t="s">
        <v>41</v>
      </c>
      <c r="C852" s="12">
        <v>10.2807451611761</v>
      </c>
      <c r="D852" s="12">
        <v>1990</v>
      </c>
    </row>
    <row r="853" spans="1:4" ht="19.95" customHeight="1" x14ac:dyDescent="0.25">
      <c r="A853" s="11" t="s">
        <v>20</v>
      </c>
      <c r="B853" s="12" t="s">
        <v>41</v>
      </c>
      <c r="C853" s="12"/>
      <c r="D853" s="12">
        <v>1990</v>
      </c>
    </row>
    <row r="854" spans="1:4" ht="19.95" customHeight="1" x14ac:dyDescent="0.25">
      <c r="A854" s="11" t="s">
        <v>21</v>
      </c>
      <c r="B854" s="12" t="s">
        <v>41</v>
      </c>
      <c r="C854" s="12"/>
      <c r="D854" s="12">
        <v>1990</v>
      </c>
    </row>
    <row r="855" spans="1:4" ht="19.95" customHeight="1" x14ac:dyDescent="0.25">
      <c r="A855" s="11" t="s">
        <v>22</v>
      </c>
      <c r="B855" s="12" t="s">
        <v>41</v>
      </c>
      <c r="C855" s="12">
        <v>9.9999997764825804E-3</v>
      </c>
      <c r="D855" s="12">
        <v>1990</v>
      </c>
    </row>
    <row r="856" spans="1:4" ht="19.95" customHeight="1" x14ac:dyDescent="0.25">
      <c r="A856" s="11" t="s">
        <v>23</v>
      </c>
      <c r="B856" s="12" t="s">
        <v>41</v>
      </c>
      <c r="C856" s="12">
        <v>1.0436780208184699</v>
      </c>
      <c r="D856" s="12">
        <v>1990</v>
      </c>
    </row>
    <row r="857" spans="1:4" ht="19.95" customHeight="1" x14ac:dyDescent="0.25">
      <c r="A857" s="11" t="s">
        <v>24</v>
      </c>
      <c r="B857" s="12" t="s">
        <v>41</v>
      </c>
      <c r="C857" s="12"/>
      <c r="D857" s="12">
        <v>1990</v>
      </c>
    </row>
    <row r="858" spans="1:4" ht="19.95" customHeight="1" x14ac:dyDescent="0.25">
      <c r="A858" s="11" t="s">
        <v>25</v>
      </c>
      <c r="B858" s="12" t="s">
        <v>41</v>
      </c>
      <c r="C858" s="12"/>
      <c r="D858" s="12">
        <v>1990</v>
      </c>
    </row>
    <row r="859" spans="1:4" ht="19.95" customHeight="1" x14ac:dyDescent="0.25">
      <c r="A859" s="11" t="s">
        <v>26</v>
      </c>
      <c r="B859" s="12" t="s">
        <v>41</v>
      </c>
      <c r="C859" s="12">
        <v>94.001993357141103</v>
      </c>
      <c r="D859" s="12">
        <v>1990</v>
      </c>
    </row>
    <row r="860" spans="1:4" ht="19.95" customHeight="1" x14ac:dyDescent="0.25">
      <c r="A860" s="11" t="s">
        <v>27</v>
      </c>
      <c r="B860" s="12" t="s">
        <v>41</v>
      </c>
      <c r="C860" s="12">
        <v>9.9999997764825804E-3</v>
      </c>
      <c r="D860" s="12">
        <v>1990</v>
      </c>
    </row>
    <row r="861" spans="1:4" ht="19.95" customHeight="1" x14ac:dyDescent="0.25">
      <c r="A861" s="11" t="s">
        <v>29</v>
      </c>
      <c r="B861" s="12" t="s">
        <v>41</v>
      </c>
      <c r="C861" s="12">
        <v>20.2573439855332</v>
      </c>
      <c r="D861" s="12">
        <v>1990</v>
      </c>
    </row>
    <row r="862" spans="1:4" ht="19.95" customHeight="1" x14ac:dyDescent="0.25">
      <c r="A862" s="11" t="s">
        <v>30</v>
      </c>
      <c r="B862" s="12" t="s">
        <v>41</v>
      </c>
      <c r="C862" s="12"/>
      <c r="D862" s="12">
        <v>1990</v>
      </c>
    </row>
    <row r="863" spans="1:4" ht="19.95" customHeight="1" x14ac:dyDescent="0.25">
      <c r="A863" s="11" t="s">
        <v>31</v>
      </c>
      <c r="B863" s="12" t="s">
        <v>41</v>
      </c>
      <c r="C863" s="12">
        <v>41.265643444704203</v>
      </c>
      <c r="D863" s="12">
        <v>1990</v>
      </c>
    </row>
    <row r="864" spans="1:4" ht="19.95" customHeight="1" x14ac:dyDescent="0.25">
      <c r="A864" s="11" t="s">
        <v>32</v>
      </c>
      <c r="B864" s="12" t="s">
        <v>41</v>
      </c>
      <c r="C864" s="12"/>
      <c r="D864" s="12">
        <v>1990</v>
      </c>
    </row>
    <row r="865" spans="1:4" ht="19.95" customHeight="1" x14ac:dyDescent="0.25">
      <c r="A865" s="11" t="s">
        <v>33</v>
      </c>
      <c r="B865" s="12" t="s">
        <v>41</v>
      </c>
      <c r="C865" s="12"/>
      <c r="D865" s="12">
        <v>1990</v>
      </c>
    </row>
    <row r="866" spans="1:4" ht="19.95" customHeight="1" x14ac:dyDescent="0.25">
      <c r="A866" s="11" t="s">
        <v>34</v>
      </c>
      <c r="B866" s="12" t="s">
        <v>41</v>
      </c>
      <c r="C866" s="12">
        <v>30.662198615890301</v>
      </c>
      <c r="D866" s="12">
        <v>1990</v>
      </c>
    </row>
    <row r="867" spans="1:4" ht="19.95" customHeight="1" x14ac:dyDescent="0.25">
      <c r="A867" s="11" t="s">
        <v>35</v>
      </c>
      <c r="B867" s="12" t="s">
        <v>41</v>
      </c>
      <c r="C867" s="12">
        <v>46.9035124200065</v>
      </c>
      <c r="D867" s="12">
        <v>1990</v>
      </c>
    </row>
    <row r="868" spans="1:4" ht="19.95" customHeight="1" x14ac:dyDescent="0.25">
      <c r="A868" s="11" t="s">
        <v>36</v>
      </c>
      <c r="B868" s="12" t="s">
        <v>41</v>
      </c>
      <c r="C868" s="12">
        <v>95.406868152828395</v>
      </c>
      <c r="D868" s="12">
        <v>1990</v>
      </c>
    </row>
    <row r="869" spans="1:4" ht="19.95" customHeight="1" x14ac:dyDescent="0.25">
      <c r="A869" s="11" t="s">
        <v>37</v>
      </c>
      <c r="B869" s="12" t="s">
        <v>41</v>
      </c>
      <c r="C869" s="12"/>
      <c r="D869" s="12">
        <v>1990</v>
      </c>
    </row>
    <row r="870" spans="1:4" ht="19.95" customHeight="1" x14ac:dyDescent="0.25">
      <c r="A870" s="11" t="s">
        <v>38</v>
      </c>
      <c r="B870" s="12" t="s">
        <v>41</v>
      </c>
      <c r="C870" s="12"/>
      <c r="D870" s="12">
        <v>1990</v>
      </c>
    </row>
    <row r="871" spans="1:4" ht="19.95" customHeight="1" x14ac:dyDescent="0.25">
      <c r="A871" s="11" t="s">
        <v>39</v>
      </c>
      <c r="B871" s="12" t="s">
        <v>41</v>
      </c>
      <c r="C871" s="12">
        <v>1.8</v>
      </c>
      <c r="D871" s="12">
        <v>1990</v>
      </c>
    </row>
    <row r="872" spans="1:4" ht="19.95" customHeight="1" x14ac:dyDescent="0.25">
      <c r="A872" s="11" t="s">
        <v>40</v>
      </c>
      <c r="B872" s="12" t="s">
        <v>41</v>
      </c>
      <c r="C872" s="12">
        <v>7.8318144965853698</v>
      </c>
      <c r="D872" s="12">
        <v>1990</v>
      </c>
    </row>
    <row r="873" spans="1:4" ht="19.95" customHeight="1" x14ac:dyDescent="0.25">
      <c r="A873" s="11" t="s">
        <v>10</v>
      </c>
      <c r="B873" s="12" t="s">
        <v>41</v>
      </c>
      <c r="C873" s="12"/>
      <c r="D873" s="12">
        <v>1991</v>
      </c>
    </row>
    <row r="874" spans="1:4" ht="19.95" customHeight="1" x14ac:dyDescent="0.25">
      <c r="A874" s="11" t="s">
        <v>13</v>
      </c>
      <c r="B874" s="12" t="s">
        <v>41</v>
      </c>
      <c r="C874" s="12">
        <v>8.6999999999999993</v>
      </c>
      <c r="D874" s="12">
        <v>1991</v>
      </c>
    </row>
    <row r="875" spans="1:4" ht="19.95" customHeight="1" x14ac:dyDescent="0.25">
      <c r="A875" s="11" t="s">
        <v>15</v>
      </c>
      <c r="B875" s="12" t="s">
        <v>41</v>
      </c>
      <c r="C875" s="12"/>
      <c r="D875" s="12">
        <v>1991</v>
      </c>
    </row>
    <row r="876" spans="1:4" ht="19.95" customHeight="1" x14ac:dyDescent="0.25">
      <c r="A876" s="11" t="s">
        <v>16</v>
      </c>
      <c r="B876" s="12" t="s">
        <v>41</v>
      </c>
      <c r="C876" s="12">
        <v>5.4604591669441698</v>
      </c>
      <c r="D876" s="12">
        <v>1991</v>
      </c>
    </row>
    <row r="877" spans="1:4" ht="19.95" customHeight="1" x14ac:dyDescent="0.25">
      <c r="A877" s="11" t="s">
        <v>17</v>
      </c>
      <c r="B877" s="12" t="s">
        <v>41</v>
      </c>
      <c r="C877" s="12">
        <v>84.966455691593595</v>
      </c>
      <c r="D877" s="12">
        <v>1991</v>
      </c>
    </row>
    <row r="878" spans="1:4" ht="19.95" customHeight="1" x14ac:dyDescent="0.25">
      <c r="A878" s="11" t="s">
        <v>2</v>
      </c>
      <c r="B878" s="12" t="s">
        <v>41</v>
      </c>
      <c r="C878" s="12"/>
      <c r="D878" s="12">
        <v>1991</v>
      </c>
    </row>
    <row r="879" spans="1:4" ht="19.95" customHeight="1" x14ac:dyDescent="0.25">
      <c r="A879" s="11" t="s">
        <v>18</v>
      </c>
      <c r="B879" s="12" t="s">
        <v>41</v>
      </c>
      <c r="C879" s="12"/>
      <c r="D879" s="12">
        <v>1991</v>
      </c>
    </row>
    <row r="880" spans="1:4" ht="19.95" customHeight="1" x14ac:dyDescent="0.25">
      <c r="A880" s="11" t="s">
        <v>19</v>
      </c>
      <c r="B880" s="12" t="s">
        <v>41</v>
      </c>
      <c r="C880" s="12">
        <v>10.066361943880599</v>
      </c>
      <c r="D880" s="12">
        <v>1991</v>
      </c>
    </row>
    <row r="881" spans="1:4" ht="19.95" customHeight="1" x14ac:dyDescent="0.25">
      <c r="A881" s="11" t="s">
        <v>20</v>
      </c>
      <c r="B881" s="12" t="s">
        <v>41</v>
      </c>
      <c r="C881" s="12"/>
      <c r="D881" s="12">
        <v>1991</v>
      </c>
    </row>
    <row r="882" spans="1:4" ht="19.95" customHeight="1" x14ac:dyDescent="0.25">
      <c r="A882" s="11" t="s">
        <v>21</v>
      </c>
      <c r="B882" s="12" t="s">
        <v>41</v>
      </c>
      <c r="C882" s="12"/>
      <c r="D882" s="12">
        <v>1991</v>
      </c>
    </row>
    <row r="883" spans="1:4" ht="19.95" customHeight="1" x14ac:dyDescent="0.25">
      <c r="A883" s="11" t="s">
        <v>22</v>
      </c>
      <c r="B883" s="12" t="s">
        <v>41</v>
      </c>
      <c r="C883" s="12">
        <v>9.9999997764825804E-3</v>
      </c>
      <c r="D883" s="12">
        <v>1991</v>
      </c>
    </row>
    <row r="884" spans="1:4" ht="19.95" customHeight="1" x14ac:dyDescent="0.25">
      <c r="A884" s="11" t="s">
        <v>23</v>
      </c>
      <c r="B884" s="12" t="s">
        <v>41</v>
      </c>
      <c r="C884" s="12">
        <v>0.99455125361452401</v>
      </c>
      <c r="D884" s="12">
        <v>1991</v>
      </c>
    </row>
    <row r="885" spans="1:4" ht="19.95" customHeight="1" x14ac:dyDescent="0.25">
      <c r="A885" s="11" t="s">
        <v>24</v>
      </c>
      <c r="B885" s="12" t="s">
        <v>41</v>
      </c>
      <c r="C885" s="12"/>
      <c r="D885" s="12">
        <v>1991</v>
      </c>
    </row>
    <row r="886" spans="1:4" ht="19.95" customHeight="1" x14ac:dyDescent="0.25">
      <c r="A886" s="11" t="s">
        <v>25</v>
      </c>
      <c r="B886" s="12" t="s">
        <v>41</v>
      </c>
      <c r="C886" s="12"/>
      <c r="D886" s="12">
        <v>1991</v>
      </c>
    </row>
    <row r="887" spans="1:4" ht="19.95" customHeight="1" x14ac:dyDescent="0.25">
      <c r="A887" s="11" t="s">
        <v>26</v>
      </c>
      <c r="B887" s="12" t="s">
        <v>41</v>
      </c>
      <c r="C887" s="12">
        <v>94.456572900039902</v>
      </c>
      <c r="D887" s="12">
        <v>1991</v>
      </c>
    </row>
    <row r="888" spans="1:4" ht="19.95" customHeight="1" x14ac:dyDescent="0.25">
      <c r="A888" s="11" t="s">
        <v>27</v>
      </c>
      <c r="B888" s="12" t="s">
        <v>41</v>
      </c>
      <c r="C888" s="12"/>
      <c r="D888" s="12">
        <v>1991</v>
      </c>
    </row>
    <row r="889" spans="1:4" ht="19.95" customHeight="1" x14ac:dyDescent="0.25">
      <c r="A889" s="11" t="s">
        <v>29</v>
      </c>
      <c r="B889" s="12" t="s">
        <v>41</v>
      </c>
      <c r="C889" s="12">
        <v>21.2179255170396</v>
      </c>
      <c r="D889" s="12">
        <v>1991</v>
      </c>
    </row>
    <row r="890" spans="1:4" ht="19.95" customHeight="1" x14ac:dyDescent="0.25">
      <c r="A890" s="11" t="s">
        <v>30</v>
      </c>
      <c r="B890" s="12" t="s">
        <v>41</v>
      </c>
      <c r="C890" s="12"/>
      <c r="D890" s="12">
        <v>1991</v>
      </c>
    </row>
    <row r="891" spans="1:4" ht="19.95" customHeight="1" x14ac:dyDescent="0.25">
      <c r="A891" s="11" t="s">
        <v>31</v>
      </c>
      <c r="B891" s="12" t="s">
        <v>41</v>
      </c>
      <c r="C891" s="12">
        <v>41.9692958748442</v>
      </c>
      <c r="D891" s="12">
        <v>1991</v>
      </c>
    </row>
    <row r="892" spans="1:4" ht="19.95" customHeight="1" x14ac:dyDescent="0.25">
      <c r="A892" s="11" t="s">
        <v>32</v>
      </c>
      <c r="B892" s="12" t="s">
        <v>41</v>
      </c>
      <c r="C892" s="12"/>
      <c r="D892" s="12">
        <v>1991</v>
      </c>
    </row>
    <row r="893" spans="1:4" ht="19.95" customHeight="1" x14ac:dyDescent="0.25">
      <c r="A893" s="11" t="s">
        <v>33</v>
      </c>
      <c r="B893" s="12" t="s">
        <v>41</v>
      </c>
      <c r="C893" s="12"/>
      <c r="D893" s="12">
        <v>1991</v>
      </c>
    </row>
    <row r="894" spans="1:4" ht="19.95" customHeight="1" x14ac:dyDescent="0.25">
      <c r="A894" s="11" t="s">
        <v>34</v>
      </c>
      <c r="B894" s="12" t="s">
        <v>41</v>
      </c>
      <c r="C894" s="12">
        <v>31.321005387869299</v>
      </c>
      <c r="D894" s="12">
        <v>1991</v>
      </c>
    </row>
    <row r="895" spans="1:4" ht="19.95" customHeight="1" x14ac:dyDescent="0.25">
      <c r="A895" s="11" t="s">
        <v>35</v>
      </c>
      <c r="B895" s="12" t="s">
        <v>41</v>
      </c>
      <c r="C895" s="12">
        <v>48.806741010354898</v>
      </c>
      <c r="D895" s="12">
        <v>1991</v>
      </c>
    </row>
    <row r="896" spans="1:4" ht="19.95" customHeight="1" x14ac:dyDescent="0.25">
      <c r="A896" s="11" t="s">
        <v>36</v>
      </c>
      <c r="B896" s="12" t="s">
        <v>41</v>
      </c>
      <c r="C896" s="12">
        <v>95.729380450434604</v>
      </c>
      <c r="D896" s="12">
        <v>1991</v>
      </c>
    </row>
    <row r="897" spans="1:4" ht="19.95" customHeight="1" x14ac:dyDescent="0.25">
      <c r="A897" s="11" t="s">
        <v>37</v>
      </c>
      <c r="B897" s="12" t="s">
        <v>41</v>
      </c>
      <c r="C897" s="12"/>
      <c r="D897" s="12">
        <v>1991</v>
      </c>
    </row>
    <row r="898" spans="1:4" ht="19.95" customHeight="1" x14ac:dyDescent="0.25">
      <c r="A898" s="11" t="s">
        <v>38</v>
      </c>
      <c r="B898" s="12" t="s">
        <v>41</v>
      </c>
      <c r="C898" s="12">
        <v>1.5</v>
      </c>
      <c r="D898" s="12">
        <v>1991</v>
      </c>
    </row>
    <row r="899" spans="1:4" ht="19.95" customHeight="1" x14ac:dyDescent="0.25">
      <c r="A899" s="11" t="s">
        <v>39</v>
      </c>
      <c r="B899" s="12" t="s">
        <v>41</v>
      </c>
      <c r="C899" s="12"/>
      <c r="D899" s="12">
        <v>1991</v>
      </c>
    </row>
    <row r="900" spans="1:4" ht="19.95" customHeight="1" x14ac:dyDescent="0.25">
      <c r="A900" s="11" t="s">
        <v>40</v>
      </c>
      <c r="B900" s="12" t="s">
        <v>41</v>
      </c>
      <c r="C900" s="12">
        <v>7.5152241303487104</v>
      </c>
      <c r="D900" s="12">
        <v>1991</v>
      </c>
    </row>
    <row r="901" spans="1:4" ht="19.95" customHeight="1" x14ac:dyDescent="0.25">
      <c r="A901" s="11" t="s">
        <v>10</v>
      </c>
      <c r="B901" s="12" t="s">
        <v>41</v>
      </c>
      <c r="C901" s="12"/>
      <c r="D901" s="12">
        <v>1992</v>
      </c>
    </row>
    <row r="902" spans="1:4" ht="19.95" customHeight="1" x14ac:dyDescent="0.25">
      <c r="A902" s="11" t="s">
        <v>13</v>
      </c>
      <c r="B902" s="12" t="s">
        <v>41</v>
      </c>
      <c r="C902" s="12">
        <v>7.0752687610139002</v>
      </c>
      <c r="D902" s="12">
        <v>1992</v>
      </c>
    </row>
    <row r="903" spans="1:4" ht="19.95" customHeight="1" x14ac:dyDescent="0.25">
      <c r="A903" s="11" t="s">
        <v>15</v>
      </c>
      <c r="B903" s="12" t="s">
        <v>41</v>
      </c>
      <c r="C903" s="12"/>
      <c r="D903" s="12">
        <v>1992</v>
      </c>
    </row>
    <row r="904" spans="1:4" ht="19.95" customHeight="1" x14ac:dyDescent="0.25">
      <c r="A904" s="11" t="s">
        <v>16</v>
      </c>
      <c r="B904" s="12" t="s">
        <v>41</v>
      </c>
      <c r="C904" s="12">
        <v>8.1766050466885201</v>
      </c>
      <c r="D904" s="12">
        <v>1992</v>
      </c>
    </row>
    <row r="905" spans="1:4" ht="19.95" customHeight="1" x14ac:dyDescent="0.25">
      <c r="A905" s="11" t="s">
        <v>17</v>
      </c>
      <c r="B905" s="12" t="s">
        <v>41</v>
      </c>
      <c r="C905" s="12">
        <v>81.965504170846302</v>
      </c>
      <c r="D905" s="12">
        <v>1992</v>
      </c>
    </row>
    <row r="906" spans="1:4" ht="19.95" customHeight="1" x14ac:dyDescent="0.25">
      <c r="A906" s="11" t="s">
        <v>2</v>
      </c>
      <c r="B906" s="12" t="s">
        <v>41</v>
      </c>
      <c r="C906" s="12"/>
      <c r="D906" s="12">
        <v>1992</v>
      </c>
    </row>
    <row r="907" spans="1:4" ht="19.95" customHeight="1" x14ac:dyDescent="0.25">
      <c r="A907" s="11" t="s">
        <v>18</v>
      </c>
      <c r="B907" s="12" t="s">
        <v>41</v>
      </c>
      <c r="C907" s="12"/>
      <c r="D907" s="12">
        <v>1992</v>
      </c>
    </row>
    <row r="908" spans="1:4" ht="19.95" customHeight="1" x14ac:dyDescent="0.25">
      <c r="A908" s="11" t="s">
        <v>19</v>
      </c>
      <c r="B908" s="12" t="s">
        <v>41</v>
      </c>
      <c r="C908" s="12">
        <v>9.8279924824115898</v>
      </c>
      <c r="D908" s="12">
        <v>1992</v>
      </c>
    </row>
    <row r="909" spans="1:4" ht="19.95" customHeight="1" x14ac:dyDescent="0.25">
      <c r="A909" s="11" t="s">
        <v>20</v>
      </c>
      <c r="B909" s="12" t="s">
        <v>41</v>
      </c>
      <c r="C909" s="12"/>
      <c r="D909" s="12">
        <v>1992</v>
      </c>
    </row>
    <row r="910" spans="1:4" ht="19.95" customHeight="1" x14ac:dyDescent="0.25">
      <c r="A910" s="11" t="s">
        <v>21</v>
      </c>
      <c r="B910" s="12" t="s">
        <v>41</v>
      </c>
      <c r="C910" s="12"/>
      <c r="D910" s="12">
        <v>1992</v>
      </c>
    </row>
    <row r="911" spans="1:4" ht="19.95" customHeight="1" x14ac:dyDescent="0.25">
      <c r="A911" s="11" t="s">
        <v>22</v>
      </c>
      <c r="B911" s="12" t="s">
        <v>41</v>
      </c>
      <c r="C911" s="12">
        <v>9.9999997764825804E-3</v>
      </c>
      <c r="D911" s="12">
        <v>1992</v>
      </c>
    </row>
    <row r="912" spans="1:4" ht="19.95" customHeight="1" x14ac:dyDescent="0.25">
      <c r="A912" s="11" t="s">
        <v>23</v>
      </c>
      <c r="B912" s="12" t="s">
        <v>41</v>
      </c>
      <c r="C912" s="12">
        <v>1.9</v>
      </c>
      <c r="D912" s="12">
        <v>1992</v>
      </c>
    </row>
    <row r="913" spans="1:4" ht="19.95" customHeight="1" x14ac:dyDescent="0.25">
      <c r="A913" s="11" t="s">
        <v>24</v>
      </c>
      <c r="B913" s="12" t="s">
        <v>41</v>
      </c>
      <c r="C913" s="12">
        <v>1.1000000000000001</v>
      </c>
      <c r="D913" s="12">
        <v>1992</v>
      </c>
    </row>
    <row r="914" spans="1:4" ht="19.95" customHeight="1" x14ac:dyDescent="0.25">
      <c r="A914" s="11" t="s">
        <v>25</v>
      </c>
      <c r="B914" s="12" t="s">
        <v>41</v>
      </c>
      <c r="C914" s="12"/>
      <c r="D914" s="12">
        <v>1992</v>
      </c>
    </row>
    <row r="915" spans="1:4" ht="19.95" customHeight="1" x14ac:dyDescent="0.25">
      <c r="A915" s="11" t="s">
        <v>26</v>
      </c>
      <c r="B915" s="12" t="s">
        <v>41</v>
      </c>
      <c r="C915" s="12">
        <v>94.909647546720507</v>
      </c>
      <c r="D915" s="12">
        <v>1992</v>
      </c>
    </row>
    <row r="916" spans="1:4" ht="19.95" customHeight="1" x14ac:dyDescent="0.25">
      <c r="A916" s="11" t="s">
        <v>27</v>
      </c>
      <c r="B916" s="12" t="s">
        <v>41</v>
      </c>
      <c r="C916" s="12"/>
      <c r="D916" s="12">
        <v>1992</v>
      </c>
    </row>
    <row r="917" spans="1:4" ht="19.95" customHeight="1" x14ac:dyDescent="0.25">
      <c r="A917" s="11" t="s">
        <v>29</v>
      </c>
      <c r="B917" s="12" t="s">
        <v>41</v>
      </c>
      <c r="C917" s="12">
        <v>22.166091201676799</v>
      </c>
      <c r="D917" s="12">
        <v>1992</v>
      </c>
    </row>
    <row r="918" spans="1:4" ht="19.95" customHeight="1" x14ac:dyDescent="0.25">
      <c r="A918" s="11" t="s">
        <v>30</v>
      </c>
      <c r="B918" s="12" t="s">
        <v>41</v>
      </c>
      <c r="C918" s="12"/>
      <c r="D918" s="12">
        <v>1992</v>
      </c>
    </row>
    <row r="919" spans="1:4" ht="19.95" customHeight="1" x14ac:dyDescent="0.25">
      <c r="A919" s="11" t="s">
        <v>31</v>
      </c>
      <c r="B919" s="12" t="s">
        <v>41</v>
      </c>
      <c r="C919" s="12">
        <v>42.675611844115302</v>
      </c>
      <c r="D919" s="12">
        <v>1992</v>
      </c>
    </row>
    <row r="920" spans="1:4" ht="19.95" customHeight="1" x14ac:dyDescent="0.25">
      <c r="A920" s="11" t="s">
        <v>32</v>
      </c>
      <c r="B920" s="12" t="s">
        <v>41</v>
      </c>
      <c r="C920" s="12">
        <v>0.2</v>
      </c>
      <c r="D920" s="12">
        <v>1992</v>
      </c>
    </row>
    <row r="921" spans="1:4" ht="19.95" customHeight="1" x14ac:dyDescent="0.25">
      <c r="A921" s="11" t="s">
        <v>33</v>
      </c>
      <c r="B921" s="12" t="s">
        <v>41</v>
      </c>
      <c r="C921" s="12">
        <v>0.5</v>
      </c>
      <c r="D921" s="12">
        <v>1992</v>
      </c>
    </row>
    <row r="922" spans="1:4" ht="19.95" customHeight="1" x14ac:dyDescent="0.25">
      <c r="A922" s="11" t="s">
        <v>34</v>
      </c>
      <c r="B922" s="12" t="s">
        <v>41</v>
      </c>
      <c r="C922" s="12">
        <v>32.071668928290798</v>
      </c>
      <c r="D922" s="12">
        <v>1992</v>
      </c>
    </row>
    <row r="923" spans="1:4" ht="19.95" customHeight="1" x14ac:dyDescent="0.25">
      <c r="A923" s="11" t="s">
        <v>35</v>
      </c>
      <c r="B923" s="12" t="s">
        <v>41</v>
      </c>
      <c r="C923" s="12">
        <v>50.708674644724297</v>
      </c>
      <c r="D923" s="12">
        <v>1992</v>
      </c>
    </row>
    <row r="924" spans="1:4" ht="19.95" customHeight="1" x14ac:dyDescent="0.25">
      <c r="A924" s="11" t="s">
        <v>36</v>
      </c>
      <c r="B924" s="12" t="s">
        <v>41</v>
      </c>
      <c r="C924" s="12">
        <v>96.046780745025899</v>
      </c>
      <c r="D924" s="12">
        <v>1992</v>
      </c>
    </row>
    <row r="925" spans="1:4" ht="19.95" customHeight="1" x14ac:dyDescent="0.25">
      <c r="A925" s="11" t="s">
        <v>37</v>
      </c>
      <c r="B925" s="12" t="s">
        <v>41</v>
      </c>
      <c r="C925" s="12">
        <v>1.3</v>
      </c>
      <c r="D925" s="12">
        <v>1992</v>
      </c>
    </row>
    <row r="926" spans="1:4" ht="19.95" customHeight="1" x14ac:dyDescent="0.25">
      <c r="A926" s="11" t="s">
        <v>38</v>
      </c>
      <c r="B926" s="12" t="s">
        <v>41</v>
      </c>
      <c r="C926" s="12"/>
      <c r="D926" s="12">
        <v>1992</v>
      </c>
    </row>
    <row r="927" spans="1:4" ht="19.95" customHeight="1" x14ac:dyDescent="0.25">
      <c r="A927" s="11" t="s">
        <v>39</v>
      </c>
      <c r="B927" s="12" t="s">
        <v>41</v>
      </c>
      <c r="C927" s="12">
        <v>3.1</v>
      </c>
      <c r="D927" s="12">
        <v>1992</v>
      </c>
    </row>
    <row r="928" spans="1:4" ht="19.95" customHeight="1" x14ac:dyDescent="0.25">
      <c r="A928" s="11" t="s">
        <v>40</v>
      </c>
      <c r="B928" s="12" t="s">
        <v>41</v>
      </c>
      <c r="C928" s="12">
        <v>3.0359212746906699</v>
      </c>
      <c r="D928" s="12">
        <v>1992</v>
      </c>
    </row>
    <row r="929" spans="1:4" ht="19.95" customHeight="1" x14ac:dyDescent="0.25">
      <c r="A929" s="11" t="s">
        <v>10</v>
      </c>
      <c r="B929" s="12" t="s">
        <v>41</v>
      </c>
      <c r="C929" s="12"/>
      <c r="D929" s="12">
        <v>1993</v>
      </c>
    </row>
    <row r="930" spans="1:4" ht="19.95" customHeight="1" x14ac:dyDescent="0.25">
      <c r="A930" s="11" t="s">
        <v>13</v>
      </c>
      <c r="B930" s="12" t="s">
        <v>41</v>
      </c>
      <c r="C930" s="12">
        <v>7.8581474600762498</v>
      </c>
      <c r="D930" s="12">
        <v>1993</v>
      </c>
    </row>
    <row r="931" spans="1:4" ht="19.95" customHeight="1" x14ac:dyDescent="0.25">
      <c r="A931" s="11" t="s">
        <v>15</v>
      </c>
      <c r="B931" s="12" t="s">
        <v>41</v>
      </c>
      <c r="C931" s="12"/>
      <c r="D931" s="12">
        <v>1993</v>
      </c>
    </row>
    <row r="932" spans="1:4" ht="19.95" customHeight="1" x14ac:dyDescent="0.25">
      <c r="A932" s="11" t="s">
        <v>16</v>
      </c>
      <c r="B932" s="12" t="s">
        <v>41</v>
      </c>
      <c r="C932" s="12">
        <v>10.956640064281901</v>
      </c>
      <c r="D932" s="12">
        <v>1993</v>
      </c>
    </row>
    <row r="933" spans="1:4" ht="19.95" customHeight="1" x14ac:dyDescent="0.25">
      <c r="A933" s="11" t="s">
        <v>17</v>
      </c>
      <c r="B933" s="12" t="s">
        <v>41</v>
      </c>
      <c r="C933" s="12">
        <v>78.939468985548999</v>
      </c>
      <c r="D933" s="12">
        <v>1993</v>
      </c>
    </row>
    <row r="934" spans="1:4" ht="19.95" customHeight="1" x14ac:dyDescent="0.25">
      <c r="A934" s="11" t="s">
        <v>2</v>
      </c>
      <c r="B934" s="12" t="s">
        <v>41</v>
      </c>
      <c r="C934" s="12"/>
      <c r="D934" s="12">
        <v>1993</v>
      </c>
    </row>
    <row r="935" spans="1:4" ht="19.95" customHeight="1" x14ac:dyDescent="0.25">
      <c r="A935" s="11" t="s">
        <v>18</v>
      </c>
      <c r="B935" s="12" t="s">
        <v>41</v>
      </c>
      <c r="C935" s="12"/>
      <c r="D935" s="12">
        <v>1993</v>
      </c>
    </row>
    <row r="936" spans="1:4" ht="19.95" customHeight="1" x14ac:dyDescent="0.25">
      <c r="A936" s="11" t="s">
        <v>19</v>
      </c>
      <c r="B936" s="12" t="s">
        <v>41</v>
      </c>
      <c r="C936" s="12">
        <v>10.1011727741234</v>
      </c>
      <c r="D936" s="12">
        <v>1993</v>
      </c>
    </row>
    <row r="937" spans="1:4" ht="19.95" customHeight="1" x14ac:dyDescent="0.25">
      <c r="A937" s="11" t="s">
        <v>20</v>
      </c>
      <c r="B937" s="12" t="s">
        <v>41</v>
      </c>
      <c r="C937" s="12">
        <v>3.4</v>
      </c>
      <c r="D937" s="12">
        <v>1993</v>
      </c>
    </row>
    <row r="938" spans="1:4" ht="19.95" customHeight="1" x14ac:dyDescent="0.25">
      <c r="A938" s="11" t="s">
        <v>21</v>
      </c>
      <c r="B938" s="12" t="s">
        <v>41</v>
      </c>
      <c r="C938" s="12"/>
      <c r="D938" s="12">
        <v>1993</v>
      </c>
    </row>
    <row r="939" spans="1:4" ht="19.95" customHeight="1" x14ac:dyDescent="0.25">
      <c r="A939" s="11" t="s">
        <v>22</v>
      </c>
      <c r="B939" s="12" t="s">
        <v>41</v>
      </c>
      <c r="C939" s="12">
        <v>9.9999997764825804E-3</v>
      </c>
      <c r="D939" s="12">
        <v>1993</v>
      </c>
    </row>
    <row r="940" spans="1:4" ht="19.95" customHeight="1" x14ac:dyDescent="0.25">
      <c r="A940" s="11" t="s">
        <v>23</v>
      </c>
      <c r="B940" s="12" t="s">
        <v>41</v>
      </c>
      <c r="C940" s="12">
        <v>0.82384991611640501</v>
      </c>
      <c r="D940" s="12">
        <v>1993</v>
      </c>
    </row>
    <row r="941" spans="1:4" ht="19.95" customHeight="1" x14ac:dyDescent="0.25">
      <c r="A941" s="11" t="s">
        <v>24</v>
      </c>
      <c r="B941" s="12" t="s">
        <v>41</v>
      </c>
      <c r="C941" s="12"/>
      <c r="D941" s="12">
        <v>1993</v>
      </c>
    </row>
    <row r="942" spans="1:4" ht="19.95" customHeight="1" x14ac:dyDescent="0.25">
      <c r="A942" s="11" t="s">
        <v>25</v>
      </c>
      <c r="B942" s="12" t="s">
        <v>41</v>
      </c>
      <c r="C942" s="12"/>
      <c r="D942" s="12">
        <v>1993</v>
      </c>
    </row>
    <row r="943" spans="1:4" ht="19.95" customHeight="1" x14ac:dyDescent="0.25">
      <c r="A943" s="11" t="s">
        <v>26</v>
      </c>
      <c r="B943" s="12" t="s">
        <v>41</v>
      </c>
      <c r="C943" s="12">
        <v>95.357175937898305</v>
      </c>
      <c r="D943" s="12">
        <v>1993</v>
      </c>
    </row>
    <row r="944" spans="1:4" ht="19.95" customHeight="1" x14ac:dyDescent="0.25">
      <c r="A944" s="11" t="s">
        <v>27</v>
      </c>
      <c r="B944" s="12" t="s">
        <v>41</v>
      </c>
      <c r="C944" s="12"/>
      <c r="D944" s="12">
        <v>1993</v>
      </c>
    </row>
    <row r="945" spans="1:4" ht="19.95" customHeight="1" x14ac:dyDescent="0.25">
      <c r="A945" s="11" t="s">
        <v>29</v>
      </c>
      <c r="B945" s="12" t="s">
        <v>41</v>
      </c>
      <c r="C945" s="12">
        <v>23.0991450661034</v>
      </c>
      <c r="D945" s="12">
        <v>1993</v>
      </c>
    </row>
    <row r="946" spans="1:4" ht="19.95" customHeight="1" x14ac:dyDescent="0.25">
      <c r="A946" s="11" t="s">
        <v>30</v>
      </c>
      <c r="B946" s="12" t="s">
        <v>41</v>
      </c>
      <c r="C946" s="12"/>
      <c r="D946" s="12">
        <v>1993</v>
      </c>
    </row>
    <row r="947" spans="1:4" ht="19.95" customHeight="1" x14ac:dyDescent="0.25">
      <c r="A947" s="11" t="s">
        <v>31</v>
      </c>
      <c r="B947" s="12" t="s">
        <v>41</v>
      </c>
      <c r="C947" s="12">
        <v>42.469211999999999</v>
      </c>
      <c r="D947" s="12">
        <v>1993</v>
      </c>
    </row>
    <row r="948" spans="1:4" ht="19.95" customHeight="1" x14ac:dyDescent="0.25">
      <c r="A948" s="11" t="s">
        <v>32</v>
      </c>
      <c r="B948" s="12" t="s">
        <v>41</v>
      </c>
      <c r="C948" s="12"/>
      <c r="D948" s="12">
        <v>1993</v>
      </c>
    </row>
    <row r="949" spans="1:4" ht="19.95" customHeight="1" x14ac:dyDescent="0.25">
      <c r="A949" s="11" t="s">
        <v>33</v>
      </c>
      <c r="B949" s="12" t="s">
        <v>41</v>
      </c>
      <c r="C949" s="12"/>
      <c r="D949" s="12">
        <v>1993</v>
      </c>
    </row>
    <row r="950" spans="1:4" ht="19.95" customHeight="1" x14ac:dyDescent="0.25">
      <c r="A950" s="11" t="s">
        <v>34</v>
      </c>
      <c r="B950" s="12" t="s">
        <v>41</v>
      </c>
      <c r="C950" s="12">
        <v>32.8332230730202</v>
      </c>
      <c r="D950" s="12">
        <v>1993</v>
      </c>
    </row>
    <row r="951" spans="1:4" ht="19.95" customHeight="1" x14ac:dyDescent="0.25">
      <c r="A951" s="11" t="s">
        <v>35</v>
      </c>
      <c r="B951" s="12" t="s">
        <v>41</v>
      </c>
      <c r="C951" s="12">
        <v>52.606769569791702</v>
      </c>
      <c r="D951" s="12">
        <v>1993</v>
      </c>
    </row>
    <row r="952" spans="1:4" ht="19.95" customHeight="1" x14ac:dyDescent="0.25">
      <c r="A952" s="11" t="s">
        <v>36</v>
      </c>
      <c r="B952" s="12" t="s">
        <v>41</v>
      </c>
      <c r="C952" s="12">
        <v>96.355758926042697</v>
      </c>
      <c r="D952" s="12">
        <v>1993</v>
      </c>
    </row>
    <row r="953" spans="1:4" ht="19.95" customHeight="1" x14ac:dyDescent="0.25">
      <c r="A953" s="11" t="s">
        <v>37</v>
      </c>
      <c r="B953" s="12" t="s">
        <v>41</v>
      </c>
      <c r="C953" s="12"/>
      <c r="D953" s="12">
        <v>1993</v>
      </c>
    </row>
    <row r="954" spans="1:4" ht="19.95" customHeight="1" x14ac:dyDescent="0.25">
      <c r="A954" s="11" t="s">
        <v>38</v>
      </c>
      <c r="B954" s="12" t="s">
        <v>41</v>
      </c>
      <c r="C954" s="12"/>
      <c r="D954" s="12">
        <v>1993</v>
      </c>
    </row>
    <row r="955" spans="1:4" ht="19.95" customHeight="1" x14ac:dyDescent="0.25">
      <c r="A955" s="11" t="s">
        <v>39</v>
      </c>
      <c r="B955" s="12" t="s">
        <v>41</v>
      </c>
      <c r="C955" s="12">
        <v>1.0205309731263099</v>
      </c>
      <c r="D955" s="12">
        <v>1993</v>
      </c>
    </row>
    <row r="956" spans="1:4" ht="19.95" customHeight="1" x14ac:dyDescent="0.25">
      <c r="A956" s="11" t="s">
        <v>40</v>
      </c>
      <c r="B956" s="12" t="s">
        <v>41</v>
      </c>
      <c r="C956" s="12">
        <v>7.1954292085439402</v>
      </c>
      <c r="D956" s="12">
        <v>1993</v>
      </c>
    </row>
    <row r="957" spans="1:4" ht="19.95" customHeight="1" x14ac:dyDescent="0.25">
      <c r="A957" s="11" t="s">
        <v>10</v>
      </c>
      <c r="B957" s="12" t="s">
        <v>41</v>
      </c>
      <c r="C957" s="12"/>
      <c r="D957" s="12">
        <v>1994</v>
      </c>
    </row>
    <row r="958" spans="1:4" ht="19.95" customHeight="1" x14ac:dyDescent="0.25">
      <c r="A958" s="11" t="s">
        <v>13</v>
      </c>
      <c r="B958" s="12" t="s">
        <v>41</v>
      </c>
      <c r="C958" s="12">
        <v>8.6245705477437191</v>
      </c>
      <c r="D958" s="12">
        <v>1994</v>
      </c>
    </row>
    <row r="959" spans="1:4" ht="19.95" customHeight="1" x14ac:dyDescent="0.25">
      <c r="A959" s="11" t="s">
        <v>15</v>
      </c>
      <c r="B959" s="12" t="s">
        <v>41</v>
      </c>
      <c r="C959" s="12"/>
      <c r="D959" s="12">
        <v>1994</v>
      </c>
    </row>
    <row r="960" spans="1:4" ht="19.95" customHeight="1" x14ac:dyDescent="0.25">
      <c r="A960" s="11" t="s">
        <v>16</v>
      </c>
      <c r="B960" s="12" t="s">
        <v>41</v>
      </c>
      <c r="C960" s="12">
        <v>13.727105222107101</v>
      </c>
      <c r="D960" s="12">
        <v>1994</v>
      </c>
    </row>
    <row r="961" spans="1:4" ht="19.95" customHeight="1" x14ac:dyDescent="0.25">
      <c r="A961" s="11" t="s">
        <v>17</v>
      </c>
      <c r="B961" s="12" t="s">
        <v>41</v>
      </c>
      <c r="C961" s="12">
        <v>75.881134048664606</v>
      </c>
      <c r="D961" s="12">
        <v>1994</v>
      </c>
    </row>
    <row r="962" spans="1:4" ht="19.95" customHeight="1" x14ac:dyDescent="0.25">
      <c r="A962" s="11" t="s">
        <v>2</v>
      </c>
      <c r="B962" s="12" t="s">
        <v>41</v>
      </c>
      <c r="C962" s="12"/>
      <c r="D962" s="12">
        <v>1994</v>
      </c>
    </row>
    <row r="963" spans="1:4" ht="19.95" customHeight="1" x14ac:dyDescent="0.25">
      <c r="A963" s="11" t="s">
        <v>18</v>
      </c>
      <c r="B963" s="12" t="s">
        <v>41</v>
      </c>
      <c r="C963" s="12"/>
      <c r="D963" s="12">
        <v>1994</v>
      </c>
    </row>
    <row r="964" spans="1:4" ht="19.95" customHeight="1" x14ac:dyDescent="0.25">
      <c r="A964" s="11" t="s">
        <v>19</v>
      </c>
      <c r="B964" s="12" t="s">
        <v>41</v>
      </c>
      <c r="C964" s="12">
        <v>10.3694637562847</v>
      </c>
      <c r="D964" s="12">
        <v>1994</v>
      </c>
    </row>
    <row r="965" spans="1:4" ht="19.95" customHeight="1" x14ac:dyDescent="0.25">
      <c r="A965" s="11" t="s">
        <v>20</v>
      </c>
      <c r="B965" s="12" t="s">
        <v>41</v>
      </c>
      <c r="C965" s="12">
        <v>1.23974584995807</v>
      </c>
      <c r="D965" s="12">
        <v>1994</v>
      </c>
    </row>
    <row r="966" spans="1:4" ht="19.95" customHeight="1" x14ac:dyDescent="0.25">
      <c r="A966" s="11" t="s">
        <v>21</v>
      </c>
      <c r="B966" s="12" t="s">
        <v>41</v>
      </c>
      <c r="C966" s="12"/>
      <c r="D966" s="12">
        <v>1994</v>
      </c>
    </row>
    <row r="967" spans="1:4" ht="19.95" customHeight="1" x14ac:dyDescent="0.25">
      <c r="A967" s="11" t="s">
        <v>22</v>
      </c>
      <c r="B967" s="12" t="s">
        <v>41</v>
      </c>
      <c r="C967" s="12">
        <v>9.9999997764825804E-3</v>
      </c>
      <c r="D967" s="12">
        <v>1994</v>
      </c>
    </row>
    <row r="968" spans="1:4" ht="19.95" customHeight="1" x14ac:dyDescent="0.25">
      <c r="A968" s="11" t="s">
        <v>23</v>
      </c>
      <c r="B968" s="12" t="s">
        <v>41</v>
      </c>
      <c r="C968" s="12">
        <v>0.85595476733712095</v>
      </c>
      <c r="D968" s="12">
        <v>1994</v>
      </c>
    </row>
    <row r="969" spans="1:4" ht="19.95" customHeight="1" x14ac:dyDescent="0.25">
      <c r="A969" s="11" t="s">
        <v>24</v>
      </c>
      <c r="B969" s="12" t="s">
        <v>41</v>
      </c>
      <c r="C969" s="12">
        <v>0.10477120273962</v>
      </c>
      <c r="D969" s="12">
        <v>1994</v>
      </c>
    </row>
    <row r="970" spans="1:4" ht="19.95" customHeight="1" x14ac:dyDescent="0.25">
      <c r="A970" s="11" t="s">
        <v>25</v>
      </c>
      <c r="B970" s="12" t="s">
        <v>41</v>
      </c>
      <c r="C970" s="12"/>
      <c r="D970" s="12">
        <v>1994</v>
      </c>
    </row>
    <row r="971" spans="1:4" ht="19.95" customHeight="1" x14ac:dyDescent="0.25">
      <c r="A971" s="11" t="s">
        <v>26</v>
      </c>
      <c r="B971" s="12" t="s">
        <v>41</v>
      </c>
      <c r="C971" s="12">
        <v>95.794352836449903</v>
      </c>
      <c r="D971" s="12">
        <v>1994</v>
      </c>
    </row>
    <row r="972" spans="1:4" ht="19.95" customHeight="1" x14ac:dyDescent="0.25">
      <c r="A972" s="11" t="s">
        <v>27</v>
      </c>
      <c r="B972" s="12" t="s">
        <v>41</v>
      </c>
      <c r="C972" s="12"/>
      <c r="D972" s="12">
        <v>1994</v>
      </c>
    </row>
    <row r="973" spans="1:4" ht="19.95" customHeight="1" x14ac:dyDescent="0.25">
      <c r="A973" s="11" t="s">
        <v>29</v>
      </c>
      <c r="B973" s="12" t="s">
        <v>41</v>
      </c>
      <c r="C973" s="12">
        <v>24.0121211203186</v>
      </c>
      <c r="D973" s="12">
        <v>1994</v>
      </c>
    </row>
    <row r="974" spans="1:4" ht="19.95" customHeight="1" x14ac:dyDescent="0.25">
      <c r="A974" s="11" t="s">
        <v>30</v>
      </c>
      <c r="B974" s="12" t="s">
        <v>41</v>
      </c>
      <c r="C974" s="12"/>
      <c r="D974" s="12">
        <v>1994</v>
      </c>
    </row>
    <row r="975" spans="1:4" ht="19.95" customHeight="1" x14ac:dyDescent="0.25">
      <c r="A975" s="11" t="s">
        <v>31</v>
      </c>
      <c r="B975" s="12" t="s">
        <v>41</v>
      </c>
      <c r="C975" s="12">
        <v>44.079682602228701</v>
      </c>
      <c r="D975" s="12">
        <v>1994</v>
      </c>
    </row>
    <row r="976" spans="1:4" ht="19.95" customHeight="1" x14ac:dyDescent="0.25">
      <c r="A976" s="11" t="s">
        <v>32</v>
      </c>
      <c r="B976" s="12" t="s">
        <v>41</v>
      </c>
      <c r="C976" s="12"/>
      <c r="D976" s="12">
        <v>1994</v>
      </c>
    </row>
    <row r="977" spans="1:4" ht="19.95" customHeight="1" x14ac:dyDescent="0.25">
      <c r="A977" s="11" t="s">
        <v>33</v>
      </c>
      <c r="B977" s="12" t="s">
        <v>41</v>
      </c>
      <c r="C977" s="12"/>
      <c r="D977" s="12">
        <v>1994</v>
      </c>
    </row>
    <row r="978" spans="1:4" ht="19.95" customHeight="1" x14ac:dyDescent="0.25">
      <c r="A978" s="11" t="s">
        <v>34</v>
      </c>
      <c r="B978" s="12" t="s">
        <v>41</v>
      </c>
      <c r="C978" s="12">
        <v>33.590731333338198</v>
      </c>
      <c r="D978" s="12">
        <v>1994</v>
      </c>
    </row>
    <row r="979" spans="1:4" ht="19.95" customHeight="1" x14ac:dyDescent="0.25">
      <c r="A979" s="11" t="s">
        <v>35</v>
      </c>
      <c r="B979" s="12" t="s">
        <v>41</v>
      </c>
      <c r="C979" s="12">
        <v>54.497863858796002</v>
      </c>
      <c r="D979" s="12">
        <v>1994</v>
      </c>
    </row>
    <row r="980" spans="1:4" ht="19.95" customHeight="1" x14ac:dyDescent="0.25">
      <c r="A980" s="11" t="s">
        <v>36</v>
      </c>
      <c r="B980" s="12" t="s">
        <v>41</v>
      </c>
      <c r="C980" s="12">
        <v>96.652787804843001</v>
      </c>
      <c r="D980" s="12">
        <v>1994</v>
      </c>
    </row>
    <row r="981" spans="1:4" ht="19.95" customHeight="1" x14ac:dyDescent="0.25">
      <c r="A981" s="11" t="s">
        <v>37</v>
      </c>
      <c r="B981" s="12" t="s">
        <v>41</v>
      </c>
      <c r="C981" s="12">
        <v>0.32398655086985401</v>
      </c>
      <c r="D981" s="12">
        <v>1994</v>
      </c>
    </row>
    <row r="982" spans="1:4" ht="19.95" customHeight="1" x14ac:dyDescent="0.25">
      <c r="A982" s="11" t="s">
        <v>38</v>
      </c>
      <c r="B982" s="12" t="s">
        <v>41</v>
      </c>
      <c r="C982" s="12">
        <v>6.1321236309726202E-4</v>
      </c>
      <c r="D982" s="12">
        <v>1994</v>
      </c>
    </row>
    <row r="983" spans="1:4" ht="19.95" customHeight="1" x14ac:dyDescent="0.25">
      <c r="A983" s="11" t="s">
        <v>39</v>
      </c>
      <c r="B983" s="12" t="s">
        <v>41</v>
      </c>
      <c r="C983" s="12">
        <v>1.6142340542440901</v>
      </c>
      <c r="D983" s="12">
        <v>1994</v>
      </c>
    </row>
    <row r="984" spans="1:4" ht="19.95" customHeight="1" x14ac:dyDescent="0.25">
      <c r="A984" s="11" t="s">
        <v>40</v>
      </c>
      <c r="B984" s="12" t="s">
        <v>41</v>
      </c>
      <c r="C984" s="12">
        <v>3.4</v>
      </c>
      <c r="D984" s="12">
        <v>1994</v>
      </c>
    </row>
    <row r="985" spans="1:4" ht="19.95" customHeight="1" x14ac:dyDescent="0.25">
      <c r="A985" s="11" t="s">
        <v>10</v>
      </c>
      <c r="B985" s="12" t="s">
        <v>41</v>
      </c>
      <c r="C985" s="12"/>
      <c r="D985" s="12">
        <v>1995</v>
      </c>
    </row>
    <row r="986" spans="1:4" ht="19.95" customHeight="1" x14ac:dyDescent="0.25">
      <c r="A986" s="11" t="s">
        <v>13</v>
      </c>
      <c r="B986" s="12" t="s">
        <v>41</v>
      </c>
      <c r="C986" s="12">
        <v>9.3717010075413398</v>
      </c>
      <c r="D986" s="12">
        <v>1995</v>
      </c>
    </row>
    <row r="987" spans="1:4" ht="19.95" customHeight="1" x14ac:dyDescent="0.25">
      <c r="A987" s="11" t="s">
        <v>15</v>
      </c>
      <c r="B987" s="12" t="s">
        <v>41</v>
      </c>
      <c r="C987" s="12"/>
      <c r="D987" s="12">
        <v>1995</v>
      </c>
    </row>
    <row r="988" spans="1:4" ht="19.95" customHeight="1" x14ac:dyDescent="0.25">
      <c r="A988" s="11" t="s">
        <v>16</v>
      </c>
      <c r="B988" s="12" t="s">
        <v>41</v>
      </c>
      <c r="C988" s="12">
        <v>16.4852656809176</v>
      </c>
      <c r="D988" s="12">
        <v>1995</v>
      </c>
    </row>
    <row r="989" spans="1:4" ht="19.95" customHeight="1" x14ac:dyDescent="0.25">
      <c r="A989" s="11" t="s">
        <v>17</v>
      </c>
      <c r="B989" s="12" t="s">
        <v>41</v>
      </c>
      <c r="C989" s="12">
        <v>72.778448703379993</v>
      </c>
      <c r="D989" s="12">
        <v>1995</v>
      </c>
    </row>
    <row r="990" spans="1:4" ht="19.95" customHeight="1" x14ac:dyDescent="0.25">
      <c r="A990" s="11" t="s">
        <v>2</v>
      </c>
      <c r="B990" s="12" t="s">
        <v>41</v>
      </c>
      <c r="C990" s="12"/>
      <c r="D990" s="12">
        <v>1995</v>
      </c>
    </row>
    <row r="991" spans="1:4" ht="19.95" customHeight="1" x14ac:dyDescent="0.25">
      <c r="A991" s="11" t="s">
        <v>18</v>
      </c>
      <c r="B991" s="12" t="s">
        <v>41</v>
      </c>
      <c r="C991" s="12"/>
      <c r="D991" s="12">
        <v>1995</v>
      </c>
    </row>
    <row r="992" spans="1:4" ht="19.95" customHeight="1" x14ac:dyDescent="0.25">
      <c r="A992" s="11" t="s">
        <v>19</v>
      </c>
      <c r="B992" s="12" t="s">
        <v>41</v>
      </c>
      <c r="C992" s="12">
        <v>3.9</v>
      </c>
      <c r="D992" s="12">
        <v>1995</v>
      </c>
    </row>
    <row r="993" spans="1:4" ht="19.95" customHeight="1" x14ac:dyDescent="0.25">
      <c r="A993" s="11" t="s">
        <v>20</v>
      </c>
      <c r="B993" s="12" t="s">
        <v>41</v>
      </c>
      <c r="C993" s="12">
        <v>2.3305036305809401</v>
      </c>
      <c r="D993" s="12">
        <v>1995</v>
      </c>
    </row>
    <row r="994" spans="1:4" ht="19.95" customHeight="1" x14ac:dyDescent="0.25">
      <c r="A994" s="11" t="s">
        <v>21</v>
      </c>
      <c r="B994" s="12" t="s">
        <v>41</v>
      </c>
      <c r="C994" s="12"/>
      <c r="D994" s="12">
        <v>1995</v>
      </c>
    </row>
    <row r="995" spans="1:4" ht="19.95" customHeight="1" x14ac:dyDescent="0.25">
      <c r="A995" s="11" t="s">
        <v>22</v>
      </c>
      <c r="B995" s="12" t="s">
        <v>41</v>
      </c>
      <c r="C995" s="12">
        <v>9.9999997764825804E-3</v>
      </c>
      <c r="D995" s="12">
        <v>1995</v>
      </c>
    </row>
    <row r="996" spans="1:4" ht="19.95" customHeight="1" x14ac:dyDescent="0.25">
      <c r="A996" s="11" t="s">
        <v>23</v>
      </c>
      <c r="B996" s="12" t="s">
        <v>41</v>
      </c>
      <c r="C996" s="12">
        <v>0.88232743366460298</v>
      </c>
      <c r="D996" s="12">
        <v>1995</v>
      </c>
    </row>
    <row r="997" spans="1:4" ht="19.95" customHeight="1" x14ac:dyDescent="0.25">
      <c r="A997" s="11" t="s">
        <v>24</v>
      </c>
      <c r="B997" s="12" t="s">
        <v>41</v>
      </c>
      <c r="C997" s="12">
        <v>0.33954709153049301</v>
      </c>
      <c r="D997" s="12">
        <v>1995</v>
      </c>
    </row>
    <row r="998" spans="1:4" ht="19.95" customHeight="1" x14ac:dyDescent="0.25">
      <c r="A998" s="11" t="s">
        <v>25</v>
      </c>
      <c r="B998" s="12" t="s">
        <v>41</v>
      </c>
      <c r="C998" s="12"/>
      <c r="D998" s="12">
        <v>1995</v>
      </c>
    </row>
    <row r="999" spans="1:4" ht="19.95" customHeight="1" x14ac:dyDescent="0.25">
      <c r="A999" s="11" t="s">
        <v>26</v>
      </c>
      <c r="B999" s="12" t="s">
        <v>41</v>
      </c>
      <c r="C999" s="12">
        <v>96.2164224865341</v>
      </c>
      <c r="D999" s="12">
        <v>1995</v>
      </c>
    </row>
    <row r="1000" spans="1:4" ht="19.95" customHeight="1" x14ac:dyDescent="0.25">
      <c r="A1000" s="11" t="s">
        <v>27</v>
      </c>
      <c r="B1000" s="12" t="s">
        <v>41</v>
      </c>
      <c r="C1000" s="12"/>
      <c r="D1000" s="12">
        <v>1995</v>
      </c>
    </row>
    <row r="1001" spans="1:4" ht="19.95" customHeight="1" x14ac:dyDescent="0.25">
      <c r="A1001" s="11" t="s">
        <v>29</v>
      </c>
      <c r="B1001" s="12" t="s">
        <v>41</v>
      </c>
      <c r="C1001" s="12">
        <v>24.902434688796099</v>
      </c>
      <c r="D1001" s="12">
        <v>1995</v>
      </c>
    </row>
    <row r="1002" spans="1:4" ht="19.95" customHeight="1" x14ac:dyDescent="0.25">
      <c r="A1002" s="11" t="s">
        <v>30</v>
      </c>
      <c r="B1002" s="12" t="s">
        <v>41</v>
      </c>
      <c r="C1002" s="12"/>
      <c r="D1002" s="12">
        <v>1995</v>
      </c>
    </row>
    <row r="1003" spans="1:4" ht="19.95" customHeight="1" x14ac:dyDescent="0.25">
      <c r="A1003" s="11" t="s">
        <v>31</v>
      </c>
      <c r="B1003" s="12" t="s">
        <v>41</v>
      </c>
      <c r="C1003" s="12">
        <v>44.765505107886099</v>
      </c>
      <c r="D1003" s="12">
        <v>1995</v>
      </c>
    </row>
    <row r="1004" spans="1:4" ht="19.95" customHeight="1" x14ac:dyDescent="0.25">
      <c r="A1004" s="11" t="s">
        <v>32</v>
      </c>
      <c r="B1004" s="12" t="s">
        <v>41</v>
      </c>
      <c r="C1004" s="12">
        <v>1.34317042757614</v>
      </c>
      <c r="D1004" s="12">
        <v>1995</v>
      </c>
    </row>
    <row r="1005" spans="1:4" ht="19.95" customHeight="1" x14ac:dyDescent="0.25">
      <c r="A1005" s="11" t="s">
        <v>33</v>
      </c>
      <c r="B1005" s="12" t="s">
        <v>41</v>
      </c>
      <c r="C1005" s="12"/>
      <c r="D1005" s="12">
        <v>1995</v>
      </c>
    </row>
    <row r="1006" spans="1:4" ht="19.95" customHeight="1" x14ac:dyDescent="0.25">
      <c r="A1006" s="11" t="s">
        <v>34</v>
      </c>
      <c r="B1006" s="12" t="s">
        <v>41</v>
      </c>
      <c r="C1006" s="12">
        <v>34.339669982253398</v>
      </c>
      <c r="D1006" s="12">
        <v>1995</v>
      </c>
    </row>
    <row r="1007" spans="1:4" ht="19.95" customHeight="1" x14ac:dyDescent="0.25">
      <c r="A1007" s="11" t="s">
        <v>35</v>
      </c>
      <c r="B1007" s="12" t="s">
        <v>41</v>
      </c>
      <c r="C1007" s="12">
        <v>56.377729781413798</v>
      </c>
      <c r="D1007" s="12">
        <v>1995</v>
      </c>
    </row>
    <row r="1008" spans="1:4" ht="19.95" customHeight="1" x14ac:dyDescent="0.25">
      <c r="A1008" s="11" t="s">
        <v>36</v>
      </c>
      <c r="B1008" s="12" t="s">
        <v>41</v>
      </c>
      <c r="C1008" s="12">
        <v>96.934115936785503</v>
      </c>
      <c r="D1008" s="12">
        <v>1995</v>
      </c>
    </row>
    <row r="1009" spans="1:4" ht="19.95" customHeight="1" x14ac:dyDescent="0.25">
      <c r="A1009" s="11" t="s">
        <v>37</v>
      </c>
      <c r="B1009" s="12" t="s">
        <v>41</v>
      </c>
      <c r="C1009" s="12">
        <v>0.80066097719542795</v>
      </c>
      <c r="D1009" s="12">
        <v>1995</v>
      </c>
    </row>
    <row r="1010" spans="1:4" ht="19.95" customHeight="1" x14ac:dyDescent="0.25">
      <c r="A1010" s="11" t="s">
        <v>38</v>
      </c>
      <c r="B1010" s="12" t="s">
        <v>41</v>
      </c>
      <c r="C1010" s="12">
        <v>1.5</v>
      </c>
      <c r="D1010" s="12">
        <v>1995</v>
      </c>
    </row>
    <row r="1011" spans="1:4" ht="19.95" customHeight="1" x14ac:dyDescent="0.25">
      <c r="A1011" s="11" t="s">
        <v>39</v>
      </c>
      <c r="B1011" s="12" t="s">
        <v>41</v>
      </c>
      <c r="C1011" s="12">
        <v>2.2003500493855102</v>
      </c>
      <c r="D1011" s="12">
        <v>1995</v>
      </c>
    </row>
    <row r="1012" spans="1:4" ht="19.95" customHeight="1" x14ac:dyDescent="0.25">
      <c r="A1012" s="11" t="s">
        <v>40</v>
      </c>
      <c r="B1012" s="12" t="s">
        <v>41</v>
      </c>
      <c r="C1012" s="12">
        <v>7.3047495674736096</v>
      </c>
      <c r="D1012" s="12">
        <v>1995</v>
      </c>
    </row>
    <row r="1013" spans="1:4" ht="19.95" customHeight="1" x14ac:dyDescent="0.25">
      <c r="A1013" s="11" t="s">
        <v>10</v>
      </c>
      <c r="B1013" s="12" t="s">
        <v>41</v>
      </c>
      <c r="C1013" s="12"/>
      <c r="D1013" s="12">
        <v>1996</v>
      </c>
    </row>
    <row r="1014" spans="1:4" ht="19.95" customHeight="1" x14ac:dyDescent="0.25">
      <c r="A1014" s="11" t="s">
        <v>13</v>
      </c>
      <c r="B1014" s="12" t="s">
        <v>41</v>
      </c>
      <c r="C1014" s="12">
        <v>10.0932960148248</v>
      </c>
      <c r="D1014" s="12">
        <v>1996</v>
      </c>
    </row>
    <row r="1015" spans="1:4" ht="19.95" customHeight="1" x14ac:dyDescent="0.25">
      <c r="A1015" s="11" t="s">
        <v>15</v>
      </c>
      <c r="B1015" s="12" t="s">
        <v>41</v>
      </c>
      <c r="C1015" s="12"/>
      <c r="D1015" s="12">
        <v>1996</v>
      </c>
    </row>
    <row r="1016" spans="1:4" ht="19.95" customHeight="1" x14ac:dyDescent="0.25">
      <c r="A1016" s="11" t="s">
        <v>16</v>
      </c>
      <c r="B1016" s="12" t="s">
        <v>41</v>
      </c>
      <c r="C1016" s="12">
        <v>19.600000000000001</v>
      </c>
      <c r="D1016" s="12">
        <v>1996</v>
      </c>
    </row>
    <row r="1017" spans="1:4" ht="19.95" customHeight="1" x14ac:dyDescent="0.25">
      <c r="A1017" s="11" t="s">
        <v>17</v>
      </c>
      <c r="B1017" s="12" t="s">
        <v>41</v>
      </c>
      <c r="C1017" s="12">
        <v>11.1</v>
      </c>
      <c r="D1017" s="12">
        <v>1996</v>
      </c>
    </row>
    <row r="1018" spans="1:4" ht="19.95" customHeight="1" x14ac:dyDescent="0.25">
      <c r="A1018" s="11" t="s">
        <v>2</v>
      </c>
      <c r="B1018" s="12" t="s">
        <v>41</v>
      </c>
      <c r="C1018" s="12"/>
      <c r="D1018" s="12">
        <v>1996</v>
      </c>
    </row>
    <row r="1019" spans="1:4" ht="19.95" customHeight="1" x14ac:dyDescent="0.25">
      <c r="A1019" s="11" t="s">
        <v>18</v>
      </c>
      <c r="B1019" s="12" t="s">
        <v>41</v>
      </c>
      <c r="C1019" s="12"/>
      <c r="D1019" s="12">
        <v>1996</v>
      </c>
    </row>
    <row r="1020" spans="1:4" ht="19.95" customHeight="1" x14ac:dyDescent="0.25">
      <c r="A1020" s="11" t="s">
        <v>19</v>
      </c>
      <c r="B1020" s="12" t="s">
        <v>41</v>
      </c>
      <c r="C1020" s="12">
        <v>10.877300600740799</v>
      </c>
      <c r="D1020" s="12">
        <v>1996</v>
      </c>
    </row>
    <row r="1021" spans="1:4" ht="19.95" customHeight="1" x14ac:dyDescent="0.25">
      <c r="A1021" s="11" t="s">
        <v>20</v>
      </c>
      <c r="B1021" s="12" t="s">
        <v>41</v>
      </c>
      <c r="C1021" s="12">
        <v>3.4020885287640401</v>
      </c>
      <c r="D1021" s="12">
        <v>1996</v>
      </c>
    </row>
    <row r="1022" spans="1:4" ht="19.95" customHeight="1" x14ac:dyDescent="0.25">
      <c r="A1022" s="11" t="s">
        <v>21</v>
      </c>
      <c r="B1022" s="12" t="s">
        <v>41</v>
      </c>
      <c r="C1022" s="12"/>
      <c r="D1022" s="12">
        <v>1996</v>
      </c>
    </row>
    <row r="1023" spans="1:4" ht="19.95" customHeight="1" x14ac:dyDescent="0.25">
      <c r="A1023" s="11" t="s">
        <v>22</v>
      </c>
      <c r="B1023" s="12" t="s">
        <v>41</v>
      </c>
      <c r="C1023" s="12">
        <v>9.9999997764825804E-3</v>
      </c>
      <c r="D1023" s="12">
        <v>1996</v>
      </c>
    </row>
    <row r="1024" spans="1:4" ht="19.95" customHeight="1" x14ac:dyDescent="0.25">
      <c r="A1024" s="11" t="s">
        <v>23</v>
      </c>
      <c r="B1024" s="12" t="s">
        <v>41</v>
      </c>
      <c r="C1024" s="12">
        <v>0.88452059305937303</v>
      </c>
      <c r="D1024" s="12">
        <v>1996</v>
      </c>
    </row>
    <row r="1025" spans="1:4" ht="19.95" customHeight="1" x14ac:dyDescent="0.25">
      <c r="A1025" s="11" t="s">
        <v>24</v>
      </c>
      <c r="B1025" s="12" t="s">
        <v>41</v>
      </c>
      <c r="C1025" s="12">
        <v>0.55196697933278704</v>
      </c>
      <c r="D1025" s="12">
        <v>1996</v>
      </c>
    </row>
    <row r="1026" spans="1:4" ht="19.95" customHeight="1" x14ac:dyDescent="0.25">
      <c r="A1026" s="11" t="s">
        <v>25</v>
      </c>
      <c r="B1026" s="12" t="s">
        <v>41</v>
      </c>
      <c r="C1026" s="12">
        <v>0.4</v>
      </c>
      <c r="D1026" s="12">
        <v>1996</v>
      </c>
    </row>
    <row r="1027" spans="1:4" ht="19.95" customHeight="1" x14ac:dyDescent="0.25">
      <c r="A1027" s="11" t="s">
        <v>26</v>
      </c>
      <c r="B1027" s="12" t="s">
        <v>41</v>
      </c>
      <c r="C1027" s="12">
        <v>96.618649507100898</v>
      </c>
      <c r="D1027" s="12">
        <v>1996</v>
      </c>
    </row>
    <row r="1028" spans="1:4" ht="19.95" customHeight="1" x14ac:dyDescent="0.25">
      <c r="A1028" s="11" t="s">
        <v>27</v>
      </c>
      <c r="B1028" s="12" t="s">
        <v>41</v>
      </c>
      <c r="C1028" s="12"/>
      <c r="D1028" s="12">
        <v>1996</v>
      </c>
    </row>
    <row r="1029" spans="1:4" ht="19.95" customHeight="1" x14ac:dyDescent="0.25">
      <c r="A1029" s="11" t="s">
        <v>29</v>
      </c>
      <c r="B1029" s="12" t="s">
        <v>41</v>
      </c>
      <c r="C1029" s="12">
        <v>25.766637300917299</v>
      </c>
      <c r="D1029" s="12">
        <v>1996</v>
      </c>
    </row>
    <row r="1030" spans="1:4" ht="19.95" customHeight="1" x14ac:dyDescent="0.25">
      <c r="A1030" s="11" t="s">
        <v>30</v>
      </c>
      <c r="B1030" s="12" t="s">
        <v>41</v>
      </c>
      <c r="C1030" s="12">
        <v>12.1</v>
      </c>
      <c r="D1030" s="12">
        <v>1996</v>
      </c>
    </row>
    <row r="1031" spans="1:4" ht="19.95" customHeight="1" x14ac:dyDescent="0.25">
      <c r="A1031" s="11" t="s">
        <v>31</v>
      </c>
      <c r="B1031" s="12" t="s">
        <v>41</v>
      </c>
      <c r="C1031" s="12">
        <v>45.431143427273597</v>
      </c>
      <c r="D1031" s="12">
        <v>1996</v>
      </c>
    </row>
    <row r="1032" spans="1:4" ht="19.95" customHeight="1" x14ac:dyDescent="0.25">
      <c r="A1032" s="11" t="s">
        <v>32</v>
      </c>
      <c r="B1032" s="12" t="s">
        <v>41</v>
      </c>
      <c r="C1032" s="12">
        <v>1.9669363358109799</v>
      </c>
      <c r="D1032" s="12">
        <v>1996</v>
      </c>
    </row>
    <row r="1033" spans="1:4" ht="19.95" customHeight="1" x14ac:dyDescent="0.25">
      <c r="A1033" s="11" t="s">
        <v>33</v>
      </c>
      <c r="B1033" s="12" t="s">
        <v>41</v>
      </c>
      <c r="C1033" s="12"/>
      <c r="D1033" s="12">
        <v>1996</v>
      </c>
    </row>
    <row r="1034" spans="1:4" ht="19.95" customHeight="1" x14ac:dyDescent="0.25">
      <c r="A1034" s="11" t="s">
        <v>34</v>
      </c>
      <c r="B1034" s="12" t="s">
        <v>41</v>
      </c>
      <c r="C1034" s="12">
        <v>35.074012566129802</v>
      </c>
      <c r="D1034" s="12">
        <v>1996</v>
      </c>
    </row>
    <row r="1035" spans="1:4" ht="19.95" customHeight="1" x14ac:dyDescent="0.25">
      <c r="A1035" s="11" t="s">
        <v>35</v>
      </c>
      <c r="B1035" s="12" t="s">
        <v>41</v>
      </c>
      <c r="C1035" s="12">
        <v>58.2432072244723</v>
      </c>
      <c r="D1035" s="12">
        <v>1996</v>
      </c>
    </row>
    <row r="1036" spans="1:4" ht="19.95" customHeight="1" x14ac:dyDescent="0.25">
      <c r="A1036" s="11" t="s">
        <v>36</v>
      </c>
      <c r="B1036" s="12" t="s">
        <v>41</v>
      </c>
      <c r="C1036" s="12">
        <v>97.196309067369597</v>
      </c>
      <c r="D1036" s="12">
        <v>1996</v>
      </c>
    </row>
    <row r="1037" spans="1:4" ht="19.95" customHeight="1" x14ac:dyDescent="0.25">
      <c r="A1037" s="11" t="s">
        <v>37</v>
      </c>
      <c r="B1037" s="12" t="s">
        <v>41</v>
      </c>
      <c r="C1037" s="12">
        <v>1.8</v>
      </c>
      <c r="D1037" s="12">
        <v>1996</v>
      </c>
    </row>
    <row r="1038" spans="1:4" ht="19.95" customHeight="1" x14ac:dyDescent="0.25">
      <c r="A1038" s="11" t="s">
        <v>38</v>
      </c>
      <c r="B1038" s="12" t="s">
        <v>41</v>
      </c>
      <c r="C1038" s="12">
        <v>1.36087599395184</v>
      </c>
      <c r="D1038" s="12">
        <v>1996</v>
      </c>
    </row>
    <row r="1039" spans="1:4" ht="19.95" customHeight="1" x14ac:dyDescent="0.25">
      <c r="A1039" s="11" t="s">
        <v>39</v>
      </c>
      <c r="B1039" s="12" t="s">
        <v>41</v>
      </c>
      <c r="C1039" s="12">
        <v>1.5</v>
      </c>
      <c r="D1039" s="12">
        <v>1996</v>
      </c>
    </row>
    <row r="1040" spans="1:4" ht="19.95" customHeight="1" x14ac:dyDescent="0.25">
      <c r="A1040" s="11" t="s">
        <v>40</v>
      </c>
      <c r="B1040" s="12" t="s">
        <v>41</v>
      </c>
      <c r="C1040" s="12">
        <v>7.3336908189721299</v>
      </c>
      <c r="D1040" s="12">
        <v>1996</v>
      </c>
    </row>
    <row r="1041" spans="1:4" ht="19.95" customHeight="1" x14ac:dyDescent="0.25">
      <c r="A1041" s="11" t="s">
        <v>10</v>
      </c>
      <c r="B1041" s="12" t="s">
        <v>41</v>
      </c>
      <c r="C1041" s="12"/>
      <c r="D1041" s="12">
        <v>1997</v>
      </c>
    </row>
    <row r="1042" spans="1:4" ht="19.95" customHeight="1" x14ac:dyDescent="0.25">
      <c r="A1042" s="11" t="s">
        <v>13</v>
      </c>
      <c r="B1042" s="12" t="s">
        <v>41</v>
      </c>
      <c r="C1042" s="12">
        <v>10.787385156614601</v>
      </c>
      <c r="D1042" s="12">
        <v>1997</v>
      </c>
    </row>
    <row r="1043" spans="1:4" ht="19.95" customHeight="1" x14ac:dyDescent="0.25">
      <c r="A1043" s="11" t="s">
        <v>15</v>
      </c>
      <c r="B1043" s="12" t="s">
        <v>41</v>
      </c>
      <c r="C1043" s="12">
        <v>0.1</v>
      </c>
      <c r="D1043" s="12">
        <v>1997</v>
      </c>
    </row>
    <row r="1044" spans="1:4" ht="19.95" customHeight="1" x14ac:dyDescent="0.25">
      <c r="A1044" s="11" t="s">
        <v>16</v>
      </c>
      <c r="B1044" s="12" t="s">
        <v>41</v>
      </c>
      <c r="C1044" s="12">
        <v>21.946461374828498</v>
      </c>
      <c r="D1044" s="12">
        <v>1997</v>
      </c>
    </row>
    <row r="1045" spans="1:4" ht="19.95" customHeight="1" x14ac:dyDescent="0.25">
      <c r="A1045" s="11" t="s">
        <v>17</v>
      </c>
      <c r="B1045" s="12" t="s">
        <v>41</v>
      </c>
      <c r="C1045" s="12">
        <v>66.404772306574898</v>
      </c>
      <c r="D1045" s="12">
        <v>1997</v>
      </c>
    </row>
    <row r="1046" spans="1:4" ht="19.95" customHeight="1" x14ac:dyDescent="0.25">
      <c r="A1046" s="11" t="s">
        <v>2</v>
      </c>
      <c r="B1046" s="12" t="s">
        <v>41</v>
      </c>
      <c r="C1046" s="12"/>
      <c r="D1046" s="12">
        <v>1997</v>
      </c>
    </row>
    <row r="1047" spans="1:4" ht="19.95" customHeight="1" x14ac:dyDescent="0.25">
      <c r="A1047" s="11" t="s">
        <v>18</v>
      </c>
      <c r="B1047" s="12" t="s">
        <v>41</v>
      </c>
      <c r="C1047" s="12"/>
      <c r="D1047" s="12">
        <v>1997</v>
      </c>
    </row>
    <row r="1048" spans="1:4" ht="19.95" customHeight="1" x14ac:dyDescent="0.25">
      <c r="A1048" s="11" t="s">
        <v>19</v>
      </c>
      <c r="B1048" s="12" t="s">
        <v>41</v>
      </c>
      <c r="C1048" s="12">
        <v>11.1301626412323</v>
      </c>
      <c r="D1048" s="12">
        <v>1997</v>
      </c>
    </row>
    <row r="1049" spans="1:4" ht="19.95" customHeight="1" x14ac:dyDescent="0.25">
      <c r="A1049" s="11" t="s">
        <v>20</v>
      </c>
      <c r="B1049" s="12" t="s">
        <v>41</v>
      </c>
      <c r="C1049" s="12">
        <v>4.4517510170762202</v>
      </c>
      <c r="D1049" s="12">
        <v>1997</v>
      </c>
    </row>
    <row r="1050" spans="1:4" ht="19.95" customHeight="1" x14ac:dyDescent="0.25">
      <c r="A1050" s="11" t="s">
        <v>21</v>
      </c>
      <c r="B1050" s="12" t="s">
        <v>41</v>
      </c>
      <c r="C1050" s="12"/>
      <c r="D1050" s="12">
        <v>1997</v>
      </c>
    </row>
    <row r="1051" spans="1:4" ht="19.95" customHeight="1" x14ac:dyDescent="0.25">
      <c r="A1051" s="11" t="s">
        <v>22</v>
      </c>
      <c r="B1051" s="12" t="s">
        <v>41</v>
      </c>
      <c r="C1051" s="12">
        <v>9.9999997764825804E-3</v>
      </c>
      <c r="D1051" s="12">
        <v>1997</v>
      </c>
    </row>
    <row r="1052" spans="1:4" ht="19.95" customHeight="1" x14ac:dyDescent="0.25">
      <c r="A1052" s="11" t="s">
        <v>23</v>
      </c>
      <c r="B1052" s="12" t="s">
        <v>41</v>
      </c>
      <c r="C1052" s="12">
        <v>2.1</v>
      </c>
      <c r="D1052" s="12">
        <v>1997</v>
      </c>
    </row>
    <row r="1053" spans="1:4" ht="19.95" customHeight="1" x14ac:dyDescent="0.25">
      <c r="A1053" s="11" t="s">
        <v>24</v>
      </c>
      <c r="B1053" s="12" t="s">
        <v>41</v>
      </c>
      <c r="C1053" s="12">
        <v>0.73895658783227403</v>
      </c>
      <c r="D1053" s="12">
        <v>1997</v>
      </c>
    </row>
    <row r="1054" spans="1:4" ht="19.95" customHeight="1" x14ac:dyDescent="0.25">
      <c r="A1054" s="11" t="s">
        <v>25</v>
      </c>
      <c r="B1054" s="12" t="s">
        <v>41</v>
      </c>
      <c r="C1054" s="12"/>
      <c r="D1054" s="12">
        <v>1997</v>
      </c>
    </row>
    <row r="1055" spans="1:4" ht="19.95" customHeight="1" x14ac:dyDescent="0.25">
      <c r="A1055" s="11" t="s">
        <v>26</v>
      </c>
      <c r="B1055" s="12" t="s">
        <v>41</v>
      </c>
      <c r="C1055" s="12">
        <v>96.996381000770199</v>
      </c>
      <c r="D1055" s="12">
        <v>1997</v>
      </c>
    </row>
    <row r="1056" spans="1:4" ht="19.95" customHeight="1" x14ac:dyDescent="0.25">
      <c r="A1056" s="11" t="s">
        <v>27</v>
      </c>
      <c r="B1056" s="12" t="s">
        <v>41</v>
      </c>
      <c r="C1056" s="12">
        <v>2.1</v>
      </c>
      <c r="D1056" s="12">
        <v>1997</v>
      </c>
    </row>
    <row r="1057" spans="1:4" ht="19.95" customHeight="1" x14ac:dyDescent="0.25">
      <c r="A1057" s="11" t="s">
        <v>29</v>
      </c>
      <c r="B1057" s="12" t="s">
        <v>41</v>
      </c>
      <c r="C1057" s="12">
        <v>26.5996429879409</v>
      </c>
      <c r="D1057" s="12">
        <v>1997</v>
      </c>
    </row>
    <row r="1058" spans="1:4" ht="19.95" customHeight="1" x14ac:dyDescent="0.25">
      <c r="A1058" s="11" t="s">
        <v>30</v>
      </c>
      <c r="B1058" s="12" t="s">
        <v>41</v>
      </c>
      <c r="C1058" s="12">
        <v>6.7628283202200299</v>
      </c>
      <c r="D1058" s="12">
        <v>1997</v>
      </c>
    </row>
    <row r="1059" spans="1:4" ht="19.95" customHeight="1" x14ac:dyDescent="0.25">
      <c r="A1059" s="11" t="s">
        <v>31</v>
      </c>
      <c r="B1059" s="12" t="s">
        <v>41</v>
      </c>
      <c r="C1059" s="12">
        <v>46.072939093117803</v>
      </c>
      <c r="D1059" s="12">
        <v>1997</v>
      </c>
    </row>
    <row r="1060" spans="1:4" ht="19.95" customHeight="1" x14ac:dyDescent="0.25">
      <c r="A1060" s="11" t="s">
        <v>32</v>
      </c>
      <c r="B1060" s="12" t="s">
        <v>41</v>
      </c>
      <c r="C1060" s="12">
        <v>0.87652694173586299</v>
      </c>
      <c r="D1060" s="12">
        <v>1997</v>
      </c>
    </row>
    <row r="1061" spans="1:4" ht="19.95" customHeight="1" x14ac:dyDescent="0.25">
      <c r="A1061" s="11" t="s">
        <v>33</v>
      </c>
      <c r="B1061" s="12" t="s">
        <v>41</v>
      </c>
      <c r="C1061" s="12"/>
      <c r="D1061" s="12">
        <v>1997</v>
      </c>
    </row>
    <row r="1062" spans="1:4" ht="19.95" customHeight="1" x14ac:dyDescent="0.25">
      <c r="A1062" s="11" t="s">
        <v>34</v>
      </c>
      <c r="B1062" s="12" t="s">
        <v>41</v>
      </c>
      <c r="C1062" s="12">
        <v>35.791161711394899</v>
      </c>
      <c r="D1062" s="12">
        <v>1997</v>
      </c>
    </row>
    <row r="1063" spans="1:4" ht="19.95" customHeight="1" x14ac:dyDescent="0.25">
      <c r="A1063" s="11" t="s">
        <v>35</v>
      </c>
      <c r="B1063" s="12" t="s">
        <v>41</v>
      </c>
      <c r="C1063" s="12">
        <v>60.090788971297798</v>
      </c>
      <c r="D1063" s="12">
        <v>1997</v>
      </c>
    </row>
    <row r="1064" spans="1:4" ht="19.95" customHeight="1" x14ac:dyDescent="0.25">
      <c r="A1064" s="11" t="s">
        <v>36</v>
      </c>
      <c r="B1064" s="12" t="s">
        <v>41</v>
      </c>
      <c r="C1064" s="12">
        <v>97.416821635002293</v>
      </c>
      <c r="D1064" s="12">
        <v>1997</v>
      </c>
    </row>
    <row r="1065" spans="1:4" ht="19.95" customHeight="1" x14ac:dyDescent="0.25">
      <c r="A1065" s="11" t="s">
        <v>37</v>
      </c>
      <c r="B1065" s="12" t="s">
        <v>41</v>
      </c>
      <c r="C1065" s="12">
        <v>1.6809168066809399</v>
      </c>
      <c r="D1065" s="12">
        <v>1997</v>
      </c>
    </row>
    <row r="1066" spans="1:4" ht="19.95" customHeight="1" x14ac:dyDescent="0.25">
      <c r="A1066" s="11" t="s">
        <v>38</v>
      </c>
      <c r="B1066" s="12" t="s">
        <v>41</v>
      </c>
      <c r="C1066" s="12">
        <v>2.0171101133576599</v>
      </c>
      <c r="D1066" s="12">
        <v>1997</v>
      </c>
    </row>
    <row r="1067" spans="1:4" ht="19.95" customHeight="1" x14ac:dyDescent="0.25">
      <c r="A1067" s="11" t="s">
        <v>39</v>
      </c>
      <c r="B1067" s="12" t="s">
        <v>41</v>
      </c>
      <c r="C1067" s="12">
        <v>3.33200036126778</v>
      </c>
      <c r="D1067" s="12">
        <v>1997</v>
      </c>
    </row>
    <row r="1068" spans="1:4" ht="19.95" customHeight="1" x14ac:dyDescent="0.25">
      <c r="A1068" s="11" t="s">
        <v>40</v>
      </c>
      <c r="B1068" s="12" t="s">
        <v>41</v>
      </c>
      <c r="C1068" s="12">
        <v>7.3405846530346404</v>
      </c>
      <c r="D1068" s="12">
        <v>1997</v>
      </c>
    </row>
    <row r="1069" spans="1:4" ht="19.95" customHeight="1" x14ac:dyDescent="0.25">
      <c r="A1069" s="11" t="s">
        <v>10</v>
      </c>
      <c r="B1069" s="12" t="s">
        <v>41</v>
      </c>
      <c r="C1069" s="12">
        <v>0.9</v>
      </c>
      <c r="D1069" s="12">
        <v>1998</v>
      </c>
    </row>
    <row r="1070" spans="1:4" ht="19.95" customHeight="1" x14ac:dyDescent="0.25">
      <c r="A1070" s="11" t="s">
        <v>13</v>
      </c>
      <c r="B1070" s="12" t="s">
        <v>41</v>
      </c>
      <c r="C1070" s="12">
        <v>22</v>
      </c>
      <c r="D1070" s="12">
        <v>1998</v>
      </c>
    </row>
    <row r="1071" spans="1:4" ht="19.95" customHeight="1" x14ac:dyDescent="0.25">
      <c r="A1071" s="11" t="s">
        <v>15</v>
      </c>
      <c r="B1071" s="12" t="s">
        <v>41</v>
      </c>
      <c r="C1071" s="12">
        <v>0.2896629965982</v>
      </c>
      <c r="D1071" s="12">
        <v>1998</v>
      </c>
    </row>
    <row r="1072" spans="1:4" ht="19.95" customHeight="1" x14ac:dyDescent="0.25">
      <c r="A1072" s="11" t="s">
        <v>16</v>
      </c>
      <c r="B1072" s="12" t="s">
        <v>41</v>
      </c>
      <c r="C1072" s="12">
        <v>24.6429230917757</v>
      </c>
      <c r="D1072" s="12">
        <v>1998</v>
      </c>
    </row>
    <row r="1073" spans="1:4" ht="19.95" customHeight="1" x14ac:dyDescent="0.25">
      <c r="A1073" s="11" t="s">
        <v>17</v>
      </c>
      <c r="B1073" s="12" t="s">
        <v>41</v>
      </c>
      <c r="C1073" s="12">
        <v>63.113197397192998</v>
      </c>
      <c r="D1073" s="12">
        <v>1998</v>
      </c>
    </row>
    <row r="1074" spans="1:4" ht="19.95" customHeight="1" x14ac:dyDescent="0.25">
      <c r="A1074" s="11" t="s">
        <v>2</v>
      </c>
      <c r="B1074" s="12" t="s">
        <v>41</v>
      </c>
      <c r="C1074" s="12"/>
      <c r="D1074" s="12">
        <v>1998</v>
      </c>
    </row>
    <row r="1075" spans="1:4" ht="19.95" customHeight="1" x14ac:dyDescent="0.25">
      <c r="A1075" s="11" t="s">
        <v>18</v>
      </c>
      <c r="B1075" s="12" t="s">
        <v>41</v>
      </c>
      <c r="C1075" s="12"/>
      <c r="D1075" s="12">
        <v>1998</v>
      </c>
    </row>
    <row r="1076" spans="1:4" ht="19.95" customHeight="1" x14ac:dyDescent="0.25">
      <c r="A1076" s="11" t="s">
        <v>19</v>
      </c>
      <c r="B1076" s="12" t="s">
        <v>41</v>
      </c>
      <c r="C1076" s="12">
        <v>11.3634785401056</v>
      </c>
      <c r="D1076" s="12">
        <v>1998</v>
      </c>
    </row>
    <row r="1077" spans="1:4" ht="19.95" customHeight="1" x14ac:dyDescent="0.25">
      <c r="A1077" s="11" t="s">
        <v>20</v>
      </c>
      <c r="B1077" s="12" t="s">
        <v>41</v>
      </c>
      <c r="C1077" s="12">
        <v>4.3</v>
      </c>
      <c r="D1077" s="12">
        <v>1998</v>
      </c>
    </row>
    <row r="1078" spans="1:4" ht="19.95" customHeight="1" x14ac:dyDescent="0.25">
      <c r="A1078" s="11" t="s">
        <v>21</v>
      </c>
      <c r="B1078" s="12" t="s">
        <v>41</v>
      </c>
      <c r="C1078" s="12"/>
      <c r="D1078" s="12">
        <v>1998</v>
      </c>
    </row>
    <row r="1079" spans="1:4" ht="19.95" customHeight="1" x14ac:dyDescent="0.25">
      <c r="A1079" s="11" t="s">
        <v>22</v>
      </c>
      <c r="B1079" s="12" t="s">
        <v>41</v>
      </c>
      <c r="C1079" s="12">
        <v>9.9999997764825804E-3</v>
      </c>
      <c r="D1079" s="12">
        <v>1998</v>
      </c>
    </row>
    <row r="1080" spans="1:4" ht="19.95" customHeight="1" x14ac:dyDescent="0.25">
      <c r="A1080" s="11" t="s">
        <v>23</v>
      </c>
      <c r="B1080" s="12" t="s">
        <v>41</v>
      </c>
      <c r="C1080" s="12">
        <v>0.80117986762345905</v>
      </c>
      <c r="D1080" s="12">
        <v>1998</v>
      </c>
    </row>
    <row r="1081" spans="1:4" ht="19.95" customHeight="1" x14ac:dyDescent="0.25">
      <c r="A1081" s="11" t="s">
        <v>24</v>
      </c>
      <c r="B1081" s="12" t="s">
        <v>41</v>
      </c>
      <c r="C1081" s="12">
        <v>0.89609104126198702</v>
      </c>
      <c r="D1081" s="12">
        <v>1998</v>
      </c>
    </row>
    <row r="1082" spans="1:4" ht="19.95" customHeight="1" x14ac:dyDescent="0.25">
      <c r="A1082" s="11" t="s">
        <v>25</v>
      </c>
      <c r="B1082" s="12" t="s">
        <v>41</v>
      </c>
      <c r="C1082" s="12"/>
      <c r="D1082" s="12">
        <v>1998</v>
      </c>
    </row>
    <row r="1083" spans="1:4" ht="19.95" customHeight="1" x14ac:dyDescent="0.25">
      <c r="A1083" s="11" t="s">
        <v>26</v>
      </c>
      <c r="B1083" s="12" t="s">
        <v>41</v>
      </c>
      <c r="C1083" s="12">
        <v>97.344852468439896</v>
      </c>
      <c r="D1083" s="12">
        <v>1998</v>
      </c>
    </row>
    <row r="1084" spans="1:4" ht="19.95" customHeight="1" x14ac:dyDescent="0.25">
      <c r="A1084" s="11" t="s">
        <v>27</v>
      </c>
      <c r="B1084" s="12" t="s">
        <v>41</v>
      </c>
      <c r="C1084" s="12"/>
      <c r="D1084" s="12">
        <v>1998</v>
      </c>
    </row>
    <row r="1085" spans="1:4" ht="19.95" customHeight="1" x14ac:dyDescent="0.25">
      <c r="A1085" s="11" t="s">
        <v>29</v>
      </c>
      <c r="B1085" s="12" t="s">
        <v>41</v>
      </c>
      <c r="C1085" s="12">
        <v>27.399444938452401</v>
      </c>
      <c r="D1085" s="12">
        <v>1998</v>
      </c>
    </row>
    <row r="1086" spans="1:4" ht="19.95" customHeight="1" x14ac:dyDescent="0.25">
      <c r="A1086" s="11" t="s">
        <v>30</v>
      </c>
      <c r="B1086" s="12" t="s">
        <v>41</v>
      </c>
      <c r="C1086" s="12">
        <v>10.7671299579705</v>
      </c>
      <c r="D1086" s="12">
        <v>1998</v>
      </c>
    </row>
    <row r="1087" spans="1:4" ht="19.95" customHeight="1" x14ac:dyDescent="0.25">
      <c r="A1087" s="11" t="s">
        <v>31</v>
      </c>
      <c r="B1087" s="12" t="s">
        <v>41</v>
      </c>
      <c r="C1087" s="12">
        <v>40.683522000000004</v>
      </c>
      <c r="D1087" s="12">
        <v>1998</v>
      </c>
    </row>
    <row r="1088" spans="1:4" ht="19.95" customHeight="1" x14ac:dyDescent="0.25">
      <c r="A1088" s="11" t="s">
        <v>32</v>
      </c>
      <c r="B1088" s="12" t="s">
        <v>41</v>
      </c>
      <c r="C1088" s="12">
        <v>0.2</v>
      </c>
      <c r="D1088" s="12">
        <v>1998</v>
      </c>
    </row>
    <row r="1089" spans="1:4" ht="19.95" customHeight="1" x14ac:dyDescent="0.25">
      <c r="A1089" s="11" t="s">
        <v>33</v>
      </c>
      <c r="B1089" s="12" t="s">
        <v>41</v>
      </c>
      <c r="C1089" s="12"/>
      <c r="D1089" s="12">
        <v>1998</v>
      </c>
    </row>
    <row r="1090" spans="1:4" ht="19.95" customHeight="1" x14ac:dyDescent="0.25">
      <c r="A1090" s="11" t="s">
        <v>34</v>
      </c>
      <c r="B1090" s="12" t="s">
        <v>41</v>
      </c>
      <c r="C1090" s="12">
        <v>36.4835496668735</v>
      </c>
      <c r="D1090" s="12">
        <v>1998</v>
      </c>
    </row>
    <row r="1091" spans="1:4" ht="19.95" customHeight="1" x14ac:dyDescent="0.25">
      <c r="A1091" s="11" t="s">
        <v>35</v>
      </c>
      <c r="B1091" s="12" t="s">
        <v>41</v>
      </c>
      <c r="C1091" s="12">
        <v>61.917256528607901</v>
      </c>
      <c r="D1091" s="12">
        <v>1998</v>
      </c>
    </row>
    <row r="1092" spans="1:4" ht="19.95" customHeight="1" x14ac:dyDescent="0.25">
      <c r="A1092" s="11" t="s">
        <v>36</v>
      </c>
      <c r="B1092" s="12" t="s">
        <v>41</v>
      </c>
      <c r="C1092" s="12">
        <v>97.627719447758594</v>
      </c>
      <c r="D1092" s="12">
        <v>1998</v>
      </c>
    </row>
    <row r="1093" spans="1:4" ht="19.95" customHeight="1" x14ac:dyDescent="0.25">
      <c r="A1093" s="11" t="s">
        <v>37</v>
      </c>
      <c r="B1093" s="12" t="s">
        <v>41</v>
      </c>
      <c r="C1093" s="12">
        <v>2.0767988475124799</v>
      </c>
      <c r="D1093" s="12">
        <v>1998</v>
      </c>
    </row>
    <row r="1094" spans="1:4" ht="19.95" customHeight="1" x14ac:dyDescent="0.25">
      <c r="A1094" s="11" t="s">
        <v>38</v>
      </c>
      <c r="B1094" s="12" t="s">
        <v>41</v>
      </c>
      <c r="C1094" s="12">
        <v>2.6526402530360902</v>
      </c>
      <c r="D1094" s="12">
        <v>1998</v>
      </c>
    </row>
    <row r="1095" spans="1:4" ht="19.95" customHeight="1" x14ac:dyDescent="0.25">
      <c r="A1095" s="11" t="s">
        <v>39</v>
      </c>
      <c r="B1095" s="12" t="s">
        <v>41</v>
      </c>
      <c r="C1095" s="12">
        <v>2</v>
      </c>
      <c r="D1095" s="12">
        <v>1998</v>
      </c>
    </row>
    <row r="1096" spans="1:4" ht="19.95" customHeight="1" x14ac:dyDescent="0.25">
      <c r="A1096" s="11" t="s">
        <v>40</v>
      </c>
      <c r="B1096" s="12" t="s">
        <v>41</v>
      </c>
      <c r="C1096" s="12">
        <v>7.3198802030122501</v>
      </c>
      <c r="D1096" s="12">
        <v>1998</v>
      </c>
    </row>
    <row r="1097" spans="1:4" ht="19.95" customHeight="1" x14ac:dyDescent="0.25">
      <c r="A1097" s="11" t="s">
        <v>10</v>
      </c>
      <c r="B1097" s="12" t="s">
        <v>41</v>
      </c>
      <c r="C1097" s="12"/>
      <c r="D1097" s="12">
        <v>1999</v>
      </c>
    </row>
    <row r="1098" spans="1:4" ht="19.95" customHeight="1" x14ac:dyDescent="0.25">
      <c r="A1098" s="11" t="s">
        <v>13</v>
      </c>
      <c r="B1098" s="12" t="s">
        <v>41</v>
      </c>
      <c r="C1098" s="12">
        <v>12.063228571409599</v>
      </c>
      <c r="D1098" s="12">
        <v>1999</v>
      </c>
    </row>
    <row r="1099" spans="1:4" ht="19.95" customHeight="1" x14ac:dyDescent="0.25">
      <c r="A1099" s="11" t="s">
        <v>15</v>
      </c>
      <c r="B1099" s="12" t="s">
        <v>41</v>
      </c>
      <c r="C1099" s="12">
        <v>0.41347042138624301</v>
      </c>
      <c r="D1099" s="12">
        <v>1999</v>
      </c>
    </row>
    <row r="1100" spans="1:4" ht="19.95" customHeight="1" x14ac:dyDescent="0.25">
      <c r="A1100" s="11" t="s">
        <v>16</v>
      </c>
      <c r="B1100" s="12" t="s">
        <v>41</v>
      </c>
      <c r="C1100" s="12">
        <v>27.3107818289199</v>
      </c>
      <c r="D1100" s="12">
        <v>1999</v>
      </c>
    </row>
    <row r="1101" spans="1:4" ht="19.95" customHeight="1" x14ac:dyDescent="0.25">
      <c r="A1101" s="11" t="s">
        <v>17</v>
      </c>
      <c r="B1101" s="12" t="s">
        <v>41</v>
      </c>
      <c r="C1101" s="12">
        <v>59.738744163494701</v>
      </c>
      <c r="D1101" s="12">
        <v>1999</v>
      </c>
    </row>
    <row r="1102" spans="1:4" ht="19.95" customHeight="1" x14ac:dyDescent="0.25">
      <c r="A1102" s="11" t="s">
        <v>2</v>
      </c>
      <c r="B1102" s="12" t="s">
        <v>41</v>
      </c>
      <c r="C1102" s="12"/>
      <c r="D1102" s="12">
        <v>1999</v>
      </c>
    </row>
    <row r="1103" spans="1:4" ht="19.95" customHeight="1" x14ac:dyDescent="0.25">
      <c r="A1103" s="11" t="s">
        <v>18</v>
      </c>
      <c r="B1103" s="12" t="s">
        <v>41</v>
      </c>
      <c r="C1103" s="12">
        <v>1.5</v>
      </c>
      <c r="D1103" s="12">
        <v>1999</v>
      </c>
    </row>
    <row r="1104" spans="1:4" ht="19.95" customHeight="1" x14ac:dyDescent="0.25">
      <c r="A1104" s="11" t="s">
        <v>19</v>
      </c>
      <c r="B1104" s="12" t="s">
        <v>41</v>
      </c>
      <c r="C1104" s="12">
        <v>11.5719793097752</v>
      </c>
      <c r="D1104" s="12">
        <v>1999</v>
      </c>
    </row>
    <row r="1105" spans="1:4" ht="19.95" customHeight="1" x14ac:dyDescent="0.25">
      <c r="A1105" s="11" t="s">
        <v>20</v>
      </c>
      <c r="B1105" s="12" t="s">
        <v>41</v>
      </c>
      <c r="C1105" s="12">
        <v>6.4675082396284997</v>
      </c>
      <c r="D1105" s="12">
        <v>1999</v>
      </c>
    </row>
    <row r="1106" spans="1:4" ht="19.95" customHeight="1" x14ac:dyDescent="0.25">
      <c r="A1106" s="11" t="s">
        <v>21</v>
      </c>
      <c r="B1106" s="12" t="s">
        <v>41</v>
      </c>
      <c r="C1106" s="12"/>
      <c r="D1106" s="12">
        <v>1999</v>
      </c>
    </row>
    <row r="1107" spans="1:4" ht="19.95" customHeight="1" x14ac:dyDescent="0.25">
      <c r="A1107" s="11" t="s">
        <v>22</v>
      </c>
      <c r="B1107" s="12" t="s">
        <v>41</v>
      </c>
      <c r="C1107" s="12">
        <v>9.9999997764825804E-3</v>
      </c>
      <c r="D1107" s="12">
        <v>1999</v>
      </c>
    </row>
    <row r="1108" spans="1:4" ht="19.95" customHeight="1" x14ac:dyDescent="0.25">
      <c r="A1108" s="11" t="s">
        <v>23</v>
      </c>
      <c r="B1108" s="12" t="s">
        <v>41</v>
      </c>
      <c r="C1108" s="12">
        <v>0.70675879325867497</v>
      </c>
      <c r="D1108" s="12">
        <v>1999</v>
      </c>
    </row>
    <row r="1109" spans="1:4" ht="19.95" customHeight="1" x14ac:dyDescent="0.25">
      <c r="A1109" s="11" t="s">
        <v>24</v>
      </c>
      <c r="B1109" s="12" t="s">
        <v>41</v>
      </c>
      <c r="C1109" s="12">
        <v>1.0934815258816299</v>
      </c>
      <c r="D1109" s="12">
        <v>1999</v>
      </c>
    </row>
    <row r="1110" spans="1:4" ht="19.95" customHeight="1" x14ac:dyDescent="0.25">
      <c r="A1110" s="11" t="s">
        <v>25</v>
      </c>
      <c r="B1110" s="12" t="s">
        <v>41</v>
      </c>
      <c r="C1110" s="12">
        <v>0.55269824166953296</v>
      </c>
      <c r="D1110" s="12">
        <v>1999</v>
      </c>
    </row>
    <row r="1111" spans="1:4" ht="19.95" customHeight="1" x14ac:dyDescent="0.25">
      <c r="A1111" s="11" t="s">
        <v>26</v>
      </c>
      <c r="B1111" s="12" t="s">
        <v>41</v>
      </c>
      <c r="C1111" s="12">
        <v>97.663889908397707</v>
      </c>
      <c r="D1111" s="12">
        <v>1999</v>
      </c>
    </row>
    <row r="1112" spans="1:4" ht="19.95" customHeight="1" x14ac:dyDescent="0.25">
      <c r="A1112" s="11" t="s">
        <v>27</v>
      </c>
      <c r="B1112" s="12" t="s">
        <v>41</v>
      </c>
      <c r="C1112" s="12"/>
      <c r="D1112" s="12">
        <v>1999</v>
      </c>
    </row>
    <row r="1113" spans="1:4" ht="19.95" customHeight="1" x14ac:dyDescent="0.25">
      <c r="A1113" s="11" t="s">
        <v>29</v>
      </c>
      <c r="B1113" s="12" t="s">
        <v>41</v>
      </c>
      <c r="C1113" s="12">
        <v>28.160821073824099</v>
      </c>
      <c r="D1113" s="12">
        <v>1999</v>
      </c>
    </row>
    <row r="1114" spans="1:4" ht="19.95" customHeight="1" x14ac:dyDescent="0.25">
      <c r="A1114" s="11" t="s">
        <v>30</v>
      </c>
      <c r="B1114" s="12" t="s">
        <v>41</v>
      </c>
      <c r="C1114" s="12">
        <v>14.769361058864099</v>
      </c>
      <c r="D1114" s="12">
        <v>1999</v>
      </c>
    </row>
    <row r="1115" spans="1:4" ht="19.95" customHeight="1" x14ac:dyDescent="0.25">
      <c r="A1115" s="11" t="s">
        <v>31</v>
      </c>
      <c r="B1115" s="12" t="s">
        <v>41</v>
      </c>
      <c r="C1115" s="12">
        <v>47.263902039664202</v>
      </c>
      <c r="D1115" s="12">
        <v>1999</v>
      </c>
    </row>
    <row r="1116" spans="1:4" ht="19.95" customHeight="1" x14ac:dyDescent="0.25">
      <c r="A1116" s="11" t="s">
        <v>32</v>
      </c>
      <c r="B1116" s="12" t="s">
        <v>41</v>
      </c>
      <c r="C1116" s="12">
        <v>1.4527657832305501</v>
      </c>
      <c r="D1116" s="12">
        <v>1999</v>
      </c>
    </row>
    <row r="1117" spans="1:4" ht="19.95" customHeight="1" x14ac:dyDescent="0.25">
      <c r="A1117" s="11" t="s">
        <v>33</v>
      </c>
      <c r="B1117" s="12" t="s">
        <v>41</v>
      </c>
      <c r="C1117" s="12"/>
      <c r="D1117" s="12">
        <v>1999</v>
      </c>
    </row>
    <row r="1118" spans="1:4" ht="19.95" customHeight="1" x14ac:dyDescent="0.25">
      <c r="A1118" s="11" t="s">
        <v>34</v>
      </c>
      <c r="B1118" s="12" t="s">
        <v>41</v>
      </c>
      <c r="C1118" s="12">
        <v>37.145182141498601</v>
      </c>
      <c r="D1118" s="12">
        <v>1999</v>
      </c>
    </row>
    <row r="1119" spans="1:4" ht="19.95" customHeight="1" x14ac:dyDescent="0.25">
      <c r="A1119" s="11" t="s">
        <v>35</v>
      </c>
      <c r="B1119" s="12" t="s">
        <v>41</v>
      </c>
      <c r="C1119" s="12">
        <v>63.718479730874499</v>
      </c>
      <c r="D1119" s="12">
        <v>1999</v>
      </c>
    </row>
    <row r="1120" spans="1:4" ht="19.95" customHeight="1" x14ac:dyDescent="0.25">
      <c r="A1120" s="11" t="s">
        <v>36</v>
      </c>
      <c r="B1120" s="12" t="s">
        <v>41</v>
      </c>
      <c r="C1120" s="12">
        <v>96.051422047310695</v>
      </c>
      <c r="D1120" s="12">
        <v>1999</v>
      </c>
    </row>
    <row r="1121" spans="1:4" ht="19.95" customHeight="1" x14ac:dyDescent="0.25">
      <c r="A1121" s="11" t="s">
        <v>37</v>
      </c>
      <c r="B1121" s="12" t="s">
        <v>41</v>
      </c>
      <c r="C1121" s="12">
        <v>1.1000000000000001</v>
      </c>
      <c r="D1121" s="12">
        <v>1999</v>
      </c>
    </row>
    <row r="1122" spans="1:4" ht="19.95" customHeight="1" x14ac:dyDescent="0.25">
      <c r="A1122" s="11" t="s">
        <v>38</v>
      </c>
      <c r="B1122" s="12" t="s">
        <v>41</v>
      </c>
      <c r="C1122" s="12">
        <v>3.2645121925228202</v>
      </c>
      <c r="D1122" s="12">
        <v>1999</v>
      </c>
    </row>
    <row r="1123" spans="1:4" ht="19.95" customHeight="1" x14ac:dyDescent="0.25">
      <c r="A1123" s="11" t="s">
        <v>39</v>
      </c>
      <c r="B1123" s="12" t="s">
        <v>41</v>
      </c>
      <c r="C1123" s="12">
        <v>4.3831118750320703</v>
      </c>
      <c r="D1123" s="12">
        <v>1999</v>
      </c>
    </row>
    <row r="1124" spans="1:4" ht="19.95" customHeight="1" x14ac:dyDescent="0.25">
      <c r="A1124" s="11" t="s">
        <v>40</v>
      </c>
      <c r="B1124" s="12" t="s">
        <v>41</v>
      </c>
      <c r="C1124" s="12">
        <v>8.3000000000000007</v>
      </c>
      <c r="D1124" s="12">
        <v>1999</v>
      </c>
    </row>
    <row r="1125" spans="1:4" ht="19.95" customHeight="1" x14ac:dyDescent="0.25">
      <c r="A1125" s="11" t="s">
        <v>10</v>
      </c>
      <c r="B1125" s="12" t="s">
        <v>41</v>
      </c>
      <c r="C1125" s="12"/>
      <c r="D1125" s="12">
        <v>2000</v>
      </c>
    </row>
    <row r="1126" spans="1:4" ht="19.95" customHeight="1" x14ac:dyDescent="0.25">
      <c r="A1126" s="11" t="s">
        <v>13</v>
      </c>
      <c r="B1126" s="12" t="s">
        <v>41</v>
      </c>
      <c r="C1126" s="12">
        <v>21</v>
      </c>
      <c r="D1126" s="12">
        <v>2000</v>
      </c>
    </row>
    <row r="1127" spans="1:4" ht="19.95" customHeight="1" x14ac:dyDescent="0.25">
      <c r="A1127" s="11" t="s">
        <v>15</v>
      </c>
      <c r="B1127" s="12" t="s">
        <v>41</v>
      </c>
      <c r="C1127" s="12">
        <v>0.50917267792802001</v>
      </c>
      <c r="D1127" s="12">
        <v>2000</v>
      </c>
    </row>
    <row r="1128" spans="1:4" ht="19.95" customHeight="1" x14ac:dyDescent="0.25">
      <c r="A1128" s="11" t="s">
        <v>16</v>
      </c>
      <c r="B1128" s="12" t="s">
        <v>41</v>
      </c>
      <c r="C1128" s="12">
        <v>29.948429272101802</v>
      </c>
      <c r="D1128" s="12">
        <v>2000</v>
      </c>
    </row>
    <row r="1129" spans="1:4" ht="19.95" customHeight="1" x14ac:dyDescent="0.25">
      <c r="A1129" s="11" t="s">
        <v>17</v>
      </c>
      <c r="B1129" s="12" t="s">
        <v>41</v>
      </c>
      <c r="C1129" s="12">
        <v>56.275580657328099</v>
      </c>
      <c r="D1129" s="12">
        <v>2000</v>
      </c>
    </row>
    <row r="1130" spans="1:4" ht="19.95" customHeight="1" x14ac:dyDescent="0.25">
      <c r="A1130" s="11" t="s">
        <v>2</v>
      </c>
      <c r="B1130" s="12" t="s">
        <v>41</v>
      </c>
      <c r="C1130" s="12">
        <v>0.4</v>
      </c>
      <c r="D1130" s="12">
        <v>2000</v>
      </c>
    </row>
    <row r="1131" spans="1:4" ht="19.95" customHeight="1" x14ac:dyDescent="0.25">
      <c r="A1131" s="11" t="s">
        <v>18</v>
      </c>
      <c r="B1131" s="12" t="s">
        <v>41</v>
      </c>
      <c r="C1131" s="12"/>
      <c r="D1131" s="12">
        <v>2000</v>
      </c>
    </row>
    <row r="1132" spans="1:4" ht="19.95" customHeight="1" x14ac:dyDescent="0.25">
      <c r="A1132" s="11" t="s">
        <v>19</v>
      </c>
      <c r="B1132" s="12" t="s">
        <v>41</v>
      </c>
      <c r="C1132" s="12">
        <v>5.2</v>
      </c>
      <c r="D1132" s="12">
        <v>2000</v>
      </c>
    </row>
    <row r="1133" spans="1:4" ht="19.95" customHeight="1" x14ac:dyDescent="0.25">
      <c r="A1133" s="11" t="s">
        <v>20</v>
      </c>
      <c r="B1133" s="12" t="s">
        <v>41</v>
      </c>
      <c r="C1133" s="12">
        <v>7.4227633520682197</v>
      </c>
      <c r="D1133" s="12">
        <v>2000</v>
      </c>
    </row>
    <row r="1134" spans="1:4" ht="19.95" customHeight="1" x14ac:dyDescent="0.25">
      <c r="A1134" s="11" t="s">
        <v>21</v>
      </c>
      <c r="B1134" s="12" t="s">
        <v>41</v>
      </c>
      <c r="C1134" s="12"/>
      <c r="D1134" s="12">
        <v>2000</v>
      </c>
    </row>
    <row r="1135" spans="1:4" ht="19.95" customHeight="1" x14ac:dyDescent="0.25">
      <c r="A1135" s="11" t="s">
        <v>22</v>
      </c>
      <c r="B1135" s="12" t="s">
        <v>41</v>
      </c>
      <c r="C1135" s="12">
        <v>9.9999997764825804E-3</v>
      </c>
      <c r="D1135" s="12">
        <v>2000</v>
      </c>
    </row>
    <row r="1136" spans="1:4" ht="19.95" customHeight="1" x14ac:dyDescent="0.25">
      <c r="A1136" s="11" t="s">
        <v>23</v>
      </c>
      <c r="B1136" s="12" t="s">
        <v>41</v>
      </c>
      <c r="C1136" s="12">
        <v>0.57404277911095303</v>
      </c>
      <c r="D1136" s="12">
        <v>2000</v>
      </c>
    </row>
    <row r="1137" spans="1:4" ht="19.95" customHeight="1" x14ac:dyDescent="0.25">
      <c r="A1137" s="11" t="s">
        <v>24</v>
      </c>
      <c r="B1137" s="12" t="s">
        <v>41</v>
      </c>
      <c r="C1137" s="12">
        <v>1</v>
      </c>
      <c r="D1137" s="12">
        <v>2000</v>
      </c>
    </row>
    <row r="1138" spans="1:4" ht="19.95" customHeight="1" x14ac:dyDescent="0.25">
      <c r="A1138" s="11" t="s">
        <v>25</v>
      </c>
      <c r="B1138" s="12" t="s">
        <v>41</v>
      </c>
      <c r="C1138" s="12">
        <v>1.14740485953544</v>
      </c>
      <c r="D1138" s="12">
        <v>2000</v>
      </c>
    </row>
    <row r="1139" spans="1:4" ht="19.95" customHeight="1" x14ac:dyDescent="0.25">
      <c r="A1139" s="11" t="s">
        <v>26</v>
      </c>
      <c r="B1139" s="12" t="s">
        <v>41</v>
      </c>
      <c r="C1139" s="12">
        <v>97.916128782641806</v>
      </c>
      <c r="D1139" s="12">
        <v>2000</v>
      </c>
    </row>
    <row r="1140" spans="1:4" ht="19.95" customHeight="1" x14ac:dyDescent="0.25">
      <c r="A1140" s="11" t="s">
        <v>27</v>
      </c>
      <c r="B1140" s="12" t="s">
        <v>41</v>
      </c>
      <c r="C1140" s="12"/>
      <c r="D1140" s="12">
        <v>2000</v>
      </c>
    </row>
    <row r="1141" spans="1:4" ht="19.95" customHeight="1" x14ac:dyDescent="0.25">
      <c r="A1141" s="11" t="s">
        <v>29</v>
      </c>
      <c r="B1141" s="12" t="s">
        <v>41</v>
      </c>
      <c r="C1141" s="12">
        <v>28.882640686668999</v>
      </c>
      <c r="D1141" s="12">
        <v>2000</v>
      </c>
    </row>
    <row r="1142" spans="1:4" ht="19.95" customHeight="1" x14ac:dyDescent="0.25">
      <c r="A1142" s="11" t="s">
        <v>30</v>
      </c>
      <c r="B1142" s="12" t="s">
        <v>41</v>
      </c>
      <c r="C1142" s="12">
        <v>18.769202296814001</v>
      </c>
      <c r="D1142" s="12">
        <v>2000</v>
      </c>
    </row>
    <row r="1143" spans="1:4" ht="19.95" customHeight="1" x14ac:dyDescent="0.25">
      <c r="A1143" s="11" t="s">
        <v>31</v>
      </c>
      <c r="B1143" s="12" t="s">
        <v>41</v>
      </c>
      <c r="C1143" s="12">
        <v>47.801826656881197</v>
      </c>
      <c r="D1143" s="12">
        <v>2000</v>
      </c>
    </row>
    <row r="1144" spans="1:4" ht="19.95" customHeight="1" x14ac:dyDescent="0.25">
      <c r="A1144" s="11" t="s">
        <v>32</v>
      </c>
      <c r="B1144" s="12" t="s">
        <v>41</v>
      </c>
      <c r="C1144" s="12">
        <v>0.38188761593016901</v>
      </c>
      <c r="D1144" s="12">
        <v>2000</v>
      </c>
    </row>
    <row r="1145" spans="1:4" ht="19.95" customHeight="1" x14ac:dyDescent="0.25">
      <c r="A1145" s="11" t="s">
        <v>33</v>
      </c>
      <c r="B1145" s="12" t="s">
        <v>41</v>
      </c>
      <c r="C1145" s="12">
        <v>0.9</v>
      </c>
      <c r="D1145" s="12">
        <v>2000</v>
      </c>
    </row>
    <row r="1146" spans="1:4" ht="19.95" customHeight="1" x14ac:dyDescent="0.25">
      <c r="A1146" s="11" t="s">
        <v>34</v>
      </c>
      <c r="B1146" s="12" t="s">
        <v>41</v>
      </c>
      <c r="C1146" s="12">
        <v>38.967640000000003</v>
      </c>
      <c r="D1146" s="12">
        <v>2000</v>
      </c>
    </row>
    <row r="1147" spans="1:4" ht="19.95" customHeight="1" x14ac:dyDescent="0.25">
      <c r="A1147" s="11" t="s">
        <v>35</v>
      </c>
      <c r="B1147" s="12" t="s">
        <v>41</v>
      </c>
      <c r="C1147" s="12">
        <v>65.493002634744101</v>
      </c>
      <c r="D1147" s="12">
        <v>2000</v>
      </c>
    </row>
    <row r="1148" spans="1:4" ht="19.95" customHeight="1" x14ac:dyDescent="0.25">
      <c r="A1148" s="11" t="s">
        <v>36</v>
      </c>
      <c r="B1148" s="12" t="s">
        <v>41</v>
      </c>
      <c r="C1148" s="12">
        <v>98.026315789473699</v>
      </c>
      <c r="D1148" s="12">
        <v>2000</v>
      </c>
    </row>
    <row r="1149" spans="1:4" ht="19.95" customHeight="1" x14ac:dyDescent="0.25">
      <c r="A1149" s="11" t="s">
        <v>37</v>
      </c>
      <c r="B1149" s="12" t="s">
        <v>41</v>
      </c>
      <c r="C1149" s="12">
        <v>2.7609479009594802</v>
      </c>
      <c r="D1149" s="12">
        <v>2000</v>
      </c>
    </row>
    <row r="1150" spans="1:4" ht="19.95" customHeight="1" x14ac:dyDescent="0.25">
      <c r="A1150" s="11" t="s">
        <v>38</v>
      </c>
      <c r="B1150" s="12" t="s">
        <v>41</v>
      </c>
      <c r="C1150" s="12">
        <v>3.8505507268894799</v>
      </c>
      <c r="D1150" s="12">
        <v>2000</v>
      </c>
    </row>
    <row r="1151" spans="1:4" ht="19.95" customHeight="1" x14ac:dyDescent="0.25">
      <c r="A1151" s="11" t="s">
        <v>39</v>
      </c>
      <c r="B1151" s="12" t="s">
        <v>41</v>
      </c>
      <c r="C1151" s="12">
        <v>2.2000000000000002</v>
      </c>
      <c r="D1151" s="12">
        <v>2000</v>
      </c>
    </row>
    <row r="1152" spans="1:4" ht="19.95" customHeight="1" x14ac:dyDescent="0.25">
      <c r="A1152" s="11" t="s">
        <v>40</v>
      </c>
      <c r="B1152" s="12" t="s">
        <v>41</v>
      </c>
      <c r="C1152" s="12">
        <v>7.1797672764034504</v>
      </c>
      <c r="D1152" s="12">
        <v>2000</v>
      </c>
    </row>
    <row r="1153" spans="1:4" ht="19.95" customHeight="1" x14ac:dyDescent="0.25">
      <c r="A1153" s="11" t="s">
        <v>10</v>
      </c>
      <c r="B1153" s="12" t="s">
        <v>41</v>
      </c>
      <c r="C1153" s="12"/>
      <c r="D1153" s="12">
        <v>2001</v>
      </c>
    </row>
    <row r="1154" spans="1:4" ht="19.95" customHeight="1" x14ac:dyDescent="0.25">
      <c r="A1154" s="11" t="s">
        <v>13</v>
      </c>
      <c r="B1154" s="12" t="s">
        <v>41</v>
      </c>
      <c r="C1154" s="12">
        <v>18.512730000000001</v>
      </c>
      <c r="D1154" s="12">
        <v>2001</v>
      </c>
    </row>
    <row r="1155" spans="1:4" ht="19.95" customHeight="1" x14ac:dyDescent="0.25">
      <c r="A1155" s="11" t="s">
        <v>15</v>
      </c>
      <c r="B1155" s="12" t="s">
        <v>41</v>
      </c>
      <c r="C1155" s="12">
        <v>0.58194096734145795</v>
      </c>
      <c r="D1155" s="12">
        <v>2001</v>
      </c>
    </row>
    <row r="1156" spans="1:4" ht="19.95" customHeight="1" x14ac:dyDescent="0.25">
      <c r="A1156" s="11" t="s">
        <v>16</v>
      </c>
      <c r="B1156" s="12" t="s">
        <v>41</v>
      </c>
      <c r="C1156" s="12">
        <v>32.561484228695498</v>
      </c>
      <c r="D1156" s="12">
        <v>2001</v>
      </c>
    </row>
    <row r="1157" spans="1:4" ht="19.95" customHeight="1" x14ac:dyDescent="0.25">
      <c r="A1157" s="11" t="s">
        <v>17</v>
      </c>
      <c r="B1157" s="12" t="s">
        <v>41</v>
      </c>
      <c r="C1157" s="12">
        <v>52.735473049235999</v>
      </c>
      <c r="D1157" s="12">
        <v>2001</v>
      </c>
    </row>
    <row r="1158" spans="1:4" ht="19.95" customHeight="1" x14ac:dyDescent="0.25">
      <c r="A1158" s="11" t="s">
        <v>2</v>
      </c>
      <c r="B1158" s="12" t="s">
        <v>41</v>
      </c>
      <c r="C1158" s="12"/>
      <c r="D1158" s="12">
        <v>2001</v>
      </c>
    </row>
    <row r="1159" spans="1:4" ht="19.95" customHeight="1" x14ac:dyDescent="0.25">
      <c r="A1159" s="11" t="s">
        <v>18</v>
      </c>
      <c r="B1159" s="12" t="s">
        <v>41</v>
      </c>
      <c r="C1159" s="12"/>
      <c r="D1159" s="12">
        <v>2001</v>
      </c>
    </row>
    <row r="1160" spans="1:4" ht="19.95" customHeight="1" x14ac:dyDescent="0.25">
      <c r="A1160" s="11" t="s">
        <v>19</v>
      </c>
      <c r="B1160" s="12" t="s">
        <v>41</v>
      </c>
      <c r="C1160" s="12">
        <v>10.435460000000001</v>
      </c>
      <c r="D1160" s="12">
        <v>2001</v>
      </c>
    </row>
    <row r="1161" spans="1:4" ht="19.95" customHeight="1" x14ac:dyDescent="0.25">
      <c r="A1161" s="11" t="s">
        <v>20</v>
      </c>
      <c r="B1161" s="12" t="s">
        <v>41</v>
      </c>
      <c r="C1161" s="12">
        <v>8.3498312199594498</v>
      </c>
      <c r="D1161" s="12">
        <v>2001</v>
      </c>
    </row>
    <row r="1162" spans="1:4" ht="19.95" customHeight="1" x14ac:dyDescent="0.25">
      <c r="A1162" s="11" t="s">
        <v>21</v>
      </c>
      <c r="B1162" s="12" t="s">
        <v>41</v>
      </c>
      <c r="C1162" s="12"/>
      <c r="D1162" s="12">
        <v>2001</v>
      </c>
    </row>
    <row r="1163" spans="1:4" ht="19.95" customHeight="1" x14ac:dyDescent="0.25">
      <c r="A1163" s="11" t="s">
        <v>22</v>
      </c>
      <c r="B1163" s="12" t="s">
        <v>41</v>
      </c>
      <c r="C1163" s="12">
        <v>9.9999997764825804E-3</v>
      </c>
      <c r="D1163" s="12">
        <v>2001</v>
      </c>
    </row>
    <row r="1164" spans="1:4" ht="19.95" customHeight="1" x14ac:dyDescent="0.25">
      <c r="A1164" s="11" t="s">
        <v>23</v>
      </c>
      <c r="B1164" s="12" t="s">
        <v>41</v>
      </c>
      <c r="C1164" s="12">
        <v>5.9</v>
      </c>
      <c r="D1164" s="12">
        <v>2001</v>
      </c>
    </row>
    <row r="1165" spans="1:4" ht="19.95" customHeight="1" x14ac:dyDescent="0.25">
      <c r="A1165" s="11" t="s">
        <v>24</v>
      </c>
      <c r="B1165" s="12" t="s">
        <v>41</v>
      </c>
      <c r="C1165" s="12">
        <v>1.4400139591885399</v>
      </c>
      <c r="D1165" s="12">
        <v>2001</v>
      </c>
    </row>
    <row r="1166" spans="1:4" ht="19.95" customHeight="1" x14ac:dyDescent="0.25">
      <c r="A1166" s="11" t="s">
        <v>25</v>
      </c>
      <c r="B1166" s="12" t="s">
        <v>41</v>
      </c>
      <c r="C1166" s="12">
        <v>2.2000000000000002</v>
      </c>
      <c r="D1166" s="12">
        <v>2001</v>
      </c>
    </row>
    <row r="1167" spans="1:4" ht="19.95" customHeight="1" x14ac:dyDescent="0.25">
      <c r="A1167" s="11" t="s">
        <v>26</v>
      </c>
      <c r="B1167" s="12" t="s">
        <v>41</v>
      </c>
      <c r="C1167" s="12">
        <v>98.170967117361897</v>
      </c>
      <c r="D1167" s="12">
        <v>2001</v>
      </c>
    </row>
    <row r="1168" spans="1:4" ht="19.95" customHeight="1" x14ac:dyDescent="0.25">
      <c r="A1168" s="11" t="s">
        <v>27</v>
      </c>
      <c r="B1168" s="12" t="s">
        <v>41</v>
      </c>
      <c r="C1168" s="12">
        <v>0.4</v>
      </c>
      <c r="D1168" s="12">
        <v>2001</v>
      </c>
    </row>
    <row r="1169" spans="1:4" ht="19.95" customHeight="1" x14ac:dyDescent="0.25">
      <c r="A1169" s="11" t="s">
        <v>29</v>
      </c>
      <c r="B1169" s="12" t="s">
        <v>41</v>
      </c>
      <c r="C1169" s="12">
        <v>29.569553049794798</v>
      </c>
      <c r="D1169" s="12">
        <v>2001</v>
      </c>
    </row>
    <row r="1170" spans="1:4" ht="19.95" customHeight="1" x14ac:dyDescent="0.25">
      <c r="A1170" s="11" t="s">
        <v>30</v>
      </c>
      <c r="B1170" s="12" t="s">
        <v>41</v>
      </c>
      <c r="C1170" s="12">
        <v>17.399999999999999</v>
      </c>
      <c r="D1170" s="12">
        <v>2001</v>
      </c>
    </row>
    <row r="1171" spans="1:4" ht="19.95" customHeight="1" x14ac:dyDescent="0.25">
      <c r="A1171" s="11" t="s">
        <v>31</v>
      </c>
      <c r="B1171" s="12" t="s">
        <v>41</v>
      </c>
      <c r="C1171" s="12">
        <v>41.209826999999997</v>
      </c>
      <c r="D1171" s="12">
        <v>2001</v>
      </c>
    </row>
    <row r="1172" spans="1:4" ht="19.95" customHeight="1" x14ac:dyDescent="0.25">
      <c r="A1172" s="11" t="s">
        <v>32</v>
      </c>
      <c r="B1172" s="12" t="s">
        <v>41</v>
      </c>
      <c r="C1172" s="12">
        <v>1.92146736970192</v>
      </c>
      <c r="D1172" s="12">
        <v>2001</v>
      </c>
    </row>
    <row r="1173" spans="1:4" ht="19.95" customHeight="1" x14ac:dyDescent="0.25">
      <c r="A1173" s="11" t="s">
        <v>33</v>
      </c>
      <c r="B1173" s="12" t="s">
        <v>41</v>
      </c>
      <c r="C1173" s="12">
        <v>0.161099726406955</v>
      </c>
      <c r="D1173" s="12">
        <v>2001</v>
      </c>
    </row>
    <row r="1174" spans="1:4" ht="19.95" customHeight="1" x14ac:dyDescent="0.25">
      <c r="A1174" s="11" t="s">
        <v>34</v>
      </c>
      <c r="B1174" s="12" t="s">
        <v>41</v>
      </c>
      <c r="C1174" s="12">
        <v>38.371162287496603</v>
      </c>
      <c r="D1174" s="12">
        <v>2001</v>
      </c>
    </row>
    <row r="1175" spans="1:4" ht="19.95" customHeight="1" x14ac:dyDescent="0.25">
      <c r="A1175" s="11" t="s">
        <v>35</v>
      </c>
      <c r="B1175" s="12" t="s">
        <v>41</v>
      </c>
      <c r="C1175" s="12">
        <v>62</v>
      </c>
      <c r="D1175" s="12">
        <v>2001</v>
      </c>
    </row>
    <row r="1176" spans="1:4" ht="19.95" customHeight="1" x14ac:dyDescent="0.25">
      <c r="A1176" s="11" t="s">
        <v>36</v>
      </c>
      <c r="B1176" s="12" t="s">
        <v>41</v>
      </c>
      <c r="C1176" s="12">
        <v>98.0861434794041</v>
      </c>
      <c r="D1176" s="12">
        <v>2001</v>
      </c>
    </row>
    <row r="1177" spans="1:4" ht="19.95" customHeight="1" x14ac:dyDescent="0.25">
      <c r="A1177" s="11" t="s">
        <v>37</v>
      </c>
      <c r="B1177" s="12" t="s">
        <v>41</v>
      </c>
      <c r="C1177" s="12">
        <v>3.0518769330906199</v>
      </c>
      <c r="D1177" s="12">
        <v>2001</v>
      </c>
    </row>
    <row r="1178" spans="1:4" ht="19.95" customHeight="1" x14ac:dyDescent="0.25">
      <c r="A1178" s="11" t="s">
        <v>38</v>
      </c>
      <c r="B1178" s="12" t="s">
        <v>41</v>
      </c>
      <c r="C1178" s="12">
        <v>2.4</v>
      </c>
      <c r="D1178" s="12">
        <v>2001</v>
      </c>
    </row>
    <row r="1179" spans="1:4" ht="19.95" customHeight="1" x14ac:dyDescent="0.25">
      <c r="A1179" s="11" t="s">
        <v>39</v>
      </c>
      <c r="B1179" s="12" t="s">
        <v>41</v>
      </c>
      <c r="C1179" s="12">
        <v>4.9531314261336803</v>
      </c>
      <c r="D1179" s="12">
        <v>2001</v>
      </c>
    </row>
    <row r="1180" spans="1:4" ht="19.95" customHeight="1" x14ac:dyDescent="0.25">
      <c r="A1180" s="11" t="s">
        <v>40</v>
      </c>
      <c r="B1180" s="12" t="s">
        <v>41</v>
      </c>
      <c r="C1180" s="12">
        <v>7.0653833839624003</v>
      </c>
      <c r="D1180" s="12">
        <v>2001</v>
      </c>
    </row>
    <row r="1181" spans="1:4" ht="19.95" customHeight="1" x14ac:dyDescent="0.25">
      <c r="A1181" s="11" t="s">
        <v>10</v>
      </c>
      <c r="B1181" s="12" t="s">
        <v>41</v>
      </c>
      <c r="C1181" s="12"/>
      <c r="D1181" s="12">
        <v>2002</v>
      </c>
    </row>
    <row r="1182" spans="1:4" ht="19.95" customHeight="1" x14ac:dyDescent="0.25">
      <c r="A1182" s="11" t="s">
        <v>13</v>
      </c>
      <c r="B1182" s="12" t="s">
        <v>41</v>
      </c>
      <c r="C1182" s="12">
        <v>13.6777825402544</v>
      </c>
      <c r="D1182" s="12">
        <v>2002</v>
      </c>
    </row>
    <row r="1183" spans="1:4" ht="19.95" customHeight="1" x14ac:dyDescent="0.25">
      <c r="A1183" s="11" t="s">
        <v>15</v>
      </c>
      <c r="B1183" s="12" t="s">
        <v>41</v>
      </c>
      <c r="C1183" s="12">
        <v>0.63888935946549497</v>
      </c>
      <c r="D1183" s="12">
        <v>2002</v>
      </c>
    </row>
    <row r="1184" spans="1:4" ht="19.95" customHeight="1" x14ac:dyDescent="0.25">
      <c r="A1184" s="11" t="s">
        <v>16</v>
      </c>
      <c r="B1184" s="12" t="s">
        <v>41</v>
      </c>
      <c r="C1184" s="12">
        <v>32.5</v>
      </c>
      <c r="D1184" s="12">
        <v>2002</v>
      </c>
    </row>
    <row r="1185" spans="1:4" ht="19.95" customHeight="1" x14ac:dyDescent="0.25">
      <c r="A1185" s="11" t="s">
        <v>17</v>
      </c>
      <c r="B1185" s="12" t="s">
        <v>41</v>
      </c>
      <c r="C1185" s="12">
        <v>10.199999999999999</v>
      </c>
      <c r="D1185" s="12">
        <v>2002</v>
      </c>
    </row>
    <row r="1186" spans="1:4" ht="19.95" customHeight="1" x14ac:dyDescent="0.25">
      <c r="A1186" s="11" t="s">
        <v>2</v>
      </c>
      <c r="B1186" s="12" t="s">
        <v>41</v>
      </c>
      <c r="C1186" s="12">
        <v>0.23235654726431301</v>
      </c>
      <c r="D1186" s="12">
        <v>2002</v>
      </c>
    </row>
    <row r="1187" spans="1:4" ht="19.95" customHeight="1" x14ac:dyDescent="0.25">
      <c r="A1187" s="11" t="s">
        <v>18</v>
      </c>
      <c r="B1187" s="12" t="s">
        <v>41</v>
      </c>
      <c r="C1187" s="12"/>
      <c r="D1187" s="12">
        <v>2002</v>
      </c>
    </row>
    <row r="1188" spans="1:4" ht="19.95" customHeight="1" x14ac:dyDescent="0.25">
      <c r="A1188" s="11" t="s">
        <v>19</v>
      </c>
      <c r="B1188" s="12" t="s">
        <v>41</v>
      </c>
      <c r="C1188" s="12">
        <v>10.100867809399199</v>
      </c>
      <c r="D1188" s="12">
        <v>2002</v>
      </c>
    </row>
    <row r="1189" spans="1:4" ht="19.95" customHeight="1" x14ac:dyDescent="0.25">
      <c r="A1189" s="11" t="s">
        <v>20</v>
      </c>
      <c r="B1189" s="12" t="s">
        <v>41</v>
      </c>
      <c r="C1189" s="12">
        <v>9.2552317072402506</v>
      </c>
      <c r="D1189" s="12">
        <v>2002</v>
      </c>
    </row>
    <row r="1190" spans="1:4" ht="19.95" customHeight="1" x14ac:dyDescent="0.25">
      <c r="A1190" s="11" t="s">
        <v>21</v>
      </c>
      <c r="B1190" s="12" t="s">
        <v>41</v>
      </c>
      <c r="C1190" s="12"/>
      <c r="D1190" s="12">
        <v>2002</v>
      </c>
    </row>
    <row r="1191" spans="1:4" ht="19.95" customHeight="1" x14ac:dyDescent="0.25">
      <c r="A1191" s="11" t="s">
        <v>22</v>
      </c>
      <c r="B1191" s="12" t="s">
        <v>41</v>
      </c>
      <c r="C1191" s="12">
        <v>9.9999997764825804E-3</v>
      </c>
      <c r="D1191" s="12">
        <v>2002</v>
      </c>
    </row>
    <row r="1192" spans="1:4" ht="19.95" customHeight="1" x14ac:dyDescent="0.25">
      <c r="A1192" s="11" t="s">
        <v>23</v>
      </c>
      <c r="B1192" s="12" t="s">
        <v>41</v>
      </c>
      <c r="C1192" s="12">
        <v>0.213700348364319</v>
      </c>
      <c r="D1192" s="12">
        <v>2002</v>
      </c>
    </row>
    <row r="1193" spans="1:4" ht="19.95" customHeight="1" x14ac:dyDescent="0.25">
      <c r="A1193" s="11" t="s">
        <v>24</v>
      </c>
      <c r="B1193" s="12" t="s">
        <v>41</v>
      </c>
      <c r="C1193" s="12">
        <v>1.5864874822332899</v>
      </c>
      <c r="D1193" s="12">
        <v>2002</v>
      </c>
    </row>
    <row r="1194" spans="1:4" ht="19.95" customHeight="1" x14ac:dyDescent="0.25">
      <c r="A1194" s="11" t="s">
        <v>25</v>
      </c>
      <c r="B1194" s="12" t="s">
        <v>41</v>
      </c>
      <c r="C1194" s="12">
        <v>2.10439815371311</v>
      </c>
      <c r="D1194" s="12">
        <v>2002</v>
      </c>
    </row>
    <row r="1195" spans="1:4" ht="19.95" customHeight="1" x14ac:dyDescent="0.25">
      <c r="A1195" s="11" t="s">
        <v>26</v>
      </c>
      <c r="B1195" s="12" t="s">
        <v>41</v>
      </c>
      <c r="C1195" s="12">
        <v>99.257235806073595</v>
      </c>
      <c r="D1195" s="12">
        <v>2002</v>
      </c>
    </row>
    <row r="1196" spans="1:4" ht="19.95" customHeight="1" x14ac:dyDescent="0.25">
      <c r="A1196" s="11" t="s">
        <v>27</v>
      </c>
      <c r="B1196" s="12" t="s">
        <v>41</v>
      </c>
      <c r="C1196" s="12">
        <v>0.51297926785605796</v>
      </c>
      <c r="D1196" s="12">
        <v>2002</v>
      </c>
    </row>
    <row r="1197" spans="1:4" ht="19.95" customHeight="1" x14ac:dyDescent="0.25">
      <c r="A1197" s="11" t="s">
        <v>29</v>
      </c>
      <c r="B1197" s="12" t="s">
        <v>41</v>
      </c>
      <c r="C1197" s="12">
        <v>32.1521039521514</v>
      </c>
      <c r="D1197" s="12">
        <v>2002</v>
      </c>
    </row>
    <row r="1198" spans="1:4" ht="19.95" customHeight="1" x14ac:dyDescent="0.25">
      <c r="A1198" s="11" t="s">
        <v>30</v>
      </c>
      <c r="B1198" s="12" t="s">
        <v>41</v>
      </c>
      <c r="C1198" s="12">
        <v>27.011136979054999</v>
      </c>
      <c r="D1198" s="12">
        <v>2002</v>
      </c>
    </row>
    <row r="1199" spans="1:4" ht="19.95" customHeight="1" x14ac:dyDescent="0.25">
      <c r="A1199" s="11" t="s">
        <v>31</v>
      </c>
      <c r="B1199" s="12" t="s">
        <v>41</v>
      </c>
      <c r="C1199" s="12">
        <v>48.794598305485799</v>
      </c>
      <c r="D1199" s="12">
        <v>2002</v>
      </c>
    </row>
    <row r="1200" spans="1:4" ht="19.95" customHeight="1" x14ac:dyDescent="0.25">
      <c r="A1200" s="11" t="s">
        <v>32</v>
      </c>
      <c r="B1200" s="12" t="s">
        <v>41</v>
      </c>
      <c r="C1200" s="12">
        <v>2.12153517322366</v>
      </c>
      <c r="D1200" s="12">
        <v>2002</v>
      </c>
    </row>
    <row r="1201" spans="1:4" ht="19.95" customHeight="1" x14ac:dyDescent="0.25">
      <c r="A1201" s="11" t="s">
        <v>33</v>
      </c>
      <c r="B1201" s="12" t="s">
        <v>41</v>
      </c>
      <c r="C1201" s="12">
        <v>0.413949816400207</v>
      </c>
      <c r="D1201" s="12">
        <v>2002</v>
      </c>
    </row>
    <row r="1202" spans="1:4" ht="19.95" customHeight="1" x14ac:dyDescent="0.25">
      <c r="A1202" s="11" t="s">
        <v>34</v>
      </c>
      <c r="B1202" s="12" t="s">
        <v>41</v>
      </c>
      <c r="C1202" s="12">
        <v>38.9511508601</v>
      </c>
      <c r="D1202" s="12">
        <v>2002</v>
      </c>
    </row>
    <row r="1203" spans="1:4" ht="19.95" customHeight="1" x14ac:dyDescent="0.25">
      <c r="A1203" s="11" t="s">
        <v>35</v>
      </c>
      <c r="B1203" s="12" t="s">
        <v>41</v>
      </c>
      <c r="C1203" s="12">
        <v>78.3</v>
      </c>
      <c r="D1203" s="12">
        <v>2002</v>
      </c>
    </row>
    <row r="1204" spans="1:4" ht="19.95" customHeight="1" x14ac:dyDescent="0.25">
      <c r="A1204" s="11" t="s">
        <v>36</v>
      </c>
      <c r="B1204" s="12" t="s">
        <v>41</v>
      </c>
      <c r="C1204" s="12">
        <v>98.767979232051403</v>
      </c>
      <c r="D1204" s="12">
        <v>2002</v>
      </c>
    </row>
    <row r="1205" spans="1:4" ht="19.95" customHeight="1" x14ac:dyDescent="0.25">
      <c r="A1205" s="11" t="s">
        <v>37</v>
      </c>
      <c r="B1205" s="12" t="s">
        <v>41</v>
      </c>
      <c r="C1205" s="12">
        <v>3.31621648403154</v>
      </c>
      <c r="D1205" s="12">
        <v>2002</v>
      </c>
    </row>
    <row r="1206" spans="1:4" ht="19.95" customHeight="1" x14ac:dyDescent="0.25">
      <c r="A1206" s="11" t="s">
        <v>38</v>
      </c>
      <c r="B1206" s="12" t="s">
        <v>41</v>
      </c>
      <c r="C1206" s="12">
        <v>2.7</v>
      </c>
      <c r="D1206" s="12">
        <v>2002</v>
      </c>
    </row>
    <row r="1207" spans="1:4" ht="19.95" customHeight="1" x14ac:dyDescent="0.25">
      <c r="A1207" s="11" t="s">
        <v>39</v>
      </c>
      <c r="B1207" s="12" t="s">
        <v>41</v>
      </c>
      <c r="C1207" s="12">
        <v>2.9</v>
      </c>
      <c r="D1207" s="12">
        <v>2002</v>
      </c>
    </row>
    <row r="1208" spans="1:4" ht="19.95" customHeight="1" x14ac:dyDescent="0.25">
      <c r="A1208" s="11" t="s">
        <v>40</v>
      </c>
      <c r="B1208" s="12" t="s">
        <v>41</v>
      </c>
      <c r="C1208" s="12">
        <v>7.1552800196138202</v>
      </c>
      <c r="D1208" s="12">
        <v>2002</v>
      </c>
    </row>
    <row r="1209" spans="1:4" ht="19.95" customHeight="1" x14ac:dyDescent="0.25">
      <c r="A1209" s="11" t="s">
        <v>10</v>
      </c>
      <c r="B1209" s="12" t="s">
        <v>41</v>
      </c>
      <c r="C1209" s="12"/>
      <c r="D1209" s="12">
        <v>2003</v>
      </c>
    </row>
    <row r="1210" spans="1:4" ht="19.95" customHeight="1" x14ac:dyDescent="0.25">
      <c r="A1210" s="11" t="s">
        <v>13</v>
      </c>
      <c r="B1210" s="12" t="s">
        <v>41</v>
      </c>
      <c r="C1210" s="12">
        <v>14.161017471496001</v>
      </c>
      <c r="D1210" s="12">
        <v>2003</v>
      </c>
    </row>
    <row r="1211" spans="1:4" ht="19.95" customHeight="1" x14ac:dyDescent="0.25">
      <c r="A1211" s="11" t="s">
        <v>15</v>
      </c>
      <c r="B1211" s="12" t="s">
        <v>41</v>
      </c>
      <c r="C1211" s="12">
        <v>0.68663986863154103</v>
      </c>
      <c r="D1211" s="12">
        <v>2003</v>
      </c>
    </row>
    <row r="1212" spans="1:4" ht="19.95" customHeight="1" x14ac:dyDescent="0.25">
      <c r="A1212" s="11" t="s">
        <v>16</v>
      </c>
      <c r="B1212" s="12" t="s">
        <v>41</v>
      </c>
      <c r="C1212" s="12">
        <v>37.743641880436698</v>
      </c>
      <c r="D1212" s="12">
        <v>2003</v>
      </c>
    </row>
    <row r="1213" spans="1:4" ht="19.95" customHeight="1" x14ac:dyDescent="0.25">
      <c r="A1213" s="11" t="s">
        <v>17</v>
      </c>
      <c r="B1213" s="12" t="s">
        <v>41</v>
      </c>
      <c r="C1213" s="12">
        <v>45.489901881839401</v>
      </c>
      <c r="D1213" s="12">
        <v>2003</v>
      </c>
    </row>
    <row r="1214" spans="1:4" ht="19.95" customHeight="1" x14ac:dyDescent="0.25">
      <c r="A1214" s="11" t="s">
        <v>2</v>
      </c>
      <c r="B1214" s="12" t="s">
        <v>41</v>
      </c>
      <c r="C1214" s="12">
        <v>1.77947772608405</v>
      </c>
      <c r="D1214" s="12">
        <v>2003</v>
      </c>
    </row>
    <row r="1215" spans="1:4" ht="19.95" customHeight="1" x14ac:dyDescent="0.25">
      <c r="A1215" s="11" t="s">
        <v>18</v>
      </c>
      <c r="B1215" s="12" t="s">
        <v>41</v>
      </c>
      <c r="C1215" s="12"/>
      <c r="D1215" s="12">
        <v>2003</v>
      </c>
    </row>
    <row r="1216" spans="1:4" ht="19.95" customHeight="1" x14ac:dyDescent="0.25">
      <c r="A1216" s="11" t="s">
        <v>19</v>
      </c>
      <c r="B1216" s="12" t="s">
        <v>41</v>
      </c>
      <c r="C1216" s="12">
        <v>10.5</v>
      </c>
      <c r="D1216" s="12">
        <v>2003</v>
      </c>
    </row>
    <row r="1217" spans="1:4" ht="19.95" customHeight="1" x14ac:dyDescent="0.25">
      <c r="A1217" s="11" t="s">
        <v>20</v>
      </c>
      <c r="B1217" s="12" t="s">
        <v>41</v>
      </c>
      <c r="C1217" s="12">
        <v>4.5999999999999996</v>
      </c>
      <c r="D1217" s="12">
        <v>2003</v>
      </c>
    </row>
    <row r="1218" spans="1:4" ht="19.95" customHeight="1" x14ac:dyDescent="0.25">
      <c r="A1218" s="11" t="s">
        <v>21</v>
      </c>
      <c r="B1218" s="12" t="s">
        <v>41</v>
      </c>
      <c r="C1218" s="12"/>
      <c r="D1218" s="12">
        <v>2003</v>
      </c>
    </row>
    <row r="1219" spans="1:4" ht="19.95" customHeight="1" x14ac:dyDescent="0.25">
      <c r="A1219" s="11" t="s">
        <v>22</v>
      </c>
      <c r="B1219" s="12" t="s">
        <v>41</v>
      </c>
      <c r="C1219" s="12">
        <v>9.9999997764825804E-3</v>
      </c>
      <c r="D1219" s="12">
        <v>2003</v>
      </c>
    </row>
    <row r="1220" spans="1:4" ht="19.95" customHeight="1" x14ac:dyDescent="0.25">
      <c r="A1220" s="11" t="s">
        <v>23</v>
      </c>
      <c r="B1220" s="12" t="s">
        <v>41</v>
      </c>
      <c r="C1220" s="12">
        <v>10.8</v>
      </c>
      <c r="D1220" s="12">
        <v>2003</v>
      </c>
    </row>
    <row r="1221" spans="1:4" ht="19.95" customHeight="1" x14ac:dyDescent="0.25">
      <c r="A1221" s="11" t="s">
        <v>24</v>
      </c>
      <c r="B1221" s="12" t="s">
        <v>41</v>
      </c>
      <c r="C1221" s="12">
        <v>2.2717040000000002</v>
      </c>
      <c r="D1221" s="12">
        <v>2003</v>
      </c>
    </row>
    <row r="1222" spans="1:4" ht="19.95" customHeight="1" x14ac:dyDescent="0.25">
      <c r="A1222" s="11" t="s">
        <v>25</v>
      </c>
      <c r="B1222" s="12" t="s">
        <v>41</v>
      </c>
      <c r="C1222" s="12">
        <v>2.4742603531677401</v>
      </c>
      <c r="D1222" s="12">
        <v>2003</v>
      </c>
    </row>
    <row r="1223" spans="1:4" ht="19.95" customHeight="1" x14ac:dyDescent="0.25">
      <c r="A1223" s="11" t="s">
        <v>26</v>
      </c>
      <c r="B1223" s="12" t="s">
        <v>41</v>
      </c>
      <c r="C1223" s="12">
        <v>98.628338601067</v>
      </c>
      <c r="D1223" s="12">
        <v>2003</v>
      </c>
    </row>
    <row r="1224" spans="1:4" ht="19.95" customHeight="1" x14ac:dyDescent="0.25">
      <c r="A1224" s="11" t="s">
        <v>27</v>
      </c>
      <c r="B1224" s="12" t="s">
        <v>41</v>
      </c>
      <c r="C1224" s="12">
        <v>1.1000000000000001</v>
      </c>
      <c r="D1224" s="12">
        <v>2003</v>
      </c>
    </row>
    <row r="1225" spans="1:4" ht="19.95" customHeight="1" x14ac:dyDescent="0.25">
      <c r="A1225" s="11" t="s">
        <v>29</v>
      </c>
      <c r="B1225" s="12" t="s">
        <v>41</v>
      </c>
      <c r="C1225" s="12">
        <v>30.867841783499799</v>
      </c>
      <c r="D1225" s="12">
        <v>2003</v>
      </c>
    </row>
    <row r="1226" spans="1:4" ht="19.95" customHeight="1" x14ac:dyDescent="0.25">
      <c r="A1226" s="11" t="s">
        <v>30</v>
      </c>
      <c r="B1226" s="12" t="s">
        <v>41</v>
      </c>
      <c r="C1226" s="12">
        <v>31.2401351273909</v>
      </c>
      <c r="D1226" s="12">
        <v>2003</v>
      </c>
    </row>
    <row r="1227" spans="1:4" ht="19.95" customHeight="1" x14ac:dyDescent="0.25">
      <c r="A1227" s="11" t="s">
        <v>31</v>
      </c>
      <c r="B1227" s="12" t="s">
        <v>41</v>
      </c>
      <c r="C1227" s="12">
        <v>49.2679126255032</v>
      </c>
      <c r="D1227" s="12">
        <v>2003</v>
      </c>
    </row>
    <row r="1228" spans="1:4" ht="19.95" customHeight="1" x14ac:dyDescent="0.25">
      <c r="A1228" s="11" t="s">
        <v>32</v>
      </c>
      <c r="B1228" s="12" t="s">
        <v>41</v>
      </c>
      <c r="C1228" s="12">
        <v>2.3054220083329602</v>
      </c>
      <c r="D1228" s="12">
        <v>2003</v>
      </c>
    </row>
    <row r="1229" spans="1:4" ht="19.95" customHeight="1" x14ac:dyDescent="0.25">
      <c r="A1229" s="11" t="s">
        <v>33</v>
      </c>
      <c r="B1229" s="12" t="s">
        <v>41</v>
      </c>
      <c r="C1229" s="12">
        <v>0.679915701883406</v>
      </c>
      <c r="D1229" s="12">
        <v>2003</v>
      </c>
    </row>
    <row r="1230" spans="1:4" ht="19.95" customHeight="1" x14ac:dyDescent="0.25">
      <c r="A1230" s="11" t="s">
        <v>34</v>
      </c>
      <c r="B1230" s="12" t="s">
        <v>41</v>
      </c>
      <c r="C1230" s="12">
        <v>39.535373781476402</v>
      </c>
      <c r="D1230" s="12">
        <v>2003</v>
      </c>
    </row>
    <row r="1231" spans="1:4" ht="19.95" customHeight="1" x14ac:dyDescent="0.25">
      <c r="A1231" s="11" t="s">
        <v>35</v>
      </c>
      <c r="B1231" s="12" t="s">
        <v>41</v>
      </c>
      <c r="C1231" s="12">
        <v>70.714232707066799</v>
      </c>
      <c r="D1231" s="12">
        <v>2003</v>
      </c>
    </row>
    <row r="1232" spans="1:4" ht="19.95" customHeight="1" x14ac:dyDescent="0.25">
      <c r="A1232" s="11" t="s">
        <v>36</v>
      </c>
      <c r="B1232" s="12" t="s">
        <v>41</v>
      </c>
      <c r="C1232" s="12">
        <v>99</v>
      </c>
      <c r="D1232" s="12">
        <v>2003</v>
      </c>
    </row>
    <row r="1233" spans="1:4" ht="19.95" customHeight="1" x14ac:dyDescent="0.25">
      <c r="A1233" s="11" t="s">
        <v>37</v>
      </c>
      <c r="B1233" s="12" t="s">
        <v>41</v>
      </c>
      <c r="C1233" s="12">
        <v>1.8</v>
      </c>
      <c r="D1233" s="12">
        <v>2003</v>
      </c>
    </row>
    <row r="1234" spans="1:4" ht="19.95" customHeight="1" x14ac:dyDescent="0.25">
      <c r="A1234" s="11" t="s">
        <v>38</v>
      </c>
      <c r="B1234" s="12" t="s">
        <v>41</v>
      </c>
      <c r="C1234" s="12">
        <v>5.4470317207930501</v>
      </c>
      <c r="D1234" s="12">
        <v>2003</v>
      </c>
    </row>
    <row r="1235" spans="1:4" ht="19.95" customHeight="1" x14ac:dyDescent="0.25">
      <c r="A1235" s="11" t="s">
        <v>39</v>
      </c>
      <c r="B1235" s="12" t="s">
        <v>41</v>
      </c>
      <c r="C1235" s="12">
        <v>3</v>
      </c>
      <c r="D1235" s="12">
        <v>2003</v>
      </c>
    </row>
    <row r="1236" spans="1:4" ht="19.95" customHeight="1" x14ac:dyDescent="0.25">
      <c r="A1236" s="11" t="s">
        <v>40</v>
      </c>
      <c r="B1236" s="12" t="s">
        <v>41</v>
      </c>
      <c r="C1236" s="12">
        <v>7.4060509290247296</v>
      </c>
      <c r="D1236" s="12">
        <v>2003</v>
      </c>
    </row>
    <row r="1237" spans="1:4" ht="19.95" customHeight="1" x14ac:dyDescent="0.25">
      <c r="A1237" s="11" t="s">
        <v>10</v>
      </c>
      <c r="B1237" s="12" t="s">
        <v>41</v>
      </c>
      <c r="C1237" s="12"/>
      <c r="D1237" s="12">
        <v>2004</v>
      </c>
    </row>
    <row r="1238" spans="1:4" ht="19.95" customHeight="1" x14ac:dyDescent="0.25">
      <c r="A1238" s="11" t="s">
        <v>13</v>
      </c>
      <c r="B1238" s="12" t="s">
        <v>41</v>
      </c>
      <c r="C1238" s="12">
        <v>15.5</v>
      </c>
      <c r="D1238" s="12">
        <v>2004</v>
      </c>
    </row>
    <row r="1239" spans="1:4" ht="19.95" customHeight="1" x14ac:dyDescent="0.25">
      <c r="A1239" s="11" t="s">
        <v>15</v>
      </c>
      <c r="B1239" s="12" t="s">
        <v>41</v>
      </c>
      <c r="C1239" s="12">
        <v>0.3</v>
      </c>
      <c r="D1239" s="12">
        <v>2004</v>
      </c>
    </row>
    <row r="1240" spans="1:4" ht="19.95" customHeight="1" x14ac:dyDescent="0.25">
      <c r="A1240" s="11" t="s">
        <v>16</v>
      </c>
      <c r="B1240" s="12" t="s">
        <v>41</v>
      </c>
      <c r="C1240" s="12">
        <v>40.326927535836802</v>
      </c>
      <c r="D1240" s="12">
        <v>2004</v>
      </c>
    </row>
    <row r="1241" spans="1:4" ht="19.95" customHeight="1" x14ac:dyDescent="0.25">
      <c r="A1241" s="11" t="s">
        <v>17</v>
      </c>
      <c r="B1241" s="12" t="s">
        <v>41</v>
      </c>
      <c r="C1241" s="12">
        <v>41.817379991491997</v>
      </c>
      <c r="D1241" s="12">
        <v>2004</v>
      </c>
    </row>
    <row r="1242" spans="1:4" ht="19.95" customHeight="1" x14ac:dyDescent="0.25">
      <c r="A1242" s="11" t="s">
        <v>2</v>
      </c>
      <c r="B1242" s="12" t="s">
        <v>41</v>
      </c>
      <c r="C1242" s="12">
        <v>3.3285146413179598</v>
      </c>
      <c r="D1242" s="12">
        <v>2004</v>
      </c>
    </row>
    <row r="1243" spans="1:4" ht="19.95" customHeight="1" x14ac:dyDescent="0.25">
      <c r="A1243" s="11" t="s">
        <v>18</v>
      </c>
      <c r="B1243" s="12" t="s">
        <v>41</v>
      </c>
      <c r="C1243" s="12"/>
      <c r="D1243" s="12">
        <v>2004</v>
      </c>
    </row>
    <row r="1244" spans="1:4" ht="19.95" customHeight="1" x14ac:dyDescent="0.25">
      <c r="A1244" s="11" t="s">
        <v>19</v>
      </c>
      <c r="B1244" s="12" t="s">
        <v>41</v>
      </c>
      <c r="C1244" s="12">
        <v>8.1688408694146997</v>
      </c>
      <c r="D1244" s="12">
        <v>2004</v>
      </c>
    </row>
    <row r="1245" spans="1:4" ht="19.95" customHeight="1" x14ac:dyDescent="0.25">
      <c r="A1245" s="11" t="s">
        <v>20</v>
      </c>
      <c r="B1245" s="12" t="s">
        <v>41</v>
      </c>
      <c r="C1245" s="12">
        <v>11.027404726396</v>
      </c>
      <c r="D1245" s="12">
        <v>2004</v>
      </c>
    </row>
    <row r="1246" spans="1:4" ht="19.95" customHeight="1" x14ac:dyDescent="0.25">
      <c r="A1246" s="11" t="s">
        <v>21</v>
      </c>
      <c r="B1246" s="12" t="s">
        <v>41</v>
      </c>
      <c r="C1246" s="12"/>
      <c r="D1246" s="12">
        <v>2004</v>
      </c>
    </row>
    <row r="1247" spans="1:4" ht="19.95" customHeight="1" x14ac:dyDescent="0.25">
      <c r="A1247" s="11" t="s">
        <v>22</v>
      </c>
      <c r="B1247" s="12" t="s">
        <v>41</v>
      </c>
      <c r="C1247" s="12"/>
      <c r="D1247" s="12">
        <v>2004</v>
      </c>
    </row>
    <row r="1248" spans="1:4" ht="19.95" customHeight="1" x14ac:dyDescent="0.25">
      <c r="A1248" s="11" t="s">
        <v>23</v>
      </c>
      <c r="B1248" s="12" t="s">
        <v>41</v>
      </c>
      <c r="C1248" s="12"/>
      <c r="D1248" s="12">
        <v>2004</v>
      </c>
    </row>
    <row r="1249" spans="1:4" ht="19.95" customHeight="1" x14ac:dyDescent="0.25">
      <c r="A1249" s="11" t="s">
        <v>24</v>
      </c>
      <c r="B1249" s="12" t="s">
        <v>41</v>
      </c>
      <c r="C1249" s="12">
        <v>2.2000000000000002</v>
      </c>
      <c r="D1249" s="12">
        <v>2004</v>
      </c>
    </row>
    <row r="1250" spans="1:4" ht="19.95" customHeight="1" x14ac:dyDescent="0.25">
      <c r="A1250" s="11" t="s">
        <v>25</v>
      </c>
      <c r="B1250" s="12" t="s">
        <v>41</v>
      </c>
      <c r="C1250" s="12">
        <v>2.7761500015707901</v>
      </c>
      <c r="D1250" s="12">
        <v>2004</v>
      </c>
    </row>
    <row r="1251" spans="1:4" ht="19.95" customHeight="1" x14ac:dyDescent="0.25">
      <c r="A1251" s="11" t="s">
        <v>26</v>
      </c>
      <c r="B1251" s="12" t="s">
        <v>41</v>
      </c>
      <c r="C1251" s="12">
        <v>99.098700411899202</v>
      </c>
      <c r="D1251" s="12">
        <v>2004</v>
      </c>
    </row>
    <row r="1252" spans="1:4" ht="19.95" customHeight="1" x14ac:dyDescent="0.25">
      <c r="A1252" s="11" t="s">
        <v>27</v>
      </c>
      <c r="B1252" s="12" t="s">
        <v>41</v>
      </c>
      <c r="C1252" s="12">
        <v>1.1704850721678399</v>
      </c>
      <c r="D1252" s="12">
        <v>2004</v>
      </c>
    </row>
    <row r="1253" spans="1:4" ht="19.95" customHeight="1" x14ac:dyDescent="0.25">
      <c r="A1253" s="11" t="s">
        <v>29</v>
      </c>
      <c r="B1253" s="12" t="s">
        <v>41</v>
      </c>
      <c r="C1253" s="12">
        <v>31.493191834827801</v>
      </c>
      <c r="D1253" s="12">
        <v>2004</v>
      </c>
    </row>
    <row r="1254" spans="1:4" ht="19.95" customHeight="1" x14ac:dyDescent="0.25">
      <c r="A1254" s="11" t="s">
        <v>30</v>
      </c>
      <c r="B1254" s="12" t="s">
        <v>41</v>
      </c>
      <c r="C1254" s="12">
        <v>27.3</v>
      </c>
      <c r="D1254" s="12">
        <v>2004</v>
      </c>
    </row>
    <row r="1255" spans="1:4" ht="19.95" customHeight="1" x14ac:dyDescent="0.25">
      <c r="A1255" s="11" t="s">
        <v>31</v>
      </c>
      <c r="B1255" s="12" t="s">
        <v>41</v>
      </c>
      <c r="C1255" s="12">
        <v>49.737664122899602</v>
      </c>
      <c r="D1255" s="12">
        <v>2004</v>
      </c>
    </row>
    <row r="1256" spans="1:4" ht="19.95" customHeight="1" x14ac:dyDescent="0.25">
      <c r="A1256" s="11" t="s">
        <v>32</v>
      </c>
      <c r="B1256" s="12" t="s">
        <v>41</v>
      </c>
      <c r="C1256" s="12">
        <v>2.47819326219475</v>
      </c>
      <c r="D1256" s="12">
        <v>2004</v>
      </c>
    </row>
    <row r="1257" spans="1:4" ht="19.95" customHeight="1" x14ac:dyDescent="0.25">
      <c r="A1257" s="11" t="s">
        <v>33</v>
      </c>
      <c r="B1257" s="12" t="s">
        <v>41</v>
      </c>
      <c r="C1257" s="12">
        <v>0.90662160141925996</v>
      </c>
      <c r="D1257" s="12">
        <v>2004</v>
      </c>
    </row>
    <row r="1258" spans="1:4" ht="19.95" customHeight="1" x14ac:dyDescent="0.25">
      <c r="A1258" s="11" t="s">
        <v>34</v>
      </c>
      <c r="B1258" s="12" t="s">
        <v>41</v>
      </c>
      <c r="C1258" s="12">
        <v>40.135065280341202</v>
      </c>
      <c r="D1258" s="12">
        <v>2004</v>
      </c>
    </row>
    <row r="1259" spans="1:4" ht="19.95" customHeight="1" x14ac:dyDescent="0.25">
      <c r="A1259" s="11" t="s">
        <v>35</v>
      </c>
      <c r="B1259" s="12" t="s">
        <v>41</v>
      </c>
      <c r="C1259" s="12">
        <v>72.443029227040697</v>
      </c>
      <c r="D1259" s="12">
        <v>2004</v>
      </c>
    </row>
    <row r="1260" spans="1:4" ht="19.95" customHeight="1" x14ac:dyDescent="0.25">
      <c r="A1260" s="11" t="s">
        <v>36</v>
      </c>
      <c r="B1260" s="12" t="s">
        <v>41</v>
      </c>
      <c r="C1260" s="12">
        <v>98.391359225474403</v>
      </c>
      <c r="D1260" s="12">
        <v>2004</v>
      </c>
    </row>
    <row r="1261" spans="1:4" ht="19.95" customHeight="1" x14ac:dyDescent="0.25">
      <c r="A1261" s="11" t="s">
        <v>37</v>
      </c>
      <c r="B1261" s="12" t="s">
        <v>41</v>
      </c>
      <c r="C1261" s="12">
        <v>1.6</v>
      </c>
      <c r="D1261" s="12">
        <v>2004</v>
      </c>
    </row>
    <row r="1262" spans="1:4" ht="19.95" customHeight="1" x14ac:dyDescent="0.25">
      <c r="A1262" s="11" t="s">
        <v>38</v>
      </c>
      <c r="B1262" s="12" t="s">
        <v>41</v>
      </c>
      <c r="C1262" s="12">
        <v>5.90627503611252</v>
      </c>
      <c r="D1262" s="12">
        <v>2004</v>
      </c>
    </row>
    <row r="1263" spans="1:4" ht="19.95" customHeight="1" x14ac:dyDescent="0.25">
      <c r="A1263" s="11" t="s">
        <v>39</v>
      </c>
      <c r="B1263" s="12" t="s">
        <v>41</v>
      </c>
      <c r="C1263" s="12">
        <v>3.1</v>
      </c>
      <c r="D1263" s="12">
        <v>2004</v>
      </c>
    </row>
    <row r="1264" spans="1:4" ht="19.95" customHeight="1" x14ac:dyDescent="0.25">
      <c r="A1264" s="11" t="s">
        <v>40</v>
      </c>
      <c r="B1264" s="12" t="s">
        <v>41</v>
      </c>
      <c r="C1264" s="12">
        <v>7.9725574320202304</v>
      </c>
      <c r="D1264" s="12">
        <v>2004</v>
      </c>
    </row>
    <row r="1265" spans="1:4" ht="19.95" customHeight="1" x14ac:dyDescent="0.25">
      <c r="A1265" s="11" t="s">
        <v>10</v>
      </c>
      <c r="B1265" s="12" t="s">
        <v>41</v>
      </c>
      <c r="C1265" s="12">
        <v>1.0389943560800401</v>
      </c>
      <c r="D1265" s="12">
        <v>2005</v>
      </c>
    </row>
    <row r="1266" spans="1:4" ht="19.95" customHeight="1" x14ac:dyDescent="0.25">
      <c r="A1266" s="11" t="s">
        <v>13</v>
      </c>
      <c r="B1266" s="12" t="s">
        <v>41</v>
      </c>
      <c r="C1266" s="12">
        <v>15.094279058769599</v>
      </c>
      <c r="D1266" s="12">
        <v>2005</v>
      </c>
    </row>
    <row r="1267" spans="1:4" ht="19.95" customHeight="1" x14ac:dyDescent="0.25">
      <c r="A1267" s="11" t="s">
        <v>15</v>
      </c>
      <c r="B1267" s="12" t="s">
        <v>41</v>
      </c>
      <c r="C1267" s="12">
        <v>0.78283368844607804</v>
      </c>
      <c r="D1267" s="12">
        <v>2005</v>
      </c>
    </row>
    <row r="1268" spans="1:4" ht="19.95" customHeight="1" x14ac:dyDescent="0.25">
      <c r="A1268" s="11" t="s">
        <v>16</v>
      </c>
      <c r="B1268" s="12" t="s">
        <v>41</v>
      </c>
      <c r="C1268" s="12">
        <v>42.909220588555598</v>
      </c>
      <c r="D1268" s="12">
        <v>2005</v>
      </c>
    </row>
    <row r="1269" spans="1:4" ht="19.95" customHeight="1" x14ac:dyDescent="0.25">
      <c r="A1269" s="11" t="s">
        <v>17</v>
      </c>
      <c r="B1269" s="12" t="s">
        <v>41</v>
      </c>
      <c r="C1269" s="12">
        <v>38.134664984727003</v>
      </c>
      <c r="D1269" s="12">
        <v>2005</v>
      </c>
    </row>
    <row r="1270" spans="1:4" ht="19.95" customHeight="1" x14ac:dyDescent="0.25">
      <c r="A1270" s="11" t="s">
        <v>2</v>
      </c>
      <c r="B1270" s="12" t="s">
        <v>41</v>
      </c>
      <c r="C1270" s="12">
        <v>1.9</v>
      </c>
      <c r="D1270" s="12">
        <v>2005</v>
      </c>
    </row>
    <row r="1271" spans="1:4" ht="19.95" customHeight="1" x14ac:dyDescent="0.25">
      <c r="A1271" s="11" t="s">
        <v>18</v>
      </c>
      <c r="B1271" s="12" t="s">
        <v>41</v>
      </c>
      <c r="C1271" s="12">
        <v>2.8</v>
      </c>
      <c r="D1271" s="12">
        <v>2005</v>
      </c>
    </row>
    <row r="1272" spans="1:4" ht="19.95" customHeight="1" x14ac:dyDescent="0.25">
      <c r="A1272" s="11" t="s">
        <v>19</v>
      </c>
      <c r="B1272" s="12" t="s">
        <v>41</v>
      </c>
      <c r="C1272" s="12">
        <v>7.1685594788182403</v>
      </c>
      <c r="D1272" s="12">
        <v>2005</v>
      </c>
    </row>
    <row r="1273" spans="1:4" ht="19.95" customHeight="1" x14ac:dyDescent="0.25">
      <c r="A1273" s="11" t="s">
        <v>20</v>
      </c>
      <c r="B1273" s="12" t="s">
        <v>41</v>
      </c>
      <c r="C1273" s="12">
        <v>11.908677640062299</v>
      </c>
      <c r="D1273" s="12">
        <v>2005</v>
      </c>
    </row>
    <row r="1274" spans="1:4" ht="19.95" customHeight="1" x14ac:dyDescent="0.25">
      <c r="A1274" s="11" t="s">
        <v>21</v>
      </c>
      <c r="B1274" s="12" t="s">
        <v>41</v>
      </c>
      <c r="C1274" s="12"/>
      <c r="D1274" s="12">
        <v>2005</v>
      </c>
    </row>
    <row r="1275" spans="1:4" ht="19.95" customHeight="1" x14ac:dyDescent="0.25">
      <c r="A1275" s="11" t="s">
        <v>22</v>
      </c>
      <c r="B1275" s="12" t="s">
        <v>41</v>
      </c>
      <c r="C1275" s="12"/>
      <c r="D1275" s="12">
        <v>2005</v>
      </c>
    </row>
    <row r="1276" spans="1:4" ht="19.95" customHeight="1" x14ac:dyDescent="0.25">
      <c r="A1276" s="11" t="s">
        <v>23</v>
      </c>
      <c r="B1276" s="12" t="s">
        <v>41</v>
      </c>
      <c r="C1276" s="12"/>
      <c r="D1276" s="12">
        <v>2005</v>
      </c>
    </row>
    <row r="1277" spans="1:4" ht="19.95" customHeight="1" x14ac:dyDescent="0.25">
      <c r="A1277" s="11" t="s">
        <v>24</v>
      </c>
      <c r="B1277" s="12" t="s">
        <v>41</v>
      </c>
      <c r="C1277" s="12">
        <v>1.99644803463496</v>
      </c>
      <c r="D1277" s="12">
        <v>2005</v>
      </c>
    </row>
    <row r="1278" spans="1:4" ht="19.95" customHeight="1" x14ac:dyDescent="0.25">
      <c r="A1278" s="11" t="s">
        <v>25</v>
      </c>
      <c r="B1278" s="12" t="s">
        <v>41</v>
      </c>
      <c r="C1278" s="12">
        <v>3.0172097021118498</v>
      </c>
      <c r="D1278" s="12">
        <v>2005</v>
      </c>
    </row>
    <row r="1279" spans="1:4" ht="19.95" customHeight="1" x14ac:dyDescent="0.25">
      <c r="A1279" s="11" t="s">
        <v>26</v>
      </c>
      <c r="B1279" s="12" t="s">
        <v>41</v>
      </c>
      <c r="C1279" s="12">
        <v>98</v>
      </c>
      <c r="D1279" s="12">
        <v>2005</v>
      </c>
    </row>
    <row r="1280" spans="1:4" ht="19.95" customHeight="1" x14ac:dyDescent="0.25">
      <c r="A1280" s="11" t="s">
        <v>27</v>
      </c>
      <c r="B1280" s="12" t="s">
        <v>41</v>
      </c>
      <c r="C1280" s="12">
        <v>1.48729617007341</v>
      </c>
      <c r="D1280" s="12">
        <v>2005</v>
      </c>
    </row>
    <row r="1281" spans="1:4" ht="19.95" customHeight="1" x14ac:dyDescent="0.25">
      <c r="A1281" s="11" t="s">
        <v>29</v>
      </c>
      <c r="B1281" s="12" t="s">
        <v>41</v>
      </c>
      <c r="C1281" s="12">
        <v>32.113125886018402</v>
      </c>
      <c r="D1281" s="12">
        <v>2005</v>
      </c>
    </row>
    <row r="1282" spans="1:4" ht="19.95" customHeight="1" x14ac:dyDescent="0.25">
      <c r="A1282" s="11" t="s">
        <v>30</v>
      </c>
      <c r="B1282" s="12" t="s">
        <v>41</v>
      </c>
      <c r="C1282" s="12">
        <v>39.764552046199398</v>
      </c>
      <c r="D1282" s="12">
        <v>2005</v>
      </c>
    </row>
    <row r="1283" spans="1:4" ht="19.95" customHeight="1" x14ac:dyDescent="0.25">
      <c r="A1283" s="11" t="s">
        <v>31</v>
      </c>
      <c r="B1283" s="12" t="s">
        <v>41</v>
      </c>
      <c r="C1283" s="12">
        <v>43.590788000000003</v>
      </c>
      <c r="D1283" s="12">
        <v>2005</v>
      </c>
    </row>
    <row r="1284" spans="1:4" ht="19.95" customHeight="1" x14ac:dyDescent="0.25">
      <c r="A1284" s="11" t="s">
        <v>32</v>
      </c>
      <c r="B1284" s="12" t="s">
        <v>41</v>
      </c>
      <c r="C1284" s="12"/>
      <c r="D1284" s="12">
        <v>2005</v>
      </c>
    </row>
    <row r="1285" spans="1:4" ht="19.95" customHeight="1" x14ac:dyDescent="0.25">
      <c r="A1285" s="11" t="s">
        <v>33</v>
      </c>
      <c r="B1285" s="12" t="s">
        <v>41</v>
      </c>
      <c r="C1285" s="12">
        <v>1.3</v>
      </c>
      <c r="D1285" s="12">
        <v>2005</v>
      </c>
    </row>
    <row r="1286" spans="1:4" ht="19.95" customHeight="1" x14ac:dyDescent="0.25">
      <c r="A1286" s="11" t="s">
        <v>34</v>
      </c>
      <c r="B1286" s="12" t="s">
        <v>41</v>
      </c>
      <c r="C1286" s="12">
        <v>40.761021222135497</v>
      </c>
      <c r="D1286" s="12">
        <v>2005</v>
      </c>
    </row>
    <row r="1287" spans="1:4" ht="19.95" customHeight="1" x14ac:dyDescent="0.25">
      <c r="A1287" s="11" t="s">
        <v>35</v>
      </c>
      <c r="B1287" s="12" t="s">
        <v>41</v>
      </c>
      <c r="C1287" s="12">
        <v>74.177399027316397</v>
      </c>
      <c r="D1287" s="12">
        <v>2005</v>
      </c>
    </row>
    <row r="1288" spans="1:4" ht="19.95" customHeight="1" x14ac:dyDescent="0.25">
      <c r="A1288" s="11" t="s">
        <v>36</v>
      </c>
      <c r="B1288" s="12" t="s">
        <v>41</v>
      </c>
      <c r="C1288" s="12">
        <v>99.1</v>
      </c>
      <c r="D1288" s="12">
        <v>2005</v>
      </c>
    </row>
    <row r="1289" spans="1:4" ht="19.95" customHeight="1" x14ac:dyDescent="0.25">
      <c r="A1289" s="11" t="s">
        <v>37</v>
      </c>
      <c r="B1289" s="12" t="s">
        <v>41</v>
      </c>
      <c r="C1289" s="12">
        <v>3.7002658682190801</v>
      </c>
      <c r="D1289" s="12">
        <v>2005</v>
      </c>
    </row>
    <row r="1290" spans="1:4" ht="19.95" customHeight="1" x14ac:dyDescent="0.25">
      <c r="A1290" s="11" t="s">
        <v>38</v>
      </c>
      <c r="B1290" s="12" t="s">
        <v>41</v>
      </c>
      <c r="C1290" s="12">
        <v>2.5</v>
      </c>
      <c r="D1290" s="12">
        <v>2005</v>
      </c>
    </row>
    <row r="1291" spans="1:4" ht="19.95" customHeight="1" x14ac:dyDescent="0.25">
      <c r="A1291" s="11" t="s">
        <v>39</v>
      </c>
      <c r="B1291" s="12" t="s">
        <v>41</v>
      </c>
      <c r="C1291" s="12">
        <v>4.40162919874565</v>
      </c>
      <c r="D1291" s="12">
        <v>2005</v>
      </c>
    </row>
    <row r="1292" spans="1:4" ht="19.95" customHeight="1" x14ac:dyDescent="0.25">
      <c r="A1292" s="11" t="s">
        <v>40</v>
      </c>
      <c r="B1292" s="12" t="s">
        <v>41</v>
      </c>
      <c r="C1292" s="12">
        <v>8.5403550127651808</v>
      </c>
      <c r="D1292" s="12">
        <v>2005</v>
      </c>
    </row>
    <row r="1293" spans="1:4" ht="19.95" customHeight="1" x14ac:dyDescent="0.25">
      <c r="A1293" s="11" t="s">
        <v>10</v>
      </c>
      <c r="B1293" s="12" t="s">
        <v>41</v>
      </c>
      <c r="C1293" s="12"/>
      <c r="D1293" s="12">
        <v>2006</v>
      </c>
    </row>
    <row r="1294" spans="1:4" ht="19.95" customHeight="1" x14ac:dyDescent="0.25">
      <c r="A1294" s="11" t="s">
        <v>13</v>
      </c>
      <c r="B1294" s="12" t="s">
        <v>41</v>
      </c>
      <c r="C1294" s="12">
        <v>14</v>
      </c>
      <c r="D1294" s="12">
        <v>2006</v>
      </c>
    </row>
    <row r="1295" spans="1:4" ht="19.95" customHeight="1" x14ac:dyDescent="0.25">
      <c r="A1295" s="11" t="s">
        <v>15</v>
      </c>
      <c r="B1295" s="12" t="s">
        <v>41</v>
      </c>
      <c r="C1295" s="12">
        <v>0.84521150262783695</v>
      </c>
      <c r="D1295" s="12">
        <v>2006</v>
      </c>
    </row>
    <row r="1296" spans="1:4" ht="19.95" customHeight="1" x14ac:dyDescent="0.25">
      <c r="A1296" s="11" t="s">
        <v>16</v>
      </c>
      <c r="B1296" s="12" t="s">
        <v>41</v>
      </c>
      <c r="C1296" s="12">
        <v>45.499098418617997</v>
      </c>
      <c r="D1296" s="12">
        <v>2006</v>
      </c>
    </row>
    <row r="1297" spans="1:4" ht="19.95" customHeight="1" x14ac:dyDescent="0.25">
      <c r="A1297" s="11" t="s">
        <v>17</v>
      </c>
      <c r="B1297" s="12" t="s">
        <v>41</v>
      </c>
      <c r="C1297" s="12">
        <v>9.9</v>
      </c>
      <c r="D1297" s="12">
        <v>2006</v>
      </c>
    </row>
    <row r="1298" spans="1:4" ht="19.95" customHeight="1" x14ac:dyDescent="0.25">
      <c r="A1298" s="11" t="s">
        <v>2</v>
      </c>
      <c r="B1298" s="12" t="s">
        <v>41</v>
      </c>
      <c r="C1298" s="12">
        <v>6.4583821279032003</v>
      </c>
      <c r="D1298" s="12">
        <v>2006</v>
      </c>
    </row>
    <row r="1299" spans="1:4" ht="19.95" customHeight="1" x14ac:dyDescent="0.25">
      <c r="A1299" s="11" t="s">
        <v>18</v>
      </c>
      <c r="B1299" s="12" t="s">
        <v>41</v>
      </c>
      <c r="C1299" s="12">
        <v>0.49771616415601999</v>
      </c>
      <c r="D1299" s="12">
        <v>2006</v>
      </c>
    </row>
    <row r="1300" spans="1:4" ht="19.95" customHeight="1" x14ac:dyDescent="0.25">
      <c r="A1300" s="11" t="s">
        <v>19</v>
      </c>
      <c r="B1300" s="12" t="s">
        <v>41</v>
      </c>
      <c r="C1300" s="12">
        <v>11.7</v>
      </c>
      <c r="D1300" s="12">
        <v>2006</v>
      </c>
    </row>
    <row r="1301" spans="1:4" ht="19.95" customHeight="1" x14ac:dyDescent="0.25">
      <c r="A1301" s="11" t="s">
        <v>20</v>
      </c>
      <c r="B1301" s="12" t="s">
        <v>41</v>
      </c>
      <c r="C1301" s="12">
        <v>12.795013791410801</v>
      </c>
      <c r="D1301" s="12">
        <v>2006</v>
      </c>
    </row>
    <row r="1302" spans="1:4" ht="19.95" customHeight="1" x14ac:dyDescent="0.25">
      <c r="A1302" s="11" t="s">
        <v>21</v>
      </c>
      <c r="B1302" s="12" t="s">
        <v>41</v>
      </c>
      <c r="C1302" s="12"/>
      <c r="D1302" s="12">
        <v>2006</v>
      </c>
    </row>
    <row r="1303" spans="1:4" ht="19.95" customHeight="1" x14ac:dyDescent="0.25">
      <c r="A1303" s="11" t="s">
        <v>22</v>
      </c>
      <c r="B1303" s="12" t="s">
        <v>41</v>
      </c>
      <c r="C1303" s="12"/>
      <c r="D1303" s="12">
        <v>2006</v>
      </c>
    </row>
    <row r="1304" spans="1:4" ht="19.95" customHeight="1" x14ac:dyDescent="0.25">
      <c r="A1304" s="11" t="s">
        <v>23</v>
      </c>
      <c r="B1304" s="12" t="s">
        <v>41</v>
      </c>
      <c r="C1304" s="12"/>
      <c r="D1304" s="12">
        <v>2006</v>
      </c>
    </row>
    <row r="1305" spans="1:4" ht="19.95" customHeight="1" x14ac:dyDescent="0.25">
      <c r="A1305" s="11" t="s">
        <v>24</v>
      </c>
      <c r="B1305" s="12" t="s">
        <v>41</v>
      </c>
      <c r="C1305" s="12">
        <v>1.0488013698630101</v>
      </c>
      <c r="D1305" s="12">
        <v>2006</v>
      </c>
    </row>
    <row r="1306" spans="1:4" ht="19.95" customHeight="1" x14ac:dyDescent="0.25">
      <c r="A1306" s="11" t="s">
        <v>25</v>
      </c>
      <c r="B1306" s="12" t="s">
        <v>41</v>
      </c>
      <c r="C1306" s="12">
        <v>3.2</v>
      </c>
      <c r="D1306" s="12">
        <v>2006</v>
      </c>
    </row>
    <row r="1307" spans="1:4" ht="19.95" customHeight="1" x14ac:dyDescent="0.25">
      <c r="A1307" s="11" t="s">
        <v>26</v>
      </c>
      <c r="B1307" s="12" t="s">
        <v>41</v>
      </c>
      <c r="C1307" s="12">
        <v>99.311024017746107</v>
      </c>
      <c r="D1307" s="12">
        <v>2006</v>
      </c>
    </row>
    <row r="1308" spans="1:4" ht="19.95" customHeight="1" x14ac:dyDescent="0.25">
      <c r="A1308" s="11" t="s">
        <v>27</v>
      </c>
      <c r="B1308" s="12" t="s">
        <v>41</v>
      </c>
      <c r="C1308" s="12">
        <v>1.8050532646500399</v>
      </c>
      <c r="D1308" s="12">
        <v>2006</v>
      </c>
    </row>
    <row r="1309" spans="1:4" ht="19.95" customHeight="1" x14ac:dyDescent="0.25">
      <c r="A1309" s="11" t="s">
        <v>29</v>
      </c>
      <c r="B1309" s="12" t="s">
        <v>41</v>
      </c>
      <c r="C1309" s="12">
        <v>32.735207205011299</v>
      </c>
      <c r="D1309" s="12">
        <v>2006</v>
      </c>
    </row>
    <row r="1310" spans="1:4" ht="19.95" customHeight="1" x14ac:dyDescent="0.25">
      <c r="A1310" s="11" t="s">
        <v>30</v>
      </c>
      <c r="B1310" s="12" t="s">
        <v>41</v>
      </c>
      <c r="C1310" s="12">
        <v>43.2</v>
      </c>
      <c r="D1310" s="12">
        <v>2006</v>
      </c>
    </row>
    <row r="1311" spans="1:4" ht="19.95" customHeight="1" x14ac:dyDescent="0.25">
      <c r="A1311" s="11" t="s">
        <v>31</v>
      </c>
      <c r="B1311" s="12" t="s">
        <v>41</v>
      </c>
      <c r="C1311" s="12">
        <v>50.7039912399309</v>
      </c>
      <c r="D1311" s="12">
        <v>2006</v>
      </c>
    </row>
    <row r="1312" spans="1:4" ht="19.95" customHeight="1" x14ac:dyDescent="0.25">
      <c r="A1312" s="11" t="s">
        <v>32</v>
      </c>
      <c r="B1312" s="12" t="s">
        <v>41</v>
      </c>
      <c r="C1312" s="12">
        <v>1.5</v>
      </c>
      <c r="D1312" s="12">
        <v>2006</v>
      </c>
    </row>
    <row r="1313" spans="1:4" ht="19.95" customHeight="1" x14ac:dyDescent="0.25">
      <c r="A1313" s="11" t="s">
        <v>33</v>
      </c>
      <c r="B1313" s="12" t="s">
        <v>41</v>
      </c>
      <c r="C1313" s="12">
        <v>1.2260885068524101</v>
      </c>
      <c r="D1313" s="12">
        <v>2006</v>
      </c>
    </row>
    <row r="1314" spans="1:4" ht="19.95" customHeight="1" x14ac:dyDescent="0.25">
      <c r="A1314" s="11" t="s">
        <v>34</v>
      </c>
      <c r="B1314" s="12" t="s">
        <v>41</v>
      </c>
      <c r="C1314" s="12">
        <v>41.425713315249801</v>
      </c>
      <c r="D1314" s="12">
        <v>2006</v>
      </c>
    </row>
    <row r="1315" spans="1:4" ht="19.95" customHeight="1" x14ac:dyDescent="0.25">
      <c r="A1315" s="11" t="s">
        <v>35</v>
      </c>
      <c r="B1315" s="12" t="s">
        <v>41</v>
      </c>
      <c r="C1315" s="12">
        <v>75.924138896418299</v>
      </c>
      <c r="D1315" s="12">
        <v>2006</v>
      </c>
    </row>
    <row r="1316" spans="1:4" ht="19.95" customHeight="1" x14ac:dyDescent="0.25">
      <c r="A1316" s="11" t="s">
        <v>36</v>
      </c>
      <c r="B1316" s="12" t="s">
        <v>41</v>
      </c>
      <c r="C1316" s="12">
        <v>98.610586707990095</v>
      </c>
      <c r="D1316" s="12">
        <v>2006</v>
      </c>
    </row>
    <row r="1317" spans="1:4" ht="19.95" customHeight="1" x14ac:dyDescent="0.25">
      <c r="A1317" s="11" t="s">
        <v>37</v>
      </c>
      <c r="B1317" s="12" t="s">
        <v>41</v>
      </c>
      <c r="C1317" s="12">
        <v>3.7918568324398301</v>
      </c>
      <c r="D1317" s="12">
        <v>2006</v>
      </c>
    </row>
    <row r="1318" spans="1:4" ht="19.95" customHeight="1" x14ac:dyDescent="0.25">
      <c r="A1318" s="11" t="s">
        <v>38</v>
      </c>
      <c r="B1318" s="12" t="s">
        <v>41</v>
      </c>
      <c r="C1318" s="12">
        <v>2.9</v>
      </c>
      <c r="D1318" s="12">
        <v>2006</v>
      </c>
    </row>
    <row r="1319" spans="1:4" ht="19.95" customHeight="1" x14ac:dyDescent="0.25">
      <c r="A1319" s="11" t="s">
        <v>39</v>
      </c>
      <c r="B1319" s="12" t="s">
        <v>41</v>
      </c>
      <c r="C1319" s="12">
        <v>4.2374151687303101</v>
      </c>
      <c r="D1319" s="12">
        <v>2006</v>
      </c>
    </row>
    <row r="1320" spans="1:4" ht="19.95" customHeight="1" x14ac:dyDescent="0.25">
      <c r="A1320" s="11" t="s">
        <v>40</v>
      </c>
      <c r="B1320" s="12" t="s">
        <v>41</v>
      </c>
      <c r="C1320" s="12">
        <v>8.6999999999999993</v>
      </c>
      <c r="D1320" s="12">
        <v>2006</v>
      </c>
    </row>
    <row r="1321" spans="1:4" ht="19.95" customHeight="1" x14ac:dyDescent="0.25">
      <c r="A1321" s="11" t="s">
        <v>10</v>
      </c>
      <c r="B1321" s="12" t="s">
        <v>41</v>
      </c>
      <c r="C1321" s="12"/>
      <c r="D1321" s="12">
        <v>2007</v>
      </c>
    </row>
    <row r="1322" spans="1:4" ht="19.95" customHeight="1" x14ac:dyDescent="0.25">
      <c r="A1322" s="11" t="s">
        <v>13</v>
      </c>
      <c r="B1322" s="12" t="s">
        <v>41</v>
      </c>
      <c r="C1322" s="12">
        <v>23.4</v>
      </c>
      <c r="D1322" s="12">
        <v>2007</v>
      </c>
    </row>
    <row r="1323" spans="1:4" ht="19.95" customHeight="1" x14ac:dyDescent="0.25">
      <c r="A1323" s="11" t="s">
        <v>15</v>
      </c>
      <c r="B1323" s="12" t="s">
        <v>41</v>
      </c>
      <c r="C1323" s="12">
        <v>0.92615977776889502</v>
      </c>
      <c r="D1323" s="12">
        <v>2007</v>
      </c>
    </row>
    <row r="1324" spans="1:4" ht="19.95" customHeight="1" x14ac:dyDescent="0.25">
      <c r="A1324" s="11" t="s">
        <v>16</v>
      </c>
      <c r="B1324" s="12" t="s">
        <v>41</v>
      </c>
      <c r="C1324" s="12">
        <v>48.103557610748602</v>
      </c>
      <c r="D1324" s="12">
        <v>2007</v>
      </c>
    </row>
    <row r="1325" spans="1:4" ht="19.95" customHeight="1" x14ac:dyDescent="0.25">
      <c r="A1325" s="11" t="s">
        <v>17</v>
      </c>
      <c r="B1325" s="12" t="s">
        <v>41</v>
      </c>
      <c r="C1325" s="12">
        <v>30.801625907113198</v>
      </c>
      <c r="D1325" s="12">
        <v>2007</v>
      </c>
    </row>
    <row r="1326" spans="1:4" ht="19.95" customHeight="1" x14ac:dyDescent="0.25">
      <c r="A1326" s="11" t="s">
        <v>2</v>
      </c>
      <c r="B1326" s="12" t="s">
        <v>41</v>
      </c>
      <c r="C1326" s="12">
        <v>8.0384659507971001</v>
      </c>
      <c r="D1326" s="12">
        <v>2007</v>
      </c>
    </row>
    <row r="1327" spans="1:4" ht="19.95" customHeight="1" x14ac:dyDescent="0.25">
      <c r="A1327" s="11" t="s">
        <v>18</v>
      </c>
      <c r="B1327" s="12" t="s">
        <v>41</v>
      </c>
      <c r="C1327" s="12">
        <v>0.73976878344035402</v>
      </c>
      <c r="D1327" s="12">
        <v>2007</v>
      </c>
    </row>
    <row r="1328" spans="1:4" ht="19.95" customHeight="1" x14ac:dyDescent="0.25">
      <c r="A1328" s="11" t="s">
        <v>19</v>
      </c>
      <c r="B1328" s="12" t="s">
        <v>41</v>
      </c>
      <c r="C1328" s="12">
        <v>5.2046743938692401</v>
      </c>
      <c r="D1328" s="12">
        <v>2007</v>
      </c>
    </row>
    <row r="1329" spans="1:4" ht="19.95" customHeight="1" x14ac:dyDescent="0.25">
      <c r="A1329" s="11" t="s">
        <v>20</v>
      </c>
      <c r="B1329" s="12" t="s">
        <v>41</v>
      </c>
      <c r="C1329" s="12">
        <v>13.6932671708282</v>
      </c>
      <c r="D1329" s="12">
        <v>2007</v>
      </c>
    </row>
    <row r="1330" spans="1:4" ht="19.95" customHeight="1" x14ac:dyDescent="0.25">
      <c r="A1330" s="11" t="s">
        <v>21</v>
      </c>
      <c r="B1330" s="12" t="s">
        <v>41</v>
      </c>
      <c r="C1330" s="12"/>
      <c r="D1330" s="12">
        <v>2007</v>
      </c>
    </row>
    <row r="1331" spans="1:4" ht="19.95" customHeight="1" x14ac:dyDescent="0.25">
      <c r="A1331" s="11" t="s">
        <v>22</v>
      </c>
      <c r="B1331" s="12" t="s">
        <v>41</v>
      </c>
      <c r="C1331" s="12">
        <v>0.8</v>
      </c>
      <c r="D1331" s="12">
        <v>2007</v>
      </c>
    </row>
    <row r="1332" spans="1:4" ht="19.95" customHeight="1" x14ac:dyDescent="0.25">
      <c r="A1332" s="11" t="s">
        <v>23</v>
      </c>
      <c r="B1332" s="12" t="s">
        <v>41</v>
      </c>
      <c r="C1332" s="12"/>
      <c r="D1332" s="12">
        <v>2007</v>
      </c>
    </row>
    <row r="1333" spans="1:4" ht="19.95" customHeight="1" x14ac:dyDescent="0.25">
      <c r="A1333" s="11" t="s">
        <v>24</v>
      </c>
      <c r="B1333" s="12" t="s">
        <v>41</v>
      </c>
      <c r="C1333" s="12">
        <v>2.3116298486334701</v>
      </c>
      <c r="D1333" s="12">
        <v>2007</v>
      </c>
    </row>
    <row r="1334" spans="1:4" ht="19.95" customHeight="1" x14ac:dyDescent="0.25">
      <c r="A1334" s="11" t="s">
        <v>25</v>
      </c>
      <c r="B1334" s="12" t="s">
        <v>41</v>
      </c>
      <c r="C1334" s="12">
        <v>3.3262321126743801</v>
      </c>
      <c r="D1334" s="12">
        <v>2007</v>
      </c>
    </row>
    <row r="1335" spans="1:4" ht="19.95" customHeight="1" x14ac:dyDescent="0.25">
      <c r="A1335" s="11" t="s">
        <v>26</v>
      </c>
      <c r="B1335" s="12" t="s">
        <v>41</v>
      </c>
      <c r="C1335" s="12">
        <v>99.552152693305402</v>
      </c>
      <c r="D1335" s="12">
        <v>2007</v>
      </c>
    </row>
    <row r="1336" spans="1:4" ht="19.95" customHeight="1" x14ac:dyDescent="0.25">
      <c r="A1336" s="11" t="s">
        <v>27</v>
      </c>
      <c r="B1336" s="12" t="s">
        <v>41</v>
      </c>
      <c r="C1336" s="12">
        <v>2.1326572641541199</v>
      </c>
      <c r="D1336" s="12">
        <v>2007</v>
      </c>
    </row>
    <row r="1337" spans="1:4" ht="19.95" customHeight="1" x14ac:dyDescent="0.25">
      <c r="A1337" s="11" t="s">
        <v>29</v>
      </c>
      <c r="B1337" s="12" t="s">
        <v>41</v>
      </c>
      <c r="C1337" s="12">
        <v>33.365584899333498</v>
      </c>
      <c r="D1337" s="12">
        <v>2007</v>
      </c>
    </row>
    <row r="1338" spans="1:4" ht="19.95" customHeight="1" x14ac:dyDescent="0.25">
      <c r="A1338" s="11" t="s">
        <v>30</v>
      </c>
      <c r="B1338" s="12" t="s">
        <v>41</v>
      </c>
      <c r="C1338" s="12">
        <v>48.429280573395097</v>
      </c>
      <c r="D1338" s="12">
        <v>2007</v>
      </c>
    </row>
    <row r="1339" spans="1:4" ht="19.95" customHeight="1" x14ac:dyDescent="0.25">
      <c r="A1339" s="11" t="s">
        <v>31</v>
      </c>
      <c r="B1339" s="12" t="s">
        <v>41</v>
      </c>
      <c r="C1339" s="12">
        <v>51.210983861893297</v>
      </c>
      <c r="D1339" s="12">
        <v>2007</v>
      </c>
    </row>
    <row r="1340" spans="1:4" ht="19.95" customHeight="1" x14ac:dyDescent="0.25">
      <c r="A1340" s="11" t="s">
        <v>32</v>
      </c>
      <c r="B1340" s="12" t="s">
        <v>41</v>
      </c>
      <c r="C1340" s="12">
        <v>2.9939939347657401</v>
      </c>
      <c r="D1340" s="12">
        <v>2007</v>
      </c>
    </row>
    <row r="1341" spans="1:4" ht="19.95" customHeight="1" x14ac:dyDescent="0.25">
      <c r="A1341" s="11" t="s">
        <v>33</v>
      </c>
      <c r="B1341" s="12" t="s">
        <v>41</v>
      </c>
      <c r="C1341" s="12">
        <v>1.3234988076595999</v>
      </c>
      <c r="D1341" s="12">
        <v>2007</v>
      </c>
    </row>
    <row r="1342" spans="1:4" ht="19.95" customHeight="1" x14ac:dyDescent="0.25">
      <c r="A1342" s="11" t="s">
        <v>34</v>
      </c>
      <c r="B1342" s="12" t="s">
        <v>41</v>
      </c>
      <c r="C1342" s="12">
        <v>42.141718478684197</v>
      </c>
      <c r="D1342" s="12">
        <v>2007</v>
      </c>
    </row>
    <row r="1343" spans="1:4" ht="19.95" customHeight="1" x14ac:dyDescent="0.25">
      <c r="A1343" s="11" t="s">
        <v>35</v>
      </c>
      <c r="B1343" s="12" t="s">
        <v>41</v>
      </c>
      <c r="C1343" s="12">
        <v>78.5</v>
      </c>
      <c r="D1343" s="12">
        <v>2007</v>
      </c>
    </row>
    <row r="1344" spans="1:4" ht="19.95" customHeight="1" x14ac:dyDescent="0.25">
      <c r="A1344" s="11" t="s">
        <v>36</v>
      </c>
      <c r="B1344" s="12" t="s">
        <v>41</v>
      </c>
      <c r="C1344" s="12">
        <v>98.745187327046594</v>
      </c>
      <c r="D1344" s="12">
        <v>2007</v>
      </c>
    </row>
    <row r="1345" spans="1:4" ht="19.95" customHeight="1" x14ac:dyDescent="0.25">
      <c r="A1345" s="11" t="s">
        <v>37</v>
      </c>
      <c r="B1345" s="12" t="s">
        <v>41</v>
      </c>
      <c r="C1345" s="12">
        <v>3.8782016578663701</v>
      </c>
      <c r="D1345" s="12">
        <v>2007</v>
      </c>
    </row>
    <row r="1346" spans="1:4" ht="19.95" customHeight="1" x14ac:dyDescent="0.25">
      <c r="A1346" s="11" t="s">
        <v>38</v>
      </c>
      <c r="B1346" s="12" t="s">
        <v>41</v>
      </c>
      <c r="C1346" s="12">
        <v>7.3199763958404498</v>
      </c>
      <c r="D1346" s="12">
        <v>2007</v>
      </c>
    </row>
    <row r="1347" spans="1:4" ht="19.95" customHeight="1" x14ac:dyDescent="0.25">
      <c r="A1347" s="11" t="s">
        <v>39</v>
      </c>
      <c r="B1347" s="12" t="s">
        <v>41</v>
      </c>
      <c r="C1347" s="12">
        <v>3</v>
      </c>
      <c r="D1347" s="12">
        <v>2007</v>
      </c>
    </row>
    <row r="1348" spans="1:4" ht="19.95" customHeight="1" x14ac:dyDescent="0.25">
      <c r="A1348" s="11" t="s">
        <v>40</v>
      </c>
      <c r="B1348" s="12" t="s">
        <v>41</v>
      </c>
      <c r="C1348" s="12">
        <v>9.7131947317414706</v>
      </c>
      <c r="D1348" s="12">
        <v>2007</v>
      </c>
    </row>
    <row r="1349" spans="1:4" ht="19.95" customHeight="1" x14ac:dyDescent="0.25">
      <c r="A1349" s="11" t="s">
        <v>10</v>
      </c>
      <c r="B1349" s="12" t="s">
        <v>41</v>
      </c>
      <c r="C1349" s="12">
        <v>1.2</v>
      </c>
      <c r="D1349" s="12">
        <v>2008</v>
      </c>
    </row>
    <row r="1350" spans="1:4" ht="19.95" customHeight="1" x14ac:dyDescent="0.25">
      <c r="A1350" s="11" t="s">
        <v>13</v>
      </c>
      <c r="B1350" s="12" t="s">
        <v>41</v>
      </c>
      <c r="C1350" s="12">
        <v>16.562362271096902</v>
      </c>
      <c r="D1350" s="12">
        <v>2008</v>
      </c>
    </row>
    <row r="1351" spans="1:4" ht="19.95" customHeight="1" x14ac:dyDescent="0.25">
      <c r="A1351" s="11" t="s">
        <v>15</v>
      </c>
      <c r="B1351" s="12" t="s">
        <v>41</v>
      </c>
      <c r="C1351" s="12">
        <v>1.03141927111932</v>
      </c>
      <c r="D1351" s="12">
        <v>2008</v>
      </c>
    </row>
    <row r="1352" spans="1:4" ht="19.95" customHeight="1" x14ac:dyDescent="0.25">
      <c r="A1352" s="11" t="s">
        <v>16</v>
      </c>
      <c r="B1352" s="12" t="s">
        <v>41</v>
      </c>
      <c r="C1352" s="12">
        <v>50.729041223495301</v>
      </c>
      <c r="D1352" s="12">
        <v>2008</v>
      </c>
    </row>
    <row r="1353" spans="1:4" ht="19.95" customHeight="1" x14ac:dyDescent="0.25">
      <c r="A1353" s="11" t="s">
        <v>17</v>
      </c>
      <c r="B1353" s="12" t="s">
        <v>41</v>
      </c>
      <c r="C1353" s="12">
        <v>27.181828368560801</v>
      </c>
      <c r="D1353" s="12">
        <v>2008</v>
      </c>
    </row>
    <row r="1354" spans="1:4" ht="19.95" customHeight="1" x14ac:dyDescent="0.25">
      <c r="A1354" s="11" t="s">
        <v>2</v>
      </c>
      <c r="B1354" s="12" t="s">
        <v>41</v>
      </c>
      <c r="C1354" s="12">
        <v>9.4908196393377295</v>
      </c>
      <c r="D1354" s="12">
        <v>2008</v>
      </c>
    </row>
    <row r="1355" spans="1:4" ht="19.95" customHeight="1" x14ac:dyDescent="0.25">
      <c r="A1355" s="11" t="s">
        <v>18</v>
      </c>
      <c r="B1355" s="12" t="s">
        <v>41</v>
      </c>
      <c r="C1355" s="12">
        <v>0.98415242363916799</v>
      </c>
      <c r="D1355" s="12">
        <v>2008</v>
      </c>
    </row>
    <row r="1356" spans="1:4" ht="19.95" customHeight="1" x14ac:dyDescent="0.25">
      <c r="A1356" s="11" t="s">
        <v>19</v>
      </c>
      <c r="B1356" s="12" t="s">
        <v>41</v>
      </c>
      <c r="C1356" s="12">
        <v>4.2764994204726401</v>
      </c>
      <c r="D1356" s="12">
        <v>2008</v>
      </c>
    </row>
    <row r="1357" spans="1:4" ht="19.95" customHeight="1" x14ac:dyDescent="0.25">
      <c r="A1357" s="11" t="s">
        <v>20</v>
      </c>
      <c r="B1357" s="12" t="s">
        <v>41</v>
      </c>
      <c r="C1357" s="12">
        <v>14.608634456887</v>
      </c>
      <c r="D1357" s="12">
        <v>2008</v>
      </c>
    </row>
    <row r="1358" spans="1:4" ht="19.95" customHeight="1" x14ac:dyDescent="0.25">
      <c r="A1358" s="11" t="s">
        <v>21</v>
      </c>
      <c r="B1358" s="12" t="s">
        <v>41</v>
      </c>
      <c r="C1358" s="12"/>
      <c r="D1358" s="12">
        <v>2008</v>
      </c>
    </row>
    <row r="1359" spans="1:4" ht="19.95" customHeight="1" x14ac:dyDescent="0.25">
      <c r="A1359" s="11" t="s">
        <v>22</v>
      </c>
      <c r="B1359" s="12" t="s">
        <v>41</v>
      </c>
      <c r="C1359" s="12"/>
      <c r="D1359" s="12">
        <v>2008</v>
      </c>
    </row>
    <row r="1360" spans="1:4" ht="19.95" customHeight="1" x14ac:dyDescent="0.25">
      <c r="A1360" s="11" t="s">
        <v>23</v>
      </c>
      <c r="B1360" s="12" t="s">
        <v>41</v>
      </c>
      <c r="C1360" s="12"/>
      <c r="D1360" s="12">
        <v>2008</v>
      </c>
    </row>
    <row r="1361" spans="1:4" ht="19.95" customHeight="1" x14ac:dyDescent="0.25">
      <c r="A1361" s="11" t="s">
        <v>24</v>
      </c>
      <c r="B1361" s="12" t="s">
        <v>41</v>
      </c>
      <c r="C1361" s="12">
        <v>2.5001339322067002</v>
      </c>
      <c r="D1361" s="12">
        <v>2008</v>
      </c>
    </row>
    <row r="1362" spans="1:4" ht="19.95" customHeight="1" x14ac:dyDescent="0.25">
      <c r="A1362" s="11" t="s">
        <v>25</v>
      </c>
      <c r="B1362" s="12" t="s">
        <v>41</v>
      </c>
      <c r="C1362" s="12">
        <v>3.40100797743137</v>
      </c>
      <c r="D1362" s="12">
        <v>2008</v>
      </c>
    </row>
    <row r="1363" spans="1:4" ht="19.95" customHeight="1" x14ac:dyDescent="0.25">
      <c r="A1363" s="11" t="s">
        <v>26</v>
      </c>
      <c r="B1363" s="12" t="s">
        <v>41</v>
      </c>
      <c r="C1363" s="12">
        <v>99.7648211703154</v>
      </c>
      <c r="D1363" s="12">
        <v>2008</v>
      </c>
    </row>
    <row r="1364" spans="1:4" ht="19.95" customHeight="1" x14ac:dyDescent="0.25">
      <c r="A1364" s="11" t="s">
        <v>27</v>
      </c>
      <c r="B1364" s="12" t="s">
        <v>41</v>
      </c>
      <c r="C1364" s="12">
        <v>2.15221459762944</v>
      </c>
      <c r="D1364" s="12">
        <v>2008</v>
      </c>
    </row>
    <row r="1365" spans="1:4" ht="19.95" customHeight="1" x14ac:dyDescent="0.25">
      <c r="A1365" s="11" t="s">
        <v>29</v>
      </c>
      <c r="B1365" s="12" t="s">
        <v>41</v>
      </c>
      <c r="C1365" s="12">
        <v>34.013269843051802</v>
      </c>
      <c r="D1365" s="12">
        <v>2008</v>
      </c>
    </row>
    <row r="1366" spans="1:4" ht="19.95" customHeight="1" x14ac:dyDescent="0.25">
      <c r="A1366" s="11" t="s">
        <v>30</v>
      </c>
      <c r="B1366" s="12" t="s">
        <v>41</v>
      </c>
      <c r="C1366" s="12">
        <v>52.8311672007193</v>
      </c>
      <c r="D1366" s="12">
        <v>2008</v>
      </c>
    </row>
    <row r="1367" spans="1:4" ht="19.95" customHeight="1" x14ac:dyDescent="0.25">
      <c r="A1367" s="11" t="s">
        <v>31</v>
      </c>
      <c r="B1367" s="12" t="s">
        <v>41</v>
      </c>
      <c r="C1367" s="12">
        <v>51.746077222654598</v>
      </c>
      <c r="D1367" s="12">
        <v>2008</v>
      </c>
    </row>
    <row r="1368" spans="1:4" ht="19.95" customHeight="1" x14ac:dyDescent="0.25">
      <c r="A1368" s="11" t="s">
        <v>32</v>
      </c>
      <c r="B1368" s="12" t="s">
        <v>41</v>
      </c>
      <c r="C1368" s="12">
        <v>3.18336426059982</v>
      </c>
      <c r="D1368" s="12">
        <v>2008</v>
      </c>
    </row>
    <row r="1369" spans="1:4" ht="19.95" customHeight="1" x14ac:dyDescent="0.25">
      <c r="A1369" s="11" t="s">
        <v>33</v>
      </c>
      <c r="B1369" s="12" t="s">
        <v>41</v>
      </c>
      <c r="C1369" s="12">
        <v>2</v>
      </c>
      <c r="D1369" s="12">
        <v>2008</v>
      </c>
    </row>
    <row r="1370" spans="1:4" ht="19.95" customHeight="1" x14ac:dyDescent="0.25">
      <c r="A1370" s="11" t="s">
        <v>34</v>
      </c>
      <c r="B1370" s="12" t="s">
        <v>41</v>
      </c>
      <c r="C1370" s="12">
        <v>42.919433600566002</v>
      </c>
      <c r="D1370" s="12">
        <v>2008</v>
      </c>
    </row>
    <row r="1371" spans="1:4" ht="19.95" customHeight="1" x14ac:dyDescent="0.25">
      <c r="A1371" s="11" t="s">
        <v>35</v>
      </c>
      <c r="B1371" s="12" t="s">
        <v>41</v>
      </c>
      <c r="C1371" s="12">
        <v>79.480373438571306</v>
      </c>
      <c r="D1371" s="12">
        <v>2008</v>
      </c>
    </row>
    <row r="1372" spans="1:4" ht="19.95" customHeight="1" x14ac:dyDescent="0.25">
      <c r="A1372" s="11" t="s">
        <v>36</v>
      </c>
      <c r="B1372" s="12" t="s">
        <v>41</v>
      </c>
      <c r="C1372" s="12">
        <v>98.902050008701195</v>
      </c>
      <c r="D1372" s="12">
        <v>2008</v>
      </c>
    </row>
    <row r="1373" spans="1:4" ht="19.95" customHeight="1" x14ac:dyDescent="0.25">
      <c r="A1373" s="11" t="s">
        <v>37</v>
      </c>
      <c r="B1373" s="12" t="s">
        <v>41</v>
      </c>
      <c r="C1373" s="12">
        <v>2.1</v>
      </c>
      <c r="D1373" s="12">
        <v>2008</v>
      </c>
    </row>
    <row r="1374" spans="1:4" ht="19.95" customHeight="1" x14ac:dyDescent="0.25">
      <c r="A1374" s="11" t="s">
        <v>38</v>
      </c>
      <c r="B1374" s="12" t="s">
        <v>41</v>
      </c>
      <c r="C1374" s="12">
        <v>7.8229776793980603</v>
      </c>
      <c r="D1374" s="12">
        <v>2008</v>
      </c>
    </row>
    <row r="1375" spans="1:4" ht="19.95" customHeight="1" x14ac:dyDescent="0.25">
      <c r="A1375" s="11" t="s">
        <v>39</v>
      </c>
      <c r="B1375" s="12" t="s">
        <v>41</v>
      </c>
      <c r="C1375" s="12">
        <v>3.9290285663661302</v>
      </c>
      <c r="D1375" s="12">
        <v>2008</v>
      </c>
    </row>
    <row r="1376" spans="1:4" ht="19.95" customHeight="1" x14ac:dyDescent="0.25">
      <c r="A1376" s="11" t="s">
        <v>40</v>
      </c>
      <c r="B1376" s="12" t="s">
        <v>41</v>
      </c>
      <c r="C1376" s="12">
        <v>10.3317228560259</v>
      </c>
      <c r="D1376" s="12">
        <v>2008</v>
      </c>
    </row>
    <row r="1377" spans="1:4" ht="19.95" customHeight="1" x14ac:dyDescent="0.25">
      <c r="A1377" s="11" t="s">
        <v>10</v>
      </c>
      <c r="B1377" s="12" t="s">
        <v>41</v>
      </c>
      <c r="C1377" s="12">
        <v>9.7272528114010506E-2</v>
      </c>
      <c r="D1377" s="12">
        <v>2009</v>
      </c>
    </row>
    <row r="1378" spans="1:4" ht="19.95" customHeight="1" x14ac:dyDescent="0.25">
      <c r="A1378" s="11" t="s">
        <v>13</v>
      </c>
      <c r="B1378" s="12" t="s">
        <v>41</v>
      </c>
      <c r="C1378" s="12">
        <v>17.1005802277678</v>
      </c>
      <c r="D1378" s="12">
        <v>2009</v>
      </c>
    </row>
    <row r="1379" spans="1:4" ht="19.95" customHeight="1" x14ac:dyDescent="0.25">
      <c r="A1379" s="11" t="s">
        <v>15</v>
      </c>
      <c r="B1379" s="12" t="s">
        <v>41</v>
      </c>
      <c r="C1379" s="12">
        <v>1.15914829411466</v>
      </c>
      <c r="D1379" s="12">
        <v>2009</v>
      </c>
    </row>
    <row r="1380" spans="1:4" ht="19.95" customHeight="1" x14ac:dyDescent="0.25">
      <c r="A1380" s="11" t="s">
        <v>16</v>
      </c>
      <c r="B1380" s="12" t="s">
        <v>41</v>
      </c>
      <c r="C1380" s="12">
        <v>53.374313705874002</v>
      </c>
      <c r="D1380" s="12">
        <v>2009</v>
      </c>
    </row>
    <row r="1381" spans="1:4" ht="19.95" customHeight="1" x14ac:dyDescent="0.25">
      <c r="A1381" s="11" t="s">
        <v>17</v>
      </c>
      <c r="B1381" s="12" t="s">
        <v>41</v>
      </c>
      <c r="C1381" s="12">
        <v>23.596191080104099</v>
      </c>
      <c r="D1381" s="12">
        <v>2009</v>
      </c>
    </row>
    <row r="1382" spans="1:4" ht="19.95" customHeight="1" x14ac:dyDescent="0.25">
      <c r="A1382" s="11" t="s">
        <v>2</v>
      </c>
      <c r="B1382" s="12" t="s">
        <v>41</v>
      </c>
      <c r="C1382" s="12">
        <v>10.9688874961178</v>
      </c>
      <c r="D1382" s="12">
        <v>2009</v>
      </c>
    </row>
    <row r="1383" spans="1:4" ht="19.95" customHeight="1" x14ac:dyDescent="0.25">
      <c r="A1383" s="11" t="s">
        <v>18</v>
      </c>
      <c r="B1383" s="12" t="s">
        <v>41</v>
      </c>
      <c r="C1383" s="12">
        <v>1.22524304912551</v>
      </c>
      <c r="D1383" s="12">
        <v>2009</v>
      </c>
    </row>
    <row r="1384" spans="1:4" ht="19.95" customHeight="1" x14ac:dyDescent="0.25">
      <c r="A1384" s="11" t="s">
        <v>19</v>
      </c>
      <c r="B1384" s="12" t="s">
        <v>41</v>
      </c>
      <c r="C1384" s="12">
        <v>3.3962034395924299</v>
      </c>
      <c r="D1384" s="12">
        <v>2009</v>
      </c>
    </row>
    <row r="1385" spans="1:4" ht="19.95" customHeight="1" x14ac:dyDescent="0.25">
      <c r="A1385" s="11" t="s">
        <v>20</v>
      </c>
      <c r="B1385" s="12" t="s">
        <v>41</v>
      </c>
      <c r="C1385" s="12">
        <v>8.1</v>
      </c>
      <c r="D1385" s="12">
        <v>2009</v>
      </c>
    </row>
    <row r="1386" spans="1:4" ht="19.95" customHeight="1" x14ac:dyDescent="0.25">
      <c r="A1386" s="11" t="s">
        <v>21</v>
      </c>
      <c r="B1386" s="12" t="s">
        <v>41</v>
      </c>
      <c r="C1386" s="12"/>
      <c r="D1386" s="12">
        <v>2009</v>
      </c>
    </row>
    <row r="1387" spans="1:4" ht="19.95" customHeight="1" x14ac:dyDescent="0.25">
      <c r="A1387" s="11" t="s">
        <v>22</v>
      </c>
      <c r="B1387" s="12" t="s">
        <v>41</v>
      </c>
      <c r="C1387" s="12">
        <v>0.5</v>
      </c>
      <c r="D1387" s="12">
        <v>2009</v>
      </c>
    </row>
    <row r="1388" spans="1:4" ht="19.95" customHeight="1" x14ac:dyDescent="0.25">
      <c r="A1388" s="11" t="s">
        <v>23</v>
      </c>
      <c r="B1388" s="12" t="s">
        <v>41</v>
      </c>
      <c r="C1388" s="12">
        <v>8.1999999999999993</v>
      </c>
      <c r="D1388" s="12">
        <v>2009</v>
      </c>
    </row>
    <row r="1389" spans="1:4" ht="19.95" customHeight="1" x14ac:dyDescent="0.25">
      <c r="A1389" s="11" t="s">
        <v>24</v>
      </c>
      <c r="B1389" s="12" t="s">
        <v>41</v>
      </c>
      <c r="C1389" s="12">
        <v>2.7055775350818299</v>
      </c>
      <c r="D1389" s="12">
        <v>2009</v>
      </c>
    </row>
    <row r="1390" spans="1:4" ht="19.95" customHeight="1" x14ac:dyDescent="0.25">
      <c r="A1390" s="11" t="s">
        <v>25</v>
      </c>
      <c r="B1390" s="12" t="s">
        <v>41</v>
      </c>
      <c r="C1390" s="12">
        <v>8.0097861929582006</v>
      </c>
      <c r="D1390" s="12">
        <v>2009</v>
      </c>
    </row>
    <row r="1391" spans="1:4" ht="19.95" customHeight="1" x14ac:dyDescent="0.25">
      <c r="A1391" s="11" t="s">
        <v>26</v>
      </c>
      <c r="B1391" s="12" t="s">
        <v>41</v>
      </c>
      <c r="C1391" s="12">
        <v>99.909710467378403</v>
      </c>
      <c r="D1391" s="12">
        <v>2009</v>
      </c>
    </row>
    <row r="1392" spans="1:4" ht="19.95" customHeight="1" x14ac:dyDescent="0.25">
      <c r="A1392" s="11" t="s">
        <v>27</v>
      </c>
      <c r="B1392" s="12" t="s">
        <v>41</v>
      </c>
      <c r="C1392" s="12">
        <v>3.8</v>
      </c>
      <c r="D1392" s="12">
        <v>2009</v>
      </c>
    </row>
    <row r="1393" spans="1:4" ht="19.95" customHeight="1" x14ac:dyDescent="0.25">
      <c r="A1393" s="11" t="s">
        <v>29</v>
      </c>
      <c r="B1393" s="12" t="s">
        <v>41</v>
      </c>
      <c r="C1393" s="12">
        <v>34.676208189360999</v>
      </c>
      <c r="D1393" s="12">
        <v>2009</v>
      </c>
    </row>
    <row r="1394" spans="1:4" ht="19.95" customHeight="1" x14ac:dyDescent="0.25">
      <c r="A1394" s="11" t="s">
        <v>30</v>
      </c>
      <c r="B1394" s="12" t="s">
        <v>41</v>
      </c>
      <c r="C1394" s="12">
        <v>57.281251558453903</v>
      </c>
      <c r="D1394" s="12">
        <v>2009</v>
      </c>
    </row>
    <row r="1395" spans="1:4" ht="19.95" customHeight="1" x14ac:dyDescent="0.25">
      <c r="A1395" s="11" t="s">
        <v>31</v>
      </c>
      <c r="B1395" s="12" t="s">
        <v>41</v>
      </c>
      <c r="C1395" s="12">
        <v>47.234363999999999</v>
      </c>
      <c r="D1395" s="12">
        <v>2009</v>
      </c>
    </row>
    <row r="1396" spans="1:4" ht="19.95" customHeight="1" x14ac:dyDescent="0.25">
      <c r="A1396" s="11" t="s">
        <v>32</v>
      </c>
      <c r="B1396" s="12" t="s">
        <v>41</v>
      </c>
      <c r="C1396" s="12">
        <v>3.38134019068369</v>
      </c>
      <c r="D1396" s="12">
        <v>2009</v>
      </c>
    </row>
    <row r="1397" spans="1:4" ht="19.95" customHeight="1" x14ac:dyDescent="0.25">
      <c r="A1397" s="11" t="s">
        <v>33</v>
      </c>
      <c r="B1397" s="12" t="s">
        <v>41</v>
      </c>
      <c r="C1397" s="12">
        <v>1.40936473120301</v>
      </c>
      <c r="D1397" s="12">
        <v>2009</v>
      </c>
    </row>
    <row r="1398" spans="1:4" ht="19.95" customHeight="1" x14ac:dyDescent="0.25">
      <c r="A1398" s="11" t="s">
        <v>34</v>
      </c>
      <c r="B1398" s="12" t="s">
        <v>41</v>
      </c>
      <c r="C1398" s="12">
        <v>44.2</v>
      </c>
      <c r="D1398" s="12">
        <v>2009</v>
      </c>
    </row>
    <row r="1399" spans="1:4" ht="19.95" customHeight="1" x14ac:dyDescent="0.25">
      <c r="A1399" s="11" t="s">
        <v>35</v>
      </c>
      <c r="B1399" s="12" t="s">
        <v>41</v>
      </c>
      <c r="C1399" s="12">
        <v>81.293177386234902</v>
      </c>
      <c r="D1399" s="12">
        <v>2009</v>
      </c>
    </row>
    <row r="1400" spans="1:4" ht="19.95" customHeight="1" x14ac:dyDescent="0.25">
      <c r="A1400" s="11" t="s">
        <v>36</v>
      </c>
      <c r="B1400" s="12" t="s">
        <v>41</v>
      </c>
      <c r="C1400" s="12">
        <v>98.681608039052307</v>
      </c>
      <c r="D1400" s="12">
        <v>2009</v>
      </c>
    </row>
    <row r="1401" spans="1:4" ht="19.95" customHeight="1" x14ac:dyDescent="0.25">
      <c r="A1401" s="11" t="s">
        <v>37</v>
      </c>
      <c r="B1401" s="12" t="s">
        <v>41</v>
      </c>
      <c r="C1401" s="12">
        <v>2</v>
      </c>
      <c r="D1401" s="12">
        <v>2009</v>
      </c>
    </row>
    <row r="1402" spans="1:4" ht="19.95" customHeight="1" x14ac:dyDescent="0.25">
      <c r="A1402" s="11" t="s">
        <v>38</v>
      </c>
      <c r="B1402" s="12" t="s">
        <v>41</v>
      </c>
      <c r="C1402" s="12">
        <v>3.3</v>
      </c>
      <c r="D1402" s="12">
        <v>2009</v>
      </c>
    </row>
    <row r="1403" spans="1:4" ht="19.95" customHeight="1" x14ac:dyDescent="0.25">
      <c r="A1403" s="11" t="s">
        <v>39</v>
      </c>
      <c r="B1403" s="12" t="s">
        <v>41</v>
      </c>
      <c r="C1403" s="12">
        <v>3.7895392594729902</v>
      </c>
      <c r="D1403" s="12">
        <v>2009</v>
      </c>
    </row>
    <row r="1404" spans="1:4" ht="19.95" customHeight="1" x14ac:dyDescent="0.25">
      <c r="A1404" s="11" t="s">
        <v>40</v>
      </c>
      <c r="B1404" s="12" t="s">
        <v>41</v>
      </c>
      <c r="C1404" s="12">
        <v>17.452830188679201</v>
      </c>
      <c r="D1404" s="12">
        <v>2009</v>
      </c>
    </row>
    <row r="1405" spans="1:4" ht="19.95" customHeight="1" x14ac:dyDescent="0.25">
      <c r="A1405" s="11" t="s">
        <v>10</v>
      </c>
      <c r="B1405" s="12" t="s">
        <v>41</v>
      </c>
      <c r="C1405" s="12">
        <v>1</v>
      </c>
      <c r="D1405" s="12">
        <v>2010</v>
      </c>
    </row>
    <row r="1406" spans="1:4" ht="19.95" customHeight="1" x14ac:dyDescent="0.25">
      <c r="A1406" s="11" t="s">
        <v>13</v>
      </c>
      <c r="B1406" s="12" t="s">
        <v>41</v>
      </c>
      <c r="C1406" s="12">
        <v>17.658821774237602</v>
      </c>
      <c r="D1406" s="12">
        <v>2010</v>
      </c>
    </row>
    <row r="1407" spans="1:4" ht="19.95" customHeight="1" x14ac:dyDescent="0.25">
      <c r="A1407" s="11" t="s">
        <v>15</v>
      </c>
      <c r="B1407" s="12" t="s">
        <v>41</v>
      </c>
      <c r="C1407" s="12">
        <v>3.1</v>
      </c>
      <c r="D1407" s="12">
        <v>2010</v>
      </c>
    </row>
    <row r="1408" spans="1:4" ht="19.95" customHeight="1" x14ac:dyDescent="0.25">
      <c r="A1408" s="11" t="s">
        <v>16</v>
      </c>
      <c r="B1408" s="12" t="s">
        <v>41</v>
      </c>
      <c r="C1408" s="12">
        <v>56.036060257471199</v>
      </c>
      <c r="D1408" s="12">
        <v>2010</v>
      </c>
    </row>
    <row r="1409" spans="1:4" ht="19.95" customHeight="1" x14ac:dyDescent="0.25">
      <c r="A1409" s="11" t="s">
        <v>17</v>
      </c>
      <c r="B1409" s="12" t="s">
        <v>41</v>
      </c>
      <c r="C1409" s="12">
        <v>20.0232957588969</v>
      </c>
      <c r="D1409" s="12">
        <v>2010</v>
      </c>
    </row>
    <row r="1410" spans="1:4" ht="19.95" customHeight="1" x14ac:dyDescent="0.25">
      <c r="A1410" s="11" t="s">
        <v>2</v>
      </c>
      <c r="B1410" s="12" t="s">
        <v>41</v>
      </c>
      <c r="C1410" s="12">
        <v>12.467160778147401</v>
      </c>
      <c r="D1410" s="12">
        <v>2010</v>
      </c>
    </row>
    <row r="1411" spans="1:4" ht="19.95" customHeight="1" x14ac:dyDescent="0.25">
      <c r="A1411" s="11" t="s">
        <v>18</v>
      </c>
      <c r="B1411" s="12" t="s">
        <v>41</v>
      </c>
      <c r="C1411" s="12">
        <v>1.46158100234327</v>
      </c>
      <c r="D1411" s="12">
        <v>2010</v>
      </c>
    </row>
    <row r="1412" spans="1:4" ht="19.95" customHeight="1" x14ac:dyDescent="0.25">
      <c r="A1412" s="11" t="s">
        <v>19</v>
      </c>
      <c r="B1412" s="12" t="s">
        <v>41</v>
      </c>
      <c r="C1412" s="12">
        <v>2.5687314600850399</v>
      </c>
      <c r="D1412" s="12">
        <v>2010</v>
      </c>
    </row>
    <row r="1413" spans="1:4" ht="19.95" customHeight="1" x14ac:dyDescent="0.25">
      <c r="A1413" s="11" t="s">
        <v>20</v>
      </c>
      <c r="B1413" s="12" t="s">
        <v>41</v>
      </c>
      <c r="C1413" s="12">
        <v>6.7</v>
      </c>
      <c r="D1413" s="12">
        <v>2010</v>
      </c>
    </row>
    <row r="1414" spans="1:4" ht="19.95" customHeight="1" x14ac:dyDescent="0.25">
      <c r="A1414" s="11" t="s">
        <v>21</v>
      </c>
      <c r="B1414" s="12" t="s">
        <v>41</v>
      </c>
      <c r="C1414" s="12"/>
      <c r="D1414" s="12">
        <v>2010</v>
      </c>
    </row>
    <row r="1415" spans="1:4" ht="19.95" customHeight="1" x14ac:dyDescent="0.25">
      <c r="A1415" s="11" t="s">
        <v>22</v>
      </c>
      <c r="B1415" s="12" t="s">
        <v>41</v>
      </c>
      <c r="C1415" s="12">
        <v>1.1319190805250801</v>
      </c>
      <c r="D1415" s="12">
        <v>2010</v>
      </c>
    </row>
    <row r="1416" spans="1:4" ht="19.95" customHeight="1" x14ac:dyDescent="0.25">
      <c r="A1416" s="11" t="s">
        <v>23</v>
      </c>
      <c r="B1416" s="12" t="s">
        <v>41</v>
      </c>
      <c r="C1416" s="12"/>
      <c r="D1416" s="12">
        <v>2010</v>
      </c>
    </row>
    <row r="1417" spans="1:4" ht="19.95" customHeight="1" x14ac:dyDescent="0.25">
      <c r="A1417" s="11" t="s">
        <v>24</v>
      </c>
      <c r="B1417" s="12" t="s">
        <v>41</v>
      </c>
      <c r="C1417" s="12">
        <v>3.5</v>
      </c>
      <c r="D1417" s="12">
        <v>2010</v>
      </c>
    </row>
    <row r="1418" spans="1:4" ht="19.95" customHeight="1" x14ac:dyDescent="0.25">
      <c r="A1418" s="11" t="s">
        <v>25</v>
      </c>
      <c r="B1418" s="12" t="s">
        <v>41</v>
      </c>
      <c r="C1418" s="12">
        <v>3.3867888068602099</v>
      </c>
      <c r="D1418" s="12">
        <v>2010</v>
      </c>
    </row>
    <row r="1419" spans="1:4" ht="19.95" customHeight="1" x14ac:dyDescent="0.25">
      <c r="A1419" s="11" t="s">
        <v>26</v>
      </c>
      <c r="B1419" s="12" t="s">
        <v>41</v>
      </c>
      <c r="C1419" s="12">
        <v>99.978045626164402</v>
      </c>
      <c r="D1419" s="12">
        <v>2010</v>
      </c>
    </row>
    <row r="1420" spans="1:4" ht="19.95" customHeight="1" x14ac:dyDescent="0.25">
      <c r="A1420" s="11" t="s">
        <v>27</v>
      </c>
      <c r="B1420" s="12" t="s">
        <v>41</v>
      </c>
      <c r="C1420" s="12">
        <v>3.1671542693374599</v>
      </c>
      <c r="D1420" s="12">
        <v>2010</v>
      </c>
    </row>
    <row r="1421" spans="1:4" ht="19.95" customHeight="1" x14ac:dyDescent="0.25">
      <c r="A1421" s="11" t="s">
        <v>29</v>
      </c>
      <c r="B1421" s="12" t="s">
        <v>41</v>
      </c>
      <c r="C1421" s="12">
        <v>34.299999999999997</v>
      </c>
      <c r="D1421" s="12">
        <v>2010</v>
      </c>
    </row>
    <row r="1422" spans="1:4" ht="19.95" customHeight="1" x14ac:dyDescent="0.25">
      <c r="A1422" s="11" t="s">
        <v>30</v>
      </c>
      <c r="B1422" s="12" t="s">
        <v>41</v>
      </c>
      <c r="C1422" s="12">
        <v>61.7769754382714</v>
      </c>
      <c r="D1422" s="12">
        <v>2010</v>
      </c>
    </row>
    <row r="1423" spans="1:4" ht="19.95" customHeight="1" x14ac:dyDescent="0.25">
      <c r="A1423" s="11" t="s">
        <v>31</v>
      </c>
      <c r="B1423" s="12" t="s">
        <v>41</v>
      </c>
      <c r="C1423" s="12">
        <v>52.889011510594301</v>
      </c>
      <c r="D1423" s="12">
        <v>2010</v>
      </c>
    </row>
    <row r="1424" spans="1:4" ht="19.95" customHeight="1" x14ac:dyDescent="0.25">
      <c r="A1424" s="11" t="s">
        <v>32</v>
      </c>
      <c r="B1424" s="12" t="s">
        <v>41</v>
      </c>
      <c r="C1424" s="12">
        <v>3.5851835658035598</v>
      </c>
      <c r="D1424" s="12">
        <v>2010</v>
      </c>
    </row>
    <row r="1425" spans="1:4" ht="19.95" customHeight="1" x14ac:dyDescent="0.25">
      <c r="A1425" s="11" t="s">
        <v>33</v>
      </c>
      <c r="B1425" s="12" t="s">
        <v>41</v>
      </c>
      <c r="C1425" s="12">
        <v>4</v>
      </c>
      <c r="D1425" s="12">
        <v>2010</v>
      </c>
    </row>
    <row r="1426" spans="1:4" ht="19.95" customHeight="1" x14ac:dyDescent="0.25">
      <c r="A1426" s="11" t="s">
        <v>34</v>
      </c>
      <c r="B1426" s="12" t="s">
        <v>41</v>
      </c>
      <c r="C1426" s="12">
        <v>44.6558272412191</v>
      </c>
      <c r="D1426" s="12">
        <v>2010</v>
      </c>
    </row>
    <row r="1427" spans="1:4" ht="19.95" customHeight="1" x14ac:dyDescent="0.25">
      <c r="A1427" s="11" t="s">
        <v>35</v>
      </c>
      <c r="B1427" s="12" t="s">
        <v>41</v>
      </c>
      <c r="C1427" s="12">
        <v>84.1</v>
      </c>
      <c r="D1427" s="12">
        <v>2010</v>
      </c>
    </row>
    <row r="1428" spans="1:4" ht="19.95" customHeight="1" x14ac:dyDescent="0.25">
      <c r="A1428" s="11" t="s">
        <v>36</v>
      </c>
      <c r="B1428" s="12" t="s">
        <v>41</v>
      </c>
      <c r="C1428" s="12">
        <v>99.289204875646305</v>
      </c>
      <c r="D1428" s="12">
        <v>2010</v>
      </c>
    </row>
    <row r="1429" spans="1:4" ht="19.95" customHeight="1" x14ac:dyDescent="0.25">
      <c r="A1429" s="11" t="s">
        <v>37</v>
      </c>
      <c r="B1429" s="12" t="s">
        <v>41</v>
      </c>
      <c r="C1429" s="12">
        <v>3.7</v>
      </c>
      <c r="D1429" s="12">
        <v>2010</v>
      </c>
    </row>
    <row r="1430" spans="1:4" ht="19.95" customHeight="1" x14ac:dyDescent="0.25">
      <c r="A1430" s="11" t="s">
        <v>38</v>
      </c>
      <c r="B1430" s="12" t="s">
        <v>41</v>
      </c>
      <c r="C1430" s="12">
        <v>8.8791294486068804</v>
      </c>
      <c r="D1430" s="12">
        <v>2010</v>
      </c>
    </row>
    <row r="1431" spans="1:4" ht="19.95" customHeight="1" x14ac:dyDescent="0.25">
      <c r="A1431" s="11" t="s">
        <v>39</v>
      </c>
      <c r="B1431" s="12" t="s">
        <v>41</v>
      </c>
      <c r="C1431" s="12">
        <v>3.1</v>
      </c>
      <c r="D1431" s="12">
        <v>2010</v>
      </c>
    </row>
    <row r="1432" spans="1:4" ht="19.95" customHeight="1" x14ac:dyDescent="0.25">
      <c r="A1432" s="11" t="s">
        <v>40</v>
      </c>
      <c r="B1432" s="12" t="s">
        <v>41</v>
      </c>
      <c r="C1432" s="12">
        <v>11.6285986963923</v>
      </c>
      <c r="D1432" s="12">
        <v>2010</v>
      </c>
    </row>
    <row r="1433" spans="1:4" ht="19.95" customHeight="1" x14ac:dyDescent="0.25">
      <c r="A1433" s="11" t="s">
        <v>10</v>
      </c>
      <c r="B1433" s="12" t="s">
        <v>41</v>
      </c>
      <c r="C1433" s="12">
        <v>0.49977704418741897</v>
      </c>
      <c r="D1433" s="12">
        <v>2011</v>
      </c>
    </row>
    <row r="1434" spans="1:4" ht="19.95" customHeight="1" x14ac:dyDescent="0.25">
      <c r="A1434" s="11" t="s">
        <v>13</v>
      </c>
      <c r="B1434" s="12" t="s">
        <v>41</v>
      </c>
      <c r="C1434" s="12">
        <v>18.5</v>
      </c>
      <c r="D1434" s="12">
        <v>2011</v>
      </c>
    </row>
    <row r="1435" spans="1:4" ht="19.95" customHeight="1" x14ac:dyDescent="0.25">
      <c r="A1435" s="11" t="s">
        <v>15</v>
      </c>
      <c r="B1435" s="12" t="s">
        <v>41</v>
      </c>
      <c r="C1435" s="12">
        <v>1.4541817298166599</v>
      </c>
      <c r="D1435" s="12">
        <v>2011</v>
      </c>
    </row>
    <row r="1436" spans="1:4" ht="19.95" customHeight="1" x14ac:dyDescent="0.25">
      <c r="A1436" s="11" t="s">
        <v>16</v>
      </c>
      <c r="B1436" s="12" t="s">
        <v>41</v>
      </c>
      <c r="C1436" s="12">
        <v>58.712003950609201</v>
      </c>
      <c r="D1436" s="12">
        <v>2011</v>
      </c>
    </row>
    <row r="1437" spans="1:4" ht="19.95" customHeight="1" x14ac:dyDescent="0.25">
      <c r="A1437" s="11" t="s">
        <v>17</v>
      </c>
      <c r="B1437" s="12" t="s">
        <v>41</v>
      </c>
      <c r="C1437" s="12">
        <v>16.456293857770699</v>
      </c>
      <c r="D1437" s="12">
        <v>2011</v>
      </c>
    </row>
    <row r="1438" spans="1:4" ht="19.95" customHeight="1" x14ac:dyDescent="0.25">
      <c r="A1438" s="11" t="s">
        <v>2</v>
      </c>
      <c r="B1438" s="12" t="s">
        <v>41</v>
      </c>
      <c r="C1438" s="12">
        <v>4.8</v>
      </c>
      <c r="D1438" s="12">
        <v>2011</v>
      </c>
    </row>
    <row r="1439" spans="1:4" ht="19.95" customHeight="1" x14ac:dyDescent="0.25">
      <c r="A1439" s="11" t="s">
        <v>18</v>
      </c>
      <c r="B1439" s="12" t="s">
        <v>41</v>
      </c>
      <c r="C1439" s="12">
        <v>1.68642462742461</v>
      </c>
      <c r="D1439" s="12">
        <v>2011</v>
      </c>
    </row>
    <row r="1440" spans="1:4" ht="19.95" customHeight="1" x14ac:dyDescent="0.25">
      <c r="A1440" s="11" t="s">
        <v>19</v>
      </c>
      <c r="B1440" s="12" t="s">
        <v>41</v>
      </c>
      <c r="C1440" s="12">
        <v>1.79975434498142</v>
      </c>
      <c r="D1440" s="12">
        <v>2011</v>
      </c>
    </row>
    <row r="1441" spans="1:4" ht="19.95" customHeight="1" x14ac:dyDescent="0.25">
      <c r="A1441" s="11" t="s">
        <v>20</v>
      </c>
      <c r="B1441" s="12" t="s">
        <v>41</v>
      </c>
      <c r="C1441" s="12">
        <v>17.435444319551902</v>
      </c>
      <c r="D1441" s="12">
        <v>2011</v>
      </c>
    </row>
    <row r="1442" spans="1:4" ht="19.95" customHeight="1" x14ac:dyDescent="0.25">
      <c r="A1442" s="11" t="s">
        <v>21</v>
      </c>
      <c r="B1442" s="12" t="s">
        <v>41</v>
      </c>
      <c r="C1442" s="12"/>
      <c r="D1442" s="12">
        <v>2011</v>
      </c>
    </row>
    <row r="1443" spans="1:4" ht="19.95" customHeight="1" x14ac:dyDescent="0.25">
      <c r="A1443" s="11" t="s">
        <v>22</v>
      </c>
      <c r="B1443" s="12" t="s">
        <v>41</v>
      </c>
      <c r="C1443" s="12">
        <v>1</v>
      </c>
      <c r="D1443" s="12">
        <v>2011</v>
      </c>
    </row>
    <row r="1444" spans="1:4" ht="19.95" customHeight="1" x14ac:dyDescent="0.25">
      <c r="A1444" s="11" t="s">
        <v>23</v>
      </c>
      <c r="B1444" s="12" t="s">
        <v>41</v>
      </c>
      <c r="C1444" s="12">
        <v>9.4</v>
      </c>
      <c r="D1444" s="12">
        <v>2011</v>
      </c>
    </row>
    <row r="1445" spans="1:4" ht="19.95" customHeight="1" x14ac:dyDescent="0.25">
      <c r="A1445" s="11" t="s">
        <v>24</v>
      </c>
      <c r="B1445" s="12" t="s">
        <v>41</v>
      </c>
      <c r="C1445" s="12">
        <v>2.9</v>
      </c>
      <c r="D1445" s="12">
        <v>2011</v>
      </c>
    </row>
    <row r="1446" spans="1:4" ht="19.95" customHeight="1" x14ac:dyDescent="0.25">
      <c r="A1446" s="11" t="s">
        <v>25</v>
      </c>
      <c r="B1446" s="12" t="s">
        <v>41</v>
      </c>
      <c r="C1446" s="12">
        <v>3.2934256131958199</v>
      </c>
      <c r="D1446" s="12">
        <v>2011</v>
      </c>
    </row>
    <row r="1447" spans="1:4" ht="19.95" customHeight="1" x14ac:dyDescent="0.25">
      <c r="A1447" s="11" t="s">
        <v>26</v>
      </c>
      <c r="B1447" s="12" t="s">
        <v>41</v>
      </c>
      <c r="C1447" s="12">
        <v>99.997505224250006</v>
      </c>
      <c r="D1447" s="12">
        <v>2011</v>
      </c>
    </row>
    <row r="1448" spans="1:4" ht="19.95" customHeight="1" x14ac:dyDescent="0.25">
      <c r="A1448" s="11" t="s">
        <v>27</v>
      </c>
      <c r="B1448" s="12" t="s">
        <v>41</v>
      </c>
      <c r="C1448" s="12">
        <v>5.4</v>
      </c>
      <c r="D1448" s="12">
        <v>2011</v>
      </c>
    </row>
    <row r="1449" spans="1:4" ht="19.95" customHeight="1" x14ac:dyDescent="0.25">
      <c r="A1449" s="11" t="s">
        <v>29</v>
      </c>
      <c r="B1449" s="12" t="s">
        <v>41</v>
      </c>
      <c r="C1449" s="12">
        <v>36.067221027023002</v>
      </c>
      <c r="D1449" s="12">
        <v>2011</v>
      </c>
    </row>
    <row r="1450" spans="1:4" ht="19.95" customHeight="1" x14ac:dyDescent="0.25">
      <c r="A1450" s="11" t="s">
        <v>30</v>
      </c>
      <c r="B1450" s="12" t="s">
        <v>41</v>
      </c>
      <c r="C1450" s="12">
        <v>72.900000000000006</v>
      </c>
      <c r="D1450" s="12">
        <v>2011</v>
      </c>
    </row>
    <row r="1451" spans="1:4" ht="19.95" customHeight="1" x14ac:dyDescent="0.25">
      <c r="A1451" s="11" t="s">
        <v>31</v>
      </c>
      <c r="B1451" s="12" t="s">
        <v>41</v>
      </c>
      <c r="C1451" s="12">
        <v>53.489284797119502</v>
      </c>
      <c r="D1451" s="12">
        <v>2011</v>
      </c>
    </row>
    <row r="1452" spans="1:4" ht="19.95" customHeight="1" x14ac:dyDescent="0.25">
      <c r="A1452" s="11" t="s">
        <v>32</v>
      </c>
      <c r="B1452" s="12" t="s">
        <v>41</v>
      </c>
      <c r="C1452" s="12">
        <v>4.8</v>
      </c>
      <c r="D1452" s="12">
        <v>2011</v>
      </c>
    </row>
    <row r="1453" spans="1:4" ht="19.95" customHeight="1" x14ac:dyDescent="0.25">
      <c r="A1453" s="11" t="s">
        <v>33</v>
      </c>
      <c r="B1453" s="12" t="s">
        <v>41</v>
      </c>
      <c r="C1453" s="12">
        <v>2.5</v>
      </c>
      <c r="D1453" s="12">
        <v>2011</v>
      </c>
    </row>
    <row r="1454" spans="1:4" ht="19.95" customHeight="1" x14ac:dyDescent="0.25">
      <c r="A1454" s="11" t="s">
        <v>34</v>
      </c>
      <c r="B1454" s="12" t="s">
        <v>41</v>
      </c>
      <c r="C1454" s="12">
        <v>45.609928468071999</v>
      </c>
      <c r="D1454" s="12">
        <v>2011</v>
      </c>
    </row>
    <row r="1455" spans="1:4" ht="19.95" customHeight="1" x14ac:dyDescent="0.25">
      <c r="A1455" s="11" t="s">
        <v>35</v>
      </c>
      <c r="B1455" s="12" t="s">
        <v>41</v>
      </c>
      <c r="C1455" s="12">
        <v>86.15</v>
      </c>
      <c r="D1455" s="12">
        <v>2011</v>
      </c>
    </row>
    <row r="1456" spans="1:4" ht="19.95" customHeight="1" x14ac:dyDescent="0.25">
      <c r="A1456" s="11" t="s">
        <v>36</v>
      </c>
      <c r="B1456" s="12" t="s">
        <v>41</v>
      </c>
      <c r="C1456" s="12">
        <v>99.513646011535599</v>
      </c>
      <c r="D1456" s="12">
        <v>2011</v>
      </c>
    </row>
    <row r="1457" spans="1:4" ht="19.95" customHeight="1" x14ac:dyDescent="0.25">
      <c r="A1457" s="11" t="s">
        <v>37</v>
      </c>
      <c r="B1457" s="12" t="s">
        <v>41</v>
      </c>
      <c r="C1457" s="12">
        <v>4.0999999999999996</v>
      </c>
      <c r="D1457" s="12">
        <v>2011</v>
      </c>
    </row>
    <row r="1458" spans="1:4" ht="19.95" customHeight="1" x14ac:dyDescent="0.25">
      <c r="A1458" s="11" t="s">
        <v>38</v>
      </c>
      <c r="B1458" s="12" t="s">
        <v>41</v>
      </c>
      <c r="C1458" s="12">
        <v>5.3</v>
      </c>
      <c r="D1458" s="12">
        <v>2011</v>
      </c>
    </row>
    <row r="1459" spans="1:4" ht="19.95" customHeight="1" x14ac:dyDescent="0.25">
      <c r="A1459" s="11" t="s">
        <v>39</v>
      </c>
      <c r="B1459" s="12" t="s">
        <v>41</v>
      </c>
      <c r="C1459" s="12">
        <v>3.5205795286763899</v>
      </c>
      <c r="D1459" s="12">
        <v>2011</v>
      </c>
    </row>
    <row r="1460" spans="1:4" ht="19.95" customHeight="1" x14ac:dyDescent="0.25">
      <c r="A1460" s="11" t="s">
        <v>40</v>
      </c>
      <c r="B1460" s="12" t="s">
        <v>41</v>
      </c>
      <c r="C1460" s="12">
        <v>13.3</v>
      </c>
      <c r="D1460" s="12">
        <v>2011</v>
      </c>
    </row>
    <row r="1461" spans="1:4" ht="19.95" customHeight="1" x14ac:dyDescent="0.25">
      <c r="A1461" s="11" t="s">
        <v>10</v>
      </c>
      <c r="B1461" s="12" t="s">
        <v>41</v>
      </c>
      <c r="C1461" s="12">
        <v>1.2</v>
      </c>
      <c r="D1461" s="12">
        <v>2012</v>
      </c>
    </row>
    <row r="1462" spans="1:4" ht="19.95" customHeight="1" x14ac:dyDescent="0.25">
      <c r="A1462" s="11" t="s">
        <v>13</v>
      </c>
      <c r="B1462" s="12" t="s">
        <v>41</v>
      </c>
      <c r="C1462" s="12">
        <v>18.828431566730298</v>
      </c>
      <c r="D1462" s="12">
        <v>2012</v>
      </c>
    </row>
    <row r="1463" spans="1:4" ht="19.95" customHeight="1" x14ac:dyDescent="0.25">
      <c r="A1463" s="11" t="s">
        <v>15</v>
      </c>
      <c r="B1463" s="12" t="s">
        <v>41</v>
      </c>
      <c r="C1463" s="12">
        <v>1.61342743078011</v>
      </c>
      <c r="D1463" s="12">
        <v>2012</v>
      </c>
    </row>
    <row r="1464" spans="1:4" ht="19.95" customHeight="1" x14ac:dyDescent="0.25">
      <c r="A1464" s="11" t="s">
        <v>16</v>
      </c>
      <c r="B1464" s="12" t="s">
        <v>41</v>
      </c>
      <c r="C1464" s="12">
        <v>61.4</v>
      </c>
      <c r="D1464" s="12">
        <v>2012</v>
      </c>
    </row>
    <row r="1465" spans="1:4" ht="19.95" customHeight="1" x14ac:dyDescent="0.25">
      <c r="A1465" s="11" t="s">
        <v>17</v>
      </c>
      <c r="B1465" s="12" t="s">
        <v>41</v>
      </c>
      <c r="C1465" s="12">
        <v>4.3721990589999997</v>
      </c>
      <c r="D1465" s="12">
        <v>2012</v>
      </c>
    </row>
    <row r="1466" spans="1:4" ht="19.95" customHeight="1" x14ac:dyDescent="0.25">
      <c r="A1466" s="11" t="s">
        <v>2</v>
      </c>
      <c r="B1466" s="12" t="s">
        <v>41</v>
      </c>
      <c r="C1466" s="12">
        <v>15.5164428700546</v>
      </c>
      <c r="D1466" s="12">
        <v>2012</v>
      </c>
    </row>
    <row r="1467" spans="1:4" ht="19.95" customHeight="1" x14ac:dyDescent="0.25">
      <c r="A1467" s="11" t="s">
        <v>18</v>
      </c>
      <c r="B1467" s="12" t="s">
        <v>41</v>
      </c>
      <c r="C1467" s="12">
        <v>2.9</v>
      </c>
      <c r="D1467" s="12">
        <v>2012</v>
      </c>
    </row>
    <row r="1468" spans="1:4" ht="19.95" customHeight="1" x14ac:dyDescent="0.25">
      <c r="A1468" s="11" t="s">
        <v>19</v>
      </c>
      <c r="B1468" s="12" t="s">
        <v>41</v>
      </c>
      <c r="C1468" s="12">
        <v>15.2</v>
      </c>
      <c r="D1468" s="12">
        <v>2012</v>
      </c>
    </row>
    <row r="1469" spans="1:4" ht="19.95" customHeight="1" x14ac:dyDescent="0.25">
      <c r="A1469" s="11" t="s">
        <v>20</v>
      </c>
      <c r="B1469" s="12" t="s">
        <v>41</v>
      </c>
      <c r="C1469" s="12">
        <v>18.389883163635599</v>
      </c>
      <c r="D1469" s="12">
        <v>2012</v>
      </c>
    </row>
    <row r="1470" spans="1:4" ht="19.95" customHeight="1" x14ac:dyDescent="0.25">
      <c r="A1470" s="11" t="s">
        <v>21</v>
      </c>
      <c r="B1470" s="12" t="s">
        <v>41</v>
      </c>
      <c r="C1470" s="12"/>
      <c r="D1470" s="12">
        <v>2012</v>
      </c>
    </row>
    <row r="1471" spans="1:4" ht="19.95" customHeight="1" x14ac:dyDescent="0.25">
      <c r="A1471" s="11" t="s">
        <v>22</v>
      </c>
      <c r="B1471" s="12" t="s">
        <v>41</v>
      </c>
      <c r="C1471" s="12">
        <v>2.56964228564786</v>
      </c>
      <c r="D1471" s="12">
        <v>2012</v>
      </c>
    </row>
    <row r="1472" spans="1:4" ht="19.95" customHeight="1" x14ac:dyDescent="0.25">
      <c r="A1472" s="11" t="s">
        <v>23</v>
      </c>
      <c r="B1472" s="12" t="s">
        <v>41</v>
      </c>
      <c r="C1472" s="12"/>
      <c r="D1472" s="12">
        <v>2012</v>
      </c>
    </row>
    <row r="1473" spans="1:4" ht="19.95" customHeight="1" x14ac:dyDescent="0.25">
      <c r="A1473" s="11" t="s">
        <v>24</v>
      </c>
      <c r="B1473" s="12" t="s">
        <v>41</v>
      </c>
      <c r="C1473" s="12">
        <v>2.2999999999999998</v>
      </c>
      <c r="D1473" s="12">
        <v>2012</v>
      </c>
    </row>
    <row r="1474" spans="1:4" ht="19.95" customHeight="1" x14ac:dyDescent="0.25">
      <c r="A1474" s="11" t="s">
        <v>25</v>
      </c>
      <c r="B1474" s="12" t="s">
        <v>41</v>
      </c>
      <c r="C1474" s="12">
        <v>11.9</v>
      </c>
      <c r="D1474" s="12">
        <v>2012</v>
      </c>
    </row>
    <row r="1475" spans="1:4" ht="19.95" customHeight="1" x14ac:dyDescent="0.25">
      <c r="A1475" s="11" t="s">
        <v>26</v>
      </c>
      <c r="B1475" s="12" t="s">
        <v>41</v>
      </c>
      <c r="C1475" s="12">
        <v>100</v>
      </c>
      <c r="D1475" s="12">
        <v>2012</v>
      </c>
    </row>
    <row r="1476" spans="1:4" ht="19.95" customHeight="1" x14ac:dyDescent="0.25">
      <c r="A1476" s="11" t="s">
        <v>27</v>
      </c>
      <c r="B1476" s="12" t="s">
        <v>41</v>
      </c>
      <c r="C1476" s="12">
        <v>3.8391146977443902</v>
      </c>
      <c r="D1476" s="12">
        <v>2012</v>
      </c>
    </row>
    <row r="1477" spans="1:4" ht="19.95" customHeight="1" x14ac:dyDescent="0.25">
      <c r="A1477" s="11" t="s">
        <v>29</v>
      </c>
      <c r="B1477" s="12" t="s">
        <v>41</v>
      </c>
      <c r="C1477" s="12">
        <v>36.790408147502298</v>
      </c>
      <c r="D1477" s="12">
        <v>2012</v>
      </c>
    </row>
    <row r="1478" spans="1:4" ht="19.95" customHeight="1" x14ac:dyDescent="0.25">
      <c r="A1478" s="11" t="s">
        <v>30</v>
      </c>
      <c r="B1478" s="12" t="s">
        <v>41</v>
      </c>
      <c r="C1478" s="12">
        <v>70.8971405211242</v>
      </c>
      <c r="D1478" s="12">
        <v>2012</v>
      </c>
    </row>
    <row r="1479" spans="1:4" ht="19.95" customHeight="1" x14ac:dyDescent="0.25">
      <c r="A1479" s="11" t="s">
        <v>31</v>
      </c>
      <c r="B1479" s="12" t="s">
        <v>41</v>
      </c>
      <c r="C1479" s="12">
        <v>54.102960493659602</v>
      </c>
      <c r="D1479" s="12">
        <v>2012</v>
      </c>
    </row>
    <row r="1480" spans="1:4" ht="19.95" customHeight="1" x14ac:dyDescent="0.25">
      <c r="A1480" s="11" t="s">
        <v>32</v>
      </c>
      <c r="B1480" s="12" t="s">
        <v>41</v>
      </c>
      <c r="C1480" s="12">
        <v>5.2</v>
      </c>
      <c r="D1480" s="12">
        <v>2012</v>
      </c>
    </row>
    <row r="1481" spans="1:4" ht="19.95" customHeight="1" x14ac:dyDescent="0.25">
      <c r="A1481" s="11" t="s">
        <v>33</v>
      </c>
      <c r="B1481" s="12" t="s">
        <v>41</v>
      </c>
      <c r="C1481" s="12">
        <v>1.25936141377667</v>
      </c>
      <c r="D1481" s="12">
        <v>2012</v>
      </c>
    </row>
    <row r="1482" spans="1:4" ht="19.95" customHeight="1" x14ac:dyDescent="0.25">
      <c r="A1482" s="11" t="s">
        <v>34</v>
      </c>
      <c r="B1482" s="12" t="s">
        <v>41</v>
      </c>
      <c r="C1482" s="12">
        <v>43.3</v>
      </c>
      <c r="D1482" s="12">
        <v>2012</v>
      </c>
    </row>
    <row r="1483" spans="1:4" ht="19.95" customHeight="1" x14ac:dyDescent="0.25">
      <c r="A1483" s="11" t="s">
        <v>35</v>
      </c>
      <c r="B1483" s="12" t="s">
        <v>41</v>
      </c>
      <c r="C1483" s="12">
        <v>86.834771966904697</v>
      </c>
      <c r="D1483" s="12">
        <v>2012</v>
      </c>
    </row>
    <row r="1484" spans="1:4" ht="19.95" customHeight="1" x14ac:dyDescent="0.25">
      <c r="A1484" s="11" t="s">
        <v>36</v>
      </c>
      <c r="B1484" s="12" t="s">
        <v>41</v>
      </c>
      <c r="C1484" s="12">
        <v>98.8</v>
      </c>
      <c r="D1484" s="12">
        <v>2012</v>
      </c>
    </row>
    <row r="1485" spans="1:4" ht="19.95" customHeight="1" x14ac:dyDescent="0.25">
      <c r="A1485" s="11" t="s">
        <v>37</v>
      </c>
      <c r="B1485" s="12" t="s">
        <v>41</v>
      </c>
      <c r="C1485" s="12">
        <v>3.6</v>
      </c>
      <c r="D1485" s="12">
        <v>2012</v>
      </c>
    </row>
    <row r="1486" spans="1:4" ht="19.95" customHeight="1" x14ac:dyDescent="0.25">
      <c r="A1486" s="11" t="s">
        <v>38</v>
      </c>
      <c r="B1486" s="12" t="s">
        <v>41</v>
      </c>
      <c r="C1486" s="12">
        <v>9.9798195562755208</v>
      </c>
      <c r="D1486" s="12">
        <v>2012</v>
      </c>
    </row>
    <row r="1487" spans="1:4" ht="19.95" customHeight="1" x14ac:dyDescent="0.25">
      <c r="A1487" s="11" t="s">
        <v>39</v>
      </c>
      <c r="B1487" s="12" t="s">
        <v>41</v>
      </c>
      <c r="C1487" s="12">
        <v>3.3793840667491302</v>
      </c>
      <c r="D1487" s="12">
        <v>2012</v>
      </c>
    </row>
    <row r="1488" spans="1:4" ht="19.95" customHeight="1" x14ac:dyDescent="0.25">
      <c r="A1488" s="11" t="s">
        <v>40</v>
      </c>
      <c r="B1488" s="12" t="s">
        <v>41</v>
      </c>
      <c r="C1488" s="12">
        <v>12.981644179651999</v>
      </c>
      <c r="D1488" s="12">
        <v>2012</v>
      </c>
    </row>
    <row r="1489" spans="1:4" ht="19.95" customHeight="1" x14ac:dyDescent="0.25">
      <c r="A1489" s="11" t="s">
        <v>10</v>
      </c>
      <c r="B1489" s="12" t="s">
        <v>41</v>
      </c>
      <c r="C1489" s="12">
        <v>0.94807270761520601</v>
      </c>
      <c r="D1489" s="12">
        <v>2013</v>
      </c>
    </row>
    <row r="1490" spans="1:4" ht="19.95" customHeight="1" x14ac:dyDescent="0.25">
      <c r="A1490" s="11" t="s">
        <v>13</v>
      </c>
      <c r="B1490" s="12" t="s">
        <v>41</v>
      </c>
      <c r="C1490" s="12">
        <v>19.4319726861006</v>
      </c>
      <c r="D1490" s="12">
        <v>2013</v>
      </c>
    </row>
    <row r="1491" spans="1:4" ht="19.95" customHeight="1" x14ac:dyDescent="0.25">
      <c r="A1491" s="11" t="s">
        <v>15</v>
      </c>
      <c r="B1491" s="12" t="s">
        <v>41</v>
      </c>
      <c r="C1491" s="12">
        <v>1.7747697669675899</v>
      </c>
      <c r="D1491" s="12">
        <v>2013</v>
      </c>
    </row>
    <row r="1492" spans="1:4" ht="19.95" customHeight="1" x14ac:dyDescent="0.25">
      <c r="A1492" s="11" t="s">
        <v>16</v>
      </c>
      <c r="B1492" s="12" t="s">
        <v>41</v>
      </c>
      <c r="C1492" s="12">
        <v>64.092609360916896</v>
      </c>
      <c r="D1492" s="12">
        <v>2013</v>
      </c>
    </row>
    <row r="1493" spans="1:4" ht="19.95" customHeight="1" x14ac:dyDescent="0.25">
      <c r="A1493" s="11" t="s">
        <v>17</v>
      </c>
      <c r="B1493" s="12" t="s">
        <v>41</v>
      </c>
      <c r="C1493" s="12">
        <v>9.2902535985232806</v>
      </c>
      <c r="D1493" s="12">
        <v>2013</v>
      </c>
    </row>
    <row r="1494" spans="1:4" ht="19.95" customHeight="1" x14ac:dyDescent="0.25">
      <c r="A1494" s="11" t="s">
        <v>2</v>
      </c>
      <c r="B1494" s="12" t="s">
        <v>41</v>
      </c>
      <c r="C1494" s="12">
        <v>17.063400727245401</v>
      </c>
      <c r="D1494" s="12">
        <v>2013</v>
      </c>
    </row>
    <row r="1495" spans="1:4" ht="19.95" customHeight="1" x14ac:dyDescent="0.25">
      <c r="A1495" s="11" t="s">
        <v>18</v>
      </c>
      <c r="B1495" s="12" t="s">
        <v>41</v>
      </c>
      <c r="C1495" s="12">
        <v>2.08581154305609</v>
      </c>
      <c r="D1495" s="12">
        <v>2013</v>
      </c>
    </row>
    <row r="1496" spans="1:4" ht="19.95" customHeight="1" x14ac:dyDescent="0.25">
      <c r="A1496" s="11" t="s">
        <v>19</v>
      </c>
      <c r="B1496" s="12" t="s">
        <v>41</v>
      </c>
      <c r="C1496" s="12">
        <v>0.459422941986105</v>
      </c>
      <c r="D1496" s="12">
        <v>2013</v>
      </c>
    </row>
    <row r="1497" spans="1:4" ht="19.95" customHeight="1" x14ac:dyDescent="0.25">
      <c r="A1497" s="11" t="s">
        <v>20</v>
      </c>
      <c r="B1497" s="12" t="s">
        <v>41</v>
      </c>
      <c r="C1497" s="12">
        <v>19.3444291910799</v>
      </c>
      <c r="D1497" s="12">
        <v>2013</v>
      </c>
    </row>
    <row r="1498" spans="1:4" ht="19.95" customHeight="1" x14ac:dyDescent="0.25">
      <c r="A1498" s="11" t="s">
        <v>21</v>
      </c>
      <c r="B1498" s="12" t="s">
        <v>41</v>
      </c>
      <c r="C1498" s="12"/>
      <c r="D1498" s="12">
        <v>2013</v>
      </c>
    </row>
    <row r="1499" spans="1:4" ht="19.95" customHeight="1" x14ac:dyDescent="0.25">
      <c r="A1499" s="11" t="s">
        <v>22</v>
      </c>
      <c r="B1499" s="12" t="s">
        <v>41</v>
      </c>
      <c r="C1499" s="12">
        <v>1.2</v>
      </c>
      <c r="D1499" s="12">
        <v>2013</v>
      </c>
    </row>
    <row r="1500" spans="1:4" ht="19.95" customHeight="1" x14ac:dyDescent="0.25">
      <c r="A1500" s="11" t="s">
        <v>23</v>
      </c>
      <c r="B1500" s="12" t="s">
        <v>41</v>
      </c>
      <c r="C1500" s="12">
        <v>8.1</v>
      </c>
      <c r="D1500" s="12">
        <v>2013</v>
      </c>
    </row>
    <row r="1501" spans="1:4" ht="19.95" customHeight="1" x14ac:dyDescent="0.25">
      <c r="A1501" s="11" t="s">
        <v>24</v>
      </c>
      <c r="B1501" s="12" t="s">
        <v>41</v>
      </c>
      <c r="C1501" s="12">
        <v>3.4</v>
      </c>
      <c r="D1501" s="12">
        <v>2013</v>
      </c>
    </row>
    <row r="1502" spans="1:4" ht="19.95" customHeight="1" x14ac:dyDescent="0.25">
      <c r="A1502" s="11" t="s">
        <v>25</v>
      </c>
      <c r="B1502" s="12" t="s">
        <v>41</v>
      </c>
      <c r="C1502" s="12">
        <v>2.9100538303189998</v>
      </c>
      <c r="D1502" s="12">
        <v>2013</v>
      </c>
    </row>
    <row r="1503" spans="1:4" ht="19.95" customHeight="1" x14ac:dyDescent="0.25">
      <c r="A1503" s="11" t="s">
        <v>26</v>
      </c>
      <c r="B1503" s="12" t="s">
        <v>41</v>
      </c>
      <c r="C1503" s="12">
        <v>100</v>
      </c>
      <c r="D1503" s="12">
        <v>2013</v>
      </c>
    </row>
    <row r="1504" spans="1:4" ht="19.95" customHeight="1" x14ac:dyDescent="0.25">
      <c r="A1504" s="11" t="s">
        <v>27</v>
      </c>
      <c r="B1504" s="12" t="s">
        <v>41</v>
      </c>
      <c r="C1504" s="12">
        <v>4.1542430077370804</v>
      </c>
      <c r="D1504" s="12">
        <v>2013</v>
      </c>
    </row>
    <row r="1505" spans="1:4" ht="19.95" customHeight="1" x14ac:dyDescent="0.25">
      <c r="A1505" s="11" t="s">
        <v>29</v>
      </c>
      <c r="B1505" s="12" t="s">
        <v>41</v>
      </c>
      <c r="C1505" s="12">
        <v>37.528215149387698</v>
      </c>
      <c r="D1505" s="12">
        <v>2013</v>
      </c>
    </row>
    <row r="1506" spans="1:4" ht="19.95" customHeight="1" x14ac:dyDescent="0.25">
      <c r="A1506" s="11" t="s">
        <v>30</v>
      </c>
      <c r="B1506" s="12" t="s">
        <v>41</v>
      </c>
      <c r="C1506" s="12">
        <v>75.517034671166698</v>
      </c>
      <c r="D1506" s="12">
        <v>2013</v>
      </c>
    </row>
    <row r="1507" spans="1:4" ht="19.95" customHeight="1" x14ac:dyDescent="0.25">
      <c r="A1507" s="11" t="s">
        <v>31</v>
      </c>
      <c r="B1507" s="12" t="s">
        <v>41</v>
      </c>
      <c r="C1507" s="12">
        <v>54.725616154903697</v>
      </c>
      <c r="D1507" s="12">
        <v>2013</v>
      </c>
    </row>
    <row r="1508" spans="1:4" ht="19.95" customHeight="1" x14ac:dyDescent="0.25">
      <c r="A1508" s="11" t="s">
        <v>32</v>
      </c>
      <c r="B1508" s="12" t="s">
        <v>41</v>
      </c>
      <c r="C1508" s="12">
        <v>4.1857357967609703</v>
      </c>
      <c r="D1508" s="12">
        <v>2013</v>
      </c>
    </row>
    <row r="1509" spans="1:4" ht="19.95" customHeight="1" x14ac:dyDescent="0.25">
      <c r="A1509" s="11" t="s">
        <v>33</v>
      </c>
      <c r="B1509" s="12" t="s">
        <v>41</v>
      </c>
      <c r="C1509" s="12">
        <v>7.7</v>
      </c>
      <c r="D1509" s="12">
        <v>2013</v>
      </c>
    </row>
    <row r="1510" spans="1:4" ht="19.95" customHeight="1" x14ac:dyDescent="0.25">
      <c r="A1510" s="11" t="s">
        <v>34</v>
      </c>
      <c r="B1510" s="12" t="s">
        <v>41</v>
      </c>
      <c r="C1510" s="12">
        <v>47.671294236635099</v>
      </c>
      <c r="D1510" s="12">
        <v>2013</v>
      </c>
    </row>
    <row r="1511" spans="1:4" ht="19.95" customHeight="1" x14ac:dyDescent="0.25">
      <c r="A1511" s="11" t="s">
        <v>35</v>
      </c>
      <c r="B1511" s="12" t="s">
        <v>41</v>
      </c>
      <c r="C1511" s="12">
        <v>88.8</v>
      </c>
      <c r="D1511" s="12">
        <v>2013</v>
      </c>
    </row>
    <row r="1512" spans="1:4" ht="19.95" customHeight="1" x14ac:dyDescent="0.25">
      <c r="A1512" s="11" t="s">
        <v>36</v>
      </c>
      <c r="B1512" s="12" t="s">
        <v>41</v>
      </c>
      <c r="C1512" s="12">
        <v>99.887737065925194</v>
      </c>
      <c r="D1512" s="12">
        <v>2013</v>
      </c>
    </row>
    <row r="1513" spans="1:4" ht="19.95" customHeight="1" x14ac:dyDescent="0.25">
      <c r="A1513" s="11" t="s">
        <v>37</v>
      </c>
      <c r="B1513" s="12" t="s">
        <v>41</v>
      </c>
      <c r="C1513" s="12">
        <v>4.2</v>
      </c>
      <c r="D1513" s="12">
        <v>2013</v>
      </c>
    </row>
    <row r="1514" spans="1:4" ht="19.95" customHeight="1" x14ac:dyDescent="0.25">
      <c r="A1514" s="11" t="s">
        <v>38</v>
      </c>
      <c r="B1514" s="12" t="s">
        <v>41</v>
      </c>
      <c r="C1514" s="12">
        <v>6.9277187918011798</v>
      </c>
      <c r="D1514" s="12">
        <v>2013</v>
      </c>
    </row>
    <row r="1515" spans="1:4" ht="19.95" customHeight="1" x14ac:dyDescent="0.25">
      <c r="A1515" s="11" t="s">
        <v>39</v>
      </c>
      <c r="B1515" s="12" t="s">
        <v>41</v>
      </c>
      <c r="C1515" s="12">
        <v>3.2266582674742201</v>
      </c>
      <c r="D1515" s="12">
        <v>2013</v>
      </c>
    </row>
    <row r="1516" spans="1:4" ht="19.95" customHeight="1" x14ac:dyDescent="0.25">
      <c r="A1516" s="11" t="s">
        <v>40</v>
      </c>
      <c r="B1516" s="12" t="s">
        <v>41</v>
      </c>
      <c r="C1516" s="12">
        <v>13.6699177131116</v>
      </c>
      <c r="D1516" s="12">
        <v>2013</v>
      </c>
    </row>
    <row r="1517" spans="1:4" ht="19.95" customHeight="1" x14ac:dyDescent="0.25">
      <c r="A1517" s="11" t="s">
        <v>10</v>
      </c>
      <c r="B1517" s="12" t="s">
        <v>41</v>
      </c>
      <c r="C1517" s="12">
        <v>2</v>
      </c>
      <c r="D1517" s="12">
        <v>2014</v>
      </c>
    </row>
    <row r="1518" spans="1:4" ht="19.95" customHeight="1" x14ac:dyDescent="0.25">
      <c r="A1518" s="11" t="s">
        <v>13</v>
      </c>
      <c r="B1518" s="12" t="s">
        <v>41</v>
      </c>
      <c r="C1518" s="12">
        <v>22.2</v>
      </c>
      <c r="D1518" s="12">
        <v>2014</v>
      </c>
    </row>
    <row r="1519" spans="1:4" ht="19.95" customHeight="1" x14ac:dyDescent="0.25">
      <c r="A1519" s="11" t="s">
        <v>15</v>
      </c>
      <c r="B1519" s="12" t="s">
        <v>41</v>
      </c>
      <c r="C1519" s="12">
        <v>1.93445728423813</v>
      </c>
      <c r="D1519" s="12">
        <v>2014</v>
      </c>
    </row>
    <row r="1520" spans="1:4" ht="19.95" customHeight="1" x14ac:dyDescent="0.25">
      <c r="A1520" s="11" t="s">
        <v>16</v>
      </c>
      <c r="B1520" s="12" t="s">
        <v>41</v>
      </c>
      <c r="C1520" s="12">
        <v>66.791698922759295</v>
      </c>
      <c r="D1520" s="12">
        <v>2014</v>
      </c>
    </row>
    <row r="1521" spans="1:4" ht="19.95" customHeight="1" x14ac:dyDescent="0.25">
      <c r="A1521" s="11" t="s">
        <v>17</v>
      </c>
      <c r="B1521" s="12" t="s">
        <v>41</v>
      </c>
      <c r="C1521" s="12">
        <v>5.6698796669476303</v>
      </c>
      <c r="D1521" s="12">
        <v>2014</v>
      </c>
    </row>
    <row r="1522" spans="1:4" ht="19.95" customHeight="1" x14ac:dyDescent="0.25">
      <c r="A1522" s="11" t="s">
        <v>2</v>
      </c>
      <c r="B1522" s="12" t="s">
        <v>41</v>
      </c>
      <c r="C1522" s="12">
        <v>12.2</v>
      </c>
      <c r="D1522" s="12">
        <v>2014</v>
      </c>
    </row>
    <row r="1523" spans="1:4" ht="19.95" customHeight="1" x14ac:dyDescent="0.25">
      <c r="A1523" s="11" t="s">
        <v>18</v>
      </c>
      <c r="B1523" s="12" t="s">
        <v>41</v>
      </c>
      <c r="C1523" s="12">
        <v>2.2506049889412698</v>
      </c>
      <c r="D1523" s="12">
        <v>2014</v>
      </c>
    </row>
    <row r="1524" spans="1:4" ht="19.95" customHeight="1" x14ac:dyDescent="0.25">
      <c r="A1524" s="11" t="s">
        <v>19</v>
      </c>
      <c r="B1524" s="12" t="s">
        <v>41</v>
      </c>
      <c r="C1524" s="12"/>
      <c r="D1524" s="12">
        <v>2014</v>
      </c>
    </row>
    <row r="1525" spans="1:4" ht="19.95" customHeight="1" x14ac:dyDescent="0.25">
      <c r="A1525" s="11" t="s">
        <v>20</v>
      </c>
      <c r="B1525" s="12" t="s">
        <v>41</v>
      </c>
      <c r="C1525" s="12">
        <v>12.6</v>
      </c>
      <c r="D1525" s="12">
        <v>2014</v>
      </c>
    </row>
    <row r="1526" spans="1:4" ht="19.95" customHeight="1" x14ac:dyDescent="0.25">
      <c r="A1526" s="11" t="s">
        <v>21</v>
      </c>
      <c r="B1526" s="12" t="s">
        <v>41</v>
      </c>
      <c r="C1526" s="12"/>
      <c r="D1526" s="12">
        <v>2014</v>
      </c>
    </row>
    <row r="1527" spans="1:4" ht="19.95" customHeight="1" x14ac:dyDescent="0.25">
      <c r="A1527" s="11" t="s">
        <v>22</v>
      </c>
      <c r="B1527" s="12" t="s">
        <v>41</v>
      </c>
      <c r="C1527" s="12">
        <v>1.4</v>
      </c>
      <c r="D1527" s="12">
        <v>2014</v>
      </c>
    </row>
    <row r="1528" spans="1:4" ht="19.95" customHeight="1" x14ac:dyDescent="0.25">
      <c r="A1528" s="11" t="s">
        <v>23</v>
      </c>
      <c r="B1528" s="12" t="s">
        <v>41</v>
      </c>
      <c r="C1528" s="12"/>
      <c r="D1528" s="12">
        <v>2014</v>
      </c>
    </row>
    <row r="1529" spans="1:4" ht="19.95" customHeight="1" x14ac:dyDescent="0.25">
      <c r="A1529" s="11" t="s">
        <v>24</v>
      </c>
      <c r="B1529" s="12" t="s">
        <v>41</v>
      </c>
      <c r="C1529" s="12">
        <v>4.7</v>
      </c>
      <c r="D1529" s="12">
        <v>2014</v>
      </c>
    </row>
    <row r="1530" spans="1:4" ht="19.95" customHeight="1" x14ac:dyDescent="0.25">
      <c r="A1530" s="11" t="s">
        <v>25</v>
      </c>
      <c r="B1530" s="12" t="s">
        <v>41</v>
      </c>
      <c r="C1530" s="12">
        <v>2.60942586463405</v>
      </c>
      <c r="D1530" s="12">
        <v>2014</v>
      </c>
    </row>
    <row r="1531" spans="1:4" ht="19.95" customHeight="1" x14ac:dyDescent="0.25">
      <c r="A1531" s="11" t="s">
        <v>26</v>
      </c>
      <c r="B1531" s="12" t="s">
        <v>41</v>
      </c>
      <c r="C1531" s="12">
        <v>100</v>
      </c>
      <c r="D1531" s="12">
        <v>2014</v>
      </c>
    </row>
    <row r="1532" spans="1:4" ht="19.95" customHeight="1" x14ac:dyDescent="0.25">
      <c r="A1532" s="11" t="s">
        <v>27</v>
      </c>
      <c r="B1532" s="12" t="s">
        <v>41</v>
      </c>
      <c r="C1532" s="12">
        <v>4.4493556371414398</v>
      </c>
      <c r="D1532" s="12">
        <v>2014</v>
      </c>
    </row>
    <row r="1533" spans="1:4" ht="19.95" customHeight="1" x14ac:dyDescent="0.25">
      <c r="A1533" s="11" t="s">
        <v>29</v>
      </c>
      <c r="B1533" s="12" t="s">
        <v>41</v>
      </c>
      <c r="C1533" s="12">
        <v>49</v>
      </c>
      <c r="D1533" s="12">
        <v>2014</v>
      </c>
    </row>
    <row r="1534" spans="1:4" ht="19.95" customHeight="1" x14ac:dyDescent="0.25">
      <c r="A1534" s="11" t="s">
        <v>30</v>
      </c>
      <c r="B1534" s="12" t="s">
        <v>41</v>
      </c>
      <c r="C1534" s="12">
        <v>81.7</v>
      </c>
      <c r="D1534" s="12">
        <v>2014</v>
      </c>
    </row>
    <row r="1535" spans="1:4" ht="19.95" customHeight="1" x14ac:dyDescent="0.25">
      <c r="A1535" s="11" t="s">
        <v>31</v>
      </c>
      <c r="B1535" s="12" t="s">
        <v>41</v>
      </c>
      <c r="C1535" s="12">
        <v>57.143279999999997</v>
      </c>
      <c r="D1535" s="12">
        <v>2014</v>
      </c>
    </row>
    <row r="1536" spans="1:4" ht="19.95" customHeight="1" x14ac:dyDescent="0.25">
      <c r="A1536" s="11" t="s">
        <v>32</v>
      </c>
      <c r="B1536" s="12" t="s">
        <v>41</v>
      </c>
      <c r="C1536" s="12">
        <v>4.3677387203137297</v>
      </c>
      <c r="D1536" s="12">
        <v>2014</v>
      </c>
    </row>
    <row r="1537" spans="1:4" ht="19.95" customHeight="1" x14ac:dyDescent="0.25">
      <c r="A1537" s="11" t="s">
        <v>33</v>
      </c>
      <c r="B1537" s="12" t="s">
        <v>41</v>
      </c>
      <c r="C1537" s="12">
        <v>9.1</v>
      </c>
      <c r="D1537" s="12">
        <v>2014</v>
      </c>
    </row>
    <row r="1538" spans="1:4" ht="19.95" customHeight="1" x14ac:dyDescent="0.25">
      <c r="A1538" s="11" t="s">
        <v>34</v>
      </c>
      <c r="B1538" s="12" t="s">
        <v>41</v>
      </c>
      <c r="C1538" s="12">
        <v>54.8</v>
      </c>
      <c r="D1538" s="12">
        <v>2014</v>
      </c>
    </row>
    <row r="1539" spans="1:4" ht="19.95" customHeight="1" x14ac:dyDescent="0.25">
      <c r="A1539" s="11" t="s">
        <v>35</v>
      </c>
      <c r="B1539" s="12" t="s">
        <v>41</v>
      </c>
      <c r="C1539" s="12">
        <v>90.623496168679097</v>
      </c>
      <c r="D1539" s="12">
        <v>2014</v>
      </c>
    </row>
    <row r="1540" spans="1:4" ht="19.95" customHeight="1" x14ac:dyDescent="0.25">
      <c r="A1540" s="11" t="s">
        <v>36</v>
      </c>
      <c r="B1540" s="12" t="s">
        <v>41</v>
      </c>
      <c r="C1540" s="12">
        <v>99.970547297850402</v>
      </c>
      <c r="D1540" s="12">
        <v>2014</v>
      </c>
    </row>
    <row r="1541" spans="1:4" ht="19.95" customHeight="1" x14ac:dyDescent="0.25">
      <c r="A1541" s="11" t="s">
        <v>37</v>
      </c>
      <c r="B1541" s="12" t="s">
        <v>41</v>
      </c>
      <c r="C1541" s="12">
        <v>4.2503770905173299</v>
      </c>
      <c r="D1541" s="12">
        <v>2014</v>
      </c>
    </row>
    <row r="1542" spans="1:4" ht="19.95" customHeight="1" x14ac:dyDescent="0.25">
      <c r="A1542" s="11" t="s">
        <v>38</v>
      </c>
      <c r="B1542" s="12" t="s">
        <v>41</v>
      </c>
      <c r="C1542" s="12">
        <v>10.3</v>
      </c>
      <c r="D1542" s="12">
        <v>2014</v>
      </c>
    </row>
    <row r="1543" spans="1:4" ht="19.95" customHeight="1" x14ac:dyDescent="0.25">
      <c r="A1543" s="11" t="s">
        <v>39</v>
      </c>
      <c r="B1543" s="12" t="s">
        <v>41</v>
      </c>
      <c r="C1543" s="12">
        <v>3.8</v>
      </c>
      <c r="D1543" s="12">
        <v>2014</v>
      </c>
    </row>
    <row r="1544" spans="1:4" ht="19.95" customHeight="1" x14ac:dyDescent="0.25">
      <c r="A1544" s="11" t="s">
        <v>40</v>
      </c>
      <c r="B1544" s="12" t="s">
        <v>41</v>
      </c>
      <c r="C1544" s="12">
        <v>9.8000000000000007</v>
      </c>
      <c r="D1544" s="12">
        <v>2014</v>
      </c>
    </row>
    <row r="1545" spans="1:4" ht="19.95" customHeight="1" x14ac:dyDescent="0.25">
      <c r="A1545" s="11" t="s">
        <v>10</v>
      </c>
      <c r="B1545" s="12" t="s">
        <v>41</v>
      </c>
      <c r="C1545" s="12">
        <v>1.4171483431170599</v>
      </c>
      <c r="D1545" s="12">
        <v>2015</v>
      </c>
    </row>
    <row r="1546" spans="1:4" ht="19.95" customHeight="1" x14ac:dyDescent="0.25">
      <c r="A1546" s="11" t="s">
        <v>13</v>
      </c>
      <c r="B1546" s="12" t="s">
        <v>41</v>
      </c>
      <c r="C1546" s="12">
        <v>20.656061422560299</v>
      </c>
      <c r="D1546" s="12">
        <v>2015</v>
      </c>
    </row>
    <row r="1547" spans="1:4" ht="19.95" customHeight="1" x14ac:dyDescent="0.25">
      <c r="A1547" s="11" t="s">
        <v>15</v>
      </c>
      <c r="B1547" s="12" t="s">
        <v>41</v>
      </c>
      <c r="C1547" s="12">
        <v>0.7</v>
      </c>
      <c r="D1547" s="12">
        <v>2015</v>
      </c>
    </row>
    <row r="1548" spans="1:4" ht="19.95" customHeight="1" x14ac:dyDescent="0.25">
      <c r="A1548" s="11" t="s">
        <v>16</v>
      </c>
      <c r="B1548" s="12" t="s">
        <v>41</v>
      </c>
      <c r="C1548" s="12">
        <v>69.4924552148251</v>
      </c>
      <c r="D1548" s="12">
        <v>2015</v>
      </c>
    </row>
    <row r="1549" spans="1:4" ht="19.95" customHeight="1" x14ac:dyDescent="0.25">
      <c r="A1549" s="11" t="s">
        <v>17</v>
      </c>
      <c r="B1549" s="12" t="s">
        <v>41</v>
      </c>
      <c r="C1549" s="12">
        <v>2.0132183976431599</v>
      </c>
      <c r="D1549" s="12">
        <v>2015</v>
      </c>
    </row>
    <row r="1550" spans="1:4" ht="19.95" customHeight="1" x14ac:dyDescent="0.25">
      <c r="A1550" s="11" t="s">
        <v>2</v>
      </c>
      <c r="B1550" s="12" t="s">
        <v>41</v>
      </c>
      <c r="C1550" s="12">
        <v>20.1847301175609</v>
      </c>
      <c r="D1550" s="12">
        <v>2015</v>
      </c>
    </row>
    <row r="1551" spans="1:4" ht="19.95" customHeight="1" x14ac:dyDescent="0.25">
      <c r="A1551" s="11" t="s">
        <v>18</v>
      </c>
      <c r="B1551" s="12" t="s">
        <v>41</v>
      </c>
      <c r="C1551" s="12">
        <v>2.3854477686861499</v>
      </c>
      <c r="D1551" s="12">
        <v>2015</v>
      </c>
    </row>
    <row r="1552" spans="1:4" ht="19.95" customHeight="1" x14ac:dyDescent="0.25">
      <c r="A1552" s="11" t="s">
        <v>19</v>
      </c>
      <c r="B1552" s="12" t="s">
        <v>41</v>
      </c>
      <c r="C1552" s="12"/>
      <c r="D1552" s="12">
        <v>2015</v>
      </c>
    </row>
    <row r="1553" spans="1:4" ht="19.95" customHeight="1" x14ac:dyDescent="0.25">
      <c r="A1553" s="11" t="s">
        <v>20</v>
      </c>
      <c r="B1553" s="12" t="s">
        <v>41</v>
      </c>
      <c r="C1553" s="12">
        <v>16</v>
      </c>
      <c r="D1553" s="12">
        <v>2015</v>
      </c>
    </row>
    <row r="1554" spans="1:4" ht="19.95" customHeight="1" x14ac:dyDescent="0.25">
      <c r="A1554" s="11" t="s">
        <v>21</v>
      </c>
      <c r="B1554" s="12" t="s">
        <v>41</v>
      </c>
      <c r="C1554" s="12"/>
      <c r="D1554" s="12">
        <v>2015</v>
      </c>
    </row>
    <row r="1555" spans="1:4" ht="19.95" customHeight="1" x14ac:dyDescent="0.25">
      <c r="A1555" s="11" t="s">
        <v>22</v>
      </c>
      <c r="B1555" s="12" t="s">
        <v>41</v>
      </c>
      <c r="C1555" s="12">
        <v>4.5699771930700601</v>
      </c>
      <c r="D1555" s="12">
        <v>2015</v>
      </c>
    </row>
    <row r="1556" spans="1:4" ht="19.95" customHeight="1" x14ac:dyDescent="0.25">
      <c r="A1556" s="11" t="s">
        <v>23</v>
      </c>
      <c r="B1556" s="12" t="s">
        <v>41</v>
      </c>
      <c r="C1556" s="12"/>
      <c r="D1556" s="12">
        <v>2015</v>
      </c>
    </row>
    <row r="1557" spans="1:4" ht="19.95" customHeight="1" x14ac:dyDescent="0.25">
      <c r="A1557" s="11" t="s">
        <v>24</v>
      </c>
      <c r="B1557" s="12" t="s">
        <v>41</v>
      </c>
      <c r="C1557" s="12">
        <v>3.9</v>
      </c>
      <c r="D1557" s="12">
        <v>2015</v>
      </c>
    </row>
    <row r="1558" spans="1:4" ht="19.95" customHeight="1" x14ac:dyDescent="0.25">
      <c r="A1558" s="11" t="s">
        <v>25</v>
      </c>
      <c r="B1558" s="12" t="s">
        <v>41</v>
      </c>
      <c r="C1558" s="12">
        <v>23.4</v>
      </c>
      <c r="D1558" s="12">
        <v>2015</v>
      </c>
    </row>
    <row r="1559" spans="1:4" ht="19.95" customHeight="1" x14ac:dyDescent="0.25">
      <c r="A1559" s="11" t="s">
        <v>26</v>
      </c>
      <c r="B1559" s="12" t="s">
        <v>41</v>
      </c>
      <c r="C1559" s="12">
        <v>100</v>
      </c>
      <c r="D1559" s="12">
        <v>2015</v>
      </c>
    </row>
    <row r="1560" spans="1:4" ht="19.95" customHeight="1" x14ac:dyDescent="0.25">
      <c r="A1560" s="11" t="s">
        <v>27</v>
      </c>
      <c r="B1560" s="12" t="s">
        <v>41</v>
      </c>
      <c r="C1560" s="12">
        <v>5</v>
      </c>
      <c r="D1560" s="12">
        <v>2015</v>
      </c>
    </row>
    <row r="1561" spans="1:4" ht="19.95" customHeight="1" x14ac:dyDescent="0.25">
      <c r="A1561" s="11" t="s">
        <v>29</v>
      </c>
      <c r="B1561" s="12" t="s">
        <v>41</v>
      </c>
      <c r="C1561" s="12">
        <v>48.9</v>
      </c>
      <c r="D1561" s="12">
        <v>2015</v>
      </c>
    </row>
    <row r="1562" spans="1:4" ht="19.95" customHeight="1" x14ac:dyDescent="0.25">
      <c r="A1562" s="11" t="s">
        <v>30</v>
      </c>
      <c r="B1562" s="12" t="s">
        <v>41</v>
      </c>
      <c r="C1562" s="12">
        <v>84.867550376979096</v>
      </c>
      <c r="D1562" s="12">
        <v>2015</v>
      </c>
    </row>
    <row r="1563" spans="1:4" ht="19.95" customHeight="1" x14ac:dyDescent="0.25">
      <c r="A1563" s="11" t="s">
        <v>31</v>
      </c>
      <c r="B1563" s="12" t="s">
        <v>41</v>
      </c>
      <c r="C1563" s="12">
        <v>55.980736355286702</v>
      </c>
      <c r="D1563" s="12">
        <v>2015</v>
      </c>
    </row>
    <row r="1564" spans="1:4" ht="19.95" customHeight="1" x14ac:dyDescent="0.25">
      <c r="A1564" s="11" t="s">
        <v>32</v>
      </c>
      <c r="B1564" s="12" t="s">
        <v>41</v>
      </c>
      <c r="C1564" s="12">
        <v>7.1</v>
      </c>
      <c r="D1564" s="12">
        <v>2015</v>
      </c>
    </row>
    <row r="1565" spans="1:4" ht="19.95" customHeight="1" x14ac:dyDescent="0.25">
      <c r="A1565" s="11" t="s">
        <v>33</v>
      </c>
      <c r="B1565" s="12" t="s">
        <v>41</v>
      </c>
      <c r="C1565" s="12">
        <v>12.4</v>
      </c>
      <c r="D1565" s="12">
        <v>2015</v>
      </c>
    </row>
    <row r="1566" spans="1:4" ht="19.95" customHeight="1" x14ac:dyDescent="0.25">
      <c r="A1566" s="11" t="s">
        <v>34</v>
      </c>
      <c r="B1566" s="12" t="s">
        <v>41</v>
      </c>
      <c r="C1566" s="12">
        <v>49.9106555547773</v>
      </c>
      <c r="D1566" s="12">
        <v>2015</v>
      </c>
    </row>
    <row r="1567" spans="1:4" ht="19.95" customHeight="1" x14ac:dyDescent="0.25">
      <c r="A1567" s="11" t="s">
        <v>35</v>
      </c>
      <c r="B1567" s="12" t="s">
        <v>41</v>
      </c>
      <c r="C1567" s="12">
        <v>92.585962436390901</v>
      </c>
      <c r="D1567" s="12">
        <v>2015</v>
      </c>
    </row>
    <row r="1568" spans="1:4" ht="19.95" customHeight="1" x14ac:dyDescent="0.25">
      <c r="A1568" s="11" t="s">
        <v>36</v>
      </c>
      <c r="B1568" s="12" t="s">
        <v>41</v>
      </c>
      <c r="C1568" s="12">
        <v>99.996384222425306</v>
      </c>
      <c r="D1568" s="12">
        <v>2015</v>
      </c>
    </row>
    <row r="1569" spans="1:4" ht="19.95" customHeight="1" x14ac:dyDescent="0.25">
      <c r="A1569" s="11" t="s">
        <v>37</v>
      </c>
      <c r="B1569" s="12" t="s">
        <v>41</v>
      </c>
      <c r="C1569" s="12">
        <v>9</v>
      </c>
      <c r="D1569" s="12">
        <v>2015</v>
      </c>
    </row>
    <row r="1570" spans="1:4" ht="19.95" customHeight="1" x14ac:dyDescent="0.25">
      <c r="A1570" s="11" t="s">
        <v>38</v>
      </c>
      <c r="B1570" s="12" t="s">
        <v>41</v>
      </c>
      <c r="C1570" s="12">
        <v>9</v>
      </c>
      <c r="D1570" s="12">
        <v>2015</v>
      </c>
    </row>
    <row r="1571" spans="1:4" ht="19.95" customHeight="1" x14ac:dyDescent="0.25">
      <c r="A1571" s="11" t="s">
        <v>39</v>
      </c>
      <c r="B1571" s="12" t="s">
        <v>41</v>
      </c>
      <c r="C1571" s="12">
        <v>3.7</v>
      </c>
      <c r="D1571" s="12">
        <v>2015</v>
      </c>
    </row>
    <row r="1572" spans="1:4" ht="19.95" customHeight="1" x14ac:dyDescent="0.25">
      <c r="A1572" s="11" t="s">
        <v>40</v>
      </c>
      <c r="B1572" s="12" t="s">
        <v>41</v>
      </c>
      <c r="C1572" s="12">
        <v>9.6999999999999993</v>
      </c>
      <c r="D1572" s="12">
        <v>2015</v>
      </c>
    </row>
    <row r="1573" spans="1:4" ht="19.95" customHeight="1" x14ac:dyDescent="0.25">
      <c r="A1573" s="11" t="s">
        <v>10</v>
      </c>
      <c r="B1573" s="12" t="s">
        <v>41</v>
      </c>
      <c r="C1573" s="12">
        <v>1.6522355197668499</v>
      </c>
      <c r="D1573" s="12">
        <v>2016</v>
      </c>
    </row>
    <row r="1574" spans="1:4" ht="19.95" customHeight="1" x14ac:dyDescent="0.25">
      <c r="A1574" s="11" t="s">
        <v>13</v>
      </c>
      <c r="B1574" s="12" t="s">
        <v>41</v>
      </c>
      <c r="C1574" s="12">
        <v>21.2703972709478</v>
      </c>
      <c r="D1574" s="12">
        <v>2016</v>
      </c>
    </row>
    <row r="1575" spans="1:4" ht="19.95" customHeight="1" x14ac:dyDescent="0.25">
      <c r="A1575" s="11" t="s">
        <v>15</v>
      </c>
      <c r="B1575" s="12" t="s">
        <v>41</v>
      </c>
      <c r="C1575" s="12">
        <v>2.23271715979023</v>
      </c>
      <c r="D1575" s="12">
        <v>2016</v>
      </c>
    </row>
    <row r="1576" spans="1:4" ht="19.95" customHeight="1" x14ac:dyDescent="0.25">
      <c r="A1576" s="11" t="s">
        <v>16</v>
      </c>
      <c r="B1576" s="12" t="s">
        <v>41</v>
      </c>
      <c r="C1576" s="12">
        <v>72.192871070214295</v>
      </c>
      <c r="D1576" s="12">
        <v>2016</v>
      </c>
    </row>
    <row r="1577" spans="1:4" ht="19.95" customHeight="1" x14ac:dyDescent="0.25">
      <c r="A1577" s="11" t="s">
        <v>17</v>
      </c>
      <c r="B1577" s="12" t="s">
        <v>41</v>
      </c>
      <c r="C1577" s="12"/>
      <c r="D1577" s="12">
        <v>2016</v>
      </c>
    </row>
    <row r="1578" spans="1:4" ht="19.95" customHeight="1" x14ac:dyDescent="0.25">
      <c r="A1578" s="11" t="s">
        <v>2</v>
      </c>
      <c r="B1578" s="12" t="s">
        <v>41</v>
      </c>
      <c r="C1578" s="12">
        <v>26.5</v>
      </c>
      <c r="D1578" s="12">
        <v>2016</v>
      </c>
    </row>
    <row r="1579" spans="1:4" ht="19.95" customHeight="1" x14ac:dyDescent="0.25">
      <c r="A1579" s="11" t="s">
        <v>18</v>
      </c>
      <c r="B1579" s="12" t="s">
        <v>41</v>
      </c>
      <c r="C1579" s="12">
        <v>6.9</v>
      </c>
      <c r="D1579" s="12">
        <v>2016</v>
      </c>
    </row>
    <row r="1580" spans="1:4" ht="19.95" customHeight="1" x14ac:dyDescent="0.25">
      <c r="A1580" s="11" t="s">
        <v>19</v>
      </c>
      <c r="B1580" s="12" t="s">
        <v>41</v>
      </c>
      <c r="C1580" s="12"/>
      <c r="D1580" s="12">
        <v>2016</v>
      </c>
    </row>
    <row r="1581" spans="1:4" ht="19.95" customHeight="1" x14ac:dyDescent="0.25">
      <c r="A1581" s="11" t="s">
        <v>20</v>
      </c>
      <c r="B1581" s="12" t="s">
        <v>41</v>
      </c>
      <c r="C1581" s="12">
        <v>39.299999999999997</v>
      </c>
      <c r="D1581" s="12">
        <v>2016</v>
      </c>
    </row>
    <row r="1582" spans="1:4" ht="19.95" customHeight="1" x14ac:dyDescent="0.25">
      <c r="A1582" s="11" t="s">
        <v>21</v>
      </c>
      <c r="B1582" s="12" t="s">
        <v>41</v>
      </c>
      <c r="C1582" s="12"/>
      <c r="D1582" s="12">
        <v>2016</v>
      </c>
    </row>
    <row r="1583" spans="1:4" ht="19.95" customHeight="1" x14ac:dyDescent="0.25">
      <c r="A1583" s="11" t="s">
        <v>22</v>
      </c>
      <c r="B1583" s="12" t="s">
        <v>41</v>
      </c>
      <c r="C1583" s="12">
        <v>1.3</v>
      </c>
      <c r="D1583" s="12">
        <v>2016</v>
      </c>
    </row>
    <row r="1584" spans="1:4" ht="19.95" customHeight="1" x14ac:dyDescent="0.25">
      <c r="A1584" s="11" t="s">
        <v>23</v>
      </c>
      <c r="B1584" s="12" t="s">
        <v>41</v>
      </c>
      <c r="C1584" s="12">
        <v>17.3</v>
      </c>
      <c r="D1584" s="12">
        <v>2016</v>
      </c>
    </row>
    <row r="1585" spans="1:4" ht="19.95" customHeight="1" x14ac:dyDescent="0.25">
      <c r="A1585" s="11" t="s">
        <v>24</v>
      </c>
      <c r="B1585" s="12" t="s">
        <v>41</v>
      </c>
      <c r="C1585" s="12">
        <v>4</v>
      </c>
      <c r="D1585" s="12">
        <v>2016</v>
      </c>
    </row>
    <row r="1586" spans="1:4" ht="19.95" customHeight="1" x14ac:dyDescent="0.25">
      <c r="A1586" s="11" t="s">
        <v>25</v>
      </c>
      <c r="B1586" s="12" t="s">
        <v>41</v>
      </c>
      <c r="C1586" s="12">
        <v>1.7689984828541001</v>
      </c>
      <c r="D1586" s="12">
        <v>2016</v>
      </c>
    </row>
    <row r="1587" spans="1:4" ht="19.95" customHeight="1" x14ac:dyDescent="0.25">
      <c r="A1587" s="11" t="s">
        <v>26</v>
      </c>
      <c r="B1587" s="12" t="s">
        <v>41</v>
      </c>
      <c r="C1587" s="12">
        <v>100</v>
      </c>
      <c r="D1587" s="12">
        <v>2016</v>
      </c>
    </row>
    <row r="1588" spans="1:4" ht="19.95" customHeight="1" x14ac:dyDescent="0.25">
      <c r="A1588" s="11" t="s">
        <v>27</v>
      </c>
      <c r="B1588" s="12" t="s">
        <v>41</v>
      </c>
      <c r="C1588" s="12">
        <v>4.9549710619721798</v>
      </c>
      <c r="D1588" s="12">
        <v>2016</v>
      </c>
    </row>
    <row r="1589" spans="1:4" ht="19.95" customHeight="1" x14ac:dyDescent="0.25">
      <c r="A1589" s="11" t="s">
        <v>29</v>
      </c>
      <c r="B1589" s="12" t="s">
        <v>41</v>
      </c>
      <c r="C1589" s="12">
        <v>39.792742904917802</v>
      </c>
      <c r="D1589" s="12">
        <v>2016</v>
      </c>
    </row>
    <row r="1590" spans="1:4" ht="19.95" customHeight="1" x14ac:dyDescent="0.25">
      <c r="A1590" s="11" t="s">
        <v>30</v>
      </c>
      <c r="B1590" s="12" t="s">
        <v>41</v>
      </c>
      <c r="C1590" s="12">
        <v>85.2</v>
      </c>
      <c r="D1590" s="12">
        <v>2016</v>
      </c>
    </row>
    <row r="1591" spans="1:4" ht="19.95" customHeight="1" x14ac:dyDescent="0.25">
      <c r="A1591" s="11" t="s">
        <v>31</v>
      </c>
      <c r="B1591" s="12" t="s">
        <v>41</v>
      </c>
      <c r="C1591" s="12">
        <v>56.604743861928</v>
      </c>
      <c r="D1591" s="12">
        <v>2016</v>
      </c>
    </row>
    <row r="1592" spans="1:4" ht="19.95" customHeight="1" x14ac:dyDescent="0.25">
      <c r="A1592" s="11" t="s">
        <v>32</v>
      </c>
      <c r="B1592" s="12" t="s">
        <v>41</v>
      </c>
      <c r="C1592" s="12">
        <v>4.6799227713917499</v>
      </c>
      <c r="D1592" s="12">
        <v>2016</v>
      </c>
    </row>
    <row r="1593" spans="1:4" ht="19.95" customHeight="1" x14ac:dyDescent="0.25">
      <c r="A1593" s="11" t="s">
        <v>33</v>
      </c>
      <c r="B1593" s="12" t="s">
        <v>41</v>
      </c>
      <c r="C1593" s="12">
        <v>17.760000000000002</v>
      </c>
      <c r="D1593" s="12">
        <v>2016</v>
      </c>
    </row>
    <row r="1594" spans="1:4" ht="19.95" customHeight="1" x14ac:dyDescent="0.25">
      <c r="A1594" s="11" t="s">
        <v>34</v>
      </c>
      <c r="B1594" s="12" t="s">
        <v>41</v>
      </c>
      <c r="C1594" s="12">
        <v>51.085718967700203</v>
      </c>
      <c r="D1594" s="12">
        <v>2016</v>
      </c>
    </row>
    <row r="1595" spans="1:4" ht="19.95" customHeight="1" x14ac:dyDescent="0.25">
      <c r="A1595" s="11" t="s">
        <v>35</v>
      </c>
      <c r="B1595" s="12" t="s">
        <v>41</v>
      </c>
      <c r="C1595" s="12">
        <v>94.592960182009094</v>
      </c>
      <c r="D1595" s="12">
        <v>2016</v>
      </c>
    </row>
    <row r="1596" spans="1:4" ht="19.95" customHeight="1" x14ac:dyDescent="0.25">
      <c r="A1596" s="11" t="s">
        <v>36</v>
      </c>
      <c r="B1596" s="12" t="s">
        <v>41</v>
      </c>
      <c r="C1596" s="12">
        <v>100</v>
      </c>
      <c r="D1596" s="12">
        <v>2016</v>
      </c>
    </row>
    <row r="1597" spans="1:4" ht="19.95" customHeight="1" x14ac:dyDescent="0.25">
      <c r="A1597" s="11" t="s">
        <v>37</v>
      </c>
      <c r="B1597" s="12" t="s">
        <v>41</v>
      </c>
      <c r="C1597" s="12">
        <v>16.899999999999999</v>
      </c>
      <c r="D1597" s="12">
        <v>2016</v>
      </c>
    </row>
    <row r="1598" spans="1:4" ht="19.95" customHeight="1" x14ac:dyDescent="0.25">
      <c r="A1598" s="11" t="s">
        <v>38</v>
      </c>
      <c r="B1598" s="12" t="s">
        <v>41</v>
      </c>
      <c r="C1598" s="12">
        <v>18</v>
      </c>
      <c r="D1598" s="12">
        <v>2016</v>
      </c>
    </row>
    <row r="1599" spans="1:4" ht="19.95" customHeight="1" x14ac:dyDescent="0.25">
      <c r="A1599" s="11" t="s">
        <v>39</v>
      </c>
      <c r="B1599" s="12" t="s">
        <v>41</v>
      </c>
      <c r="C1599" s="12">
        <v>2.6577457459003102</v>
      </c>
      <c r="D1599" s="12">
        <v>2016</v>
      </c>
    </row>
    <row r="1600" spans="1:4" ht="19.95" customHeight="1" x14ac:dyDescent="0.25">
      <c r="A1600" s="11" t="s">
        <v>40</v>
      </c>
      <c r="B1600" s="12" t="s">
        <v>41</v>
      </c>
      <c r="C1600" s="12">
        <v>15.575583712266999</v>
      </c>
      <c r="D1600" s="12">
        <v>2016</v>
      </c>
    </row>
    <row r="1601" spans="1:4" ht="19.95" customHeight="1" x14ac:dyDescent="0.25">
      <c r="A1601" s="11" t="s">
        <v>10</v>
      </c>
      <c r="B1601" s="12" t="s">
        <v>41</v>
      </c>
      <c r="C1601" s="12"/>
      <c r="D1601" s="12">
        <v>2017</v>
      </c>
    </row>
    <row r="1602" spans="1:4" ht="19.95" customHeight="1" x14ac:dyDescent="0.25">
      <c r="A1602" s="11" t="s">
        <v>13</v>
      </c>
      <c r="B1602" s="12" t="s">
        <v>41</v>
      </c>
      <c r="C1602" s="12"/>
      <c r="D1602" s="12">
        <v>2017</v>
      </c>
    </row>
    <row r="1603" spans="1:4" ht="19.95" customHeight="1" x14ac:dyDescent="0.25">
      <c r="A1603" s="11" t="s">
        <v>15</v>
      </c>
      <c r="B1603" s="12" t="s">
        <v>41</v>
      </c>
      <c r="C1603" s="12"/>
      <c r="D1603" s="12">
        <v>2017</v>
      </c>
    </row>
    <row r="1604" spans="1:4" ht="19.95" customHeight="1" x14ac:dyDescent="0.25">
      <c r="A1604" s="11" t="s">
        <v>16</v>
      </c>
      <c r="B1604" s="12" t="s">
        <v>41</v>
      </c>
      <c r="C1604" s="12"/>
      <c r="D1604" s="12">
        <v>2017</v>
      </c>
    </row>
    <row r="1605" spans="1:4" ht="19.95" customHeight="1" x14ac:dyDescent="0.25">
      <c r="A1605" s="11" t="s">
        <v>17</v>
      </c>
      <c r="B1605" s="12" t="s">
        <v>41</v>
      </c>
      <c r="C1605" s="12"/>
      <c r="D1605" s="12">
        <v>2017</v>
      </c>
    </row>
    <row r="1606" spans="1:4" ht="19.95" customHeight="1" x14ac:dyDescent="0.25">
      <c r="A1606" s="11" t="s">
        <v>2</v>
      </c>
      <c r="B1606" s="12" t="s">
        <v>41</v>
      </c>
      <c r="C1606" s="12"/>
      <c r="D1606" s="12">
        <v>2017</v>
      </c>
    </row>
    <row r="1607" spans="1:4" ht="19.95" customHeight="1" x14ac:dyDescent="0.25">
      <c r="A1607" s="11" t="s">
        <v>18</v>
      </c>
      <c r="B1607" s="12" t="s">
        <v>41</v>
      </c>
      <c r="C1607" s="12"/>
      <c r="D1607" s="12">
        <v>2017</v>
      </c>
    </row>
    <row r="1608" spans="1:4" ht="19.95" customHeight="1" x14ac:dyDescent="0.25">
      <c r="A1608" s="11" t="s">
        <v>19</v>
      </c>
      <c r="B1608" s="12" t="s">
        <v>41</v>
      </c>
      <c r="C1608" s="12"/>
      <c r="D1608" s="12">
        <v>2017</v>
      </c>
    </row>
    <row r="1609" spans="1:4" ht="19.95" customHeight="1" x14ac:dyDescent="0.25">
      <c r="A1609" s="11" t="s">
        <v>20</v>
      </c>
      <c r="B1609" s="12" t="s">
        <v>41</v>
      </c>
      <c r="C1609" s="12"/>
      <c r="D1609" s="12">
        <v>2017</v>
      </c>
    </row>
    <row r="1610" spans="1:4" ht="19.95" customHeight="1" x14ac:dyDescent="0.25">
      <c r="A1610" s="11" t="s">
        <v>21</v>
      </c>
      <c r="B1610" s="12" t="s">
        <v>41</v>
      </c>
      <c r="C1610" s="12"/>
      <c r="D1610" s="12">
        <v>2017</v>
      </c>
    </row>
    <row r="1611" spans="1:4" ht="19.95" customHeight="1" x14ac:dyDescent="0.25">
      <c r="A1611" s="11" t="s">
        <v>22</v>
      </c>
      <c r="B1611" s="12" t="s">
        <v>41</v>
      </c>
      <c r="C1611" s="12"/>
      <c r="D1611" s="12">
        <v>2017</v>
      </c>
    </row>
    <row r="1612" spans="1:4" ht="19.95" customHeight="1" x14ac:dyDescent="0.25">
      <c r="A1612" s="11" t="s">
        <v>23</v>
      </c>
      <c r="B1612" s="12" t="s">
        <v>41</v>
      </c>
      <c r="C1612" s="12"/>
      <c r="D1612" s="12">
        <v>2017</v>
      </c>
    </row>
    <row r="1613" spans="1:4" ht="19.95" customHeight="1" x14ac:dyDescent="0.25">
      <c r="A1613" s="11" t="s">
        <v>24</v>
      </c>
      <c r="B1613" s="12" t="s">
        <v>41</v>
      </c>
      <c r="C1613" s="12"/>
      <c r="D1613" s="12">
        <v>2017</v>
      </c>
    </row>
    <row r="1614" spans="1:4" ht="19.95" customHeight="1" x14ac:dyDescent="0.25">
      <c r="A1614" s="11" t="s">
        <v>25</v>
      </c>
      <c r="B1614" s="12" t="s">
        <v>41</v>
      </c>
      <c r="C1614" s="12"/>
      <c r="D1614" s="12">
        <v>2017</v>
      </c>
    </row>
    <row r="1615" spans="1:4" ht="19.95" customHeight="1" x14ac:dyDescent="0.25">
      <c r="A1615" s="11" t="s">
        <v>26</v>
      </c>
      <c r="B1615" s="12" t="s">
        <v>41</v>
      </c>
      <c r="C1615" s="12"/>
      <c r="D1615" s="12">
        <v>2017</v>
      </c>
    </row>
    <row r="1616" spans="1:4" ht="19.95" customHeight="1" x14ac:dyDescent="0.25">
      <c r="A1616" s="11" t="s">
        <v>27</v>
      </c>
      <c r="B1616" s="12" t="s">
        <v>41</v>
      </c>
      <c r="C1616" s="12"/>
      <c r="D1616" s="12">
        <v>2017</v>
      </c>
    </row>
    <row r="1617" spans="1:4" ht="19.95" customHeight="1" x14ac:dyDescent="0.25">
      <c r="A1617" s="11" t="s">
        <v>29</v>
      </c>
      <c r="B1617" s="12" t="s">
        <v>41</v>
      </c>
      <c r="C1617" s="12"/>
      <c r="D1617" s="12">
        <v>2017</v>
      </c>
    </row>
    <row r="1618" spans="1:4" ht="19.95" customHeight="1" x14ac:dyDescent="0.25">
      <c r="A1618" s="11" t="s">
        <v>30</v>
      </c>
      <c r="B1618" s="12" t="s">
        <v>41</v>
      </c>
      <c r="C1618" s="12"/>
      <c r="D1618" s="12">
        <v>2017</v>
      </c>
    </row>
    <row r="1619" spans="1:4" ht="19.95" customHeight="1" x14ac:dyDescent="0.25">
      <c r="A1619" s="11" t="s">
        <v>31</v>
      </c>
      <c r="B1619" s="12" t="s">
        <v>41</v>
      </c>
      <c r="C1619" s="12"/>
      <c r="D1619" s="12">
        <v>2017</v>
      </c>
    </row>
    <row r="1620" spans="1:4" ht="19.95" customHeight="1" x14ac:dyDescent="0.25">
      <c r="A1620" s="11" t="s">
        <v>32</v>
      </c>
      <c r="B1620" s="12" t="s">
        <v>41</v>
      </c>
      <c r="C1620" s="12"/>
      <c r="D1620" s="12">
        <v>2017</v>
      </c>
    </row>
    <row r="1621" spans="1:4" ht="19.95" customHeight="1" x14ac:dyDescent="0.25">
      <c r="A1621" s="11" t="s">
        <v>33</v>
      </c>
      <c r="B1621" s="12" t="s">
        <v>41</v>
      </c>
      <c r="C1621" s="12"/>
      <c r="D1621" s="12">
        <v>2017</v>
      </c>
    </row>
    <row r="1622" spans="1:4" ht="19.95" customHeight="1" x14ac:dyDescent="0.25">
      <c r="A1622" s="11" t="s">
        <v>34</v>
      </c>
      <c r="B1622" s="12" t="s">
        <v>41</v>
      </c>
      <c r="C1622" s="12"/>
      <c r="D1622" s="12">
        <v>2017</v>
      </c>
    </row>
    <row r="1623" spans="1:4" ht="19.95" customHeight="1" x14ac:dyDescent="0.25">
      <c r="A1623" s="11" t="s">
        <v>35</v>
      </c>
      <c r="B1623" s="12" t="s">
        <v>41</v>
      </c>
      <c r="C1623" s="12"/>
      <c r="D1623" s="12">
        <v>2017</v>
      </c>
    </row>
    <row r="1624" spans="1:4" ht="19.95" customHeight="1" x14ac:dyDescent="0.25">
      <c r="A1624" s="11" t="s">
        <v>36</v>
      </c>
      <c r="B1624" s="12" t="s">
        <v>41</v>
      </c>
      <c r="C1624" s="12"/>
      <c r="D1624" s="12">
        <v>2017</v>
      </c>
    </row>
    <row r="1625" spans="1:4" ht="19.95" customHeight="1" x14ac:dyDescent="0.25">
      <c r="A1625" s="11" t="s">
        <v>37</v>
      </c>
      <c r="B1625" s="12" t="s">
        <v>41</v>
      </c>
      <c r="C1625" s="12"/>
      <c r="D1625" s="12">
        <v>2017</v>
      </c>
    </row>
    <row r="1626" spans="1:4" ht="19.95" customHeight="1" x14ac:dyDescent="0.25">
      <c r="A1626" s="11" t="s">
        <v>38</v>
      </c>
      <c r="B1626" s="12" t="s">
        <v>41</v>
      </c>
      <c r="C1626" s="12"/>
      <c r="D1626" s="12">
        <v>2017</v>
      </c>
    </row>
    <row r="1627" spans="1:4" ht="19.95" customHeight="1" x14ac:dyDescent="0.25">
      <c r="A1627" s="11" t="s">
        <v>39</v>
      </c>
      <c r="B1627" s="12" t="s">
        <v>41</v>
      </c>
      <c r="C1627" s="12"/>
      <c r="D1627" s="12">
        <v>2017</v>
      </c>
    </row>
    <row r="1628" spans="1:4" ht="19.95" customHeight="1" x14ac:dyDescent="0.25">
      <c r="A1628" s="11" t="s">
        <v>40</v>
      </c>
      <c r="B1628" s="12" t="s">
        <v>41</v>
      </c>
      <c r="C1628" s="12"/>
      <c r="D1628" s="12">
        <v>2017</v>
      </c>
    </row>
  </sheetData>
  <mergeCells count="2">
    <mergeCell ref="G2:K2"/>
    <mergeCell ref="J4:K4"/>
  </mergeCells>
  <phoneticPr fontId="10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nlever">
                <anchor moveWithCells="1" sizeWithCells="1">
                  <from>
                    <xdr:col>5</xdr:col>
                    <xdr:colOff>7620</xdr:colOff>
                    <xdr:row>6</xdr:row>
                    <xdr:rowOff>60960</xdr:rowOff>
                  </from>
                  <to>
                    <xdr:col>5</xdr:col>
                    <xdr:colOff>1013460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fficher">
                <anchor moveWithCells="1" sizeWithCells="1">
                  <from>
                    <xdr:col>5</xdr:col>
                    <xdr:colOff>7620</xdr:colOff>
                    <xdr:row>4</xdr:row>
                    <xdr:rowOff>7620</xdr:rowOff>
                  </from>
                  <to>
                    <xdr:col>5</xdr:col>
                    <xdr:colOff>1013460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omite 3">
              <controlPr defaultSize="0" print="0" autoFill="0" autoPict="0" macro="[0]!SelectSheet">
                <anchor moveWithCells="1" sizeWithCells="1">
                  <from>
                    <xdr:col>4</xdr:col>
                    <xdr:colOff>800100</xdr:colOff>
                    <xdr:row>8</xdr:row>
                    <xdr:rowOff>99060</xdr:rowOff>
                  </from>
                  <to>
                    <xdr:col>5</xdr:col>
                    <xdr:colOff>998220</xdr:colOff>
                    <xdr:row>9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2:K1628"/>
  <sheetViews>
    <sheetView showGridLines="0" topLeftCell="E10" zoomScale="80" zoomScaleNormal="80" workbookViewId="0">
      <selection activeCell="G2" sqref="G2:K2"/>
    </sheetView>
  </sheetViews>
  <sheetFormatPr defaultColWidth="8" defaultRowHeight="19.95" customHeight="1" x14ac:dyDescent="0.25"/>
  <cols>
    <col min="1" max="1" width="21.3984375" style="1" hidden="1" customWidth="1"/>
    <col min="2" max="2" width="40.8984375" style="1" hidden="1" customWidth="1"/>
    <col min="3" max="3" width="19.5" style="1" hidden="1" customWidth="1"/>
    <col min="4" max="4" width="0" style="1" hidden="1" customWidth="1"/>
    <col min="5" max="5" width="10.59765625" style="1" customWidth="1"/>
    <col min="6" max="6" width="14.5" style="1" customWidth="1"/>
    <col min="7" max="7" width="26.8984375" style="1" customWidth="1"/>
    <col min="8" max="8" width="78.5" style="1" customWidth="1"/>
    <col min="9" max="9" width="5.19921875" style="1" customWidth="1"/>
    <col min="10" max="10" width="13" style="1" bestFit="1" customWidth="1"/>
    <col min="11" max="11" width="16.59765625" style="1" bestFit="1" customWidth="1"/>
    <col min="12" max="25" width="12.59765625" style="1" bestFit="1" customWidth="1"/>
    <col min="26" max="26" width="12.8984375" style="1" bestFit="1" customWidth="1"/>
    <col min="27" max="31" width="12.59765625" style="1" bestFit="1" customWidth="1"/>
    <col min="32" max="32" width="22.3984375" style="1" bestFit="1" customWidth="1"/>
    <col min="33" max="39" width="12.59765625" style="1" bestFit="1" customWidth="1"/>
    <col min="40" max="65" width="22.3984375" style="1" bestFit="1" customWidth="1"/>
    <col min="66" max="66" width="15.59765625" style="1" bestFit="1" customWidth="1"/>
    <col min="67" max="67" width="15.3984375" style="1" bestFit="1" customWidth="1"/>
    <col min="68" max="16384" width="8" style="1"/>
  </cols>
  <sheetData>
    <row r="2" spans="1:11" ht="25.2" customHeight="1" x14ac:dyDescent="0.25">
      <c r="G2" s="24" t="s">
        <v>47</v>
      </c>
      <c r="H2" s="24"/>
      <c r="I2" s="24"/>
      <c r="J2" s="24"/>
      <c r="K2" s="24"/>
    </row>
    <row r="3" spans="1:11" ht="10.199999999999999" customHeight="1" x14ac:dyDescent="0.25"/>
    <row r="4" spans="1:11" ht="22.2" customHeight="1" thickBot="1" x14ac:dyDescent="0.3">
      <c r="A4" s="5" t="s">
        <v>4</v>
      </c>
      <c r="B4" s="5" t="s">
        <v>5</v>
      </c>
      <c r="C4" s="5" t="s">
        <v>6</v>
      </c>
      <c r="D4" s="5" t="s">
        <v>7</v>
      </c>
      <c r="H4" s="6" t="s">
        <v>8</v>
      </c>
      <c r="J4" s="28" t="s">
        <v>9</v>
      </c>
      <c r="K4" s="28"/>
    </row>
    <row r="5" spans="1:11" ht="19.95" customHeight="1" thickTop="1" x14ac:dyDescent="0.25">
      <c r="A5" s="9" t="s">
        <v>10</v>
      </c>
      <c r="B5" s="10" t="s">
        <v>43</v>
      </c>
      <c r="C5" s="10"/>
      <c r="D5" s="10">
        <v>1960</v>
      </c>
      <c r="J5" s="19" t="s">
        <v>12</v>
      </c>
      <c r="K5" s="19" t="s">
        <v>4</v>
      </c>
    </row>
    <row r="6" spans="1:11" ht="19.95" customHeight="1" x14ac:dyDescent="0.25">
      <c r="A6" s="9" t="s">
        <v>13</v>
      </c>
      <c r="B6" s="10" t="s">
        <v>44</v>
      </c>
      <c r="C6" s="10"/>
      <c r="D6" s="10">
        <v>1960</v>
      </c>
      <c r="J6" s="20" t="s">
        <v>7</v>
      </c>
      <c r="K6" s="23" t="s">
        <v>30</v>
      </c>
    </row>
    <row r="7" spans="1:11" ht="19.95" customHeight="1" x14ac:dyDescent="0.25">
      <c r="A7" s="9" t="s">
        <v>15</v>
      </c>
      <c r="B7" s="10" t="s">
        <v>43</v>
      </c>
      <c r="C7" s="10"/>
      <c r="D7" s="10">
        <v>1960</v>
      </c>
      <c r="J7" s="17">
        <v>1990</v>
      </c>
      <c r="K7" s="21"/>
    </row>
    <row r="8" spans="1:11" ht="19.95" customHeight="1" x14ac:dyDescent="0.25">
      <c r="A8" s="9" t="s">
        <v>16</v>
      </c>
      <c r="B8" s="10" t="s">
        <v>43</v>
      </c>
      <c r="C8" s="10"/>
      <c r="D8" s="10">
        <v>1960</v>
      </c>
      <c r="J8" s="17">
        <v>1991</v>
      </c>
      <c r="K8" s="21"/>
    </row>
    <row r="9" spans="1:11" ht="19.95" customHeight="1" x14ac:dyDescent="0.25">
      <c r="A9" s="9" t="s">
        <v>17</v>
      </c>
      <c r="B9" s="10" t="s">
        <v>43</v>
      </c>
      <c r="C9" s="10"/>
      <c r="D9" s="10">
        <v>1960</v>
      </c>
      <c r="J9" s="17">
        <v>1992</v>
      </c>
      <c r="K9" s="21"/>
    </row>
    <row r="10" spans="1:11" ht="19.95" customHeight="1" x14ac:dyDescent="0.25">
      <c r="A10" s="9" t="s">
        <v>2</v>
      </c>
      <c r="B10" s="10" t="s">
        <v>43</v>
      </c>
      <c r="C10" s="10"/>
      <c r="D10" s="10">
        <v>1960</v>
      </c>
      <c r="J10" s="17">
        <v>1993</v>
      </c>
      <c r="K10" s="21"/>
    </row>
    <row r="11" spans="1:11" ht="19.95" customHeight="1" x14ac:dyDescent="0.25">
      <c r="A11" s="9" t="s">
        <v>18</v>
      </c>
      <c r="B11" s="10" t="s">
        <v>43</v>
      </c>
      <c r="C11" s="10"/>
      <c r="D11" s="10">
        <v>1960</v>
      </c>
      <c r="J11" s="17">
        <v>1994</v>
      </c>
      <c r="K11" s="21"/>
    </row>
    <row r="12" spans="1:11" ht="19.95" customHeight="1" x14ac:dyDescent="0.25">
      <c r="A12" s="9" t="s">
        <v>19</v>
      </c>
      <c r="B12" s="10" t="s">
        <v>43</v>
      </c>
      <c r="C12" s="10"/>
      <c r="D12" s="10">
        <v>1960</v>
      </c>
      <c r="J12" s="17">
        <v>1995</v>
      </c>
      <c r="K12" s="21"/>
    </row>
    <row r="13" spans="1:11" ht="19.95" customHeight="1" x14ac:dyDescent="0.25">
      <c r="A13" s="9" t="s">
        <v>20</v>
      </c>
      <c r="B13" s="10" t="s">
        <v>43</v>
      </c>
      <c r="C13" s="10"/>
      <c r="D13" s="10">
        <v>1960</v>
      </c>
      <c r="J13" s="17">
        <v>1996</v>
      </c>
      <c r="K13" s="21"/>
    </row>
    <row r="14" spans="1:11" ht="19.95" customHeight="1" x14ac:dyDescent="0.25">
      <c r="A14" s="9" t="s">
        <v>21</v>
      </c>
      <c r="B14" s="10" t="s">
        <v>43</v>
      </c>
      <c r="C14" s="10"/>
      <c r="D14" s="10">
        <v>1960</v>
      </c>
      <c r="J14" s="17">
        <v>1997</v>
      </c>
      <c r="K14" s="21"/>
    </row>
    <row r="15" spans="1:11" ht="19.95" customHeight="1" x14ac:dyDescent="0.25">
      <c r="A15" s="9" t="s">
        <v>22</v>
      </c>
      <c r="B15" s="10" t="s">
        <v>43</v>
      </c>
      <c r="C15" s="10"/>
      <c r="D15" s="10">
        <v>1960</v>
      </c>
      <c r="J15" s="17">
        <v>1998</v>
      </c>
      <c r="K15" s="21"/>
    </row>
    <row r="16" spans="1:11" ht="19.95" customHeight="1" x14ac:dyDescent="0.25">
      <c r="A16" s="9" t="s">
        <v>23</v>
      </c>
      <c r="B16" s="10" t="s">
        <v>43</v>
      </c>
      <c r="C16" s="10"/>
      <c r="D16" s="10">
        <v>1960</v>
      </c>
      <c r="J16" s="17">
        <v>1999</v>
      </c>
      <c r="K16" s="21">
        <v>2.3599079275486001E-2</v>
      </c>
    </row>
    <row r="17" spans="1:11" ht="19.95" customHeight="1" x14ac:dyDescent="0.25">
      <c r="A17" s="9" t="s">
        <v>24</v>
      </c>
      <c r="B17" s="10" t="s">
        <v>43</v>
      </c>
      <c r="C17" s="10"/>
      <c r="D17" s="10">
        <v>1960</v>
      </c>
      <c r="J17" s="17">
        <v>2000</v>
      </c>
      <c r="K17" s="21">
        <v>4.30733260404371E-2</v>
      </c>
    </row>
    <row r="18" spans="1:11" ht="19.95" customHeight="1" x14ac:dyDescent="0.25">
      <c r="A18" s="9" t="s">
        <v>25</v>
      </c>
      <c r="B18" s="10" t="s">
        <v>43</v>
      </c>
      <c r="C18" s="10"/>
      <c r="D18" s="10">
        <v>1960</v>
      </c>
      <c r="J18" s="17">
        <v>2001</v>
      </c>
      <c r="K18" s="21">
        <v>7.1542751180925193E-2</v>
      </c>
    </row>
    <row r="19" spans="1:11" ht="19.95" customHeight="1" x14ac:dyDescent="0.25">
      <c r="A19" s="9" t="s">
        <v>26</v>
      </c>
      <c r="B19" s="10" t="s">
        <v>43</v>
      </c>
      <c r="C19" s="10"/>
      <c r="D19" s="10">
        <v>1960</v>
      </c>
      <c r="J19" s="17">
        <v>2002</v>
      </c>
      <c r="K19" s="21">
        <v>8.9069019718116801E-2</v>
      </c>
    </row>
    <row r="20" spans="1:11" ht="22.2" customHeight="1" x14ac:dyDescent="0.25">
      <c r="A20" s="9" t="s">
        <v>27</v>
      </c>
      <c r="B20" s="10" t="s">
        <v>43</v>
      </c>
      <c r="C20" s="10"/>
      <c r="D20" s="10">
        <v>1960</v>
      </c>
      <c r="H20" s="4" t="s">
        <v>28</v>
      </c>
      <c r="J20" s="17">
        <v>2003</v>
      </c>
      <c r="K20" s="21">
        <v>0.328116055458816</v>
      </c>
    </row>
    <row r="21" spans="1:11" ht="19.95" customHeight="1" x14ac:dyDescent="0.25">
      <c r="A21" s="9" t="s">
        <v>29</v>
      </c>
      <c r="B21" s="10" t="s">
        <v>43</v>
      </c>
      <c r="C21" s="10"/>
      <c r="D21" s="10">
        <v>1960</v>
      </c>
      <c r="J21" s="17">
        <v>2004</v>
      </c>
      <c r="K21" s="21">
        <v>0.461400799361535</v>
      </c>
    </row>
    <row r="22" spans="1:11" ht="19.95" customHeight="1" x14ac:dyDescent="0.25">
      <c r="A22" s="9" t="s">
        <v>30</v>
      </c>
      <c r="B22" s="10" t="s">
        <v>43</v>
      </c>
      <c r="C22" s="10"/>
      <c r="D22" s="10">
        <v>1960</v>
      </c>
      <c r="J22" s="17">
        <v>2005</v>
      </c>
      <c r="K22" s="21">
        <v>0.88655793907455105</v>
      </c>
    </row>
    <row r="23" spans="1:11" ht="19.95" customHeight="1" x14ac:dyDescent="0.25">
      <c r="A23" s="9" t="s">
        <v>31</v>
      </c>
      <c r="B23" s="10" t="s">
        <v>43</v>
      </c>
      <c r="C23" s="10"/>
      <c r="D23" s="10">
        <v>1960</v>
      </c>
      <c r="J23" s="17">
        <v>2006</v>
      </c>
      <c r="K23" s="21">
        <v>4.4605799291289001</v>
      </c>
    </row>
    <row r="24" spans="1:11" ht="19.95" customHeight="1" x14ac:dyDescent="0.25">
      <c r="A24" s="9" t="s">
        <v>32</v>
      </c>
      <c r="B24" s="10" t="s">
        <v>43</v>
      </c>
      <c r="C24" s="10"/>
      <c r="D24" s="10">
        <v>1960</v>
      </c>
      <c r="J24" s="17">
        <v>2007</v>
      </c>
      <c r="K24" s="21">
        <v>12.4696321897282</v>
      </c>
    </row>
    <row r="25" spans="1:11" ht="19.95" customHeight="1" x14ac:dyDescent="0.25">
      <c r="A25" s="9" t="s">
        <v>33</v>
      </c>
      <c r="B25" s="10" t="s">
        <v>43</v>
      </c>
      <c r="C25" s="10"/>
      <c r="D25" s="10">
        <v>1960</v>
      </c>
      <c r="J25" s="17">
        <v>2008</v>
      </c>
      <c r="K25" s="21">
        <v>15.8635079602139</v>
      </c>
    </row>
    <row r="26" spans="1:11" ht="19.95" customHeight="1" x14ac:dyDescent="0.25">
      <c r="A26" s="9" t="s">
        <v>34</v>
      </c>
      <c r="B26" s="10" t="s">
        <v>43</v>
      </c>
      <c r="C26" s="10"/>
      <c r="D26" s="10">
        <v>1960</v>
      </c>
      <c r="J26" s="17">
        <v>2009</v>
      </c>
      <c r="K26" s="21">
        <v>20.933616687389399</v>
      </c>
    </row>
    <row r="27" spans="1:11" ht="19.95" customHeight="1" x14ac:dyDescent="0.25">
      <c r="A27" s="9" t="s">
        <v>35</v>
      </c>
      <c r="B27" s="10" t="s">
        <v>43</v>
      </c>
      <c r="C27" s="10"/>
      <c r="D27" s="10">
        <v>1960</v>
      </c>
      <c r="J27" s="17">
        <v>2010</v>
      </c>
      <c r="K27" s="21">
        <v>34.028477152745097</v>
      </c>
    </row>
    <row r="28" spans="1:11" ht="19.95" customHeight="1" x14ac:dyDescent="0.25">
      <c r="A28" s="9" t="s">
        <v>36</v>
      </c>
      <c r="B28" s="10" t="s">
        <v>43</v>
      </c>
      <c r="C28" s="10"/>
      <c r="D28" s="10">
        <v>1960</v>
      </c>
      <c r="J28" s="17">
        <v>2011</v>
      </c>
      <c r="K28" s="21">
        <v>48.868903146018098</v>
      </c>
    </row>
    <row r="29" spans="1:11" ht="19.95" customHeight="1" x14ac:dyDescent="0.25">
      <c r="A29" s="9" t="s">
        <v>37</v>
      </c>
      <c r="B29" s="10" t="s">
        <v>43</v>
      </c>
      <c r="C29" s="10"/>
      <c r="D29" s="10">
        <v>1960</v>
      </c>
      <c r="J29" s="17">
        <v>2012</v>
      </c>
      <c r="K29" s="21">
        <v>60.067511937193302</v>
      </c>
    </row>
    <row r="30" spans="1:11" ht="19.95" customHeight="1" x14ac:dyDescent="0.25">
      <c r="A30" s="9" t="s">
        <v>38</v>
      </c>
      <c r="B30" s="10" t="s">
        <v>43</v>
      </c>
      <c r="C30" s="10"/>
      <c r="D30" s="10">
        <v>1960</v>
      </c>
      <c r="J30" s="17">
        <v>2013</v>
      </c>
      <c r="K30" s="21">
        <v>76.333937340697702</v>
      </c>
    </row>
    <row r="31" spans="1:11" ht="19.95" customHeight="1" x14ac:dyDescent="0.25">
      <c r="A31" s="9" t="s">
        <v>39</v>
      </c>
      <c r="B31" s="10" t="s">
        <v>43</v>
      </c>
      <c r="C31" s="10"/>
      <c r="D31" s="10">
        <v>1960</v>
      </c>
      <c r="J31" s="17">
        <v>2014</v>
      </c>
      <c r="K31" s="21">
        <v>81.280740435037103</v>
      </c>
    </row>
    <row r="32" spans="1:11" ht="19.95" customHeight="1" x14ac:dyDescent="0.25">
      <c r="A32" s="9" t="s">
        <v>40</v>
      </c>
      <c r="B32" s="10" t="s">
        <v>43</v>
      </c>
      <c r="C32" s="10"/>
      <c r="D32" s="10">
        <v>1960</v>
      </c>
      <c r="J32" s="17">
        <v>2015</v>
      </c>
      <c r="K32" s="21">
        <v>96.021022545771999</v>
      </c>
    </row>
    <row r="33" spans="1:11" ht="19.95" customHeight="1" x14ac:dyDescent="0.25">
      <c r="A33" s="11" t="s">
        <v>10</v>
      </c>
      <c r="B33" s="12" t="s">
        <v>43</v>
      </c>
      <c r="C33" s="10"/>
      <c r="D33" s="12">
        <v>1961</v>
      </c>
      <c r="J33" s="17">
        <v>2016</v>
      </c>
      <c r="K33" s="21">
        <v>110.825514233956</v>
      </c>
    </row>
    <row r="34" spans="1:11" ht="19.95" customHeight="1" x14ac:dyDescent="0.25">
      <c r="A34" s="11" t="s">
        <v>13</v>
      </c>
      <c r="B34" s="12" t="s">
        <v>43</v>
      </c>
      <c r="C34" s="10"/>
      <c r="D34" s="12">
        <v>1961</v>
      </c>
      <c r="J34" s="18">
        <v>2017</v>
      </c>
      <c r="K34" s="22">
        <v>123.174879588799</v>
      </c>
    </row>
    <row r="35" spans="1:11" ht="19.95" customHeight="1" x14ac:dyDescent="0.25">
      <c r="A35" s="11" t="s">
        <v>15</v>
      </c>
      <c r="B35" s="12" t="s">
        <v>43</v>
      </c>
      <c r="C35" s="10"/>
      <c r="D35" s="12">
        <v>1961</v>
      </c>
    </row>
    <row r="36" spans="1:11" ht="22.2" customHeight="1" x14ac:dyDescent="0.25">
      <c r="A36" s="11" t="s">
        <v>16</v>
      </c>
      <c r="B36" s="12" t="s">
        <v>43</v>
      </c>
      <c r="C36" s="10"/>
      <c r="D36" s="12">
        <v>1961</v>
      </c>
    </row>
    <row r="37" spans="1:11" ht="19.95" customHeight="1" x14ac:dyDescent="0.25">
      <c r="A37" s="11" t="s">
        <v>17</v>
      </c>
      <c r="B37" s="12" t="s">
        <v>43</v>
      </c>
      <c r="C37" s="10"/>
      <c r="D37" s="12">
        <v>1961</v>
      </c>
    </row>
    <row r="38" spans="1:11" ht="19.95" customHeight="1" x14ac:dyDescent="0.25">
      <c r="A38" s="11" t="s">
        <v>2</v>
      </c>
      <c r="B38" s="12" t="s">
        <v>43</v>
      </c>
      <c r="C38" s="10"/>
      <c r="D38" s="12">
        <v>1961</v>
      </c>
    </row>
    <row r="39" spans="1:11" ht="19.95" customHeight="1" x14ac:dyDescent="0.25">
      <c r="A39" s="11" t="s">
        <v>18</v>
      </c>
      <c r="B39" s="12" t="s">
        <v>43</v>
      </c>
      <c r="C39" s="10"/>
      <c r="D39" s="12">
        <v>1961</v>
      </c>
    </row>
    <row r="40" spans="1:11" ht="19.95" customHeight="1" x14ac:dyDescent="0.25">
      <c r="A40" s="11" t="s">
        <v>19</v>
      </c>
      <c r="B40" s="12" t="s">
        <v>43</v>
      </c>
      <c r="C40" s="10"/>
      <c r="D40" s="12">
        <v>1961</v>
      </c>
    </row>
    <row r="41" spans="1:11" ht="19.95" customHeight="1" x14ac:dyDescent="0.25">
      <c r="A41" s="11" t="s">
        <v>20</v>
      </c>
      <c r="B41" s="12" t="s">
        <v>43</v>
      </c>
      <c r="C41" s="10"/>
      <c r="D41" s="12">
        <v>1961</v>
      </c>
    </row>
    <row r="42" spans="1:11" ht="19.95" customHeight="1" x14ac:dyDescent="0.25">
      <c r="A42" s="11" t="s">
        <v>21</v>
      </c>
      <c r="B42" s="12" t="s">
        <v>44</v>
      </c>
      <c r="C42" s="10"/>
      <c r="D42" s="12">
        <v>1961</v>
      </c>
    </row>
    <row r="43" spans="1:11" ht="19.95" customHeight="1" x14ac:dyDescent="0.25">
      <c r="A43" s="11" t="s">
        <v>22</v>
      </c>
      <c r="B43" s="12" t="s">
        <v>43</v>
      </c>
      <c r="C43" s="10"/>
      <c r="D43" s="12">
        <v>1961</v>
      </c>
    </row>
    <row r="44" spans="1:11" ht="19.95" customHeight="1" x14ac:dyDescent="0.25">
      <c r="A44" s="11" t="s">
        <v>23</v>
      </c>
      <c r="B44" s="12" t="s">
        <v>43</v>
      </c>
      <c r="C44" s="10"/>
      <c r="D44" s="12">
        <v>1961</v>
      </c>
    </row>
    <row r="45" spans="1:11" ht="19.95" customHeight="1" x14ac:dyDescent="0.25">
      <c r="A45" s="11" t="s">
        <v>24</v>
      </c>
      <c r="B45" s="12" t="s">
        <v>43</v>
      </c>
      <c r="C45" s="10"/>
      <c r="D45" s="12">
        <v>1961</v>
      </c>
    </row>
    <row r="46" spans="1:11" ht="19.95" customHeight="1" x14ac:dyDescent="0.25">
      <c r="A46" s="11" t="s">
        <v>25</v>
      </c>
      <c r="B46" s="12" t="s">
        <v>43</v>
      </c>
      <c r="C46" s="10"/>
      <c r="D46" s="12">
        <v>1961</v>
      </c>
    </row>
    <row r="47" spans="1:11" ht="19.95" customHeight="1" x14ac:dyDescent="0.25">
      <c r="A47" s="11" t="s">
        <v>26</v>
      </c>
      <c r="B47" s="12" t="s">
        <v>43</v>
      </c>
      <c r="C47" s="10"/>
      <c r="D47" s="12">
        <v>1961</v>
      </c>
    </row>
    <row r="48" spans="1:11" ht="19.95" customHeight="1" x14ac:dyDescent="0.25">
      <c r="A48" s="11" t="s">
        <v>27</v>
      </c>
      <c r="B48" s="12" t="s">
        <v>43</v>
      </c>
      <c r="C48" s="10"/>
      <c r="D48" s="12">
        <v>1961</v>
      </c>
    </row>
    <row r="49" spans="1:4" ht="19.95" customHeight="1" x14ac:dyDescent="0.25">
      <c r="A49" s="11" t="s">
        <v>29</v>
      </c>
      <c r="B49" s="12" t="s">
        <v>43</v>
      </c>
      <c r="C49" s="10"/>
      <c r="D49" s="12">
        <v>1961</v>
      </c>
    </row>
    <row r="50" spans="1:4" ht="19.95" customHeight="1" x14ac:dyDescent="0.25">
      <c r="A50" s="11" t="s">
        <v>30</v>
      </c>
      <c r="B50" s="12" t="s">
        <v>43</v>
      </c>
      <c r="C50" s="10"/>
      <c r="D50" s="12">
        <v>1961</v>
      </c>
    </row>
    <row r="51" spans="1:4" ht="19.95" customHeight="1" x14ac:dyDescent="0.25">
      <c r="A51" s="11" t="s">
        <v>31</v>
      </c>
      <c r="B51" s="12" t="s">
        <v>43</v>
      </c>
      <c r="C51" s="10"/>
      <c r="D51" s="12">
        <v>1961</v>
      </c>
    </row>
    <row r="52" spans="1:4" ht="19.95" customHeight="1" x14ac:dyDescent="0.25">
      <c r="A52" s="11" t="s">
        <v>32</v>
      </c>
      <c r="B52" s="12" t="s">
        <v>43</v>
      </c>
      <c r="C52" s="10"/>
      <c r="D52" s="12">
        <v>1961</v>
      </c>
    </row>
    <row r="53" spans="1:4" ht="19.95" customHeight="1" x14ac:dyDescent="0.25">
      <c r="A53" s="11" t="s">
        <v>33</v>
      </c>
      <c r="B53" s="12" t="s">
        <v>43</v>
      </c>
      <c r="C53" s="10"/>
      <c r="D53" s="12">
        <v>1961</v>
      </c>
    </row>
    <row r="54" spans="1:4" ht="19.95" customHeight="1" x14ac:dyDescent="0.25">
      <c r="A54" s="11" t="s">
        <v>34</v>
      </c>
      <c r="B54" s="12" t="s">
        <v>43</v>
      </c>
      <c r="C54" s="10"/>
      <c r="D54" s="12">
        <v>1961</v>
      </c>
    </row>
    <row r="55" spans="1:4" ht="19.95" customHeight="1" x14ac:dyDescent="0.25">
      <c r="A55" s="11" t="s">
        <v>35</v>
      </c>
      <c r="B55" s="12" t="s">
        <v>43</v>
      </c>
      <c r="C55" s="10"/>
      <c r="D55" s="12">
        <v>1961</v>
      </c>
    </row>
    <row r="56" spans="1:4" ht="19.95" customHeight="1" x14ac:dyDescent="0.25">
      <c r="A56" s="11" t="s">
        <v>36</v>
      </c>
      <c r="B56" s="12" t="s">
        <v>43</v>
      </c>
      <c r="C56" s="10"/>
      <c r="D56" s="12">
        <v>1961</v>
      </c>
    </row>
    <row r="57" spans="1:4" ht="19.95" customHeight="1" x14ac:dyDescent="0.25">
      <c r="A57" s="11" t="s">
        <v>37</v>
      </c>
      <c r="B57" s="12" t="s">
        <v>43</v>
      </c>
      <c r="C57" s="10"/>
      <c r="D57" s="12">
        <v>1961</v>
      </c>
    </row>
    <row r="58" spans="1:4" ht="19.95" customHeight="1" x14ac:dyDescent="0.25">
      <c r="A58" s="11" t="s">
        <v>38</v>
      </c>
      <c r="B58" s="12" t="s">
        <v>43</v>
      </c>
      <c r="C58" s="10"/>
      <c r="D58" s="12">
        <v>1961</v>
      </c>
    </row>
    <row r="59" spans="1:4" ht="19.95" customHeight="1" x14ac:dyDescent="0.25">
      <c r="A59" s="11" t="s">
        <v>39</v>
      </c>
      <c r="B59" s="12" t="s">
        <v>43</v>
      </c>
      <c r="C59" s="10"/>
      <c r="D59" s="12">
        <v>1961</v>
      </c>
    </row>
    <row r="60" spans="1:4" ht="19.95" customHeight="1" x14ac:dyDescent="0.25">
      <c r="A60" s="11" t="s">
        <v>40</v>
      </c>
      <c r="B60" s="12" t="s">
        <v>43</v>
      </c>
      <c r="C60" s="10"/>
      <c r="D60" s="12">
        <v>1961</v>
      </c>
    </row>
    <row r="61" spans="1:4" ht="19.95" customHeight="1" x14ac:dyDescent="0.25">
      <c r="A61" s="11" t="s">
        <v>10</v>
      </c>
      <c r="B61" s="12" t="s">
        <v>43</v>
      </c>
      <c r="C61" s="10"/>
      <c r="D61" s="12">
        <v>1962</v>
      </c>
    </row>
    <row r="62" spans="1:4" ht="19.95" customHeight="1" x14ac:dyDescent="0.25">
      <c r="A62" s="11" t="s">
        <v>13</v>
      </c>
      <c r="B62" s="12" t="s">
        <v>43</v>
      </c>
      <c r="C62" s="10"/>
      <c r="D62" s="12">
        <v>1962</v>
      </c>
    </row>
    <row r="63" spans="1:4" ht="19.95" customHeight="1" x14ac:dyDescent="0.25">
      <c r="A63" s="11" t="s">
        <v>15</v>
      </c>
      <c r="B63" s="12" t="s">
        <v>43</v>
      </c>
      <c r="C63" s="10"/>
      <c r="D63" s="12">
        <v>1962</v>
      </c>
    </row>
    <row r="64" spans="1:4" ht="19.95" customHeight="1" x14ac:dyDescent="0.25">
      <c r="A64" s="11" t="s">
        <v>16</v>
      </c>
      <c r="B64" s="12" t="s">
        <v>43</v>
      </c>
      <c r="C64" s="10"/>
      <c r="D64" s="12">
        <v>1962</v>
      </c>
    </row>
    <row r="65" spans="1:4" ht="19.95" customHeight="1" x14ac:dyDescent="0.25">
      <c r="A65" s="11" t="s">
        <v>17</v>
      </c>
      <c r="B65" s="12" t="s">
        <v>43</v>
      </c>
      <c r="C65" s="10"/>
      <c r="D65" s="12">
        <v>1962</v>
      </c>
    </row>
    <row r="66" spans="1:4" ht="19.95" customHeight="1" x14ac:dyDescent="0.25">
      <c r="A66" s="11" t="s">
        <v>2</v>
      </c>
      <c r="B66" s="12" t="s">
        <v>43</v>
      </c>
      <c r="C66" s="10"/>
      <c r="D66" s="12">
        <v>1962</v>
      </c>
    </row>
    <row r="67" spans="1:4" ht="19.95" customHeight="1" x14ac:dyDescent="0.25">
      <c r="A67" s="11" t="s">
        <v>18</v>
      </c>
      <c r="B67" s="12" t="s">
        <v>43</v>
      </c>
      <c r="C67" s="10"/>
      <c r="D67" s="12">
        <v>1962</v>
      </c>
    </row>
    <row r="68" spans="1:4" ht="19.95" customHeight="1" x14ac:dyDescent="0.25">
      <c r="A68" s="11" t="s">
        <v>19</v>
      </c>
      <c r="B68" s="12" t="s">
        <v>43</v>
      </c>
      <c r="C68" s="10"/>
      <c r="D68" s="12">
        <v>1962</v>
      </c>
    </row>
    <row r="69" spans="1:4" ht="19.95" customHeight="1" x14ac:dyDescent="0.25">
      <c r="A69" s="11" t="s">
        <v>20</v>
      </c>
      <c r="B69" s="12" t="s">
        <v>43</v>
      </c>
      <c r="C69" s="10"/>
      <c r="D69" s="12">
        <v>1962</v>
      </c>
    </row>
    <row r="70" spans="1:4" ht="19.95" customHeight="1" x14ac:dyDescent="0.25">
      <c r="A70" s="11" t="s">
        <v>21</v>
      </c>
      <c r="B70" s="12" t="s">
        <v>43</v>
      </c>
      <c r="C70" s="10"/>
      <c r="D70" s="12">
        <v>1962</v>
      </c>
    </row>
    <row r="71" spans="1:4" ht="19.95" customHeight="1" x14ac:dyDescent="0.25">
      <c r="A71" s="11" t="s">
        <v>22</v>
      </c>
      <c r="B71" s="12" t="s">
        <v>43</v>
      </c>
      <c r="C71" s="10"/>
      <c r="D71" s="12">
        <v>1962</v>
      </c>
    </row>
    <row r="72" spans="1:4" ht="19.95" customHeight="1" x14ac:dyDescent="0.25">
      <c r="A72" s="11" t="s">
        <v>23</v>
      </c>
      <c r="B72" s="12" t="s">
        <v>43</v>
      </c>
      <c r="C72" s="10"/>
      <c r="D72" s="12">
        <v>1962</v>
      </c>
    </row>
    <row r="73" spans="1:4" ht="19.95" customHeight="1" x14ac:dyDescent="0.25">
      <c r="A73" s="11" t="s">
        <v>24</v>
      </c>
      <c r="B73" s="12" t="s">
        <v>43</v>
      </c>
      <c r="C73" s="10"/>
      <c r="D73" s="12">
        <v>1962</v>
      </c>
    </row>
    <row r="74" spans="1:4" ht="19.95" customHeight="1" x14ac:dyDescent="0.25">
      <c r="A74" s="11" t="s">
        <v>25</v>
      </c>
      <c r="B74" s="12" t="s">
        <v>43</v>
      </c>
      <c r="C74" s="10"/>
      <c r="D74" s="12">
        <v>1962</v>
      </c>
    </row>
    <row r="75" spans="1:4" ht="19.95" customHeight="1" x14ac:dyDescent="0.25">
      <c r="A75" s="11" t="s">
        <v>26</v>
      </c>
      <c r="B75" s="12" t="s">
        <v>43</v>
      </c>
      <c r="C75" s="10"/>
      <c r="D75" s="12">
        <v>1962</v>
      </c>
    </row>
    <row r="76" spans="1:4" ht="19.95" customHeight="1" x14ac:dyDescent="0.25">
      <c r="A76" s="11" t="s">
        <v>27</v>
      </c>
      <c r="B76" s="12" t="s">
        <v>43</v>
      </c>
      <c r="C76" s="10"/>
      <c r="D76" s="12">
        <v>1962</v>
      </c>
    </row>
    <row r="77" spans="1:4" ht="19.95" customHeight="1" x14ac:dyDescent="0.25">
      <c r="A77" s="11" t="s">
        <v>29</v>
      </c>
      <c r="B77" s="12" t="s">
        <v>43</v>
      </c>
      <c r="C77" s="10"/>
      <c r="D77" s="12">
        <v>1962</v>
      </c>
    </row>
    <row r="78" spans="1:4" ht="19.95" customHeight="1" x14ac:dyDescent="0.25">
      <c r="A78" s="11" t="s">
        <v>30</v>
      </c>
      <c r="B78" s="12" t="s">
        <v>43</v>
      </c>
      <c r="C78" s="10"/>
      <c r="D78" s="12">
        <v>1962</v>
      </c>
    </row>
    <row r="79" spans="1:4" ht="19.95" customHeight="1" x14ac:dyDescent="0.25">
      <c r="A79" s="11" t="s">
        <v>31</v>
      </c>
      <c r="B79" s="12" t="s">
        <v>43</v>
      </c>
      <c r="C79" s="10"/>
      <c r="D79" s="12">
        <v>1962</v>
      </c>
    </row>
    <row r="80" spans="1:4" ht="19.95" customHeight="1" x14ac:dyDescent="0.25">
      <c r="A80" s="11" t="s">
        <v>32</v>
      </c>
      <c r="B80" s="12" t="s">
        <v>43</v>
      </c>
      <c r="C80" s="10"/>
      <c r="D80" s="12">
        <v>1962</v>
      </c>
    </row>
    <row r="81" spans="1:4" ht="19.95" customHeight="1" x14ac:dyDescent="0.25">
      <c r="A81" s="11" t="s">
        <v>33</v>
      </c>
      <c r="B81" s="12" t="s">
        <v>43</v>
      </c>
      <c r="C81" s="10"/>
      <c r="D81" s="12">
        <v>1962</v>
      </c>
    </row>
    <row r="82" spans="1:4" ht="19.95" customHeight="1" x14ac:dyDescent="0.25">
      <c r="A82" s="11" t="s">
        <v>34</v>
      </c>
      <c r="B82" s="12" t="s">
        <v>43</v>
      </c>
      <c r="C82" s="10"/>
      <c r="D82" s="12">
        <v>1962</v>
      </c>
    </row>
    <row r="83" spans="1:4" ht="19.95" customHeight="1" x14ac:dyDescent="0.25">
      <c r="A83" s="11" t="s">
        <v>35</v>
      </c>
      <c r="B83" s="12" t="s">
        <v>43</v>
      </c>
      <c r="C83" s="10"/>
      <c r="D83" s="12">
        <v>1962</v>
      </c>
    </row>
    <row r="84" spans="1:4" ht="19.95" customHeight="1" x14ac:dyDescent="0.25">
      <c r="A84" s="11" t="s">
        <v>36</v>
      </c>
      <c r="B84" s="12" t="s">
        <v>43</v>
      </c>
      <c r="C84" s="10"/>
      <c r="D84" s="12">
        <v>1962</v>
      </c>
    </row>
    <row r="85" spans="1:4" ht="19.95" customHeight="1" x14ac:dyDescent="0.25">
      <c r="A85" s="11" t="s">
        <v>37</v>
      </c>
      <c r="B85" s="12" t="s">
        <v>43</v>
      </c>
      <c r="C85" s="10"/>
      <c r="D85" s="12">
        <v>1962</v>
      </c>
    </row>
    <row r="86" spans="1:4" ht="19.95" customHeight="1" x14ac:dyDescent="0.25">
      <c r="A86" s="11" t="s">
        <v>38</v>
      </c>
      <c r="B86" s="12" t="s">
        <v>43</v>
      </c>
      <c r="C86" s="10"/>
      <c r="D86" s="12">
        <v>1962</v>
      </c>
    </row>
    <row r="87" spans="1:4" ht="19.95" customHeight="1" x14ac:dyDescent="0.25">
      <c r="A87" s="11" t="s">
        <v>39</v>
      </c>
      <c r="B87" s="12" t="s">
        <v>43</v>
      </c>
      <c r="C87" s="10"/>
      <c r="D87" s="12">
        <v>1962</v>
      </c>
    </row>
    <row r="88" spans="1:4" ht="19.95" customHeight="1" x14ac:dyDescent="0.25">
      <c r="A88" s="11" t="s">
        <v>40</v>
      </c>
      <c r="B88" s="12" t="s">
        <v>43</v>
      </c>
      <c r="C88" s="10"/>
      <c r="D88" s="12">
        <v>1962</v>
      </c>
    </row>
    <row r="89" spans="1:4" ht="19.95" customHeight="1" x14ac:dyDescent="0.25">
      <c r="A89" s="11" t="s">
        <v>10</v>
      </c>
      <c r="B89" s="12" t="s">
        <v>43</v>
      </c>
      <c r="C89" s="10"/>
      <c r="D89" s="12">
        <v>1963</v>
      </c>
    </row>
    <row r="90" spans="1:4" ht="19.95" customHeight="1" x14ac:dyDescent="0.25">
      <c r="A90" s="11" t="s">
        <v>13</v>
      </c>
      <c r="B90" s="12" t="s">
        <v>43</v>
      </c>
      <c r="C90" s="10"/>
      <c r="D90" s="12">
        <v>1963</v>
      </c>
    </row>
    <row r="91" spans="1:4" ht="19.95" customHeight="1" x14ac:dyDescent="0.25">
      <c r="A91" s="11" t="s">
        <v>15</v>
      </c>
      <c r="B91" s="12" t="s">
        <v>43</v>
      </c>
      <c r="C91" s="10"/>
      <c r="D91" s="12">
        <v>1963</v>
      </c>
    </row>
    <row r="92" spans="1:4" ht="19.95" customHeight="1" x14ac:dyDescent="0.25">
      <c r="A92" s="11" t="s">
        <v>16</v>
      </c>
      <c r="B92" s="12" t="s">
        <v>43</v>
      </c>
      <c r="C92" s="10"/>
      <c r="D92" s="12">
        <v>1963</v>
      </c>
    </row>
    <row r="93" spans="1:4" ht="19.95" customHeight="1" x14ac:dyDescent="0.25">
      <c r="A93" s="11" t="s">
        <v>17</v>
      </c>
      <c r="B93" s="12" t="s">
        <v>43</v>
      </c>
      <c r="C93" s="10"/>
      <c r="D93" s="12">
        <v>1963</v>
      </c>
    </row>
    <row r="94" spans="1:4" ht="19.95" customHeight="1" x14ac:dyDescent="0.25">
      <c r="A94" s="11" t="s">
        <v>2</v>
      </c>
      <c r="B94" s="12" t="s">
        <v>43</v>
      </c>
      <c r="C94" s="10"/>
      <c r="D94" s="12">
        <v>1963</v>
      </c>
    </row>
    <row r="95" spans="1:4" ht="19.95" customHeight="1" x14ac:dyDescent="0.25">
      <c r="A95" s="11" t="s">
        <v>18</v>
      </c>
      <c r="B95" s="12" t="s">
        <v>43</v>
      </c>
      <c r="C95" s="10"/>
      <c r="D95" s="12">
        <v>1963</v>
      </c>
    </row>
    <row r="96" spans="1:4" ht="19.95" customHeight="1" x14ac:dyDescent="0.25">
      <c r="A96" s="11" t="s">
        <v>19</v>
      </c>
      <c r="B96" s="12" t="s">
        <v>43</v>
      </c>
      <c r="C96" s="10"/>
      <c r="D96" s="12">
        <v>1963</v>
      </c>
    </row>
    <row r="97" spans="1:4" ht="19.95" customHeight="1" x14ac:dyDescent="0.25">
      <c r="A97" s="11" t="s">
        <v>20</v>
      </c>
      <c r="B97" s="12" t="s">
        <v>43</v>
      </c>
      <c r="C97" s="10"/>
      <c r="D97" s="12">
        <v>1963</v>
      </c>
    </row>
    <row r="98" spans="1:4" ht="19.95" customHeight="1" x14ac:dyDescent="0.25">
      <c r="A98" s="11" t="s">
        <v>21</v>
      </c>
      <c r="B98" s="12" t="s">
        <v>43</v>
      </c>
      <c r="C98" s="10"/>
      <c r="D98" s="12">
        <v>1963</v>
      </c>
    </row>
    <row r="99" spans="1:4" ht="19.95" customHeight="1" x14ac:dyDescent="0.25">
      <c r="A99" s="11" t="s">
        <v>22</v>
      </c>
      <c r="B99" s="12" t="s">
        <v>43</v>
      </c>
      <c r="C99" s="10"/>
      <c r="D99" s="12">
        <v>1963</v>
      </c>
    </row>
    <row r="100" spans="1:4" ht="19.95" customHeight="1" x14ac:dyDescent="0.25">
      <c r="A100" s="11" t="s">
        <v>23</v>
      </c>
      <c r="B100" s="12" t="s">
        <v>43</v>
      </c>
      <c r="C100" s="10"/>
      <c r="D100" s="12">
        <v>1963</v>
      </c>
    </row>
    <row r="101" spans="1:4" ht="19.95" customHeight="1" x14ac:dyDescent="0.25">
      <c r="A101" s="11" t="s">
        <v>24</v>
      </c>
      <c r="B101" s="12" t="s">
        <v>43</v>
      </c>
      <c r="C101" s="10"/>
      <c r="D101" s="12">
        <v>1963</v>
      </c>
    </row>
    <row r="102" spans="1:4" ht="19.95" customHeight="1" x14ac:dyDescent="0.25">
      <c r="A102" s="11" t="s">
        <v>25</v>
      </c>
      <c r="B102" s="12" t="s">
        <v>43</v>
      </c>
      <c r="C102" s="10"/>
      <c r="D102" s="12">
        <v>1963</v>
      </c>
    </row>
    <row r="103" spans="1:4" ht="19.95" customHeight="1" x14ac:dyDescent="0.25">
      <c r="A103" s="11" t="s">
        <v>26</v>
      </c>
      <c r="B103" s="12" t="s">
        <v>43</v>
      </c>
      <c r="C103" s="10"/>
      <c r="D103" s="12">
        <v>1963</v>
      </c>
    </row>
    <row r="104" spans="1:4" ht="19.95" customHeight="1" x14ac:dyDescent="0.25">
      <c r="A104" s="11" t="s">
        <v>27</v>
      </c>
      <c r="B104" s="12" t="s">
        <v>43</v>
      </c>
      <c r="C104" s="10"/>
      <c r="D104" s="12">
        <v>1963</v>
      </c>
    </row>
    <row r="105" spans="1:4" ht="19.95" customHeight="1" x14ac:dyDescent="0.25">
      <c r="A105" s="11" t="s">
        <v>29</v>
      </c>
      <c r="B105" s="12" t="s">
        <v>43</v>
      </c>
      <c r="C105" s="10"/>
      <c r="D105" s="12">
        <v>1963</v>
      </c>
    </row>
    <row r="106" spans="1:4" ht="19.95" customHeight="1" x14ac:dyDescent="0.25">
      <c r="A106" s="11" t="s">
        <v>30</v>
      </c>
      <c r="B106" s="12" t="s">
        <v>43</v>
      </c>
      <c r="C106" s="10"/>
      <c r="D106" s="12">
        <v>1963</v>
      </c>
    </row>
    <row r="107" spans="1:4" ht="19.95" customHeight="1" x14ac:dyDescent="0.25">
      <c r="A107" s="11" t="s">
        <v>31</v>
      </c>
      <c r="B107" s="12" t="s">
        <v>43</v>
      </c>
      <c r="C107" s="10"/>
      <c r="D107" s="12">
        <v>1963</v>
      </c>
    </row>
    <row r="108" spans="1:4" ht="19.95" customHeight="1" x14ac:dyDescent="0.25">
      <c r="A108" s="11" t="s">
        <v>32</v>
      </c>
      <c r="B108" s="12" t="s">
        <v>43</v>
      </c>
      <c r="C108" s="10"/>
      <c r="D108" s="12">
        <v>1963</v>
      </c>
    </row>
    <row r="109" spans="1:4" ht="19.95" customHeight="1" x14ac:dyDescent="0.25">
      <c r="A109" s="11" t="s">
        <v>33</v>
      </c>
      <c r="B109" s="12" t="s">
        <v>43</v>
      </c>
      <c r="C109" s="10"/>
      <c r="D109" s="12">
        <v>1963</v>
      </c>
    </row>
    <row r="110" spans="1:4" ht="19.95" customHeight="1" x14ac:dyDescent="0.25">
      <c r="A110" s="11" t="s">
        <v>34</v>
      </c>
      <c r="B110" s="12" t="s">
        <v>43</v>
      </c>
      <c r="C110" s="10"/>
      <c r="D110" s="12">
        <v>1963</v>
      </c>
    </row>
    <row r="111" spans="1:4" ht="19.95" customHeight="1" x14ac:dyDescent="0.25">
      <c r="A111" s="11" t="s">
        <v>35</v>
      </c>
      <c r="B111" s="12" t="s">
        <v>43</v>
      </c>
      <c r="C111" s="10"/>
      <c r="D111" s="12">
        <v>1963</v>
      </c>
    </row>
    <row r="112" spans="1:4" ht="19.95" customHeight="1" x14ac:dyDescent="0.25">
      <c r="A112" s="11" t="s">
        <v>36</v>
      </c>
      <c r="B112" s="12" t="s">
        <v>43</v>
      </c>
      <c r="C112" s="10"/>
      <c r="D112" s="12">
        <v>1963</v>
      </c>
    </row>
    <row r="113" spans="1:4" ht="19.95" customHeight="1" x14ac:dyDescent="0.25">
      <c r="A113" s="11" t="s">
        <v>37</v>
      </c>
      <c r="B113" s="12" t="s">
        <v>43</v>
      </c>
      <c r="C113" s="10"/>
      <c r="D113" s="12">
        <v>1963</v>
      </c>
    </row>
    <row r="114" spans="1:4" ht="19.95" customHeight="1" x14ac:dyDescent="0.25">
      <c r="A114" s="11" t="s">
        <v>38</v>
      </c>
      <c r="B114" s="12" t="s">
        <v>43</v>
      </c>
      <c r="C114" s="10"/>
      <c r="D114" s="12">
        <v>1963</v>
      </c>
    </row>
    <row r="115" spans="1:4" ht="19.95" customHeight="1" x14ac:dyDescent="0.25">
      <c r="A115" s="11" t="s">
        <v>39</v>
      </c>
      <c r="B115" s="12" t="s">
        <v>43</v>
      </c>
      <c r="C115" s="10"/>
      <c r="D115" s="12">
        <v>1963</v>
      </c>
    </row>
    <row r="116" spans="1:4" ht="19.95" customHeight="1" x14ac:dyDescent="0.25">
      <c r="A116" s="11" t="s">
        <v>40</v>
      </c>
      <c r="B116" s="12" t="s">
        <v>43</v>
      </c>
      <c r="C116" s="10"/>
      <c r="D116" s="12">
        <v>1963</v>
      </c>
    </row>
    <row r="117" spans="1:4" ht="19.95" customHeight="1" x14ac:dyDescent="0.25">
      <c r="A117" s="11" t="s">
        <v>10</v>
      </c>
      <c r="B117" s="12" t="s">
        <v>43</v>
      </c>
      <c r="C117" s="10"/>
      <c r="D117" s="12">
        <v>1964</v>
      </c>
    </row>
    <row r="118" spans="1:4" ht="19.95" customHeight="1" x14ac:dyDescent="0.25">
      <c r="A118" s="11" t="s">
        <v>13</v>
      </c>
      <c r="B118" s="12" t="s">
        <v>43</v>
      </c>
      <c r="C118" s="10"/>
      <c r="D118" s="12">
        <v>1964</v>
      </c>
    </row>
    <row r="119" spans="1:4" ht="19.95" customHeight="1" x14ac:dyDescent="0.25">
      <c r="A119" s="11" t="s">
        <v>15</v>
      </c>
      <c r="B119" s="12" t="s">
        <v>43</v>
      </c>
      <c r="C119" s="10"/>
      <c r="D119" s="12">
        <v>1964</v>
      </c>
    </row>
    <row r="120" spans="1:4" ht="19.95" customHeight="1" x14ac:dyDescent="0.25">
      <c r="A120" s="11" t="s">
        <v>16</v>
      </c>
      <c r="B120" s="12" t="s">
        <v>43</v>
      </c>
      <c r="C120" s="10"/>
      <c r="D120" s="12">
        <v>1964</v>
      </c>
    </row>
    <row r="121" spans="1:4" ht="19.95" customHeight="1" x14ac:dyDescent="0.25">
      <c r="A121" s="11" t="s">
        <v>17</v>
      </c>
      <c r="B121" s="12" t="s">
        <v>43</v>
      </c>
      <c r="C121" s="10"/>
      <c r="D121" s="12">
        <v>1964</v>
      </c>
    </row>
    <row r="122" spans="1:4" ht="19.95" customHeight="1" x14ac:dyDescent="0.25">
      <c r="A122" s="11" t="s">
        <v>2</v>
      </c>
      <c r="B122" s="12" t="s">
        <v>43</v>
      </c>
      <c r="C122" s="10"/>
      <c r="D122" s="12">
        <v>1964</v>
      </c>
    </row>
    <row r="123" spans="1:4" ht="19.95" customHeight="1" x14ac:dyDescent="0.25">
      <c r="A123" s="11" t="s">
        <v>18</v>
      </c>
      <c r="B123" s="12" t="s">
        <v>43</v>
      </c>
      <c r="C123" s="10"/>
      <c r="D123" s="12">
        <v>1964</v>
      </c>
    </row>
    <row r="124" spans="1:4" ht="19.95" customHeight="1" x14ac:dyDescent="0.25">
      <c r="A124" s="11" t="s">
        <v>19</v>
      </c>
      <c r="B124" s="12" t="s">
        <v>43</v>
      </c>
      <c r="C124" s="10"/>
      <c r="D124" s="12">
        <v>1964</v>
      </c>
    </row>
    <row r="125" spans="1:4" ht="19.95" customHeight="1" x14ac:dyDescent="0.25">
      <c r="A125" s="11" t="s">
        <v>20</v>
      </c>
      <c r="B125" s="12" t="s">
        <v>43</v>
      </c>
      <c r="C125" s="10"/>
      <c r="D125" s="12">
        <v>1964</v>
      </c>
    </row>
    <row r="126" spans="1:4" ht="19.95" customHeight="1" x14ac:dyDescent="0.25">
      <c r="A126" s="11" t="s">
        <v>21</v>
      </c>
      <c r="B126" s="12" t="s">
        <v>43</v>
      </c>
      <c r="C126" s="10"/>
      <c r="D126" s="12">
        <v>1964</v>
      </c>
    </row>
    <row r="127" spans="1:4" ht="19.95" customHeight="1" x14ac:dyDescent="0.25">
      <c r="A127" s="11" t="s">
        <v>22</v>
      </c>
      <c r="B127" s="12" t="s">
        <v>43</v>
      </c>
      <c r="C127" s="10"/>
      <c r="D127" s="12">
        <v>1964</v>
      </c>
    </row>
    <row r="128" spans="1:4" ht="19.95" customHeight="1" x14ac:dyDescent="0.25">
      <c r="A128" s="11" t="s">
        <v>23</v>
      </c>
      <c r="B128" s="12" t="s">
        <v>43</v>
      </c>
      <c r="C128" s="10"/>
      <c r="D128" s="12">
        <v>1964</v>
      </c>
    </row>
    <row r="129" spans="1:4" ht="19.95" customHeight="1" x14ac:dyDescent="0.25">
      <c r="A129" s="11" t="s">
        <v>24</v>
      </c>
      <c r="B129" s="12" t="s">
        <v>43</v>
      </c>
      <c r="C129" s="10"/>
      <c r="D129" s="12">
        <v>1964</v>
      </c>
    </row>
    <row r="130" spans="1:4" ht="19.95" customHeight="1" x14ac:dyDescent="0.25">
      <c r="A130" s="11" t="s">
        <v>25</v>
      </c>
      <c r="B130" s="12" t="s">
        <v>43</v>
      </c>
      <c r="C130" s="10"/>
      <c r="D130" s="12">
        <v>1964</v>
      </c>
    </row>
    <row r="131" spans="1:4" ht="19.95" customHeight="1" x14ac:dyDescent="0.25">
      <c r="A131" s="11" t="s">
        <v>26</v>
      </c>
      <c r="B131" s="12" t="s">
        <v>43</v>
      </c>
      <c r="C131" s="10"/>
      <c r="D131" s="12">
        <v>1964</v>
      </c>
    </row>
    <row r="132" spans="1:4" ht="19.95" customHeight="1" x14ac:dyDescent="0.25">
      <c r="A132" s="11" t="s">
        <v>27</v>
      </c>
      <c r="B132" s="12" t="s">
        <v>43</v>
      </c>
      <c r="C132" s="10"/>
      <c r="D132" s="12">
        <v>1964</v>
      </c>
    </row>
    <row r="133" spans="1:4" ht="19.95" customHeight="1" x14ac:dyDescent="0.25">
      <c r="A133" s="11" t="s">
        <v>29</v>
      </c>
      <c r="B133" s="12" t="s">
        <v>43</v>
      </c>
      <c r="C133" s="10"/>
      <c r="D133" s="12">
        <v>1964</v>
      </c>
    </row>
    <row r="134" spans="1:4" ht="19.95" customHeight="1" x14ac:dyDescent="0.25">
      <c r="A134" s="11" t="s">
        <v>30</v>
      </c>
      <c r="B134" s="12" t="s">
        <v>43</v>
      </c>
      <c r="C134" s="10"/>
      <c r="D134" s="12">
        <v>1964</v>
      </c>
    </row>
    <row r="135" spans="1:4" ht="19.95" customHeight="1" x14ac:dyDescent="0.25">
      <c r="A135" s="11" t="s">
        <v>31</v>
      </c>
      <c r="B135" s="12" t="s">
        <v>43</v>
      </c>
      <c r="C135" s="10"/>
      <c r="D135" s="12">
        <v>1964</v>
      </c>
    </row>
    <row r="136" spans="1:4" ht="19.95" customHeight="1" x14ac:dyDescent="0.25">
      <c r="A136" s="11" t="s">
        <v>32</v>
      </c>
      <c r="B136" s="12" t="s">
        <v>43</v>
      </c>
      <c r="C136" s="10"/>
      <c r="D136" s="12">
        <v>1964</v>
      </c>
    </row>
    <row r="137" spans="1:4" ht="19.95" customHeight="1" x14ac:dyDescent="0.25">
      <c r="A137" s="11" t="s">
        <v>33</v>
      </c>
      <c r="B137" s="12" t="s">
        <v>43</v>
      </c>
      <c r="C137" s="10"/>
      <c r="D137" s="12">
        <v>1964</v>
      </c>
    </row>
    <row r="138" spans="1:4" ht="19.95" customHeight="1" x14ac:dyDescent="0.25">
      <c r="A138" s="11" t="s">
        <v>34</v>
      </c>
      <c r="B138" s="12" t="s">
        <v>43</v>
      </c>
      <c r="C138" s="10"/>
      <c r="D138" s="12">
        <v>1964</v>
      </c>
    </row>
    <row r="139" spans="1:4" ht="19.95" customHeight="1" x14ac:dyDescent="0.25">
      <c r="A139" s="11" t="s">
        <v>35</v>
      </c>
      <c r="B139" s="12" t="s">
        <v>43</v>
      </c>
      <c r="C139" s="10"/>
      <c r="D139" s="12">
        <v>1964</v>
      </c>
    </row>
    <row r="140" spans="1:4" ht="19.95" customHeight="1" x14ac:dyDescent="0.25">
      <c r="A140" s="11" t="s">
        <v>36</v>
      </c>
      <c r="B140" s="12" t="s">
        <v>43</v>
      </c>
      <c r="C140" s="10"/>
      <c r="D140" s="12">
        <v>1964</v>
      </c>
    </row>
    <row r="141" spans="1:4" ht="19.95" customHeight="1" x14ac:dyDescent="0.25">
      <c r="A141" s="11" t="s">
        <v>37</v>
      </c>
      <c r="B141" s="12" t="s">
        <v>43</v>
      </c>
      <c r="C141" s="10"/>
      <c r="D141" s="12">
        <v>1964</v>
      </c>
    </row>
    <row r="142" spans="1:4" ht="19.95" customHeight="1" x14ac:dyDescent="0.25">
      <c r="A142" s="11" t="s">
        <v>38</v>
      </c>
      <c r="B142" s="12" t="s">
        <v>43</v>
      </c>
      <c r="C142" s="10"/>
      <c r="D142" s="12">
        <v>1964</v>
      </c>
    </row>
    <row r="143" spans="1:4" ht="19.95" customHeight="1" x14ac:dyDescent="0.25">
      <c r="A143" s="11" t="s">
        <v>39</v>
      </c>
      <c r="B143" s="12" t="s">
        <v>43</v>
      </c>
      <c r="C143" s="10"/>
      <c r="D143" s="12">
        <v>1964</v>
      </c>
    </row>
    <row r="144" spans="1:4" ht="19.95" customHeight="1" x14ac:dyDescent="0.25">
      <c r="A144" s="11" t="s">
        <v>40</v>
      </c>
      <c r="B144" s="12" t="s">
        <v>43</v>
      </c>
      <c r="C144" s="10"/>
      <c r="D144" s="12">
        <v>1964</v>
      </c>
    </row>
    <row r="145" spans="1:4" ht="19.95" customHeight="1" x14ac:dyDescent="0.25">
      <c r="A145" s="11" t="s">
        <v>10</v>
      </c>
      <c r="B145" s="12" t="s">
        <v>43</v>
      </c>
      <c r="C145" s="10"/>
      <c r="D145" s="12">
        <v>1965</v>
      </c>
    </row>
    <row r="146" spans="1:4" ht="19.95" customHeight="1" x14ac:dyDescent="0.25">
      <c r="A146" s="11" t="s">
        <v>13</v>
      </c>
      <c r="B146" s="12" t="s">
        <v>43</v>
      </c>
      <c r="C146" s="10"/>
      <c r="D146" s="12">
        <v>1965</v>
      </c>
    </row>
    <row r="147" spans="1:4" ht="19.95" customHeight="1" x14ac:dyDescent="0.25">
      <c r="A147" s="11" t="s">
        <v>15</v>
      </c>
      <c r="B147" s="12" t="s">
        <v>43</v>
      </c>
      <c r="C147" s="10"/>
      <c r="D147" s="12">
        <v>1965</v>
      </c>
    </row>
    <row r="148" spans="1:4" ht="19.95" customHeight="1" x14ac:dyDescent="0.25">
      <c r="A148" s="11" t="s">
        <v>16</v>
      </c>
      <c r="B148" s="12" t="s">
        <v>43</v>
      </c>
      <c r="C148" s="10"/>
      <c r="D148" s="12">
        <v>1965</v>
      </c>
    </row>
    <row r="149" spans="1:4" ht="19.95" customHeight="1" x14ac:dyDescent="0.25">
      <c r="A149" s="11" t="s">
        <v>17</v>
      </c>
      <c r="B149" s="12" t="s">
        <v>43</v>
      </c>
      <c r="C149" s="10"/>
      <c r="D149" s="12">
        <v>1965</v>
      </c>
    </row>
    <row r="150" spans="1:4" ht="19.95" customHeight="1" x14ac:dyDescent="0.25">
      <c r="A150" s="11" t="s">
        <v>2</v>
      </c>
      <c r="B150" s="12" t="s">
        <v>43</v>
      </c>
      <c r="C150" s="10"/>
      <c r="D150" s="12">
        <v>1965</v>
      </c>
    </row>
    <row r="151" spans="1:4" ht="19.95" customHeight="1" x14ac:dyDescent="0.25">
      <c r="A151" s="11" t="s">
        <v>18</v>
      </c>
      <c r="B151" s="12" t="s">
        <v>43</v>
      </c>
      <c r="C151" s="10"/>
      <c r="D151" s="12">
        <v>1965</v>
      </c>
    </row>
    <row r="152" spans="1:4" ht="19.95" customHeight="1" x14ac:dyDescent="0.25">
      <c r="A152" s="11" t="s">
        <v>19</v>
      </c>
      <c r="B152" s="12" t="s">
        <v>43</v>
      </c>
      <c r="C152" s="10"/>
      <c r="D152" s="12">
        <v>1965</v>
      </c>
    </row>
    <row r="153" spans="1:4" ht="19.95" customHeight="1" x14ac:dyDescent="0.25">
      <c r="A153" s="11" t="s">
        <v>20</v>
      </c>
      <c r="B153" s="12" t="s">
        <v>43</v>
      </c>
      <c r="C153" s="10"/>
      <c r="D153" s="12">
        <v>1965</v>
      </c>
    </row>
    <row r="154" spans="1:4" ht="19.95" customHeight="1" x14ac:dyDescent="0.25">
      <c r="A154" s="11" t="s">
        <v>21</v>
      </c>
      <c r="B154" s="12" t="s">
        <v>43</v>
      </c>
      <c r="C154" s="10"/>
      <c r="D154" s="12">
        <v>1965</v>
      </c>
    </row>
    <row r="155" spans="1:4" ht="19.95" customHeight="1" x14ac:dyDescent="0.25">
      <c r="A155" s="11" t="s">
        <v>22</v>
      </c>
      <c r="B155" s="12" t="s">
        <v>43</v>
      </c>
      <c r="C155" s="10"/>
      <c r="D155" s="12">
        <v>1965</v>
      </c>
    </row>
    <row r="156" spans="1:4" ht="19.95" customHeight="1" x14ac:dyDescent="0.25">
      <c r="A156" s="11" t="s">
        <v>23</v>
      </c>
      <c r="B156" s="12" t="s">
        <v>43</v>
      </c>
      <c r="C156" s="10"/>
      <c r="D156" s="12">
        <v>1965</v>
      </c>
    </row>
    <row r="157" spans="1:4" ht="19.95" customHeight="1" x14ac:dyDescent="0.25">
      <c r="A157" s="11" t="s">
        <v>24</v>
      </c>
      <c r="B157" s="12" t="s">
        <v>43</v>
      </c>
      <c r="C157" s="10"/>
      <c r="D157" s="12">
        <v>1965</v>
      </c>
    </row>
    <row r="158" spans="1:4" ht="19.95" customHeight="1" x14ac:dyDescent="0.25">
      <c r="A158" s="11" t="s">
        <v>25</v>
      </c>
      <c r="B158" s="12" t="s">
        <v>43</v>
      </c>
      <c r="C158" s="10"/>
      <c r="D158" s="12">
        <v>1965</v>
      </c>
    </row>
    <row r="159" spans="1:4" ht="19.95" customHeight="1" x14ac:dyDescent="0.25">
      <c r="A159" s="11" t="s">
        <v>26</v>
      </c>
      <c r="B159" s="12" t="s">
        <v>43</v>
      </c>
      <c r="C159" s="10"/>
      <c r="D159" s="12">
        <v>1965</v>
      </c>
    </row>
    <row r="160" spans="1:4" ht="19.95" customHeight="1" x14ac:dyDescent="0.25">
      <c r="A160" s="11" t="s">
        <v>27</v>
      </c>
      <c r="B160" s="12" t="s">
        <v>43</v>
      </c>
      <c r="C160" s="10"/>
      <c r="D160" s="12">
        <v>1965</v>
      </c>
    </row>
    <row r="161" spans="1:4" ht="19.95" customHeight="1" x14ac:dyDescent="0.25">
      <c r="A161" s="11" t="s">
        <v>29</v>
      </c>
      <c r="B161" s="12" t="s">
        <v>43</v>
      </c>
      <c r="C161" s="10"/>
      <c r="D161" s="12">
        <v>1965</v>
      </c>
    </row>
    <row r="162" spans="1:4" ht="19.95" customHeight="1" x14ac:dyDescent="0.25">
      <c r="A162" s="11" t="s">
        <v>30</v>
      </c>
      <c r="B162" s="12" t="s">
        <v>43</v>
      </c>
      <c r="C162" s="10"/>
      <c r="D162" s="12">
        <v>1965</v>
      </c>
    </row>
    <row r="163" spans="1:4" ht="19.95" customHeight="1" x14ac:dyDescent="0.25">
      <c r="A163" s="11" t="s">
        <v>31</v>
      </c>
      <c r="B163" s="12" t="s">
        <v>43</v>
      </c>
      <c r="C163" s="10"/>
      <c r="D163" s="12">
        <v>1965</v>
      </c>
    </row>
    <row r="164" spans="1:4" ht="19.95" customHeight="1" x14ac:dyDescent="0.25">
      <c r="A164" s="11" t="s">
        <v>32</v>
      </c>
      <c r="B164" s="12" t="s">
        <v>43</v>
      </c>
      <c r="C164" s="10"/>
      <c r="D164" s="12">
        <v>1965</v>
      </c>
    </row>
    <row r="165" spans="1:4" ht="19.95" customHeight="1" x14ac:dyDescent="0.25">
      <c r="A165" s="11" t="s">
        <v>33</v>
      </c>
      <c r="B165" s="12" t="s">
        <v>43</v>
      </c>
      <c r="C165" s="10"/>
      <c r="D165" s="12">
        <v>1965</v>
      </c>
    </row>
    <row r="166" spans="1:4" ht="19.95" customHeight="1" x14ac:dyDescent="0.25">
      <c r="A166" s="11" t="s">
        <v>34</v>
      </c>
      <c r="B166" s="12" t="s">
        <v>43</v>
      </c>
      <c r="C166" s="10"/>
      <c r="D166" s="12">
        <v>1965</v>
      </c>
    </row>
    <row r="167" spans="1:4" ht="19.95" customHeight="1" x14ac:dyDescent="0.25">
      <c r="A167" s="11" t="s">
        <v>35</v>
      </c>
      <c r="B167" s="12" t="s">
        <v>43</v>
      </c>
      <c r="C167" s="10"/>
      <c r="D167" s="12">
        <v>1965</v>
      </c>
    </row>
    <row r="168" spans="1:4" ht="19.95" customHeight="1" x14ac:dyDescent="0.25">
      <c r="A168" s="11" t="s">
        <v>36</v>
      </c>
      <c r="B168" s="12" t="s">
        <v>43</v>
      </c>
      <c r="C168" s="10"/>
      <c r="D168" s="12">
        <v>1965</v>
      </c>
    </row>
    <row r="169" spans="1:4" ht="19.95" customHeight="1" x14ac:dyDescent="0.25">
      <c r="A169" s="11" t="s">
        <v>37</v>
      </c>
      <c r="B169" s="12" t="s">
        <v>43</v>
      </c>
      <c r="C169" s="10"/>
      <c r="D169" s="12">
        <v>1965</v>
      </c>
    </row>
    <row r="170" spans="1:4" ht="19.95" customHeight="1" x14ac:dyDescent="0.25">
      <c r="A170" s="11" t="s">
        <v>38</v>
      </c>
      <c r="B170" s="12" t="s">
        <v>43</v>
      </c>
      <c r="C170" s="10"/>
      <c r="D170" s="12">
        <v>1965</v>
      </c>
    </row>
    <row r="171" spans="1:4" ht="19.95" customHeight="1" x14ac:dyDescent="0.25">
      <c r="A171" s="11" t="s">
        <v>39</v>
      </c>
      <c r="B171" s="12" t="s">
        <v>43</v>
      </c>
      <c r="C171" s="10"/>
      <c r="D171" s="12">
        <v>1965</v>
      </c>
    </row>
    <row r="172" spans="1:4" ht="19.95" customHeight="1" x14ac:dyDescent="0.25">
      <c r="A172" s="11" t="s">
        <v>40</v>
      </c>
      <c r="B172" s="12" t="s">
        <v>43</v>
      </c>
      <c r="C172" s="10"/>
      <c r="D172" s="12">
        <v>1965</v>
      </c>
    </row>
    <row r="173" spans="1:4" ht="19.95" customHeight="1" x14ac:dyDescent="0.25">
      <c r="A173" s="11" t="s">
        <v>10</v>
      </c>
      <c r="B173" s="12" t="s">
        <v>43</v>
      </c>
      <c r="C173" s="10"/>
      <c r="D173" s="12">
        <v>1966</v>
      </c>
    </row>
    <row r="174" spans="1:4" ht="19.95" customHeight="1" x14ac:dyDescent="0.25">
      <c r="A174" s="11" t="s">
        <v>13</v>
      </c>
      <c r="B174" s="12" t="s">
        <v>43</v>
      </c>
      <c r="C174" s="10"/>
      <c r="D174" s="12">
        <v>1966</v>
      </c>
    </row>
    <row r="175" spans="1:4" ht="19.95" customHeight="1" x14ac:dyDescent="0.25">
      <c r="A175" s="11" t="s">
        <v>15</v>
      </c>
      <c r="B175" s="12" t="s">
        <v>43</v>
      </c>
      <c r="C175" s="10"/>
      <c r="D175" s="12">
        <v>1966</v>
      </c>
    </row>
    <row r="176" spans="1:4" ht="19.95" customHeight="1" x14ac:dyDescent="0.25">
      <c r="A176" s="11" t="s">
        <v>16</v>
      </c>
      <c r="B176" s="12" t="s">
        <v>43</v>
      </c>
      <c r="C176" s="10"/>
      <c r="D176" s="12">
        <v>1966</v>
      </c>
    </row>
    <row r="177" spans="1:4" ht="19.95" customHeight="1" x14ac:dyDescent="0.25">
      <c r="A177" s="11" t="s">
        <v>17</v>
      </c>
      <c r="B177" s="12" t="s">
        <v>43</v>
      </c>
      <c r="C177" s="10"/>
      <c r="D177" s="12">
        <v>1966</v>
      </c>
    </row>
    <row r="178" spans="1:4" ht="19.95" customHeight="1" x14ac:dyDescent="0.25">
      <c r="A178" s="11" t="s">
        <v>2</v>
      </c>
      <c r="B178" s="12" t="s">
        <v>43</v>
      </c>
      <c r="C178" s="10"/>
      <c r="D178" s="12">
        <v>1966</v>
      </c>
    </row>
    <row r="179" spans="1:4" ht="19.95" customHeight="1" x14ac:dyDescent="0.25">
      <c r="A179" s="11" t="s">
        <v>18</v>
      </c>
      <c r="B179" s="12" t="s">
        <v>43</v>
      </c>
      <c r="C179" s="10"/>
      <c r="D179" s="12">
        <v>1966</v>
      </c>
    </row>
    <row r="180" spans="1:4" ht="19.95" customHeight="1" x14ac:dyDescent="0.25">
      <c r="A180" s="11" t="s">
        <v>19</v>
      </c>
      <c r="B180" s="12" t="s">
        <v>43</v>
      </c>
      <c r="C180" s="10"/>
      <c r="D180" s="12">
        <v>1966</v>
      </c>
    </row>
    <row r="181" spans="1:4" ht="19.95" customHeight="1" x14ac:dyDescent="0.25">
      <c r="A181" s="11" t="s">
        <v>20</v>
      </c>
      <c r="B181" s="12" t="s">
        <v>43</v>
      </c>
      <c r="C181" s="10"/>
      <c r="D181" s="12">
        <v>1966</v>
      </c>
    </row>
    <row r="182" spans="1:4" ht="19.95" customHeight="1" x14ac:dyDescent="0.25">
      <c r="A182" s="11" t="s">
        <v>21</v>
      </c>
      <c r="B182" s="12" t="s">
        <v>43</v>
      </c>
      <c r="C182" s="10"/>
      <c r="D182" s="12">
        <v>1966</v>
      </c>
    </row>
    <row r="183" spans="1:4" ht="19.95" customHeight="1" x14ac:dyDescent="0.25">
      <c r="A183" s="11" t="s">
        <v>22</v>
      </c>
      <c r="B183" s="12" t="s">
        <v>43</v>
      </c>
      <c r="C183" s="10"/>
      <c r="D183" s="12">
        <v>1966</v>
      </c>
    </row>
    <row r="184" spans="1:4" ht="19.95" customHeight="1" x14ac:dyDescent="0.25">
      <c r="A184" s="11" t="s">
        <v>23</v>
      </c>
      <c r="B184" s="12" t="s">
        <v>43</v>
      </c>
      <c r="C184" s="10"/>
      <c r="D184" s="12">
        <v>1966</v>
      </c>
    </row>
    <row r="185" spans="1:4" ht="19.95" customHeight="1" x14ac:dyDescent="0.25">
      <c r="A185" s="11" t="s">
        <v>24</v>
      </c>
      <c r="B185" s="12" t="s">
        <v>43</v>
      </c>
      <c r="C185" s="10"/>
      <c r="D185" s="12">
        <v>1966</v>
      </c>
    </row>
    <row r="186" spans="1:4" ht="19.95" customHeight="1" x14ac:dyDescent="0.25">
      <c r="A186" s="11" t="s">
        <v>25</v>
      </c>
      <c r="B186" s="12" t="s">
        <v>43</v>
      </c>
      <c r="C186" s="10"/>
      <c r="D186" s="12">
        <v>1966</v>
      </c>
    </row>
    <row r="187" spans="1:4" ht="19.95" customHeight="1" x14ac:dyDescent="0.25">
      <c r="A187" s="11" t="s">
        <v>26</v>
      </c>
      <c r="B187" s="12" t="s">
        <v>43</v>
      </c>
      <c r="C187" s="10"/>
      <c r="D187" s="12">
        <v>1966</v>
      </c>
    </row>
    <row r="188" spans="1:4" ht="19.95" customHeight="1" x14ac:dyDescent="0.25">
      <c r="A188" s="11" t="s">
        <v>27</v>
      </c>
      <c r="B188" s="12" t="s">
        <v>43</v>
      </c>
      <c r="C188" s="10"/>
      <c r="D188" s="12">
        <v>1966</v>
      </c>
    </row>
    <row r="189" spans="1:4" ht="19.95" customHeight="1" x14ac:dyDescent="0.25">
      <c r="A189" s="11" t="s">
        <v>29</v>
      </c>
      <c r="B189" s="12" t="s">
        <v>43</v>
      </c>
      <c r="C189" s="10"/>
      <c r="D189" s="12">
        <v>1966</v>
      </c>
    </row>
    <row r="190" spans="1:4" ht="19.95" customHeight="1" x14ac:dyDescent="0.25">
      <c r="A190" s="11" t="s">
        <v>30</v>
      </c>
      <c r="B190" s="12" t="s">
        <v>43</v>
      </c>
      <c r="C190" s="10"/>
      <c r="D190" s="12">
        <v>1966</v>
      </c>
    </row>
    <row r="191" spans="1:4" ht="19.95" customHeight="1" x14ac:dyDescent="0.25">
      <c r="A191" s="11" t="s">
        <v>31</v>
      </c>
      <c r="B191" s="12" t="s">
        <v>43</v>
      </c>
      <c r="C191" s="10"/>
      <c r="D191" s="12">
        <v>1966</v>
      </c>
    </row>
    <row r="192" spans="1:4" ht="19.95" customHeight="1" x14ac:dyDescent="0.25">
      <c r="A192" s="11" t="s">
        <v>32</v>
      </c>
      <c r="B192" s="12" t="s">
        <v>43</v>
      </c>
      <c r="C192" s="10"/>
      <c r="D192" s="12">
        <v>1966</v>
      </c>
    </row>
    <row r="193" spans="1:4" ht="19.95" customHeight="1" x14ac:dyDescent="0.25">
      <c r="A193" s="11" t="s">
        <v>33</v>
      </c>
      <c r="B193" s="12" t="s">
        <v>43</v>
      </c>
      <c r="C193" s="10"/>
      <c r="D193" s="12">
        <v>1966</v>
      </c>
    </row>
    <row r="194" spans="1:4" ht="19.95" customHeight="1" x14ac:dyDescent="0.25">
      <c r="A194" s="11" t="s">
        <v>34</v>
      </c>
      <c r="B194" s="12" t="s">
        <v>43</v>
      </c>
      <c r="C194" s="10"/>
      <c r="D194" s="12">
        <v>1966</v>
      </c>
    </row>
    <row r="195" spans="1:4" ht="19.95" customHeight="1" x14ac:dyDescent="0.25">
      <c r="A195" s="11" t="s">
        <v>35</v>
      </c>
      <c r="B195" s="12" t="s">
        <v>43</v>
      </c>
      <c r="C195" s="10"/>
      <c r="D195" s="12">
        <v>1966</v>
      </c>
    </row>
    <row r="196" spans="1:4" ht="19.95" customHeight="1" x14ac:dyDescent="0.25">
      <c r="A196" s="11" t="s">
        <v>36</v>
      </c>
      <c r="B196" s="12" t="s">
        <v>43</v>
      </c>
      <c r="C196" s="10"/>
      <c r="D196" s="12">
        <v>1966</v>
      </c>
    </row>
    <row r="197" spans="1:4" ht="19.95" customHeight="1" x14ac:dyDescent="0.25">
      <c r="A197" s="11" t="s">
        <v>37</v>
      </c>
      <c r="B197" s="12" t="s">
        <v>43</v>
      </c>
      <c r="C197" s="10"/>
      <c r="D197" s="12">
        <v>1966</v>
      </c>
    </row>
    <row r="198" spans="1:4" ht="19.95" customHeight="1" x14ac:dyDescent="0.25">
      <c r="A198" s="11" t="s">
        <v>38</v>
      </c>
      <c r="B198" s="12" t="s">
        <v>43</v>
      </c>
      <c r="C198" s="10"/>
      <c r="D198" s="12">
        <v>1966</v>
      </c>
    </row>
    <row r="199" spans="1:4" ht="19.95" customHeight="1" x14ac:dyDescent="0.25">
      <c r="A199" s="11" t="s">
        <v>39</v>
      </c>
      <c r="B199" s="12" t="s">
        <v>43</v>
      </c>
      <c r="C199" s="10"/>
      <c r="D199" s="12">
        <v>1966</v>
      </c>
    </row>
    <row r="200" spans="1:4" ht="19.95" customHeight="1" x14ac:dyDescent="0.25">
      <c r="A200" s="11" t="s">
        <v>40</v>
      </c>
      <c r="B200" s="12" t="s">
        <v>43</v>
      </c>
      <c r="C200" s="10"/>
      <c r="D200" s="12">
        <v>1966</v>
      </c>
    </row>
    <row r="201" spans="1:4" ht="19.95" customHeight="1" x14ac:dyDescent="0.25">
      <c r="A201" s="11" t="s">
        <v>10</v>
      </c>
      <c r="B201" s="12" t="s">
        <v>43</v>
      </c>
      <c r="C201" s="10"/>
      <c r="D201" s="12">
        <v>1967</v>
      </c>
    </row>
    <row r="202" spans="1:4" ht="19.95" customHeight="1" x14ac:dyDescent="0.25">
      <c r="A202" s="11" t="s">
        <v>13</v>
      </c>
      <c r="B202" s="12" t="s">
        <v>43</v>
      </c>
      <c r="C202" s="10"/>
      <c r="D202" s="12">
        <v>1967</v>
      </c>
    </row>
    <row r="203" spans="1:4" ht="19.95" customHeight="1" x14ac:dyDescent="0.25">
      <c r="A203" s="11" t="s">
        <v>15</v>
      </c>
      <c r="B203" s="12" t="s">
        <v>43</v>
      </c>
      <c r="C203" s="10"/>
      <c r="D203" s="12">
        <v>1967</v>
      </c>
    </row>
    <row r="204" spans="1:4" ht="19.95" customHeight="1" x14ac:dyDescent="0.25">
      <c r="A204" s="11" t="s">
        <v>16</v>
      </c>
      <c r="B204" s="12" t="s">
        <v>43</v>
      </c>
      <c r="C204" s="10"/>
      <c r="D204" s="12">
        <v>1967</v>
      </c>
    </row>
    <row r="205" spans="1:4" ht="19.95" customHeight="1" x14ac:dyDescent="0.25">
      <c r="A205" s="11" t="s">
        <v>17</v>
      </c>
      <c r="B205" s="12" t="s">
        <v>43</v>
      </c>
      <c r="C205" s="10"/>
      <c r="D205" s="12">
        <v>1967</v>
      </c>
    </row>
    <row r="206" spans="1:4" ht="19.95" customHeight="1" x14ac:dyDescent="0.25">
      <c r="A206" s="11" t="s">
        <v>2</v>
      </c>
      <c r="B206" s="12" t="s">
        <v>43</v>
      </c>
      <c r="C206" s="10"/>
      <c r="D206" s="12">
        <v>1967</v>
      </c>
    </row>
    <row r="207" spans="1:4" ht="19.95" customHeight="1" x14ac:dyDescent="0.25">
      <c r="A207" s="11" t="s">
        <v>18</v>
      </c>
      <c r="B207" s="12" t="s">
        <v>43</v>
      </c>
      <c r="C207" s="10"/>
      <c r="D207" s="12">
        <v>1967</v>
      </c>
    </row>
    <row r="208" spans="1:4" ht="19.95" customHeight="1" x14ac:dyDescent="0.25">
      <c r="A208" s="11" t="s">
        <v>19</v>
      </c>
      <c r="B208" s="12" t="s">
        <v>43</v>
      </c>
      <c r="C208" s="10"/>
      <c r="D208" s="12">
        <v>1967</v>
      </c>
    </row>
    <row r="209" spans="1:4" ht="19.95" customHeight="1" x14ac:dyDescent="0.25">
      <c r="A209" s="11" t="s">
        <v>20</v>
      </c>
      <c r="B209" s="12" t="s">
        <v>43</v>
      </c>
      <c r="C209" s="10"/>
      <c r="D209" s="12">
        <v>1967</v>
      </c>
    </row>
    <row r="210" spans="1:4" ht="19.95" customHeight="1" x14ac:dyDescent="0.25">
      <c r="A210" s="11" t="s">
        <v>21</v>
      </c>
      <c r="B210" s="12" t="s">
        <v>43</v>
      </c>
      <c r="C210" s="10"/>
      <c r="D210" s="12">
        <v>1967</v>
      </c>
    </row>
    <row r="211" spans="1:4" ht="19.95" customHeight="1" x14ac:dyDescent="0.25">
      <c r="A211" s="11" t="s">
        <v>22</v>
      </c>
      <c r="B211" s="12" t="s">
        <v>43</v>
      </c>
      <c r="C211" s="10"/>
      <c r="D211" s="12">
        <v>1967</v>
      </c>
    </row>
    <row r="212" spans="1:4" ht="19.95" customHeight="1" x14ac:dyDescent="0.25">
      <c r="A212" s="11" t="s">
        <v>23</v>
      </c>
      <c r="B212" s="12" t="s">
        <v>43</v>
      </c>
      <c r="C212" s="10"/>
      <c r="D212" s="12">
        <v>1967</v>
      </c>
    </row>
    <row r="213" spans="1:4" ht="19.95" customHeight="1" x14ac:dyDescent="0.25">
      <c r="A213" s="11" t="s">
        <v>24</v>
      </c>
      <c r="B213" s="12" t="s">
        <v>43</v>
      </c>
      <c r="C213" s="10"/>
      <c r="D213" s="12">
        <v>1967</v>
      </c>
    </row>
    <row r="214" spans="1:4" ht="19.95" customHeight="1" x14ac:dyDescent="0.25">
      <c r="A214" s="11" t="s">
        <v>25</v>
      </c>
      <c r="B214" s="12" t="s">
        <v>43</v>
      </c>
      <c r="C214" s="10"/>
      <c r="D214" s="12">
        <v>1967</v>
      </c>
    </row>
    <row r="215" spans="1:4" ht="19.95" customHeight="1" x14ac:dyDescent="0.25">
      <c r="A215" s="11" t="s">
        <v>26</v>
      </c>
      <c r="B215" s="12" t="s">
        <v>43</v>
      </c>
      <c r="C215" s="10"/>
      <c r="D215" s="12">
        <v>1967</v>
      </c>
    </row>
    <row r="216" spans="1:4" ht="19.95" customHeight="1" x14ac:dyDescent="0.25">
      <c r="A216" s="11" t="s">
        <v>27</v>
      </c>
      <c r="B216" s="12" t="s">
        <v>43</v>
      </c>
      <c r="C216" s="10"/>
      <c r="D216" s="12">
        <v>1967</v>
      </c>
    </row>
    <row r="217" spans="1:4" ht="19.95" customHeight="1" x14ac:dyDescent="0.25">
      <c r="A217" s="11" t="s">
        <v>29</v>
      </c>
      <c r="B217" s="12" t="s">
        <v>43</v>
      </c>
      <c r="C217" s="10"/>
      <c r="D217" s="12">
        <v>1967</v>
      </c>
    </row>
    <row r="218" spans="1:4" ht="19.95" customHeight="1" x14ac:dyDescent="0.25">
      <c r="A218" s="11" t="s">
        <v>30</v>
      </c>
      <c r="B218" s="12" t="s">
        <v>43</v>
      </c>
      <c r="C218" s="10"/>
      <c r="D218" s="12">
        <v>1967</v>
      </c>
    </row>
    <row r="219" spans="1:4" ht="19.95" customHeight="1" x14ac:dyDescent="0.25">
      <c r="A219" s="11" t="s">
        <v>31</v>
      </c>
      <c r="B219" s="12" t="s">
        <v>43</v>
      </c>
      <c r="C219" s="10"/>
      <c r="D219" s="12">
        <v>1967</v>
      </c>
    </row>
    <row r="220" spans="1:4" ht="19.95" customHeight="1" x14ac:dyDescent="0.25">
      <c r="A220" s="11" t="s">
        <v>32</v>
      </c>
      <c r="B220" s="12" t="s">
        <v>43</v>
      </c>
      <c r="C220" s="10"/>
      <c r="D220" s="12">
        <v>1967</v>
      </c>
    </row>
    <row r="221" spans="1:4" ht="19.95" customHeight="1" x14ac:dyDescent="0.25">
      <c r="A221" s="11" t="s">
        <v>33</v>
      </c>
      <c r="B221" s="12" t="s">
        <v>43</v>
      </c>
      <c r="C221" s="10"/>
      <c r="D221" s="12">
        <v>1967</v>
      </c>
    </row>
    <row r="222" spans="1:4" ht="19.95" customHeight="1" x14ac:dyDescent="0.25">
      <c r="A222" s="11" t="s">
        <v>34</v>
      </c>
      <c r="B222" s="12" t="s">
        <v>43</v>
      </c>
      <c r="C222" s="10"/>
      <c r="D222" s="12">
        <v>1967</v>
      </c>
    </row>
    <row r="223" spans="1:4" ht="19.95" customHeight="1" x14ac:dyDescent="0.25">
      <c r="A223" s="11" t="s">
        <v>35</v>
      </c>
      <c r="B223" s="12" t="s">
        <v>43</v>
      </c>
      <c r="C223" s="10"/>
      <c r="D223" s="12">
        <v>1967</v>
      </c>
    </row>
    <row r="224" spans="1:4" ht="19.95" customHeight="1" x14ac:dyDescent="0.25">
      <c r="A224" s="11" t="s">
        <v>36</v>
      </c>
      <c r="B224" s="12" t="s">
        <v>43</v>
      </c>
      <c r="C224" s="10"/>
      <c r="D224" s="12">
        <v>1967</v>
      </c>
    </row>
    <row r="225" spans="1:4" ht="19.95" customHeight="1" x14ac:dyDescent="0.25">
      <c r="A225" s="11" t="s">
        <v>37</v>
      </c>
      <c r="B225" s="12" t="s">
        <v>43</v>
      </c>
      <c r="C225" s="10"/>
      <c r="D225" s="12">
        <v>1967</v>
      </c>
    </row>
    <row r="226" spans="1:4" ht="19.95" customHeight="1" x14ac:dyDescent="0.25">
      <c r="A226" s="11" t="s">
        <v>38</v>
      </c>
      <c r="B226" s="12" t="s">
        <v>43</v>
      </c>
      <c r="C226" s="10"/>
      <c r="D226" s="12">
        <v>1967</v>
      </c>
    </row>
    <row r="227" spans="1:4" ht="19.95" customHeight="1" x14ac:dyDescent="0.25">
      <c r="A227" s="11" t="s">
        <v>39</v>
      </c>
      <c r="B227" s="12" t="s">
        <v>43</v>
      </c>
      <c r="C227" s="10"/>
      <c r="D227" s="12">
        <v>1967</v>
      </c>
    </row>
    <row r="228" spans="1:4" ht="19.95" customHeight="1" x14ac:dyDescent="0.25">
      <c r="A228" s="11" t="s">
        <v>40</v>
      </c>
      <c r="B228" s="12" t="s">
        <v>43</v>
      </c>
      <c r="C228" s="10"/>
      <c r="D228" s="12">
        <v>1967</v>
      </c>
    </row>
    <row r="229" spans="1:4" ht="19.95" customHeight="1" x14ac:dyDescent="0.25">
      <c r="A229" s="11" t="s">
        <v>10</v>
      </c>
      <c r="B229" s="12" t="s">
        <v>43</v>
      </c>
      <c r="C229" s="10"/>
      <c r="D229" s="12">
        <v>1968</v>
      </c>
    </row>
    <row r="230" spans="1:4" ht="19.95" customHeight="1" x14ac:dyDescent="0.25">
      <c r="A230" s="11" t="s">
        <v>13</v>
      </c>
      <c r="B230" s="12" t="s">
        <v>43</v>
      </c>
      <c r="C230" s="10"/>
      <c r="D230" s="12">
        <v>1968</v>
      </c>
    </row>
    <row r="231" spans="1:4" ht="19.95" customHeight="1" x14ac:dyDescent="0.25">
      <c r="A231" s="11" t="s">
        <v>15</v>
      </c>
      <c r="B231" s="12" t="s">
        <v>43</v>
      </c>
      <c r="C231" s="10"/>
      <c r="D231" s="12">
        <v>1968</v>
      </c>
    </row>
    <row r="232" spans="1:4" ht="19.95" customHeight="1" x14ac:dyDescent="0.25">
      <c r="A232" s="11" t="s">
        <v>16</v>
      </c>
      <c r="B232" s="12" t="s">
        <v>43</v>
      </c>
      <c r="C232" s="10"/>
      <c r="D232" s="12">
        <v>1968</v>
      </c>
    </row>
    <row r="233" spans="1:4" ht="19.95" customHeight="1" x14ac:dyDescent="0.25">
      <c r="A233" s="11" t="s">
        <v>17</v>
      </c>
      <c r="B233" s="12" t="s">
        <v>43</v>
      </c>
      <c r="C233" s="10"/>
      <c r="D233" s="12">
        <v>1968</v>
      </c>
    </row>
    <row r="234" spans="1:4" ht="19.95" customHeight="1" x14ac:dyDescent="0.25">
      <c r="A234" s="11" t="s">
        <v>2</v>
      </c>
      <c r="B234" s="12" t="s">
        <v>43</v>
      </c>
      <c r="C234" s="10"/>
      <c r="D234" s="12">
        <v>1968</v>
      </c>
    </row>
    <row r="235" spans="1:4" ht="19.95" customHeight="1" x14ac:dyDescent="0.25">
      <c r="A235" s="11" t="s">
        <v>18</v>
      </c>
      <c r="B235" s="12" t="s">
        <v>43</v>
      </c>
      <c r="C235" s="10"/>
      <c r="D235" s="12">
        <v>1968</v>
      </c>
    </row>
    <row r="236" spans="1:4" ht="19.95" customHeight="1" x14ac:dyDescent="0.25">
      <c r="A236" s="11" t="s">
        <v>19</v>
      </c>
      <c r="B236" s="12" t="s">
        <v>43</v>
      </c>
      <c r="C236" s="10"/>
      <c r="D236" s="12">
        <v>1968</v>
      </c>
    </row>
    <row r="237" spans="1:4" ht="19.95" customHeight="1" x14ac:dyDescent="0.25">
      <c r="A237" s="11" t="s">
        <v>20</v>
      </c>
      <c r="B237" s="12" t="s">
        <v>43</v>
      </c>
      <c r="C237" s="10"/>
      <c r="D237" s="12">
        <v>1968</v>
      </c>
    </row>
    <row r="238" spans="1:4" ht="19.95" customHeight="1" x14ac:dyDescent="0.25">
      <c r="A238" s="11" t="s">
        <v>21</v>
      </c>
      <c r="B238" s="12" t="s">
        <v>43</v>
      </c>
      <c r="C238" s="10"/>
      <c r="D238" s="12">
        <v>1968</v>
      </c>
    </row>
    <row r="239" spans="1:4" ht="19.95" customHeight="1" x14ac:dyDescent="0.25">
      <c r="A239" s="11" t="s">
        <v>22</v>
      </c>
      <c r="B239" s="12" t="s">
        <v>43</v>
      </c>
      <c r="C239" s="10"/>
      <c r="D239" s="12">
        <v>1968</v>
      </c>
    </row>
    <row r="240" spans="1:4" ht="19.95" customHeight="1" x14ac:dyDescent="0.25">
      <c r="A240" s="11" t="s">
        <v>23</v>
      </c>
      <c r="B240" s="12" t="s">
        <v>43</v>
      </c>
      <c r="C240" s="10"/>
      <c r="D240" s="12">
        <v>1968</v>
      </c>
    </row>
    <row r="241" spans="1:4" ht="19.95" customHeight="1" x14ac:dyDescent="0.25">
      <c r="A241" s="11" t="s">
        <v>24</v>
      </c>
      <c r="B241" s="12" t="s">
        <v>43</v>
      </c>
      <c r="C241" s="10"/>
      <c r="D241" s="12">
        <v>1968</v>
      </c>
    </row>
    <row r="242" spans="1:4" ht="19.95" customHeight="1" x14ac:dyDescent="0.25">
      <c r="A242" s="11" t="s">
        <v>25</v>
      </c>
      <c r="B242" s="12" t="s">
        <v>43</v>
      </c>
      <c r="C242" s="10"/>
      <c r="D242" s="12">
        <v>1968</v>
      </c>
    </row>
    <row r="243" spans="1:4" ht="19.95" customHeight="1" x14ac:dyDescent="0.25">
      <c r="A243" s="11" t="s">
        <v>26</v>
      </c>
      <c r="B243" s="12" t="s">
        <v>43</v>
      </c>
      <c r="C243" s="10"/>
      <c r="D243" s="12">
        <v>1968</v>
      </c>
    </row>
    <row r="244" spans="1:4" ht="19.95" customHeight="1" x14ac:dyDescent="0.25">
      <c r="A244" s="11" t="s">
        <v>27</v>
      </c>
      <c r="B244" s="12" t="s">
        <v>43</v>
      </c>
      <c r="C244" s="10"/>
      <c r="D244" s="12">
        <v>1968</v>
      </c>
    </row>
    <row r="245" spans="1:4" ht="19.95" customHeight="1" x14ac:dyDescent="0.25">
      <c r="A245" s="11" t="s">
        <v>29</v>
      </c>
      <c r="B245" s="12" t="s">
        <v>43</v>
      </c>
      <c r="C245" s="10"/>
      <c r="D245" s="12">
        <v>1968</v>
      </c>
    </row>
    <row r="246" spans="1:4" ht="19.95" customHeight="1" x14ac:dyDescent="0.25">
      <c r="A246" s="11" t="s">
        <v>30</v>
      </c>
      <c r="B246" s="12" t="s">
        <v>43</v>
      </c>
      <c r="C246" s="10"/>
      <c r="D246" s="12">
        <v>1968</v>
      </c>
    </row>
    <row r="247" spans="1:4" ht="19.95" customHeight="1" x14ac:dyDescent="0.25">
      <c r="A247" s="11" t="s">
        <v>31</v>
      </c>
      <c r="B247" s="12" t="s">
        <v>43</v>
      </c>
      <c r="C247" s="10"/>
      <c r="D247" s="12">
        <v>1968</v>
      </c>
    </row>
    <row r="248" spans="1:4" ht="19.95" customHeight="1" x14ac:dyDescent="0.25">
      <c r="A248" s="11" t="s">
        <v>32</v>
      </c>
      <c r="B248" s="12" t="s">
        <v>43</v>
      </c>
      <c r="C248" s="10"/>
      <c r="D248" s="12">
        <v>1968</v>
      </c>
    </row>
    <row r="249" spans="1:4" ht="19.95" customHeight="1" x14ac:dyDescent="0.25">
      <c r="A249" s="11" t="s">
        <v>33</v>
      </c>
      <c r="B249" s="12" t="s">
        <v>43</v>
      </c>
      <c r="C249" s="10"/>
      <c r="D249" s="12">
        <v>1968</v>
      </c>
    </row>
    <row r="250" spans="1:4" ht="19.95" customHeight="1" x14ac:dyDescent="0.25">
      <c r="A250" s="11" t="s">
        <v>34</v>
      </c>
      <c r="B250" s="12" t="s">
        <v>43</v>
      </c>
      <c r="C250" s="10"/>
      <c r="D250" s="12">
        <v>1968</v>
      </c>
    </row>
    <row r="251" spans="1:4" ht="19.95" customHeight="1" x14ac:dyDescent="0.25">
      <c r="A251" s="11" t="s">
        <v>35</v>
      </c>
      <c r="B251" s="12" t="s">
        <v>43</v>
      </c>
      <c r="C251" s="10"/>
      <c r="D251" s="12">
        <v>1968</v>
      </c>
    </row>
    <row r="252" spans="1:4" ht="19.95" customHeight="1" x14ac:dyDescent="0.25">
      <c r="A252" s="11" t="s">
        <v>36</v>
      </c>
      <c r="B252" s="12" t="s">
        <v>43</v>
      </c>
      <c r="C252" s="10"/>
      <c r="D252" s="12">
        <v>1968</v>
      </c>
    </row>
    <row r="253" spans="1:4" ht="19.95" customHeight="1" x14ac:dyDescent="0.25">
      <c r="A253" s="11" t="s">
        <v>37</v>
      </c>
      <c r="B253" s="12" t="s">
        <v>43</v>
      </c>
      <c r="C253" s="10"/>
      <c r="D253" s="12">
        <v>1968</v>
      </c>
    </row>
    <row r="254" spans="1:4" ht="19.95" customHeight="1" x14ac:dyDescent="0.25">
      <c r="A254" s="11" t="s">
        <v>38</v>
      </c>
      <c r="B254" s="12" t="s">
        <v>43</v>
      </c>
      <c r="C254" s="10"/>
      <c r="D254" s="12">
        <v>1968</v>
      </c>
    </row>
    <row r="255" spans="1:4" ht="19.95" customHeight="1" x14ac:dyDescent="0.25">
      <c r="A255" s="11" t="s">
        <v>39</v>
      </c>
      <c r="B255" s="12" t="s">
        <v>43</v>
      </c>
      <c r="C255" s="10"/>
      <c r="D255" s="12">
        <v>1968</v>
      </c>
    </row>
    <row r="256" spans="1:4" ht="19.95" customHeight="1" x14ac:dyDescent="0.25">
      <c r="A256" s="11" t="s">
        <v>40</v>
      </c>
      <c r="B256" s="12" t="s">
        <v>43</v>
      </c>
      <c r="C256" s="10"/>
      <c r="D256" s="12">
        <v>1968</v>
      </c>
    </row>
    <row r="257" spans="1:4" ht="19.95" customHeight="1" x14ac:dyDescent="0.25">
      <c r="A257" s="11" t="s">
        <v>10</v>
      </c>
      <c r="B257" s="12" t="s">
        <v>43</v>
      </c>
      <c r="C257" s="10"/>
      <c r="D257" s="12">
        <v>1969</v>
      </c>
    </row>
    <row r="258" spans="1:4" ht="19.95" customHeight="1" x14ac:dyDescent="0.25">
      <c r="A258" s="11" t="s">
        <v>13</v>
      </c>
      <c r="B258" s="12" t="s">
        <v>43</v>
      </c>
      <c r="C258" s="10"/>
      <c r="D258" s="12">
        <v>1969</v>
      </c>
    </row>
    <row r="259" spans="1:4" ht="19.95" customHeight="1" x14ac:dyDescent="0.25">
      <c r="A259" s="11" t="s">
        <v>15</v>
      </c>
      <c r="B259" s="12" t="s">
        <v>43</v>
      </c>
      <c r="C259" s="10"/>
      <c r="D259" s="12">
        <v>1969</v>
      </c>
    </row>
    <row r="260" spans="1:4" ht="19.95" customHeight="1" x14ac:dyDescent="0.25">
      <c r="A260" s="11" t="s">
        <v>16</v>
      </c>
      <c r="B260" s="12" t="s">
        <v>43</v>
      </c>
      <c r="C260" s="10"/>
      <c r="D260" s="12">
        <v>1969</v>
      </c>
    </row>
    <row r="261" spans="1:4" ht="19.95" customHeight="1" x14ac:dyDescent="0.25">
      <c r="A261" s="11" t="s">
        <v>17</v>
      </c>
      <c r="B261" s="12" t="s">
        <v>43</v>
      </c>
      <c r="C261" s="10"/>
      <c r="D261" s="12">
        <v>1969</v>
      </c>
    </row>
    <row r="262" spans="1:4" ht="19.95" customHeight="1" x14ac:dyDescent="0.25">
      <c r="A262" s="11" t="s">
        <v>2</v>
      </c>
      <c r="B262" s="12" t="s">
        <v>43</v>
      </c>
      <c r="C262" s="10"/>
      <c r="D262" s="12">
        <v>1969</v>
      </c>
    </row>
    <row r="263" spans="1:4" ht="19.95" customHeight="1" x14ac:dyDescent="0.25">
      <c r="A263" s="11" t="s">
        <v>18</v>
      </c>
      <c r="B263" s="12" t="s">
        <v>43</v>
      </c>
      <c r="C263" s="10"/>
      <c r="D263" s="12">
        <v>1969</v>
      </c>
    </row>
    <row r="264" spans="1:4" ht="19.95" customHeight="1" x14ac:dyDescent="0.25">
      <c r="A264" s="11" t="s">
        <v>19</v>
      </c>
      <c r="B264" s="12" t="s">
        <v>43</v>
      </c>
      <c r="C264" s="10"/>
      <c r="D264" s="12">
        <v>1969</v>
      </c>
    </row>
    <row r="265" spans="1:4" ht="19.95" customHeight="1" x14ac:dyDescent="0.25">
      <c r="A265" s="11" t="s">
        <v>20</v>
      </c>
      <c r="B265" s="12" t="s">
        <v>43</v>
      </c>
      <c r="C265" s="10"/>
      <c r="D265" s="12">
        <v>1969</v>
      </c>
    </row>
    <row r="266" spans="1:4" ht="19.95" customHeight="1" x14ac:dyDescent="0.25">
      <c r="A266" s="11" t="s">
        <v>21</v>
      </c>
      <c r="B266" s="12" t="s">
        <v>43</v>
      </c>
      <c r="C266" s="10"/>
      <c r="D266" s="12">
        <v>1969</v>
      </c>
    </row>
    <row r="267" spans="1:4" ht="19.95" customHeight="1" x14ac:dyDescent="0.25">
      <c r="A267" s="11" t="s">
        <v>22</v>
      </c>
      <c r="B267" s="12" t="s">
        <v>43</v>
      </c>
      <c r="C267" s="10"/>
      <c r="D267" s="12">
        <v>1969</v>
      </c>
    </row>
    <row r="268" spans="1:4" ht="19.95" customHeight="1" x14ac:dyDescent="0.25">
      <c r="A268" s="11" t="s">
        <v>23</v>
      </c>
      <c r="B268" s="12" t="s">
        <v>43</v>
      </c>
      <c r="C268" s="10"/>
      <c r="D268" s="12">
        <v>1969</v>
      </c>
    </row>
    <row r="269" spans="1:4" ht="19.95" customHeight="1" x14ac:dyDescent="0.25">
      <c r="A269" s="11" t="s">
        <v>24</v>
      </c>
      <c r="B269" s="12" t="s">
        <v>43</v>
      </c>
      <c r="C269" s="10"/>
      <c r="D269" s="12">
        <v>1969</v>
      </c>
    </row>
    <row r="270" spans="1:4" ht="19.95" customHeight="1" x14ac:dyDescent="0.25">
      <c r="A270" s="11" t="s">
        <v>25</v>
      </c>
      <c r="B270" s="12" t="s">
        <v>43</v>
      </c>
      <c r="C270" s="10"/>
      <c r="D270" s="12">
        <v>1969</v>
      </c>
    </row>
    <row r="271" spans="1:4" ht="19.95" customHeight="1" x14ac:dyDescent="0.25">
      <c r="A271" s="11" t="s">
        <v>26</v>
      </c>
      <c r="B271" s="12" t="s">
        <v>43</v>
      </c>
      <c r="C271" s="10"/>
      <c r="D271" s="12">
        <v>1969</v>
      </c>
    </row>
    <row r="272" spans="1:4" ht="19.95" customHeight="1" x14ac:dyDescent="0.25">
      <c r="A272" s="11" t="s">
        <v>27</v>
      </c>
      <c r="B272" s="12" t="s">
        <v>43</v>
      </c>
      <c r="C272" s="10"/>
      <c r="D272" s="12">
        <v>1969</v>
      </c>
    </row>
    <row r="273" spans="1:4" ht="19.95" customHeight="1" x14ac:dyDescent="0.25">
      <c r="A273" s="11" t="s">
        <v>29</v>
      </c>
      <c r="B273" s="12" t="s">
        <v>43</v>
      </c>
      <c r="C273" s="10"/>
      <c r="D273" s="12">
        <v>1969</v>
      </c>
    </row>
    <row r="274" spans="1:4" ht="19.95" customHeight="1" x14ac:dyDescent="0.25">
      <c r="A274" s="11" t="s">
        <v>30</v>
      </c>
      <c r="B274" s="12" t="s">
        <v>43</v>
      </c>
      <c r="C274" s="10"/>
      <c r="D274" s="12">
        <v>1969</v>
      </c>
    </row>
    <row r="275" spans="1:4" ht="19.95" customHeight="1" x14ac:dyDescent="0.25">
      <c r="A275" s="11" t="s">
        <v>31</v>
      </c>
      <c r="B275" s="12" t="s">
        <v>43</v>
      </c>
      <c r="C275" s="10"/>
      <c r="D275" s="12">
        <v>1969</v>
      </c>
    </row>
    <row r="276" spans="1:4" ht="19.95" customHeight="1" x14ac:dyDescent="0.25">
      <c r="A276" s="11" t="s">
        <v>32</v>
      </c>
      <c r="B276" s="12" t="s">
        <v>43</v>
      </c>
      <c r="C276" s="10"/>
      <c r="D276" s="12">
        <v>1969</v>
      </c>
    </row>
    <row r="277" spans="1:4" ht="19.95" customHeight="1" x14ac:dyDescent="0.25">
      <c r="A277" s="11" t="s">
        <v>33</v>
      </c>
      <c r="B277" s="12" t="s">
        <v>43</v>
      </c>
      <c r="C277" s="10"/>
      <c r="D277" s="12">
        <v>1969</v>
      </c>
    </row>
    <row r="278" spans="1:4" ht="19.95" customHeight="1" x14ac:dyDescent="0.25">
      <c r="A278" s="11" t="s">
        <v>34</v>
      </c>
      <c r="B278" s="12" t="s">
        <v>43</v>
      </c>
      <c r="C278" s="10"/>
      <c r="D278" s="12">
        <v>1969</v>
      </c>
    </row>
    <row r="279" spans="1:4" ht="19.95" customHeight="1" x14ac:dyDescent="0.25">
      <c r="A279" s="11" t="s">
        <v>35</v>
      </c>
      <c r="B279" s="12" t="s">
        <v>43</v>
      </c>
      <c r="C279" s="10"/>
      <c r="D279" s="12">
        <v>1969</v>
      </c>
    </row>
    <row r="280" spans="1:4" ht="19.95" customHeight="1" x14ac:dyDescent="0.25">
      <c r="A280" s="11" t="s">
        <v>36</v>
      </c>
      <c r="B280" s="12" t="s">
        <v>43</v>
      </c>
      <c r="C280" s="10"/>
      <c r="D280" s="12">
        <v>1969</v>
      </c>
    </row>
    <row r="281" spans="1:4" ht="19.95" customHeight="1" x14ac:dyDescent="0.25">
      <c r="A281" s="11" t="s">
        <v>37</v>
      </c>
      <c r="B281" s="12" t="s">
        <v>43</v>
      </c>
      <c r="C281" s="10"/>
      <c r="D281" s="12">
        <v>1969</v>
      </c>
    </row>
    <row r="282" spans="1:4" ht="19.95" customHeight="1" x14ac:dyDescent="0.25">
      <c r="A282" s="11" t="s">
        <v>38</v>
      </c>
      <c r="B282" s="12" t="s">
        <v>43</v>
      </c>
      <c r="C282" s="10"/>
      <c r="D282" s="12">
        <v>1969</v>
      </c>
    </row>
    <row r="283" spans="1:4" ht="19.95" customHeight="1" x14ac:dyDescent="0.25">
      <c r="A283" s="11" t="s">
        <v>39</v>
      </c>
      <c r="B283" s="12" t="s">
        <v>43</v>
      </c>
      <c r="C283" s="10"/>
      <c r="D283" s="12">
        <v>1969</v>
      </c>
    </row>
    <row r="284" spans="1:4" ht="19.95" customHeight="1" x14ac:dyDescent="0.25">
      <c r="A284" s="11" t="s">
        <v>40</v>
      </c>
      <c r="B284" s="12" t="s">
        <v>43</v>
      </c>
      <c r="C284" s="10"/>
      <c r="D284" s="12">
        <v>1969</v>
      </c>
    </row>
    <row r="285" spans="1:4" ht="19.95" customHeight="1" x14ac:dyDescent="0.25">
      <c r="A285" s="11" t="s">
        <v>10</v>
      </c>
      <c r="B285" s="12" t="s">
        <v>43</v>
      </c>
      <c r="C285" s="10"/>
      <c r="D285" s="12">
        <v>1970</v>
      </c>
    </row>
    <row r="286" spans="1:4" ht="19.95" customHeight="1" x14ac:dyDescent="0.25">
      <c r="A286" s="11" t="s">
        <v>13</v>
      </c>
      <c r="B286" s="12" t="s">
        <v>43</v>
      </c>
      <c r="C286" s="10"/>
      <c r="D286" s="12">
        <v>1970</v>
      </c>
    </row>
    <row r="287" spans="1:4" ht="19.95" customHeight="1" x14ac:dyDescent="0.25">
      <c r="A287" s="11" t="s">
        <v>15</v>
      </c>
      <c r="B287" s="12" t="s">
        <v>43</v>
      </c>
      <c r="C287" s="10"/>
      <c r="D287" s="12">
        <v>1970</v>
      </c>
    </row>
    <row r="288" spans="1:4" ht="19.95" customHeight="1" x14ac:dyDescent="0.25">
      <c r="A288" s="11" t="s">
        <v>16</v>
      </c>
      <c r="B288" s="12" t="s">
        <v>43</v>
      </c>
      <c r="C288" s="10"/>
      <c r="D288" s="12">
        <v>1970</v>
      </c>
    </row>
    <row r="289" spans="1:4" ht="19.95" customHeight="1" x14ac:dyDescent="0.25">
      <c r="A289" s="11" t="s">
        <v>17</v>
      </c>
      <c r="B289" s="12" t="s">
        <v>43</v>
      </c>
      <c r="C289" s="10"/>
      <c r="D289" s="12">
        <v>1970</v>
      </c>
    </row>
    <row r="290" spans="1:4" ht="19.95" customHeight="1" x14ac:dyDescent="0.25">
      <c r="A290" s="11" t="s">
        <v>2</v>
      </c>
      <c r="B290" s="12" t="s">
        <v>43</v>
      </c>
      <c r="C290" s="10"/>
      <c r="D290" s="12">
        <v>1970</v>
      </c>
    </row>
    <row r="291" spans="1:4" ht="19.95" customHeight="1" x14ac:dyDescent="0.25">
      <c r="A291" s="11" t="s">
        <v>18</v>
      </c>
      <c r="B291" s="12" t="s">
        <v>43</v>
      </c>
      <c r="C291" s="10"/>
      <c r="D291" s="12">
        <v>1970</v>
      </c>
    </row>
    <row r="292" spans="1:4" ht="19.95" customHeight="1" x14ac:dyDescent="0.25">
      <c r="A292" s="11" t="s">
        <v>19</v>
      </c>
      <c r="B292" s="12" t="s">
        <v>43</v>
      </c>
      <c r="C292" s="10"/>
      <c r="D292" s="12">
        <v>1970</v>
      </c>
    </row>
    <row r="293" spans="1:4" ht="19.95" customHeight="1" x14ac:dyDescent="0.25">
      <c r="A293" s="11" t="s">
        <v>20</v>
      </c>
      <c r="B293" s="12" t="s">
        <v>43</v>
      </c>
      <c r="C293" s="10"/>
      <c r="D293" s="12">
        <v>1970</v>
      </c>
    </row>
    <row r="294" spans="1:4" ht="19.95" customHeight="1" x14ac:dyDescent="0.25">
      <c r="A294" s="11" t="s">
        <v>21</v>
      </c>
      <c r="B294" s="12" t="s">
        <v>43</v>
      </c>
      <c r="C294" s="10"/>
      <c r="D294" s="12">
        <v>1970</v>
      </c>
    </row>
    <row r="295" spans="1:4" ht="19.95" customHeight="1" x14ac:dyDescent="0.25">
      <c r="A295" s="11" t="s">
        <v>22</v>
      </c>
      <c r="B295" s="12" t="s">
        <v>43</v>
      </c>
      <c r="C295" s="10"/>
      <c r="D295" s="12">
        <v>1970</v>
      </c>
    </row>
    <row r="296" spans="1:4" ht="19.95" customHeight="1" x14ac:dyDescent="0.25">
      <c r="A296" s="11" t="s">
        <v>23</v>
      </c>
      <c r="B296" s="12" t="s">
        <v>43</v>
      </c>
      <c r="C296" s="10"/>
      <c r="D296" s="12">
        <v>1970</v>
      </c>
    </row>
    <row r="297" spans="1:4" ht="19.95" customHeight="1" x14ac:dyDescent="0.25">
      <c r="A297" s="11" t="s">
        <v>24</v>
      </c>
      <c r="B297" s="12" t="s">
        <v>43</v>
      </c>
      <c r="C297" s="10"/>
      <c r="D297" s="12">
        <v>1970</v>
      </c>
    </row>
    <row r="298" spans="1:4" ht="19.95" customHeight="1" x14ac:dyDescent="0.25">
      <c r="A298" s="11" t="s">
        <v>25</v>
      </c>
      <c r="B298" s="12" t="s">
        <v>43</v>
      </c>
      <c r="C298" s="10"/>
      <c r="D298" s="12">
        <v>1970</v>
      </c>
    </row>
    <row r="299" spans="1:4" ht="19.95" customHeight="1" x14ac:dyDescent="0.25">
      <c r="A299" s="11" t="s">
        <v>26</v>
      </c>
      <c r="B299" s="12" t="s">
        <v>43</v>
      </c>
      <c r="C299" s="10"/>
      <c r="D299" s="12">
        <v>1970</v>
      </c>
    </row>
    <row r="300" spans="1:4" ht="19.95" customHeight="1" x14ac:dyDescent="0.25">
      <c r="A300" s="11" t="s">
        <v>27</v>
      </c>
      <c r="B300" s="12" t="s">
        <v>43</v>
      </c>
      <c r="C300" s="10"/>
      <c r="D300" s="12">
        <v>1970</v>
      </c>
    </row>
    <row r="301" spans="1:4" ht="19.95" customHeight="1" x14ac:dyDescent="0.25">
      <c r="A301" s="11" t="s">
        <v>29</v>
      </c>
      <c r="B301" s="12" t="s">
        <v>43</v>
      </c>
      <c r="C301" s="10"/>
      <c r="D301" s="12">
        <v>1970</v>
      </c>
    </row>
    <row r="302" spans="1:4" ht="19.95" customHeight="1" x14ac:dyDescent="0.25">
      <c r="A302" s="11" t="s">
        <v>30</v>
      </c>
      <c r="B302" s="12" t="s">
        <v>43</v>
      </c>
      <c r="C302" s="10"/>
      <c r="D302" s="12">
        <v>1970</v>
      </c>
    </row>
    <row r="303" spans="1:4" ht="19.95" customHeight="1" x14ac:dyDescent="0.25">
      <c r="A303" s="11" t="s">
        <v>31</v>
      </c>
      <c r="B303" s="12" t="s">
        <v>43</v>
      </c>
      <c r="C303" s="10"/>
      <c r="D303" s="12">
        <v>1970</v>
      </c>
    </row>
    <row r="304" spans="1:4" ht="19.95" customHeight="1" x14ac:dyDescent="0.25">
      <c r="A304" s="11" t="s">
        <v>32</v>
      </c>
      <c r="B304" s="12" t="s">
        <v>43</v>
      </c>
      <c r="C304" s="10"/>
      <c r="D304" s="12">
        <v>1970</v>
      </c>
    </row>
    <row r="305" spans="1:4" ht="19.95" customHeight="1" x14ac:dyDescent="0.25">
      <c r="A305" s="11" t="s">
        <v>33</v>
      </c>
      <c r="B305" s="12" t="s">
        <v>43</v>
      </c>
      <c r="C305" s="10"/>
      <c r="D305" s="12">
        <v>1970</v>
      </c>
    </row>
    <row r="306" spans="1:4" ht="19.95" customHeight="1" x14ac:dyDescent="0.25">
      <c r="A306" s="11" t="s">
        <v>34</v>
      </c>
      <c r="B306" s="12" t="s">
        <v>43</v>
      </c>
      <c r="C306" s="10"/>
      <c r="D306" s="12">
        <v>1970</v>
      </c>
    </row>
    <row r="307" spans="1:4" ht="19.95" customHeight="1" x14ac:dyDescent="0.25">
      <c r="A307" s="11" t="s">
        <v>35</v>
      </c>
      <c r="B307" s="12" t="s">
        <v>43</v>
      </c>
      <c r="C307" s="10"/>
      <c r="D307" s="12">
        <v>1970</v>
      </c>
    </row>
    <row r="308" spans="1:4" ht="19.95" customHeight="1" x14ac:dyDescent="0.25">
      <c r="A308" s="11" t="s">
        <v>36</v>
      </c>
      <c r="B308" s="12" t="s">
        <v>43</v>
      </c>
      <c r="C308" s="10"/>
      <c r="D308" s="12">
        <v>1970</v>
      </c>
    </row>
    <row r="309" spans="1:4" ht="19.95" customHeight="1" x14ac:dyDescent="0.25">
      <c r="A309" s="11" t="s">
        <v>37</v>
      </c>
      <c r="B309" s="12" t="s">
        <v>43</v>
      </c>
      <c r="C309" s="10"/>
      <c r="D309" s="12">
        <v>1970</v>
      </c>
    </row>
    <row r="310" spans="1:4" ht="19.95" customHeight="1" x14ac:dyDescent="0.25">
      <c r="A310" s="11" t="s">
        <v>38</v>
      </c>
      <c r="B310" s="12" t="s">
        <v>43</v>
      </c>
      <c r="C310" s="10"/>
      <c r="D310" s="12">
        <v>1970</v>
      </c>
    </row>
    <row r="311" spans="1:4" ht="19.95" customHeight="1" x14ac:dyDescent="0.25">
      <c r="A311" s="11" t="s">
        <v>39</v>
      </c>
      <c r="B311" s="12" t="s">
        <v>43</v>
      </c>
      <c r="C311" s="10"/>
      <c r="D311" s="12">
        <v>1970</v>
      </c>
    </row>
    <row r="312" spans="1:4" ht="19.95" customHeight="1" x14ac:dyDescent="0.25">
      <c r="A312" s="11" t="s">
        <v>40</v>
      </c>
      <c r="B312" s="12" t="s">
        <v>43</v>
      </c>
      <c r="C312" s="10"/>
      <c r="D312" s="12">
        <v>1970</v>
      </c>
    </row>
    <row r="313" spans="1:4" ht="19.95" customHeight="1" x14ac:dyDescent="0.25">
      <c r="A313" s="11" t="s">
        <v>10</v>
      </c>
      <c r="B313" s="12" t="s">
        <v>43</v>
      </c>
      <c r="C313" s="10"/>
      <c r="D313" s="12">
        <v>1971</v>
      </c>
    </row>
    <row r="314" spans="1:4" ht="19.95" customHeight="1" x14ac:dyDescent="0.25">
      <c r="A314" s="11" t="s">
        <v>13</v>
      </c>
      <c r="B314" s="12" t="s">
        <v>43</v>
      </c>
      <c r="C314" s="10"/>
      <c r="D314" s="12">
        <v>1971</v>
      </c>
    </row>
    <row r="315" spans="1:4" ht="19.95" customHeight="1" x14ac:dyDescent="0.25">
      <c r="A315" s="11" t="s">
        <v>15</v>
      </c>
      <c r="B315" s="12" t="s">
        <v>43</v>
      </c>
      <c r="C315" s="10"/>
      <c r="D315" s="12">
        <v>1971</v>
      </c>
    </row>
    <row r="316" spans="1:4" ht="19.95" customHeight="1" x14ac:dyDescent="0.25">
      <c r="A316" s="11" t="s">
        <v>16</v>
      </c>
      <c r="B316" s="12" t="s">
        <v>43</v>
      </c>
      <c r="C316" s="10"/>
      <c r="D316" s="12">
        <v>1971</v>
      </c>
    </row>
    <row r="317" spans="1:4" ht="19.95" customHeight="1" x14ac:dyDescent="0.25">
      <c r="A317" s="11" t="s">
        <v>17</v>
      </c>
      <c r="B317" s="12" t="s">
        <v>43</v>
      </c>
      <c r="C317" s="10"/>
      <c r="D317" s="12">
        <v>1971</v>
      </c>
    </row>
    <row r="318" spans="1:4" ht="19.95" customHeight="1" x14ac:dyDescent="0.25">
      <c r="A318" s="11" t="s">
        <v>2</v>
      </c>
      <c r="B318" s="12" t="s">
        <v>43</v>
      </c>
      <c r="C318" s="10"/>
      <c r="D318" s="12">
        <v>1971</v>
      </c>
    </row>
    <row r="319" spans="1:4" ht="19.95" customHeight="1" x14ac:dyDescent="0.25">
      <c r="A319" s="11" t="s">
        <v>18</v>
      </c>
      <c r="B319" s="12" t="s">
        <v>43</v>
      </c>
      <c r="C319" s="10"/>
      <c r="D319" s="12">
        <v>1971</v>
      </c>
    </row>
    <row r="320" spans="1:4" ht="19.95" customHeight="1" x14ac:dyDescent="0.25">
      <c r="A320" s="11" t="s">
        <v>19</v>
      </c>
      <c r="B320" s="12" t="s">
        <v>43</v>
      </c>
      <c r="C320" s="10"/>
      <c r="D320" s="12">
        <v>1971</v>
      </c>
    </row>
    <row r="321" spans="1:4" ht="19.95" customHeight="1" x14ac:dyDescent="0.25">
      <c r="A321" s="11" t="s">
        <v>20</v>
      </c>
      <c r="B321" s="12" t="s">
        <v>43</v>
      </c>
      <c r="C321" s="10"/>
      <c r="D321" s="12">
        <v>1971</v>
      </c>
    </row>
    <row r="322" spans="1:4" ht="19.95" customHeight="1" x14ac:dyDescent="0.25">
      <c r="A322" s="11" t="s">
        <v>21</v>
      </c>
      <c r="B322" s="12" t="s">
        <v>43</v>
      </c>
      <c r="C322" s="10"/>
      <c r="D322" s="12">
        <v>1971</v>
      </c>
    </row>
    <row r="323" spans="1:4" ht="19.95" customHeight="1" x14ac:dyDescent="0.25">
      <c r="A323" s="11" t="s">
        <v>22</v>
      </c>
      <c r="B323" s="12" t="s">
        <v>43</v>
      </c>
      <c r="C323" s="10"/>
      <c r="D323" s="12">
        <v>1971</v>
      </c>
    </row>
    <row r="324" spans="1:4" ht="19.95" customHeight="1" x14ac:dyDescent="0.25">
      <c r="A324" s="11" t="s">
        <v>23</v>
      </c>
      <c r="B324" s="12" t="s">
        <v>43</v>
      </c>
      <c r="C324" s="10"/>
      <c r="D324" s="12">
        <v>1971</v>
      </c>
    </row>
    <row r="325" spans="1:4" ht="19.95" customHeight="1" x14ac:dyDescent="0.25">
      <c r="A325" s="11" t="s">
        <v>24</v>
      </c>
      <c r="B325" s="12" t="s">
        <v>43</v>
      </c>
      <c r="C325" s="10"/>
      <c r="D325" s="12">
        <v>1971</v>
      </c>
    </row>
    <row r="326" spans="1:4" ht="19.95" customHeight="1" x14ac:dyDescent="0.25">
      <c r="A326" s="11" t="s">
        <v>25</v>
      </c>
      <c r="B326" s="12" t="s">
        <v>43</v>
      </c>
      <c r="C326" s="10"/>
      <c r="D326" s="12">
        <v>1971</v>
      </c>
    </row>
    <row r="327" spans="1:4" ht="19.95" customHeight="1" x14ac:dyDescent="0.25">
      <c r="A327" s="11" t="s">
        <v>26</v>
      </c>
      <c r="B327" s="12" t="s">
        <v>43</v>
      </c>
      <c r="C327" s="10"/>
      <c r="D327" s="12">
        <v>1971</v>
      </c>
    </row>
    <row r="328" spans="1:4" ht="19.95" customHeight="1" x14ac:dyDescent="0.25">
      <c r="A328" s="11" t="s">
        <v>27</v>
      </c>
      <c r="B328" s="12" t="s">
        <v>43</v>
      </c>
      <c r="C328" s="10"/>
      <c r="D328" s="12">
        <v>1971</v>
      </c>
    </row>
    <row r="329" spans="1:4" ht="19.95" customHeight="1" x14ac:dyDescent="0.25">
      <c r="A329" s="11" t="s">
        <v>29</v>
      </c>
      <c r="B329" s="12" t="s">
        <v>43</v>
      </c>
      <c r="C329" s="10"/>
      <c r="D329" s="12">
        <v>1971</v>
      </c>
    </row>
    <row r="330" spans="1:4" ht="19.95" customHeight="1" x14ac:dyDescent="0.25">
      <c r="A330" s="11" t="s">
        <v>30</v>
      </c>
      <c r="B330" s="12" t="s">
        <v>43</v>
      </c>
      <c r="C330" s="10"/>
      <c r="D330" s="12">
        <v>1971</v>
      </c>
    </row>
    <row r="331" spans="1:4" ht="19.95" customHeight="1" x14ac:dyDescent="0.25">
      <c r="A331" s="11" t="s">
        <v>31</v>
      </c>
      <c r="B331" s="12" t="s">
        <v>43</v>
      </c>
      <c r="C331" s="10"/>
      <c r="D331" s="12">
        <v>1971</v>
      </c>
    </row>
    <row r="332" spans="1:4" ht="19.95" customHeight="1" x14ac:dyDescent="0.25">
      <c r="A332" s="11" t="s">
        <v>32</v>
      </c>
      <c r="B332" s="12" t="s">
        <v>43</v>
      </c>
      <c r="C332" s="10"/>
      <c r="D332" s="12">
        <v>1971</v>
      </c>
    </row>
    <row r="333" spans="1:4" ht="19.95" customHeight="1" x14ac:dyDescent="0.25">
      <c r="A333" s="11" t="s">
        <v>33</v>
      </c>
      <c r="B333" s="12" t="s">
        <v>43</v>
      </c>
      <c r="C333" s="10"/>
      <c r="D333" s="12">
        <v>1971</v>
      </c>
    </row>
    <row r="334" spans="1:4" ht="19.95" customHeight="1" x14ac:dyDescent="0.25">
      <c r="A334" s="11" t="s">
        <v>34</v>
      </c>
      <c r="B334" s="12" t="s">
        <v>43</v>
      </c>
      <c r="C334" s="10"/>
      <c r="D334" s="12">
        <v>1971</v>
      </c>
    </row>
    <row r="335" spans="1:4" ht="19.95" customHeight="1" x14ac:dyDescent="0.25">
      <c r="A335" s="11" t="s">
        <v>35</v>
      </c>
      <c r="B335" s="12" t="s">
        <v>43</v>
      </c>
      <c r="C335" s="10"/>
      <c r="D335" s="12">
        <v>1971</v>
      </c>
    </row>
    <row r="336" spans="1:4" ht="19.95" customHeight="1" x14ac:dyDescent="0.25">
      <c r="A336" s="11" t="s">
        <v>36</v>
      </c>
      <c r="B336" s="12" t="s">
        <v>43</v>
      </c>
      <c r="C336" s="10"/>
      <c r="D336" s="12">
        <v>1971</v>
      </c>
    </row>
    <row r="337" spans="1:4" ht="19.95" customHeight="1" x14ac:dyDescent="0.25">
      <c r="A337" s="11" t="s">
        <v>37</v>
      </c>
      <c r="B337" s="12" t="s">
        <v>43</v>
      </c>
      <c r="C337" s="10"/>
      <c r="D337" s="12">
        <v>1971</v>
      </c>
    </row>
    <row r="338" spans="1:4" ht="19.95" customHeight="1" x14ac:dyDescent="0.25">
      <c r="A338" s="11" t="s">
        <v>38</v>
      </c>
      <c r="B338" s="12" t="s">
        <v>43</v>
      </c>
      <c r="C338" s="10"/>
      <c r="D338" s="12">
        <v>1971</v>
      </c>
    </row>
    <row r="339" spans="1:4" ht="19.95" customHeight="1" x14ac:dyDescent="0.25">
      <c r="A339" s="11" t="s">
        <v>39</v>
      </c>
      <c r="B339" s="12" t="s">
        <v>43</v>
      </c>
      <c r="C339" s="10"/>
      <c r="D339" s="12">
        <v>1971</v>
      </c>
    </row>
    <row r="340" spans="1:4" ht="19.95" customHeight="1" x14ac:dyDescent="0.25">
      <c r="A340" s="11" t="s">
        <v>40</v>
      </c>
      <c r="B340" s="12" t="s">
        <v>43</v>
      </c>
      <c r="C340" s="10"/>
      <c r="D340" s="12">
        <v>1971</v>
      </c>
    </row>
    <row r="341" spans="1:4" ht="19.95" customHeight="1" x14ac:dyDescent="0.25">
      <c r="A341" s="11" t="s">
        <v>10</v>
      </c>
      <c r="B341" s="12" t="s">
        <v>43</v>
      </c>
      <c r="C341" s="10"/>
      <c r="D341" s="12">
        <v>1972</v>
      </c>
    </row>
    <row r="342" spans="1:4" ht="19.95" customHeight="1" x14ac:dyDescent="0.25">
      <c r="A342" s="11" t="s">
        <v>13</v>
      </c>
      <c r="B342" s="12" t="s">
        <v>43</v>
      </c>
      <c r="C342" s="10"/>
      <c r="D342" s="12">
        <v>1972</v>
      </c>
    </row>
    <row r="343" spans="1:4" ht="19.95" customHeight="1" x14ac:dyDescent="0.25">
      <c r="A343" s="11" t="s">
        <v>15</v>
      </c>
      <c r="B343" s="12" t="s">
        <v>43</v>
      </c>
      <c r="C343" s="10"/>
      <c r="D343" s="12">
        <v>1972</v>
      </c>
    </row>
    <row r="344" spans="1:4" ht="19.95" customHeight="1" x14ac:dyDescent="0.25">
      <c r="A344" s="11" t="s">
        <v>16</v>
      </c>
      <c r="B344" s="12" t="s">
        <v>43</v>
      </c>
      <c r="C344" s="10"/>
      <c r="D344" s="12">
        <v>1972</v>
      </c>
    </row>
    <row r="345" spans="1:4" ht="19.95" customHeight="1" x14ac:dyDescent="0.25">
      <c r="A345" s="11" t="s">
        <v>17</v>
      </c>
      <c r="B345" s="12" t="s">
        <v>43</v>
      </c>
      <c r="C345" s="10"/>
      <c r="D345" s="12">
        <v>1972</v>
      </c>
    </row>
    <row r="346" spans="1:4" ht="19.95" customHeight="1" x14ac:dyDescent="0.25">
      <c r="A346" s="11" t="s">
        <v>2</v>
      </c>
      <c r="B346" s="12" t="s">
        <v>43</v>
      </c>
      <c r="C346" s="10"/>
      <c r="D346" s="12">
        <v>1972</v>
      </c>
    </row>
    <row r="347" spans="1:4" ht="19.95" customHeight="1" x14ac:dyDescent="0.25">
      <c r="A347" s="11" t="s">
        <v>18</v>
      </c>
      <c r="B347" s="12" t="s">
        <v>43</v>
      </c>
      <c r="C347" s="10"/>
      <c r="D347" s="12">
        <v>1972</v>
      </c>
    </row>
    <row r="348" spans="1:4" ht="19.95" customHeight="1" x14ac:dyDescent="0.25">
      <c r="A348" s="11" t="s">
        <v>19</v>
      </c>
      <c r="B348" s="12" t="s">
        <v>43</v>
      </c>
      <c r="C348" s="10"/>
      <c r="D348" s="12">
        <v>1972</v>
      </c>
    </row>
    <row r="349" spans="1:4" ht="19.95" customHeight="1" x14ac:dyDescent="0.25">
      <c r="A349" s="11" t="s">
        <v>20</v>
      </c>
      <c r="B349" s="12" t="s">
        <v>43</v>
      </c>
      <c r="C349" s="10"/>
      <c r="D349" s="12">
        <v>1972</v>
      </c>
    </row>
    <row r="350" spans="1:4" ht="19.95" customHeight="1" x14ac:dyDescent="0.25">
      <c r="A350" s="11" t="s">
        <v>21</v>
      </c>
      <c r="B350" s="12" t="s">
        <v>43</v>
      </c>
      <c r="C350" s="10"/>
      <c r="D350" s="12">
        <v>1972</v>
      </c>
    </row>
    <row r="351" spans="1:4" ht="19.95" customHeight="1" x14ac:dyDescent="0.25">
      <c r="A351" s="11" t="s">
        <v>22</v>
      </c>
      <c r="B351" s="12" t="s">
        <v>43</v>
      </c>
      <c r="C351" s="10"/>
      <c r="D351" s="12">
        <v>1972</v>
      </c>
    </row>
    <row r="352" spans="1:4" ht="19.95" customHeight="1" x14ac:dyDescent="0.25">
      <c r="A352" s="11" t="s">
        <v>23</v>
      </c>
      <c r="B352" s="12" t="s">
        <v>43</v>
      </c>
      <c r="C352" s="10"/>
      <c r="D352" s="12">
        <v>1972</v>
      </c>
    </row>
    <row r="353" spans="1:4" ht="19.95" customHeight="1" x14ac:dyDescent="0.25">
      <c r="A353" s="11" t="s">
        <v>24</v>
      </c>
      <c r="B353" s="12" t="s">
        <v>43</v>
      </c>
      <c r="C353" s="10"/>
      <c r="D353" s="12">
        <v>1972</v>
      </c>
    </row>
    <row r="354" spans="1:4" ht="19.95" customHeight="1" x14ac:dyDescent="0.25">
      <c r="A354" s="11" t="s">
        <v>25</v>
      </c>
      <c r="B354" s="12" t="s">
        <v>43</v>
      </c>
      <c r="C354" s="10"/>
      <c r="D354" s="12">
        <v>1972</v>
      </c>
    </row>
    <row r="355" spans="1:4" ht="19.95" customHeight="1" x14ac:dyDescent="0.25">
      <c r="A355" s="11" t="s">
        <v>26</v>
      </c>
      <c r="B355" s="12" t="s">
        <v>43</v>
      </c>
      <c r="C355" s="10"/>
      <c r="D355" s="12">
        <v>1972</v>
      </c>
    </row>
    <row r="356" spans="1:4" ht="19.95" customHeight="1" x14ac:dyDescent="0.25">
      <c r="A356" s="11" t="s">
        <v>27</v>
      </c>
      <c r="B356" s="12" t="s">
        <v>43</v>
      </c>
      <c r="C356" s="10"/>
      <c r="D356" s="12">
        <v>1972</v>
      </c>
    </row>
    <row r="357" spans="1:4" ht="19.95" customHeight="1" x14ac:dyDescent="0.25">
      <c r="A357" s="11" t="s">
        <v>29</v>
      </c>
      <c r="B357" s="12" t="s">
        <v>43</v>
      </c>
      <c r="C357" s="10"/>
      <c r="D357" s="12">
        <v>1972</v>
      </c>
    </row>
    <row r="358" spans="1:4" ht="19.95" customHeight="1" x14ac:dyDescent="0.25">
      <c r="A358" s="11" t="s">
        <v>30</v>
      </c>
      <c r="B358" s="12" t="s">
        <v>43</v>
      </c>
      <c r="C358" s="10"/>
      <c r="D358" s="12">
        <v>1972</v>
      </c>
    </row>
    <row r="359" spans="1:4" ht="19.95" customHeight="1" x14ac:dyDescent="0.25">
      <c r="A359" s="11" t="s">
        <v>31</v>
      </c>
      <c r="B359" s="12" t="s">
        <v>43</v>
      </c>
      <c r="C359" s="10"/>
      <c r="D359" s="12">
        <v>1972</v>
      </c>
    </row>
    <row r="360" spans="1:4" ht="19.95" customHeight="1" x14ac:dyDescent="0.25">
      <c r="A360" s="11" t="s">
        <v>32</v>
      </c>
      <c r="B360" s="12" t="s">
        <v>43</v>
      </c>
      <c r="C360" s="10"/>
      <c r="D360" s="12">
        <v>1972</v>
      </c>
    </row>
    <row r="361" spans="1:4" ht="19.95" customHeight="1" x14ac:dyDescent="0.25">
      <c r="A361" s="11" t="s">
        <v>33</v>
      </c>
      <c r="B361" s="12" t="s">
        <v>43</v>
      </c>
      <c r="C361" s="10"/>
      <c r="D361" s="12">
        <v>1972</v>
      </c>
    </row>
    <row r="362" spans="1:4" ht="19.95" customHeight="1" x14ac:dyDescent="0.25">
      <c r="A362" s="11" t="s">
        <v>34</v>
      </c>
      <c r="B362" s="12" t="s">
        <v>43</v>
      </c>
      <c r="C362" s="10"/>
      <c r="D362" s="12">
        <v>1972</v>
      </c>
    </row>
    <row r="363" spans="1:4" ht="19.95" customHeight="1" x14ac:dyDescent="0.25">
      <c r="A363" s="11" t="s">
        <v>35</v>
      </c>
      <c r="B363" s="12" t="s">
        <v>43</v>
      </c>
      <c r="C363" s="10"/>
      <c r="D363" s="12">
        <v>1972</v>
      </c>
    </row>
    <row r="364" spans="1:4" ht="19.95" customHeight="1" x14ac:dyDescent="0.25">
      <c r="A364" s="11" t="s">
        <v>36</v>
      </c>
      <c r="B364" s="12" t="s">
        <v>43</v>
      </c>
      <c r="C364" s="10"/>
      <c r="D364" s="12">
        <v>1972</v>
      </c>
    </row>
    <row r="365" spans="1:4" ht="19.95" customHeight="1" x14ac:dyDescent="0.25">
      <c r="A365" s="11" t="s">
        <v>37</v>
      </c>
      <c r="B365" s="12" t="s">
        <v>43</v>
      </c>
      <c r="C365" s="10"/>
      <c r="D365" s="12">
        <v>1972</v>
      </c>
    </row>
    <row r="366" spans="1:4" ht="19.95" customHeight="1" x14ac:dyDescent="0.25">
      <c r="A366" s="11" t="s">
        <v>38</v>
      </c>
      <c r="B366" s="12" t="s">
        <v>43</v>
      </c>
      <c r="C366" s="10"/>
      <c r="D366" s="12">
        <v>1972</v>
      </c>
    </row>
    <row r="367" spans="1:4" ht="19.95" customHeight="1" x14ac:dyDescent="0.25">
      <c r="A367" s="11" t="s">
        <v>39</v>
      </c>
      <c r="B367" s="12" t="s">
        <v>43</v>
      </c>
      <c r="C367" s="10"/>
      <c r="D367" s="12">
        <v>1972</v>
      </c>
    </row>
    <row r="368" spans="1:4" ht="19.95" customHeight="1" x14ac:dyDescent="0.25">
      <c r="A368" s="11" t="s">
        <v>40</v>
      </c>
      <c r="B368" s="12" t="s">
        <v>43</v>
      </c>
      <c r="C368" s="10"/>
      <c r="D368" s="12">
        <v>1972</v>
      </c>
    </row>
    <row r="369" spans="1:4" ht="19.95" customHeight="1" x14ac:dyDescent="0.25">
      <c r="A369" s="11" t="s">
        <v>10</v>
      </c>
      <c r="B369" s="12" t="s">
        <v>43</v>
      </c>
      <c r="C369" s="10"/>
      <c r="D369" s="12">
        <v>1973</v>
      </c>
    </row>
    <row r="370" spans="1:4" ht="19.95" customHeight="1" x14ac:dyDescent="0.25">
      <c r="A370" s="11" t="s">
        <v>13</v>
      </c>
      <c r="B370" s="12" t="s">
        <v>43</v>
      </c>
      <c r="C370" s="10"/>
      <c r="D370" s="12">
        <v>1973</v>
      </c>
    </row>
    <row r="371" spans="1:4" ht="19.95" customHeight="1" x14ac:dyDescent="0.25">
      <c r="A371" s="11" t="s">
        <v>15</v>
      </c>
      <c r="B371" s="12" t="s">
        <v>43</v>
      </c>
      <c r="C371" s="10"/>
      <c r="D371" s="12">
        <v>1973</v>
      </c>
    </row>
    <row r="372" spans="1:4" ht="19.95" customHeight="1" x14ac:dyDescent="0.25">
      <c r="A372" s="11" t="s">
        <v>16</v>
      </c>
      <c r="B372" s="12" t="s">
        <v>43</v>
      </c>
      <c r="C372" s="10"/>
      <c r="D372" s="12">
        <v>1973</v>
      </c>
    </row>
    <row r="373" spans="1:4" ht="19.95" customHeight="1" x14ac:dyDescent="0.25">
      <c r="A373" s="11" t="s">
        <v>17</v>
      </c>
      <c r="B373" s="12" t="s">
        <v>43</v>
      </c>
      <c r="C373" s="10"/>
      <c r="D373" s="12">
        <v>1973</v>
      </c>
    </row>
    <row r="374" spans="1:4" ht="19.95" customHeight="1" x14ac:dyDescent="0.25">
      <c r="A374" s="11" t="s">
        <v>2</v>
      </c>
      <c r="B374" s="12" t="s">
        <v>43</v>
      </c>
      <c r="C374" s="10"/>
      <c r="D374" s="12">
        <v>1973</v>
      </c>
    </row>
    <row r="375" spans="1:4" ht="19.95" customHeight="1" x14ac:dyDescent="0.25">
      <c r="A375" s="11" t="s">
        <v>18</v>
      </c>
      <c r="B375" s="12" t="s">
        <v>43</v>
      </c>
      <c r="C375" s="10"/>
      <c r="D375" s="12">
        <v>1973</v>
      </c>
    </row>
    <row r="376" spans="1:4" ht="19.95" customHeight="1" x14ac:dyDescent="0.25">
      <c r="A376" s="11" t="s">
        <v>19</v>
      </c>
      <c r="B376" s="12" t="s">
        <v>43</v>
      </c>
      <c r="C376" s="10"/>
      <c r="D376" s="12">
        <v>1973</v>
      </c>
    </row>
    <row r="377" spans="1:4" ht="19.95" customHeight="1" x14ac:dyDescent="0.25">
      <c r="A377" s="11" t="s">
        <v>20</v>
      </c>
      <c r="B377" s="12" t="s">
        <v>43</v>
      </c>
      <c r="C377" s="10"/>
      <c r="D377" s="12">
        <v>1973</v>
      </c>
    </row>
    <row r="378" spans="1:4" ht="19.95" customHeight="1" x14ac:dyDescent="0.25">
      <c r="A378" s="11" t="s">
        <v>21</v>
      </c>
      <c r="B378" s="12" t="s">
        <v>43</v>
      </c>
      <c r="C378" s="10"/>
      <c r="D378" s="12">
        <v>1973</v>
      </c>
    </row>
    <row r="379" spans="1:4" ht="19.95" customHeight="1" x14ac:dyDescent="0.25">
      <c r="A379" s="11" t="s">
        <v>22</v>
      </c>
      <c r="B379" s="12" t="s">
        <v>43</v>
      </c>
      <c r="C379" s="10"/>
      <c r="D379" s="12">
        <v>1973</v>
      </c>
    </row>
    <row r="380" spans="1:4" ht="19.95" customHeight="1" x14ac:dyDescent="0.25">
      <c r="A380" s="11" t="s">
        <v>23</v>
      </c>
      <c r="B380" s="12" t="s">
        <v>43</v>
      </c>
      <c r="C380" s="10"/>
      <c r="D380" s="12">
        <v>1973</v>
      </c>
    </row>
    <row r="381" spans="1:4" ht="19.95" customHeight="1" x14ac:dyDescent="0.25">
      <c r="A381" s="11" t="s">
        <v>24</v>
      </c>
      <c r="B381" s="12" t="s">
        <v>43</v>
      </c>
      <c r="C381" s="10"/>
      <c r="D381" s="12">
        <v>1973</v>
      </c>
    </row>
    <row r="382" spans="1:4" ht="19.95" customHeight="1" x14ac:dyDescent="0.25">
      <c r="A382" s="11" t="s">
        <v>25</v>
      </c>
      <c r="B382" s="12" t="s">
        <v>43</v>
      </c>
      <c r="C382" s="10"/>
      <c r="D382" s="12">
        <v>1973</v>
      </c>
    </row>
    <row r="383" spans="1:4" ht="19.95" customHeight="1" x14ac:dyDescent="0.25">
      <c r="A383" s="11" t="s">
        <v>26</v>
      </c>
      <c r="B383" s="12" t="s">
        <v>43</v>
      </c>
      <c r="C383" s="10"/>
      <c r="D383" s="12">
        <v>1973</v>
      </c>
    </row>
    <row r="384" spans="1:4" ht="19.95" customHeight="1" x14ac:dyDescent="0.25">
      <c r="A384" s="11" t="s">
        <v>27</v>
      </c>
      <c r="B384" s="12" t="s">
        <v>43</v>
      </c>
      <c r="C384" s="10"/>
      <c r="D384" s="12">
        <v>1973</v>
      </c>
    </row>
    <row r="385" spans="1:4" ht="19.95" customHeight="1" x14ac:dyDescent="0.25">
      <c r="A385" s="11" t="s">
        <v>29</v>
      </c>
      <c r="B385" s="12" t="s">
        <v>43</v>
      </c>
      <c r="C385" s="10"/>
      <c r="D385" s="12">
        <v>1973</v>
      </c>
    </row>
    <row r="386" spans="1:4" ht="19.95" customHeight="1" x14ac:dyDescent="0.25">
      <c r="A386" s="11" t="s">
        <v>30</v>
      </c>
      <c r="B386" s="12" t="s">
        <v>43</v>
      </c>
      <c r="C386" s="10"/>
      <c r="D386" s="12">
        <v>1973</v>
      </c>
    </row>
    <row r="387" spans="1:4" ht="19.95" customHeight="1" x14ac:dyDescent="0.25">
      <c r="A387" s="11" t="s">
        <v>31</v>
      </c>
      <c r="B387" s="12" t="s">
        <v>43</v>
      </c>
      <c r="C387" s="10"/>
      <c r="D387" s="12">
        <v>1973</v>
      </c>
    </row>
    <row r="388" spans="1:4" ht="19.95" customHeight="1" x14ac:dyDescent="0.25">
      <c r="A388" s="11" t="s">
        <v>32</v>
      </c>
      <c r="B388" s="12" t="s">
        <v>43</v>
      </c>
      <c r="C388" s="10"/>
      <c r="D388" s="12">
        <v>1973</v>
      </c>
    </row>
    <row r="389" spans="1:4" ht="19.95" customHeight="1" x14ac:dyDescent="0.25">
      <c r="A389" s="11" t="s">
        <v>33</v>
      </c>
      <c r="B389" s="12" t="s">
        <v>43</v>
      </c>
      <c r="C389" s="10"/>
      <c r="D389" s="12">
        <v>1973</v>
      </c>
    </row>
    <row r="390" spans="1:4" ht="19.95" customHeight="1" x14ac:dyDescent="0.25">
      <c r="A390" s="11" t="s">
        <v>34</v>
      </c>
      <c r="B390" s="12" t="s">
        <v>43</v>
      </c>
      <c r="C390" s="10"/>
      <c r="D390" s="12">
        <v>1973</v>
      </c>
    </row>
    <row r="391" spans="1:4" ht="19.95" customHeight="1" x14ac:dyDescent="0.25">
      <c r="A391" s="11" t="s">
        <v>35</v>
      </c>
      <c r="B391" s="12" t="s">
        <v>43</v>
      </c>
      <c r="C391" s="10"/>
      <c r="D391" s="12">
        <v>1973</v>
      </c>
    </row>
    <row r="392" spans="1:4" ht="19.95" customHeight="1" x14ac:dyDescent="0.25">
      <c r="A392" s="11" t="s">
        <v>36</v>
      </c>
      <c r="B392" s="12" t="s">
        <v>43</v>
      </c>
      <c r="C392" s="10"/>
      <c r="D392" s="12">
        <v>1973</v>
      </c>
    </row>
    <row r="393" spans="1:4" ht="19.95" customHeight="1" x14ac:dyDescent="0.25">
      <c r="A393" s="11" t="s">
        <v>37</v>
      </c>
      <c r="B393" s="12" t="s">
        <v>43</v>
      </c>
      <c r="C393" s="10"/>
      <c r="D393" s="12">
        <v>1973</v>
      </c>
    </row>
    <row r="394" spans="1:4" ht="19.95" customHeight="1" x14ac:dyDescent="0.25">
      <c r="A394" s="11" t="s">
        <v>38</v>
      </c>
      <c r="B394" s="12" t="s">
        <v>43</v>
      </c>
      <c r="C394" s="10"/>
      <c r="D394" s="12">
        <v>1973</v>
      </c>
    </row>
    <row r="395" spans="1:4" ht="19.95" customHeight="1" x14ac:dyDescent="0.25">
      <c r="A395" s="11" t="s">
        <v>39</v>
      </c>
      <c r="B395" s="12" t="s">
        <v>43</v>
      </c>
      <c r="C395" s="10"/>
      <c r="D395" s="12">
        <v>1973</v>
      </c>
    </row>
    <row r="396" spans="1:4" ht="19.95" customHeight="1" x14ac:dyDescent="0.25">
      <c r="A396" s="11" t="s">
        <v>40</v>
      </c>
      <c r="B396" s="12" t="s">
        <v>43</v>
      </c>
      <c r="C396" s="10"/>
      <c r="D396" s="12">
        <v>1973</v>
      </c>
    </row>
    <row r="397" spans="1:4" ht="19.95" customHeight="1" x14ac:dyDescent="0.25">
      <c r="A397" s="11" t="s">
        <v>10</v>
      </c>
      <c r="B397" s="12" t="s">
        <v>43</v>
      </c>
      <c r="C397" s="10"/>
      <c r="D397" s="12">
        <v>1974</v>
      </c>
    </row>
    <row r="398" spans="1:4" ht="19.95" customHeight="1" x14ac:dyDescent="0.25">
      <c r="A398" s="11" t="s">
        <v>13</v>
      </c>
      <c r="B398" s="12" t="s">
        <v>43</v>
      </c>
      <c r="C398" s="10"/>
      <c r="D398" s="12">
        <v>1974</v>
      </c>
    </row>
    <row r="399" spans="1:4" ht="19.95" customHeight="1" x14ac:dyDescent="0.25">
      <c r="A399" s="11" t="s">
        <v>15</v>
      </c>
      <c r="B399" s="12" t="s">
        <v>43</v>
      </c>
      <c r="C399" s="10"/>
      <c r="D399" s="12">
        <v>1974</v>
      </c>
    </row>
    <row r="400" spans="1:4" ht="19.95" customHeight="1" x14ac:dyDescent="0.25">
      <c r="A400" s="11" t="s">
        <v>16</v>
      </c>
      <c r="B400" s="12" t="s">
        <v>43</v>
      </c>
      <c r="C400" s="10"/>
      <c r="D400" s="12">
        <v>1974</v>
      </c>
    </row>
    <row r="401" spans="1:4" ht="19.95" customHeight="1" x14ac:dyDescent="0.25">
      <c r="A401" s="11" t="s">
        <v>17</v>
      </c>
      <c r="B401" s="12" t="s">
        <v>43</v>
      </c>
      <c r="C401" s="10"/>
      <c r="D401" s="12">
        <v>1974</v>
      </c>
    </row>
    <row r="402" spans="1:4" ht="19.95" customHeight="1" x14ac:dyDescent="0.25">
      <c r="A402" s="11" t="s">
        <v>2</v>
      </c>
      <c r="B402" s="12" t="s">
        <v>43</v>
      </c>
      <c r="C402" s="10"/>
      <c r="D402" s="12">
        <v>1974</v>
      </c>
    </row>
    <row r="403" spans="1:4" ht="19.95" customHeight="1" x14ac:dyDescent="0.25">
      <c r="A403" s="11" t="s">
        <v>18</v>
      </c>
      <c r="B403" s="12" t="s">
        <v>43</v>
      </c>
      <c r="C403" s="10"/>
      <c r="D403" s="12">
        <v>1974</v>
      </c>
    </row>
    <row r="404" spans="1:4" ht="19.95" customHeight="1" x14ac:dyDescent="0.25">
      <c r="A404" s="11" t="s">
        <v>19</v>
      </c>
      <c r="B404" s="12" t="s">
        <v>43</v>
      </c>
      <c r="C404" s="10"/>
      <c r="D404" s="12">
        <v>1974</v>
      </c>
    </row>
    <row r="405" spans="1:4" ht="19.95" customHeight="1" x14ac:dyDescent="0.25">
      <c r="A405" s="11" t="s">
        <v>20</v>
      </c>
      <c r="B405" s="12" t="s">
        <v>43</v>
      </c>
      <c r="C405" s="10"/>
      <c r="D405" s="12">
        <v>1974</v>
      </c>
    </row>
    <row r="406" spans="1:4" ht="19.95" customHeight="1" x14ac:dyDescent="0.25">
      <c r="A406" s="11" t="s">
        <v>21</v>
      </c>
      <c r="B406" s="12" t="s">
        <v>43</v>
      </c>
      <c r="C406" s="10"/>
      <c r="D406" s="12">
        <v>1974</v>
      </c>
    </row>
    <row r="407" spans="1:4" ht="19.95" customHeight="1" x14ac:dyDescent="0.25">
      <c r="A407" s="11" t="s">
        <v>22</v>
      </c>
      <c r="B407" s="12" t="s">
        <v>43</v>
      </c>
      <c r="C407" s="10"/>
      <c r="D407" s="12">
        <v>1974</v>
      </c>
    </row>
    <row r="408" spans="1:4" ht="19.95" customHeight="1" x14ac:dyDescent="0.25">
      <c r="A408" s="11" t="s">
        <v>23</v>
      </c>
      <c r="B408" s="12" t="s">
        <v>43</v>
      </c>
      <c r="C408" s="10"/>
      <c r="D408" s="12">
        <v>1974</v>
      </c>
    </row>
    <row r="409" spans="1:4" ht="19.95" customHeight="1" x14ac:dyDescent="0.25">
      <c r="A409" s="11" t="s">
        <v>24</v>
      </c>
      <c r="B409" s="12" t="s">
        <v>43</v>
      </c>
      <c r="C409" s="10"/>
      <c r="D409" s="12">
        <v>1974</v>
      </c>
    </row>
    <row r="410" spans="1:4" ht="19.95" customHeight="1" x14ac:dyDescent="0.25">
      <c r="A410" s="11" t="s">
        <v>25</v>
      </c>
      <c r="B410" s="12" t="s">
        <v>43</v>
      </c>
      <c r="C410" s="10"/>
      <c r="D410" s="12">
        <v>1974</v>
      </c>
    </row>
    <row r="411" spans="1:4" ht="19.95" customHeight="1" x14ac:dyDescent="0.25">
      <c r="A411" s="11" t="s">
        <v>26</v>
      </c>
      <c r="B411" s="12" t="s">
        <v>43</v>
      </c>
      <c r="C411" s="10"/>
      <c r="D411" s="12">
        <v>1974</v>
      </c>
    </row>
    <row r="412" spans="1:4" ht="19.95" customHeight="1" x14ac:dyDescent="0.25">
      <c r="A412" s="11" t="s">
        <v>27</v>
      </c>
      <c r="B412" s="12" t="s">
        <v>43</v>
      </c>
      <c r="C412" s="10"/>
      <c r="D412" s="12">
        <v>1974</v>
      </c>
    </row>
    <row r="413" spans="1:4" ht="19.95" customHeight="1" x14ac:dyDescent="0.25">
      <c r="A413" s="11" t="s">
        <v>29</v>
      </c>
      <c r="B413" s="12" t="s">
        <v>43</v>
      </c>
      <c r="C413" s="10"/>
      <c r="D413" s="12">
        <v>1974</v>
      </c>
    </row>
    <row r="414" spans="1:4" ht="19.95" customHeight="1" x14ac:dyDescent="0.25">
      <c r="A414" s="11" t="s">
        <v>30</v>
      </c>
      <c r="B414" s="12" t="s">
        <v>43</v>
      </c>
      <c r="C414" s="10"/>
      <c r="D414" s="12">
        <v>1974</v>
      </c>
    </row>
    <row r="415" spans="1:4" ht="19.95" customHeight="1" x14ac:dyDescent="0.25">
      <c r="A415" s="11" t="s">
        <v>31</v>
      </c>
      <c r="B415" s="12" t="s">
        <v>43</v>
      </c>
      <c r="C415" s="10"/>
      <c r="D415" s="12">
        <v>1974</v>
      </c>
    </row>
    <row r="416" spans="1:4" ht="19.95" customHeight="1" x14ac:dyDescent="0.25">
      <c r="A416" s="11" t="s">
        <v>32</v>
      </c>
      <c r="B416" s="12" t="s">
        <v>43</v>
      </c>
      <c r="C416" s="10"/>
      <c r="D416" s="12">
        <v>1974</v>
      </c>
    </row>
    <row r="417" spans="1:4" ht="19.95" customHeight="1" x14ac:dyDescent="0.25">
      <c r="A417" s="11" t="s">
        <v>33</v>
      </c>
      <c r="B417" s="12" t="s">
        <v>43</v>
      </c>
      <c r="C417" s="10"/>
      <c r="D417" s="12">
        <v>1974</v>
      </c>
    </row>
    <row r="418" spans="1:4" ht="19.95" customHeight="1" x14ac:dyDescent="0.25">
      <c r="A418" s="11" t="s">
        <v>34</v>
      </c>
      <c r="B418" s="12" t="s">
        <v>43</v>
      </c>
      <c r="C418" s="10"/>
      <c r="D418" s="12">
        <v>1974</v>
      </c>
    </row>
    <row r="419" spans="1:4" ht="19.95" customHeight="1" x14ac:dyDescent="0.25">
      <c r="A419" s="11" t="s">
        <v>35</v>
      </c>
      <c r="B419" s="12" t="s">
        <v>43</v>
      </c>
      <c r="C419" s="10"/>
      <c r="D419" s="12">
        <v>1974</v>
      </c>
    </row>
    <row r="420" spans="1:4" ht="19.95" customHeight="1" x14ac:dyDescent="0.25">
      <c r="A420" s="11" t="s">
        <v>36</v>
      </c>
      <c r="B420" s="12" t="s">
        <v>43</v>
      </c>
      <c r="C420" s="10"/>
      <c r="D420" s="12">
        <v>1974</v>
      </c>
    </row>
    <row r="421" spans="1:4" ht="19.95" customHeight="1" x14ac:dyDescent="0.25">
      <c r="A421" s="11" t="s">
        <v>37</v>
      </c>
      <c r="B421" s="12" t="s">
        <v>43</v>
      </c>
      <c r="C421" s="10"/>
      <c r="D421" s="12">
        <v>1974</v>
      </c>
    </row>
    <row r="422" spans="1:4" ht="19.95" customHeight="1" x14ac:dyDescent="0.25">
      <c r="A422" s="11" t="s">
        <v>38</v>
      </c>
      <c r="B422" s="12" t="s">
        <v>43</v>
      </c>
      <c r="C422" s="10"/>
      <c r="D422" s="12">
        <v>1974</v>
      </c>
    </row>
    <row r="423" spans="1:4" ht="19.95" customHeight="1" x14ac:dyDescent="0.25">
      <c r="A423" s="11" t="s">
        <v>39</v>
      </c>
      <c r="B423" s="12" t="s">
        <v>43</v>
      </c>
      <c r="C423" s="10"/>
      <c r="D423" s="12">
        <v>1974</v>
      </c>
    </row>
    <row r="424" spans="1:4" ht="19.95" customHeight="1" x14ac:dyDescent="0.25">
      <c r="A424" s="11" t="s">
        <v>40</v>
      </c>
      <c r="B424" s="12" t="s">
        <v>43</v>
      </c>
      <c r="C424" s="10"/>
      <c r="D424" s="12">
        <v>1974</v>
      </c>
    </row>
    <row r="425" spans="1:4" ht="19.95" customHeight="1" x14ac:dyDescent="0.25">
      <c r="A425" s="11" t="s">
        <v>10</v>
      </c>
      <c r="B425" s="12" t="s">
        <v>43</v>
      </c>
      <c r="C425" s="10"/>
      <c r="D425" s="12">
        <v>1975</v>
      </c>
    </row>
    <row r="426" spans="1:4" ht="19.95" customHeight="1" x14ac:dyDescent="0.25">
      <c r="A426" s="11" t="s">
        <v>13</v>
      </c>
      <c r="B426" s="12" t="s">
        <v>43</v>
      </c>
      <c r="C426" s="10"/>
      <c r="D426" s="12">
        <v>1975</v>
      </c>
    </row>
    <row r="427" spans="1:4" ht="19.95" customHeight="1" x14ac:dyDescent="0.25">
      <c r="A427" s="11" t="s">
        <v>15</v>
      </c>
      <c r="B427" s="12" t="s">
        <v>43</v>
      </c>
      <c r="C427" s="10"/>
      <c r="D427" s="12">
        <v>1975</v>
      </c>
    </row>
    <row r="428" spans="1:4" ht="19.95" customHeight="1" x14ac:dyDescent="0.25">
      <c r="A428" s="11" t="s">
        <v>16</v>
      </c>
      <c r="B428" s="12" t="s">
        <v>43</v>
      </c>
      <c r="C428" s="10"/>
      <c r="D428" s="12">
        <v>1975</v>
      </c>
    </row>
    <row r="429" spans="1:4" ht="19.95" customHeight="1" x14ac:dyDescent="0.25">
      <c r="A429" s="11" t="s">
        <v>17</v>
      </c>
      <c r="B429" s="12" t="s">
        <v>43</v>
      </c>
      <c r="C429" s="10"/>
      <c r="D429" s="12">
        <v>1975</v>
      </c>
    </row>
    <row r="430" spans="1:4" ht="19.95" customHeight="1" x14ac:dyDescent="0.25">
      <c r="A430" s="11" t="s">
        <v>2</v>
      </c>
      <c r="B430" s="12" t="s">
        <v>43</v>
      </c>
      <c r="C430" s="10"/>
      <c r="D430" s="12">
        <v>1975</v>
      </c>
    </row>
    <row r="431" spans="1:4" ht="19.95" customHeight="1" x14ac:dyDescent="0.25">
      <c r="A431" s="11" t="s">
        <v>18</v>
      </c>
      <c r="B431" s="12" t="s">
        <v>43</v>
      </c>
      <c r="C431" s="10"/>
      <c r="D431" s="12">
        <v>1975</v>
      </c>
    </row>
    <row r="432" spans="1:4" ht="19.95" customHeight="1" x14ac:dyDescent="0.25">
      <c r="A432" s="11" t="s">
        <v>19</v>
      </c>
      <c r="B432" s="12" t="s">
        <v>43</v>
      </c>
      <c r="C432" s="10"/>
      <c r="D432" s="12">
        <v>1975</v>
      </c>
    </row>
    <row r="433" spans="1:4" ht="19.95" customHeight="1" x14ac:dyDescent="0.25">
      <c r="A433" s="11" t="s">
        <v>20</v>
      </c>
      <c r="B433" s="12" t="s">
        <v>43</v>
      </c>
      <c r="C433" s="10"/>
      <c r="D433" s="12">
        <v>1975</v>
      </c>
    </row>
    <row r="434" spans="1:4" ht="19.95" customHeight="1" x14ac:dyDescent="0.25">
      <c r="A434" s="11" t="s">
        <v>21</v>
      </c>
      <c r="B434" s="12" t="s">
        <v>43</v>
      </c>
      <c r="C434" s="10"/>
      <c r="D434" s="12">
        <v>1975</v>
      </c>
    </row>
    <row r="435" spans="1:4" ht="19.95" customHeight="1" x14ac:dyDescent="0.25">
      <c r="A435" s="11" t="s">
        <v>22</v>
      </c>
      <c r="B435" s="12" t="s">
        <v>43</v>
      </c>
      <c r="C435" s="10"/>
      <c r="D435" s="12">
        <v>1975</v>
      </c>
    </row>
    <row r="436" spans="1:4" ht="19.95" customHeight="1" x14ac:dyDescent="0.25">
      <c r="A436" s="11" t="s">
        <v>23</v>
      </c>
      <c r="B436" s="12" t="s">
        <v>43</v>
      </c>
      <c r="C436" s="10"/>
      <c r="D436" s="12">
        <v>1975</v>
      </c>
    </row>
    <row r="437" spans="1:4" ht="19.95" customHeight="1" x14ac:dyDescent="0.25">
      <c r="A437" s="11" t="s">
        <v>24</v>
      </c>
      <c r="B437" s="12" t="s">
        <v>43</v>
      </c>
      <c r="C437" s="10"/>
      <c r="D437" s="12">
        <v>1975</v>
      </c>
    </row>
    <row r="438" spans="1:4" ht="19.95" customHeight="1" x14ac:dyDescent="0.25">
      <c r="A438" s="11" t="s">
        <v>25</v>
      </c>
      <c r="B438" s="12" t="s">
        <v>43</v>
      </c>
      <c r="C438" s="10"/>
      <c r="D438" s="12">
        <v>1975</v>
      </c>
    </row>
    <row r="439" spans="1:4" ht="19.95" customHeight="1" x14ac:dyDescent="0.25">
      <c r="A439" s="11" t="s">
        <v>26</v>
      </c>
      <c r="B439" s="12" t="s">
        <v>43</v>
      </c>
      <c r="C439" s="10"/>
      <c r="D439" s="12">
        <v>1975</v>
      </c>
    </row>
    <row r="440" spans="1:4" ht="19.95" customHeight="1" x14ac:dyDescent="0.25">
      <c r="A440" s="11" t="s">
        <v>27</v>
      </c>
      <c r="B440" s="12" t="s">
        <v>43</v>
      </c>
      <c r="C440" s="10"/>
      <c r="D440" s="12">
        <v>1975</v>
      </c>
    </row>
    <row r="441" spans="1:4" ht="19.95" customHeight="1" x14ac:dyDescent="0.25">
      <c r="A441" s="11" t="s">
        <v>29</v>
      </c>
      <c r="B441" s="12" t="s">
        <v>43</v>
      </c>
      <c r="C441" s="10"/>
      <c r="D441" s="12">
        <v>1975</v>
      </c>
    </row>
    <row r="442" spans="1:4" ht="19.95" customHeight="1" x14ac:dyDescent="0.25">
      <c r="A442" s="11" t="s">
        <v>30</v>
      </c>
      <c r="B442" s="12" t="s">
        <v>43</v>
      </c>
      <c r="C442" s="10"/>
      <c r="D442" s="12">
        <v>1975</v>
      </c>
    </row>
    <row r="443" spans="1:4" ht="19.95" customHeight="1" x14ac:dyDescent="0.25">
      <c r="A443" s="11" t="s">
        <v>31</v>
      </c>
      <c r="B443" s="12" t="s">
        <v>43</v>
      </c>
      <c r="C443" s="10"/>
      <c r="D443" s="12">
        <v>1975</v>
      </c>
    </row>
    <row r="444" spans="1:4" ht="19.95" customHeight="1" x14ac:dyDescent="0.25">
      <c r="A444" s="11" t="s">
        <v>32</v>
      </c>
      <c r="B444" s="12" t="s">
        <v>43</v>
      </c>
      <c r="C444" s="10"/>
      <c r="D444" s="12">
        <v>1975</v>
      </c>
    </row>
    <row r="445" spans="1:4" ht="19.95" customHeight="1" x14ac:dyDescent="0.25">
      <c r="A445" s="11" t="s">
        <v>33</v>
      </c>
      <c r="B445" s="12" t="s">
        <v>43</v>
      </c>
      <c r="C445" s="10"/>
      <c r="D445" s="12">
        <v>1975</v>
      </c>
    </row>
    <row r="446" spans="1:4" ht="19.95" customHeight="1" x14ac:dyDescent="0.25">
      <c r="A446" s="11" t="s">
        <v>34</v>
      </c>
      <c r="B446" s="12" t="s">
        <v>43</v>
      </c>
      <c r="C446" s="10"/>
      <c r="D446" s="12">
        <v>1975</v>
      </c>
    </row>
    <row r="447" spans="1:4" ht="19.95" customHeight="1" x14ac:dyDescent="0.25">
      <c r="A447" s="11" t="s">
        <v>35</v>
      </c>
      <c r="B447" s="12" t="s">
        <v>43</v>
      </c>
      <c r="C447" s="10"/>
      <c r="D447" s="12">
        <v>1975</v>
      </c>
    </row>
    <row r="448" spans="1:4" ht="19.95" customHeight="1" x14ac:dyDescent="0.25">
      <c r="A448" s="11" t="s">
        <v>36</v>
      </c>
      <c r="B448" s="12" t="s">
        <v>43</v>
      </c>
      <c r="C448" s="10"/>
      <c r="D448" s="12">
        <v>1975</v>
      </c>
    </row>
    <row r="449" spans="1:4" ht="19.95" customHeight="1" x14ac:dyDescent="0.25">
      <c r="A449" s="11" t="s">
        <v>37</v>
      </c>
      <c r="B449" s="12" t="s">
        <v>43</v>
      </c>
      <c r="C449" s="10"/>
      <c r="D449" s="12">
        <v>1975</v>
      </c>
    </row>
    <row r="450" spans="1:4" ht="19.95" customHeight="1" x14ac:dyDescent="0.25">
      <c r="A450" s="11" t="s">
        <v>38</v>
      </c>
      <c r="B450" s="12" t="s">
        <v>43</v>
      </c>
      <c r="C450" s="10"/>
      <c r="D450" s="12">
        <v>1975</v>
      </c>
    </row>
    <row r="451" spans="1:4" ht="19.95" customHeight="1" x14ac:dyDescent="0.25">
      <c r="A451" s="11" t="s">
        <v>39</v>
      </c>
      <c r="B451" s="12" t="s">
        <v>43</v>
      </c>
      <c r="C451" s="10"/>
      <c r="D451" s="12">
        <v>1975</v>
      </c>
    </row>
    <row r="452" spans="1:4" ht="19.95" customHeight="1" x14ac:dyDescent="0.25">
      <c r="A452" s="11" t="s">
        <v>40</v>
      </c>
      <c r="B452" s="12" t="s">
        <v>43</v>
      </c>
      <c r="C452" s="10"/>
      <c r="D452" s="12">
        <v>1975</v>
      </c>
    </row>
    <row r="453" spans="1:4" ht="19.95" customHeight="1" x14ac:dyDescent="0.25">
      <c r="A453" s="11" t="s">
        <v>10</v>
      </c>
      <c r="B453" s="12" t="s">
        <v>43</v>
      </c>
      <c r="C453" s="10"/>
      <c r="D453" s="12">
        <v>1976</v>
      </c>
    </row>
    <row r="454" spans="1:4" ht="19.95" customHeight="1" x14ac:dyDescent="0.25">
      <c r="A454" s="11" t="s">
        <v>13</v>
      </c>
      <c r="B454" s="12" t="s">
        <v>43</v>
      </c>
      <c r="C454" s="10"/>
      <c r="D454" s="12">
        <v>1976</v>
      </c>
    </row>
    <row r="455" spans="1:4" ht="19.95" customHeight="1" x14ac:dyDescent="0.25">
      <c r="A455" s="11" t="s">
        <v>15</v>
      </c>
      <c r="B455" s="12" t="s">
        <v>43</v>
      </c>
      <c r="C455" s="10"/>
      <c r="D455" s="12">
        <v>1976</v>
      </c>
    </row>
    <row r="456" spans="1:4" ht="19.95" customHeight="1" x14ac:dyDescent="0.25">
      <c r="A456" s="11" t="s">
        <v>16</v>
      </c>
      <c r="B456" s="12" t="s">
        <v>43</v>
      </c>
      <c r="C456" s="10"/>
      <c r="D456" s="12">
        <v>1976</v>
      </c>
    </row>
    <row r="457" spans="1:4" ht="19.95" customHeight="1" x14ac:dyDescent="0.25">
      <c r="A457" s="11" t="s">
        <v>17</v>
      </c>
      <c r="B457" s="12" t="s">
        <v>43</v>
      </c>
      <c r="C457" s="10"/>
      <c r="D457" s="12">
        <v>1976</v>
      </c>
    </row>
    <row r="458" spans="1:4" ht="19.95" customHeight="1" x14ac:dyDescent="0.25">
      <c r="A458" s="11" t="s">
        <v>2</v>
      </c>
      <c r="B458" s="12" t="s">
        <v>43</v>
      </c>
      <c r="C458" s="10"/>
      <c r="D458" s="12">
        <v>1976</v>
      </c>
    </row>
    <row r="459" spans="1:4" ht="19.95" customHeight="1" x14ac:dyDescent="0.25">
      <c r="A459" s="11" t="s">
        <v>18</v>
      </c>
      <c r="B459" s="12" t="s">
        <v>43</v>
      </c>
      <c r="C459" s="10"/>
      <c r="D459" s="12">
        <v>1976</v>
      </c>
    </row>
    <row r="460" spans="1:4" ht="19.95" customHeight="1" x14ac:dyDescent="0.25">
      <c r="A460" s="11" t="s">
        <v>19</v>
      </c>
      <c r="B460" s="12" t="s">
        <v>43</v>
      </c>
      <c r="C460" s="10"/>
      <c r="D460" s="12">
        <v>1976</v>
      </c>
    </row>
    <row r="461" spans="1:4" ht="19.95" customHeight="1" x14ac:dyDescent="0.25">
      <c r="A461" s="11" t="s">
        <v>20</v>
      </c>
      <c r="B461" s="12" t="s">
        <v>43</v>
      </c>
      <c r="C461" s="10"/>
      <c r="D461" s="12">
        <v>1976</v>
      </c>
    </row>
    <row r="462" spans="1:4" ht="19.95" customHeight="1" x14ac:dyDescent="0.25">
      <c r="A462" s="11" t="s">
        <v>21</v>
      </c>
      <c r="B462" s="12" t="s">
        <v>43</v>
      </c>
      <c r="C462" s="10"/>
      <c r="D462" s="12">
        <v>1976</v>
      </c>
    </row>
    <row r="463" spans="1:4" ht="19.95" customHeight="1" x14ac:dyDescent="0.25">
      <c r="A463" s="11" t="s">
        <v>22</v>
      </c>
      <c r="B463" s="12" t="s">
        <v>43</v>
      </c>
      <c r="C463" s="10"/>
      <c r="D463" s="12">
        <v>1976</v>
      </c>
    </row>
    <row r="464" spans="1:4" ht="19.95" customHeight="1" x14ac:dyDescent="0.25">
      <c r="A464" s="11" t="s">
        <v>23</v>
      </c>
      <c r="B464" s="12" t="s">
        <v>43</v>
      </c>
      <c r="C464" s="10"/>
      <c r="D464" s="12">
        <v>1976</v>
      </c>
    </row>
    <row r="465" spans="1:4" ht="19.95" customHeight="1" x14ac:dyDescent="0.25">
      <c r="A465" s="11" t="s">
        <v>24</v>
      </c>
      <c r="B465" s="12" t="s">
        <v>43</v>
      </c>
      <c r="C465" s="10"/>
      <c r="D465" s="12">
        <v>1976</v>
      </c>
    </row>
    <row r="466" spans="1:4" ht="19.95" customHeight="1" x14ac:dyDescent="0.25">
      <c r="A466" s="11" t="s">
        <v>25</v>
      </c>
      <c r="B466" s="12" t="s">
        <v>43</v>
      </c>
      <c r="C466" s="10"/>
      <c r="D466" s="12">
        <v>1976</v>
      </c>
    </row>
    <row r="467" spans="1:4" ht="19.95" customHeight="1" x14ac:dyDescent="0.25">
      <c r="A467" s="11" t="s">
        <v>26</v>
      </c>
      <c r="B467" s="12" t="s">
        <v>43</v>
      </c>
      <c r="C467" s="10"/>
      <c r="D467" s="12">
        <v>1976</v>
      </c>
    </row>
    <row r="468" spans="1:4" ht="19.95" customHeight="1" x14ac:dyDescent="0.25">
      <c r="A468" s="11" t="s">
        <v>27</v>
      </c>
      <c r="B468" s="12" t="s">
        <v>43</v>
      </c>
      <c r="C468" s="10"/>
      <c r="D468" s="12">
        <v>1976</v>
      </c>
    </row>
    <row r="469" spans="1:4" ht="19.95" customHeight="1" x14ac:dyDescent="0.25">
      <c r="A469" s="11" t="s">
        <v>29</v>
      </c>
      <c r="B469" s="12" t="s">
        <v>43</v>
      </c>
      <c r="C469" s="10"/>
      <c r="D469" s="12">
        <v>1976</v>
      </c>
    </row>
    <row r="470" spans="1:4" ht="19.95" customHeight="1" x14ac:dyDescent="0.25">
      <c r="A470" s="11" t="s">
        <v>30</v>
      </c>
      <c r="B470" s="12" t="s">
        <v>43</v>
      </c>
      <c r="C470" s="10"/>
      <c r="D470" s="12">
        <v>1976</v>
      </c>
    </row>
    <row r="471" spans="1:4" ht="19.95" customHeight="1" x14ac:dyDescent="0.25">
      <c r="A471" s="11" t="s">
        <v>31</v>
      </c>
      <c r="B471" s="12" t="s">
        <v>43</v>
      </c>
      <c r="C471" s="10"/>
      <c r="D471" s="12">
        <v>1976</v>
      </c>
    </row>
    <row r="472" spans="1:4" ht="19.95" customHeight="1" x14ac:dyDescent="0.25">
      <c r="A472" s="11" t="s">
        <v>32</v>
      </c>
      <c r="B472" s="12" t="s">
        <v>43</v>
      </c>
      <c r="C472" s="10"/>
      <c r="D472" s="12">
        <v>1976</v>
      </c>
    </row>
    <row r="473" spans="1:4" ht="19.95" customHeight="1" x14ac:dyDescent="0.25">
      <c r="A473" s="11" t="s">
        <v>33</v>
      </c>
      <c r="B473" s="12" t="s">
        <v>43</v>
      </c>
      <c r="C473" s="10"/>
      <c r="D473" s="12">
        <v>1976</v>
      </c>
    </row>
    <row r="474" spans="1:4" ht="19.95" customHeight="1" x14ac:dyDescent="0.25">
      <c r="A474" s="11" t="s">
        <v>34</v>
      </c>
      <c r="B474" s="12" t="s">
        <v>43</v>
      </c>
      <c r="C474" s="10"/>
      <c r="D474" s="12">
        <v>1976</v>
      </c>
    </row>
    <row r="475" spans="1:4" ht="19.95" customHeight="1" x14ac:dyDescent="0.25">
      <c r="A475" s="11" t="s">
        <v>35</v>
      </c>
      <c r="B475" s="12" t="s">
        <v>43</v>
      </c>
      <c r="C475" s="10"/>
      <c r="D475" s="12">
        <v>1976</v>
      </c>
    </row>
    <row r="476" spans="1:4" ht="19.95" customHeight="1" x14ac:dyDescent="0.25">
      <c r="A476" s="11" t="s">
        <v>36</v>
      </c>
      <c r="B476" s="12" t="s">
        <v>43</v>
      </c>
      <c r="C476" s="10"/>
      <c r="D476" s="12">
        <v>1976</v>
      </c>
    </row>
    <row r="477" spans="1:4" ht="19.95" customHeight="1" x14ac:dyDescent="0.25">
      <c r="A477" s="11" t="s">
        <v>37</v>
      </c>
      <c r="B477" s="12" t="s">
        <v>43</v>
      </c>
      <c r="C477" s="10"/>
      <c r="D477" s="12">
        <v>1976</v>
      </c>
    </row>
    <row r="478" spans="1:4" ht="19.95" customHeight="1" x14ac:dyDescent="0.25">
      <c r="A478" s="11" t="s">
        <v>38</v>
      </c>
      <c r="B478" s="12" t="s">
        <v>43</v>
      </c>
      <c r="C478" s="10"/>
      <c r="D478" s="12">
        <v>1976</v>
      </c>
    </row>
    <row r="479" spans="1:4" ht="19.95" customHeight="1" x14ac:dyDescent="0.25">
      <c r="A479" s="11" t="s">
        <v>39</v>
      </c>
      <c r="B479" s="12" t="s">
        <v>43</v>
      </c>
      <c r="C479" s="10"/>
      <c r="D479" s="12">
        <v>1976</v>
      </c>
    </row>
    <row r="480" spans="1:4" ht="19.95" customHeight="1" x14ac:dyDescent="0.25">
      <c r="A480" s="11" t="s">
        <v>40</v>
      </c>
      <c r="B480" s="12" t="s">
        <v>43</v>
      </c>
      <c r="C480" s="10"/>
      <c r="D480" s="12">
        <v>1976</v>
      </c>
    </row>
    <row r="481" spans="1:4" ht="19.95" customHeight="1" x14ac:dyDescent="0.25">
      <c r="A481" s="11" t="s">
        <v>10</v>
      </c>
      <c r="B481" s="12" t="s">
        <v>43</v>
      </c>
      <c r="C481" s="10"/>
      <c r="D481" s="12">
        <v>1977</v>
      </c>
    </row>
    <row r="482" spans="1:4" ht="19.95" customHeight="1" x14ac:dyDescent="0.25">
      <c r="A482" s="11" t="s">
        <v>13</v>
      </c>
      <c r="B482" s="12" t="s">
        <v>43</v>
      </c>
      <c r="C482" s="10"/>
      <c r="D482" s="12">
        <v>1977</v>
      </c>
    </row>
    <row r="483" spans="1:4" ht="19.95" customHeight="1" x14ac:dyDescent="0.25">
      <c r="A483" s="11" t="s">
        <v>15</v>
      </c>
      <c r="B483" s="12" t="s">
        <v>43</v>
      </c>
      <c r="C483" s="10"/>
      <c r="D483" s="12">
        <v>1977</v>
      </c>
    </row>
    <row r="484" spans="1:4" ht="19.95" customHeight="1" x14ac:dyDescent="0.25">
      <c r="A484" s="11" t="s">
        <v>16</v>
      </c>
      <c r="B484" s="12" t="s">
        <v>43</v>
      </c>
      <c r="C484" s="10"/>
      <c r="D484" s="12">
        <v>1977</v>
      </c>
    </row>
    <row r="485" spans="1:4" ht="19.95" customHeight="1" x14ac:dyDescent="0.25">
      <c r="A485" s="11" t="s">
        <v>17</v>
      </c>
      <c r="B485" s="12" t="s">
        <v>43</v>
      </c>
      <c r="C485" s="10"/>
      <c r="D485" s="12">
        <v>1977</v>
      </c>
    </row>
    <row r="486" spans="1:4" ht="19.95" customHeight="1" x14ac:dyDescent="0.25">
      <c r="A486" s="11" t="s">
        <v>2</v>
      </c>
      <c r="B486" s="12" t="s">
        <v>43</v>
      </c>
      <c r="C486" s="10"/>
      <c r="D486" s="12">
        <v>1977</v>
      </c>
    </row>
    <row r="487" spans="1:4" ht="19.95" customHeight="1" x14ac:dyDescent="0.25">
      <c r="A487" s="11" t="s">
        <v>18</v>
      </c>
      <c r="B487" s="12" t="s">
        <v>43</v>
      </c>
      <c r="C487" s="10"/>
      <c r="D487" s="12">
        <v>1977</v>
      </c>
    </row>
    <row r="488" spans="1:4" ht="19.95" customHeight="1" x14ac:dyDescent="0.25">
      <c r="A488" s="11" t="s">
        <v>19</v>
      </c>
      <c r="B488" s="12" t="s">
        <v>43</v>
      </c>
      <c r="C488" s="10"/>
      <c r="D488" s="12">
        <v>1977</v>
      </c>
    </row>
    <row r="489" spans="1:4" ht="19.95" customHeight="1" x14ac:dyDescent="0.25">
      <c r="A489" s="11" t="s">
        <v>20</v>
      </c>
      <c r="B489" s="12" t="s">
        <v>43</v>
      </c>
      <c r="C489" s="10"/>
      <c r="D489" s="12">
        <v>1977</v>
      </c>
    </row>
    <row r="490" spans="1:4" ht="19.95" customHeight="1" x14ac:dyDescent="0.25">
      <c r="A490" s="11" t="s">
        <v>21</v>
      </c>
      <c r="B490" s="12" t="s">
        <v>43</v>
      </c>
      <c r="C490" s="10"/>
      <c r="D490" s="12">
        <v>1977</v>
      </c>
    </row>
    <row r="491" spans="1:4" ht="19.95" customHeight="1" x14ac:dyDescent="0.25">
      <c r="A491" s="11" t="s">
        <v>22</v>
      </c>
      <c r="B491" s="12" t="s">
        <v>43</v>
      </c>
      <c r="C491" s="10"/>
      <c r="D491" s="12">
        <v>1977</v>
      </c>
    </row>
    <row r="492" spans="1:4" ht="19.95" customHeight="1" x14ac:dyDescent="0.25">
      <c r="A492" s="11" t="s">
        <v>23</v>
      </c>
      <c r="B492" s="12" t="s">
        <v>43</v>
      </c>
      <c r="C492" s="10"/>
      <c r="D492" s="12">
        <v>1977</v>
      </c>
    </row>
    <row r="493" spans="1:4" ht="19.95" customHeight="1" x14ac:dyDescent="0.25">
      <c r="A493" s="11" t="s">
        <v>24</v>
      </c>
      <c r="B493" s="12" t="s">
        <v>43</v>
      </c>
      <c r="C493" s="10"/>
      <c r="D493" s="12">
        <v>1977</v>
      </c>
    </row>
    <row r="494" spans="1:4" ht="19.95" customHeight="1" x14ac:dyDescent="0.25">
      <c r="A494" s="11" t="s">
        <v>25</v>
      </c>
      <c r="B494" s="12" t="s">
        <v>43</v>
      </c>
      <c r="C494" s="10"/>
      <c r="D494" s="12">
        <v>1977</v>
      </c>
    </row>
    <row r="495" spans="1:4" ht="19.95" customHeight="1" x14ac:dyDescent="0.25">
      <c r="A495" s="11" t="s">
        <v>26</v>
      </c>
      <c r="B495" s="12" t="s">
        <v>43</v>
      </c>
      <c r="C495" s="10"/>
      <c r="D495" s="12">
        <v>1977</v>
      </c>
    </row>
    <row r="496" spans="1:4" ht="19.95" customHeight="1" x14ac:dyDescent="0.25">
      <c r="A496" s="11" t="s">
        <v>27</v>
      </c>
      <c r="B496" s="12" t="s">
        <v>43</v>
      </c>
      <c r="C496" s="10"/>
      <c r="D496" s="12">
        <v>1977</v>
      </c>
    </row>
    <row r="497" spans="1:4" ht="19.95" customHeight="1" x14ac:dyDescent="0.25">
      <c r="A497" s="11" t="s">
        <v>29</v>
      </c>
      <c r="B497" s="12" t="s">
        <v>43</v>
      </c>
      <c r="C497" s="10"/>
      <c r="D497" s="12">
        <v>1977</v>
      </c>
    </row>
    <row r="498" spans="1:4" ht="19.95" customHeight="1" x14ac:dyDescent="0.25">
      <c r="A498" s="11" t="s">
        <v>30</v>
      </c>
      <c r="B498" s="12" t="s">
        <v>43</v>
      </c>
      <c r="C498" s="10"/>
      <c r="D498" s="12">
        <v>1977</v>
      </c>
    </row>
    <row r="499" spans="1:4" ht="19.95" customHeight="1" x14ac:dyDescent="0.25">
      <c r="A499" s="11" t="s">
        <v>31</v>
      </c>
      <c r="B499" s="12" t="s">
        <v>43</v>
      </c>
      <c r="C499" s="10"/>
      <c r="D499" s="12">
        <v>1977</v>
      </c>
    </row>
    <row r="500" spans="1:4" ht="19.95" customHeight="1" x14ac:dyDescent="0.25">
      <c r="A500" s="11" t="s">
        <v>32</v>
      </c>
      <c r="B500" s="12" t="s">
        <v>43</v>
      </c>
      <c r="C500" s="10"/>
      <c r="D500" s="12">
        <v>1977</v>
      </c>
    </row>
    <row r="501" spans="1:4" ht="19.95" customHeight="1" x14ac:dyDescent="0.25">
      <c r="A501" s="11" t="s">
        <v>33</v>
      </c>
      <c r="B501" s="12" t="s">
        <v>43</v>
      </c>
      <c r="C501" s="10"/>
      <c r="D501" s="12">
        <v>1977</v>
      </c>
    </row>
    <row r="502" spans="1:4" ht="19.95" customHeight="1" x14ac:dyDescent="0.25">
      <c r="A502" s="11" t="s">
        <v>34</v>
      </c>
      <c r="B502" s="12" t="s">
        <v>43</v>
      </c>
      <c r="C502" s="10"/>
      <c r="D502" s="12">
        <v>1977</v>
      </c>
    </row>
    <row r="503" spans="1:4" ht="19.95" customHeight="1" x14ac:dyDescent="0.25">
      <c r="A503" s="11" t="s">
        <v>35</v>
      </c>
      <c r="B503" s="12" t="s">
        <v>43</v>
      </c>
      <c r="C503" s="10"/>
      <c r="D503" s="12">
        <v>1977</v>
      </c>
    </row>
    <row r="504" spans="1:4" ht="19.95" customHeight="1" x14ac:dyDescent="0.25">
      <c r="A504" s="11" t="s">
        <v>36</v>
      </c>
      <c r="B504" s="12" t="s">
        <v>43</v>
      </c>
      <c r="C504" s="10"/>
      <c r="D504" s="12">
        <v>1977</v>
      </c>
    </row>
    <row r="505" spans="1:4" ht="19.95" customHeight="1" x14ac:dyDescent="0.25">
      <c r="A505" s="11" t="s">
        <v>37</v>
      </c>
      <c r="B505" s="12" t="s">
        <v>43</v>
      </c>
      <c r="C505" s="10"/>
      <c r="D505" s="12">
        <v>1977</v>
      </c>
    </row>
    <row r="506" spans="1:4" ht="19.95" customHeight="1" x14ac:dyDescent="0.25">
      <c r="A506" s="11" t="s">
        <v>38</v>
      </c>
      <c r="B506" s="12" t="s">
        <v>43</v>
      </c>
      <c r="C506" s="10"/>
      <c r="D506" s="12">
        <v>1977</v>
      </c>
    </row>
    <row r="507" spans="1:4" ht="19.95" customHeight="1" x14ac:dyDescent="0.25">
      <c r="A507" s="11" t="s">
        <v>39</v>
      </c>
      <c r="B507" s="12" t="s">
        <v>43</v>
      </c>
      <c r="C507" s="10"/>
      <c r="D507" s="12">
        <v>1977</v>
      </c>
    </row>
    <row r="508" spans="1:4" ht="19.95" customHeight="1" x14ac:dyDescent="0.25">
      <c r="A508" s="11" t="s">
        <v>40</v>
      </c>
      <c r="B508" s="12" t="s">
        <v>43</v>
      </c>
      <c r="C508" s="10"/>
      <c r="D508" s="12">
        <v>1977</v>
      </c>
    </row>
    <row r="509" spans="1:4" ht="19.95" customHeight="1" x14ac:dyDescent="0.25">
      <c r="A509" s="11" t="s">
        <v>10</v>
      </c>
      <c r="B509" s="12" t="s">
        <v>43</v>
      </c>
      <c r="C509" s="10"/>
      <c r="D509" s="12">
        <v>1978</v>
      </c>
    </row>
    <row r="510" spans="1:4" ht="19.95" customHeight="1" x14ac:dyDescent="0.25">
      <c r="A510" s="11" t="s">
        <v>13</v>
      </c>
      <c r="B510" s="12" t="s">
        <v>43</v>
      </c>
      <c r="C510" s="10"/>
      <c r="D510" s="12">
        <v>1978</v>
      </c>
    </row>
    <row r="511" spans="1:4" ht="19.95" customHeight="1" x14ac:dyDescent="0.25">
      <c r="A511" s="11" t="s">
        <v>15</v>
      </c>
      <c r="B511" s="12" t="s">
        <v>43</v>
      </c>
      <c r="C511" s="10"/>
      <c r="D511" s="12">
        <v>1978</v>
      </c>
    </row>
    <row r="512" spans="1:4" ht="19.95" customHeight="1" x14ac:dyDescent="0.25">
      <c r="A512" s="11" t="s">
        <v>16</v>
      </c>
      <c r="B512" s="12" t="s">
        <v>43</v>
      </c>
      <c r="C512" s="10"/>
      <c r="D512" s="12">
        <v>1978</v>
      </c>
    </row>
    <row r="513" spans="1:4" ht="19.95" customHeight="1" x14ac:dyDescent="0.25">
      <c r="A513" s="11" t="s">
        <v>17</v>
      </c>
      <c r="B513" s="12" t="s">
        <v>43</v>
      </c>
      <c r="C513" s="10"/>
      <c r="D513" s="12">
        <v>1978</v>
      </c>
    </row>
    <row r="514" spans="1:4" ht="19.95" customHeight="1" x14ac:dyDescent="0.25">
      <c r="A514" s="11" t="s">
        <v>2</v>
      </c>
      <c r="B514" s="12" t="s">
        <v>43</v>
      </c>
      <c r="C514" s="10"/>
      <c r="D514" s="12">
        <v>1978</v>
      </c>
    </row>
    <row r="515" spans="1:4" ht="19.95" customHeight="1" x14ac:dyDescent="0.25">
      <c r="A515" s="11" t="s">
        <v>18</v>
      </c>
      <c r="B515" s="12" t="s">
        <v>43</v>
      </c>
      <c r="C515" s="10"/>
      <c r="D515" s="12">
        <v>1978</v>
      </c>
    </row>
    <row r="516" spans="1:4" ht="19.95" customHeight="1" x14ac:dyDescent="0.25">
      <c r="A516" s="11" t="s">
        <v>19</v>
      </c>
      <c r="B516" s="12" t="s">
        <v>43</v>
      </c>
      <c r="C516" s="10"/>
      <c r="D516" s="12">
        <v>1978</v>
      </c>
    </row>
    <row r="517" spans="1:4" ht="19.95" customHeight="1" x14ac:dyDescent="0.25">
      <c r="A517" s="11" t="s">
        <v>20</v>
      </c>
      <c r="B517" s="12" t="s">
        <v>43</v>
      </c>
      <c r="C517" s="10"/>
      <c r="D517" s="12">
        <v>1978</v>
      </c>
    </row>
    <row r="518" spans="1:4" ht="19.95" customHeight="1" x14ac:dyDescent="0.25">
      <c r="A518" s="11" t="s">
        <v>21</v>
      </c>
      <c r="B518" s="12" t="s">
        <v>43</v>
      </c>
      <c r="C518" s="10"/>
      <c r="D518" s="12">
        <v>1978</v>
      </c>
    </row>
    <row r="519" spans="1:4" ht="19.95" customHeight="1" x14ac:dyDescent="0.25">
      <c r="A519" s="11" t="s">
        <v>22</v>
      </c>
      <c r="B519" s="12" t="s">
        <v>43</v>
      </c>
      <c r="C519" s="10"/>
      <c r="D519" s="12">
        <v>1978</v>
      </c>
    </row>
    <row r="520" spans="1:4" ht="19.95" customHeight="1" x14ac:dyDescent="0.25">
      <c r="A520" s="11" t="s">
        <v>23</v>
      </c>
      <c r="B520" s="12" t="s">
        <v>43</v>
      </c>
      <c r="C520" s="10"/>
      <c r="D520" s="12">
        <v>1978</v>
      </c>
    </row>
    <row r="521" spans="1:4" ht="19.95" customHeight="1" x14ac:dyDescent="0.25">
      <c r="A521" s="11" t="s">
        <v>24</v>
      </c>
      <c r="B521" s="12" t="s">
        <v>43</v>
      </c>
      <c r="C521" s="10"/>
      <c r="D521" s="12">
        <v>1978</v>
      </c>
    </row>
    <row r="522" spans="1:4" ht="19.95" customHeight="1" x14ac:dyDescent="0.25">
      <c r="A522" s="11" t="s">
        <v>25</v>
      </c>
      <c r="B522" s="12" t="s">
        <v>43</v>
      </c>
      <c r="C522" s="10"/>
      <c r="D522" s="12">
        <v>1978</v>
      </c>
    </row>
    <row r="523" spans="1:4" ht="19.95" customHeight="1" x14ac:dyDescent="0.25">
      <c r="A523" s="11" t="s">
        <v>26</v>
      </c>
      <c r="B523" s="12" t="s">
        <v>43</v>
      </c>
      <c r="C523" s="10"/>
      <c r="D523" s="12">
        <v>1978</v>
      </c>
    </row>
    <row r="524" spans="1:4" ht="19.95" customHeight="1" x14ac:dyDescent="0.25">
      <c r="A524" s="11" t="s">
        <v>27</v>
      </c>
      <c r="B524" s="12" t="s">
        <v>43</v>
      </c>
      <c r="C524" s="10"/>
      <c r="D524" s="12">
        <v>1978</v>
      </c>
    </row>
    <row r="525" spans="1:4" ht="19.95" customHeight="1" x14ac:dyDescent="0.25">
      <c r="A525" s="11" t="s">
        <v>29</v>
      </c>
      <c r="B525" s="12" t="s">
        <v>43</v>
      </c>
      <c r="C525" s="10"/>
      <c r="D525" s="12">
        <v>1978</v>
      </c>
    </row>
    <row r="526" spans="1:4" ht="19.95" customHeight="1" x14ac:dyDescent="0.25">
      <c r="A526" s="11" t="s">
        <v>30</v>
      </c>
      <c r="B526" s="12" t="s">
        <v>43</v>
      </c>
      <c r="C526" s="10"/>
      <c r="D526" s="12">
        <v>1978</v>
      </c>
    </row>
    <row r="527" spans="1:4" ht="19.95" customHeight="1" x14ac:dyDescent="0.25">
      <c r="A527" s="11" t="s">
        <v>31</v>
      </c>
      <c r="B527" s="12" t="s">
        <v>43</v>
      </c>
      <c r="C527" s="10"/>
      <c r="D527" s="12">
        <v>1978</v>
      </c>
    </row>
    <row r="528" spans="1:4" ht="19.95" customHeight="1" x14ac:dyDescent="0.25">
      <c r="A528" s="11" t="s">
        <v>32</v>
      </c>
      <c r="B528" s="12" t="s">
        <v>43</v>
      </c>
      <c r="C528" s="10"/>
      <c r="D528" s="12">
        <v>1978</v>
      </c>
    </row>
    <row r="529" spans="1:4" ht="19.95" customHeight="1" x14ac:dyDescent="0.25">
      <c r="A529" s="11" t="s">
        <v>33</v>
      </c>
      <c r="B529" s="12" t="s">
        <v>43</v>
      </c>
      <c r="C529" s="10"/>
      <c r="D529" s="12">
        <v>1978</v>
      </c>
    </row>
    <row r="530" spans="1:4" ht="19.95" customHeight="1" x14ac:dyDescent="0.25">
      <c r="A530" s="11" t="s">
        <v>34</v>
      </c>
      <c r="B530" s="12" t="s">
        <v>43</v>
      </c>
      <c r="C530" s="10"/>
      <c r="D530" s="12">
        <v>1978</v>
      </c>
    </row>
    <row r="531" spans="1:4" ht="19.95" customHeight="1" x14ac:dyDescent="0.25">
      <c r="A531" s="11" t="s">
        <v>35</v>
      </c>
      <c r="B531" s="12" t="s">
        <v>43</v>
      </c>
      <c r="C531" s="10"/>
      <c r="D531" s="12">
        <v>1978</v>
      </c>
    </row>
    <row r="532" spans="1:4" ht="19.95" customHeight="1" x14ac:dyDescent="0.25">
      <c r="A532" s="11" t="s">
        <v>36</v>
      </c>
      <c r="B532" s="12" t="s">
        <v>43</v>
      </c>
      <c r="C532" s="10"/>
      <c r="D532" s="12">
        <v>1978</v>
      </c>
    </row>
    <row r="533" spans="1:4" ht="19.95" customHeight="1" x14ac:dyDescent="0.25">
      <c r="A533" s="11" t="s">
        <v>37</v>
      </c>
      <c r="B533" s="12" t="s">
        <v>43</v>
      </c>
      <c r="C533" s="10"/>
      <c r="D533" s="12">
        <v>1978</v>
      </c>
    </row>
    <row r="534" spans="1:4" ht="19.95" customHeight="1" x14ac:dyDescent="0.25">
      <c r="A534" s="11" t="s">
        <v>38</v>
      </c>
      <c r="B534" s="12" t="s">
        <v>43</v>
      </c>
      <c r="C534" s="10"/>
      <c r="D534" s="12">
        <v>1978</v>
      </c>
    </row>
    <row r="535" spans="1:4" ht="19.95" customHeight="1" x14ac:dyDescent="0.25">
      <c r="A535" s="11" t="s">
        <v>39</v>
      </c>
      <c r="B535" s="12" t="s">
        <v>43</v>
      </c>
      <c r="C535" s="10"/>
      <c r="D535" s="12">
        <v>1978</v>
      </c>
    </row>
    <row r="536" spans="1:4" ht="19.95" customHeight="1" x14ac:dyDescent="0.25">
      <c r="A536" s="11" t="s">
        <v>40</v>
      </c>
      <c r="B536" s="12" t="s">
        <v>43</v>
      </c>
      <c r="C536" s="10"/>
      <c r="D536" s="12">
        <v>1978</v>
      </c>
    </row>
    <row r="537" spans="1:4" ht="19.95" customHeight="1" x14ac:dyDescent="0.25">
      <c r="A537" s="11" t="s">
        <v>10</v>
      </c>
      <c r="B537" s="12" t="s">
        <v>43</v>
      </c>
      <c r="C537" s="10"/>
      <c r="D537" s="12">
        <v>1979</v>
      </c>
    </row>
    <row r="538" spans="1:4" ht="19.95" customHeight="1" x14ac:dyDescent="0.25">
      <c r="A538" s="11" t="s">
        <v>13</v>
      </c>
      <c r="B538" s="12" t="s">
        <v>43</v>
      </c>
      <c r="C538" s="10"/>
      <c r="D538" s="12">
        <v>1979</v>
      </c>
    </row>
    <row r="539" spans="1:4" ht="19.95" customHeight="1" x14ac:dyDescent="0.25">
      <c r="A539" s="11" t="s">
        <v>15</v>
      </c>
      <c r="B539" s="12" t="s">
        <v>43</v>
      </c>
      <c r="C539" s="10"/>
      <c r="D539" s="12">
        <v>1979</v>
      </c>
    </row>
    <row r="540" spans="1:4" ht="19.95" customHeight="1" x14ac:dyDescent="0.25">
      <c r="A540" s="11" t="s">
        <v>16</v>
      </c>
      <c r="B540" s="12" t="s">
        <v>43</v>
      </c>
      <c r="C540" s="10"/>
      <c r="D540" s="12">
        <v>1979</v>
      </c>
    </row>
    <row r="541" spans="1:4" ht="19.95" customHeight="1" x14ac:dyDescent="0.25">
      <c r="A541" s="11" t="s">
        <v>17</v>
      </c>
      <c r="B541" s="12" t="s">
        <v>43</v>
      </c>
      <c r="C541" s="10"/>
      <c r="D541" s="12">
        <v>1979</v>
      </c>
    </row>
    <row r="542" spans="1:4" ht="19.95" customHeight="1" x14ac:dyDescent="0.25">
      <c r="A542" s="11" t="s">
        <v>2</v>
      </c>
      <c r="B542" s="12" t="s">
        <v>43</v>
      </c>
      <c r="C542" s="10"/>
      <c r="D542" s="12">
        <v>1979</v>
      </c>
    </row>
    <row r="543" spans="1:4" ht="19.95" customHeight="1" x14ac:dyDescent="0.25">
      <c r="A543" s="11" t="s">
        <v>18</v>
      </c>
      <c r="B543" s="12" t="s">
        <v>43</v>
      </c>
      <c r="C543" s="10"/>
      <c r="D543" s="12">
        <v>1979</v>
      </c>
    </row>
    <row r="544" spans="1:4" ht="19.95" customHeight="1" x14ac:dyDescent="0.25">
      <c r="A544" s="11" t="s">
        <v>19</v>
      </c>
      <c r="B544" s="12" t="s">
        <v>43</v>
      </c>
      <c r="C544" s="10"/>
      <c r="D544" s="12">
        <v>1979</v>
      </c>
    </row>
    <row r="545" spans="1:4" ht="19.95" customHeight="1" x14ac:dyDescent="0.25">
      <c r="A545" s="11" t="s">
        <v>20</v>
      </c>
      <c r="B545" s="12" t="s">
        <v>43</v>
      </c>
      <c r="C545" s="10"/>
      <c r="D545" s="12">
        <v>1979</v>
      </c>
    </row>
    <row r="546" spans="1:4" ht="19.95" customHeight="1" x14ac:dyDescent="0.25">
      <c r="A546" s="11" t="s">
        <v>21</v>
      </c>
      <c r="B546" s="12" t="s">
        <v>43</v>
      </c>
      <c r="C546" s="10"/>
      <c r="D546" s="12">
        <v>1979</v>
      </c>
    </row>
    <row r="547" spans="1:4" ht="19.95" customHeight="1" x14ac:dyDescent="0.25">
      <c r="A547" s="11" t="s">
        <v>22</v>
      </c>
      <c r="B547" s="12" t="s">
        <v>43</v>
      </c>
      <c r="C547" s="10"/>
      <c r="D547" s="12">
        <v>1979</v>
      </c>
    </row>
    <row r="548" spans="1:4" ht="19.95" customHeight="1" x14ac:dyDescent="0.25">
      <c r="A548" s="11" t="s">
        <v>23</v>
      </c>
      <c r="B548" s="12" t="s">
        <v>43</v>
      </c>
      <c r="C548" s="10"/>
      <c r="D548" s="12">
        <v>1979</v>
      </c>
    </row>
    <row r="549" spans="1:4" ht="19.95" customHeight="1" x14ac:dyDescent="0.25">
      <c r="A549" s="11" t="s">
        <v>24</v>
      </c>
      <c r="B549" s="12" t="s">
        <v>43</v>
      </c>
      <c r="C549" s="10"/>
      <c r="D549" s="12">
        <v>1979</v>
      </c>
    </row>
    <row r="550" spans="1:4" ht="19.95" customHeight="1" x14ac:dyDescent="0.25">
      <c r="A550" s="11" t="s">
        <v>25</v>
      </c>
      <c r="B550" s="12" t="s">
        <v>43</v>
      </c>
      <c r="C550" s="10"/>
      <c r="D550" s="12">
        <v>1979</v>
      </c>
    </row>
    <row r="551" spans="1:4" ht="19.95" customHeight="1" x14ac:dyDescent="0.25">
      <c r="A551" s="11" t="s">
        <v>26</v>
      </c>
      <c r="B551" s="12" t="s">
        <v>43</v>
      </c>
      <c r="C551" s="10"/>
      <c r="D551" s="12">
        <v>1979</v>
      </c>
    </row>
    <row r="552" spans="1:4" ht="19.95" customHeight="1" x14ac:dyDescent="0.25">
      <c r="A552" s="11" t="s">
        <v>27</v>
      </c>
      <c r="B552" s="12" t="s">
        <v>43</v>
      </c>
      <c r="C552" s="10"/>
      <c r="D552" s="12">
        <v>1979</v>
      </c>
    </row>
    <row r="553" spans="1:4" ht="19.95" customHeight="1" x14ac:dyDescent="0.25">
      <c r="A553" s="11" t="s">
        <v>29</v>
      </c>
      <c r="B553" s="12" t="s">
        <v>43</v>
      </c>
      <c r="C553" s="10"/>
      <c r="D553" s="12">
        <v>1979</v>
      </c>
    </row>
    <row r="554" spans="1:4" ht="19.95" customHeight="1" x14ac:dyDescent="0.25">
      <c r="A554" s="11" t="s">
        <v>30</v>
      </c>
      <c r="B554" s="12" t="s">
        <v>43</v>
      </c>
      <c r="C554" s="10"/>
      <c r="D554" s="12">
        <v>1979</v>
      </c>
    </row>
    <row r="555" spans="1:4" ht="19.95" customHeight="1" x14ac:dyDescent="0.25">
      <c r="A555" s="11" t="s">
        <v>31</v>
      </c>
      <c r="B555" s="12" t="s">
        <v>43</v>
      </c>
      <c r="C555" s="10"/>
      <c r="D555" s="12">
        <v>1979</v>
      </c>
    </row>
    <row r="556" spans="1:4" ht="19.95" customHeight="1" x14ac:dyDescent="0.25">
      <c r="A556" s="11" t="s">
        <v>32</v>
      </c>
      <c r="B556" s="12" t="s">
        <v>43</v>
      </c>
      <c r="C556" s="10"/>
      <c r="D556" s="12">
        <v>1979</v>
      </c>
    </row>
    <row r="557" spans="1:4" ht="19.95" customHeight="1" x14ac:dyDescent="0.25">
      <c r="A557" s="11" t="s">
        <v>33</v>
      </c>
      <c r="B557" s="12" t="s">
        <v>43</v>
      </c>
      <c r="C557" s="10"/>
      <c r="D557" s="12">
        <v>1979</v>
      </c>
    </row>
    <row r="558" spans="1:4" ht="19.95" customHeight="1" x14ac:dyDescent="0.25">
      <c r="A558" s="11" t="s">
        <v>34</v>
      </c>
      <c r="B558" s="12" t="s">
        <v>43</v>
      </c>
      <c r="C558" s="10"/>
      <c r="D558" s="12">
        <v>1979</v>
      </c>
    </row>
    <row r="559" spans="1:4" ht="19.95" customHeight="1" x14ac:dyDescent="0.25">
      <c r="A559" s="11" t="s">
        <v>35</v>
      </c>
      <c r="B559" s="12" t="s">
        <v>43</v>
      </c>
      <c r="C559" s="10"/>
      <c r="D559" s="12">
        <v>1979</v>
      </c>
    </row>
    <row r="560" spans="1:4" ht="19.95" customHeight="1" x14ac:dyDescent="0.25">
      <c r="A560" s="11" t="s">
        <v>36</v>
      </c>
      <c r="B560" s="12" t="s">
        <v>43</v>
      </c>
      <c r="C560" s="10"/>
      <c r="D560" s="12">
        <v>1979</v>
      </c>
    </row>
    <row r="561" spans="1:4" ht="19.95" customHeight="1" x14ac:dyDescent="0.25">
      <c r="A561" s="11" t="s">
        <v>37</v>
      </c>
      <c r="B561" s="12" t="s">
        <v>43</v>
      </c>
      <c r="C561" s="10"/>
      <c r="D561" s="12">
        <v>1979</v>
      </c>
    </row>
    <row r="562" spans="1:4" ht="19.95" customHeight="1" x14ac:dyDescent="0.25">
      <c r="A562" s="11" t="s">
        <v>38</v>
      </c>
      <c r="B562" s="12" t="s">
        <v>43</v>
      </c>
      <c r="C562" s="10"/>
      <c r="D562" s="12">
        <v>1979</v>
      </c>
    </row>
    <row r="563" spans="1:4" ht="19.95" customHeight="1" x14ac:dyDescent="0.25">
      <c r="A563" s="11" t="s">
        <v>39</v>
      </c>
      <c r="B563" s="12" t="s">
        <v>43</v>
      </c>
      <c r="C563" s="10"/>
      <c r="D563" s="12">
        <v>1979</v>
      </c>
    </row>
    <row r="564" spans="1:4" ht="19.95" customHeight="1" x14ac:dyDescent="0.25">
      <c r="A564" s="11" t="s">
        <v>40</v>
      </c>
      <c r="B564" s="12" t="s">
        <v>43</v>
      </c>
      <c r="C564" s="10"/>
      <c r="D564" s="12">
        <v>1979</v>
      </c>
    </row>
    <row r="565" spans="1:4" ht="19.95" customHeight="1" x14ac:dyDescent="0.25">
      <c r="A565" s="11" t="s">
        <v>10</v>
      </c>
      <c r="B565" s="12" t="s">
        <v>43</v>
      </c>
      <c r="C565" s="10"/>
      <c r="D565" s="12">
        <v>1980</v>
      </c>
    </row>
    <row r="566" spans="1:4" ht="19.95" customHeight="1" x14ac:dyDescent="0.25">
      <c r="A566" s="11" t="s">
        <v>13</v>
      </c>
      <c r="B566" s="12" t="s">
        <v>43</v>
      </c>
      <c r="C566" s="10"/>
      <c r="D566" s="12">
        <v>1980</v>
      </c>
    </row>
    <row r="567" spans="1:4" ht="19.95" customHeight="1" x14ac:dyDescent="0.25">
      <c r="A567" s="11" t="s">
        <v>15</v>
      </c>
      <c r="B567" s="12" t="s">
        <v>43</v>
      </c>
      <c r="C567" s="10"/>
      <c r="D567" s="12">
        <v>1980</v>
      </c>
    </row>
    <row r="568" spans="1:4" ht="19.95" customHeight="1" x14ac:dyDescent="0.25">
      <c r="A568" s="11" t="s">
        <v>16</v>
      </c>
      <c r="B568" s="12" t="s">
        <v>43</v>
      </c>
      <c r="C568" s="10"/>
      <c r="D568" s="12">
        <v>1980</v>
      </c>
    </row>
    <row r="569" spans="1:4" ht="19.95" customHeight="1" x14ac:dyDescent="0.25">
      <c r="A569" s="11" t="s">
        <v>17</v>
      </c>
      <c r="B569" s="12" t="s">
        <v>43</v>
      </c>
      <c r="C569" s="10"/>
      <c r="D569" s="12">
        <v>1980</v>
      </c>
    </row>
    <row r="570" spans="1:4" ht="19.95" customHeight="1" x14ac:dyDescent="0.25">
      <c r="A570" s="11" t="s">
        <v>2</v>
      </c>
      <c r="B570" s="12" t="s">
        <v>43</v>
      </c>
      <c r="C570" s="10"/>
      <c r="D570" s="12">
        <v>1980</v>
      </c>
    </row>
    <row r="571" spans="1:4" ht="19.95" customHeight="1" x14ac:dyDescent="0.25">
      <c r="A571" s="11" t="s">
        <v>18</v>
      </c>
      <c r="B571" s="12" t="s">
        <v>43</v>
      </c>
      <c r="C571" s="10"/>
      <c r="D571" s="12">
        <v>1980</v>
      </c>
    </row>
    <row r="572" spans="1:4" ht="19.95" customHeight="1" x14ac:dyDescent="0.25">
      <c r="A572" s="11" t="s">
        <v>19</v>
      </c>
      <c r="B572" s="12" t="s">
        <v>43</v>
      </c>
      <c r="C572" s="10"/>
      <c r="D572" s="12">
        <v>1980</v>
      </c>
    </row>
    <row r="573" spans="1:4" ht="19.95" customHeight="1" x14ac:dyDescent="0.25">
      <c r="A573" s="11" t="s">
        <v>20</v>
      </c>
      <c r="B573" s="12" t="s">
        <v>43</v>
      </c>
      <c r="C573" s="10"/>
      <c r="D573" s="12">
        <v>1980</v>
      </c>
    </row>
    <row r="574" spans="1:4" ht="19.95" customHeight="1" x14ac:dyDescent="0.25">
      <c r="A574" s="11" t="s">
        <v>21</v>
      </c>
      <c r="B574" s="12" t="s">
        <v>43</v>
      </c>
      <c r="C574" s="10"/>
      <c r="D574" s="12">
        <v>1980</v>
      </c>
    </row>
    <row r="575" spans="1:4" ht="19.95" customHeight="1" x14ac:dyDescent="0.25">
      <c r="A575" s="11" t="s">
        <v>22</v>
      </c>
      <c r="B575" s="12" t="s">
        <v>43</v>
      </c>
      <c r="C575" s="10"/>
      <c r="D575" s="12">
        <v>1980</v>
      </c>
    </row>
    <row r="576" spans="1:4" ht="19.95" customHeight="1" x14ac:dyDescent="0.25">
      <c r="A576" s="11" t="s">
        <v>23</v>
      </c>
      <c r="B576" s="12" t="s">
        <v>43</v>
      </c>
      <c r="C576" s="10"/>
      <c r="D576" s="12">
        <v>1980</v>
      </c>
    </row>
    <row r="577" spans="1:4" ht="19.95" customHeight="1" x14ac:dyDescent="0.25">
      <c r="A577" s="11" t="s">
        <v>24</v>
      </c>
      <c r="B577" s="12" t="s">
        <v>43</v>
      </c>
      <c r="C577" s="10"/>
      <c r="D577" s="12">
        <v>1980</v>
      </c>
    </row>
    <row r="578" spans="1:4" ht="19.95" customHeight="1" x14ac:dyDescent="0.25">
      <c r="A578" s="11" t="s">
        <v>25</v>
      </c>
      <c r="B578" s="12" t="s">
        <v>43</v>
      </c>
      <c r="C578" s="10"/>
      <c r="D578" s="12">
        <v>1980</v>
      </c>
    </row>
    <row r="579" spans="1:4" ht="19.95" customHeight="1" x14ac:dyDescent="0.25">
      <c r="A579" s="11" t="s">
        <v>26</v>
      </c>
      <c r="B579" s="12" t="s">
        <v>43</v>
      </c>
      <c r="C579" s="10"/>
      <c r="D579" s="12">
        <v>1980</v>
      </c>
    </row>
    <row r="580" spans="1:4" ht="19.95" customHeight="1" x14ac:dyDescent="0.25">
      <c r="A580" s="11" t="s">
        <v>27</v>
      </c>
      <c r="B580" s="12" t="s">
        <v>43</v>
      </c>
      <c r="C580" s="10"/>
      <c r="D580" s="12">
        <v>1980</v>
      </c>
    </row>
    <row r="581" spans="1:4" ht="19.95" customHeight="1" x14ac:dyDescent="0.25">
      <c r="A581" s="11" t="s">
        <v>29</v>
      </c>
      <c r="B581" s="12" t="s">
        <v>43</v>
      </c>
      <c r="C581" s="10"/>
      <c r="D581" s="12">
        <v>1980</v>
      </c>
    </row>
    <row r="582" spans="1:4" ht="19.95" customHeight="1" x14ac:dyDescent="0.25">
      <c r="A582" s="11" t="s">
        <v>30</v>
      </c>
      <c r="B582" s="12" t="s">
        <v>43</v>
      </c>
      <c r="C582" s="10"/>
      <c r="D582" s="12">
        <v>1980</v>
      </c>
    </row>
    <row r="583" spans="1:4" ht="19.95" customHeight="1" x14ac:dyDescent="0.25">
      <c r="A583" s="11" t="s">
        <v>31</v>
      </c>
      <c r="B583" s="12" t="s">
        <v>43</v>
      </c>
      <c r="C583" s="10"/>
      <c r="D583" s="12">
        <v>1980</v>
      </c>
    </row>
    <row r="584" spans="1:4" ht="19.95" customHeight="1" x14ac:dyDescent="0.25">
      <c r="A584" s="11" t="s">
        <v>32</v>
      </c>
      <c r="B584" s="12" t="s">
        <v>43</v>
      </c>
      <c r="C584" s="10"/>
      <c r="D584" s="12">
        <v>1980</v>
      </c>
    </row>
    <row r="585" spans="1:4" ht="19.95" customHeight="1" x14ac:dyDescent="0.25">
      <c r="A585" s="11" t="s">
        <v>33</v>
      </c>
      <c r="B585" s="12" t="s">
        <v>43</v>
      </c>
      <c r="C585" s="10"/>
      <c r="D585" s="12">
        <v>1980</v>
      </c>
    </row>
    <row r="586" spans="1:4" ht="19.95" customHeight="1" x14ac:dyDescent="0.25">
      <c r="A586" s="11" t="s">
        <v>34</v>
      </c>
      <c r="B586" s="12" t="s">
        <v>43</v>
      </c>
      <c r="C586" s="10"/>
      <c r="D586" s="12">
        <v>1980</v>
      </c>
    </row>
    <row r="587" spans="1:4" ht="19.95" customHeight="1" x14ac:dyDescent="0.25">
      <c r="A587" s="11" t="s">
        <v>35</v>
      </c>
      <c r="B587" s="12" t="s">
        <v>43</v>
      </c>
      <c r="C587" s="10"/>
      <c r="D587" s="12">
        <v>1980</v>
      </c>
    </row>
    <row r="588" spans="1:4" ht="19.95" customHeight="1" x14ac:dyDescent="0.25">
      <c r="A588" s="11" t="s">
        <v>36</v>
      </c>
      <c r="B588" s="12" t="s">
        <v>43</v>
      </c>
      <c r="C588" s="10"/>
      <c r="D588" s="12">
        <v>1980</v>
      </c>
    </row>
    <row r="589" spans="1:4" ht="19.95" customHeight="1" x14ac:dyDescent="0.25">
      <c r="A589" s="11" t="s">
        <v>37</v>
      </c>
      <c r="B589" s="12" t="s">
        <v>43</v>
      </c>
      <c r="C589" s="10"/>
      <c r="D589" s="12">
        <v>1980</v>
      </c>
    </row>
    <row r="590" spans="1:4" ht="19.95" customHeight="1" x14ac:dyDescent="0.25">
      <c r="A590" s="11" t="s">
        <v>38</v>
      </c>
      <c r="B590" s="12" t="s">
        <v>43</v>
      </c>
      <c r="C590" s="10"/>
      <c r="D590" s="12">
        <v>1980</v>
      </c>
    </row>
    <row r="591" spans="1:4" ht="19.95" customHeight="1" x14ac:dyDescent="0.25">
      <c r="A591" s="11" t="s">
        <v>39</v>
      </c>
      <c r="B591" s="12" t="s">
        <v>43</v>
      </c>
      <c r="C591" s="10"/>
      <c r="D591" s="12">
        <v>1980</v>
      </c>
    </row>
    <row r="592" spans="1:4" ht="19.95" customHeight="1" x14ac:dyDescent="0.25">
      <c r="A592" s="11" t="s">
        <v>40</v>
      </c>
      <c r="B592" s="12" t="s">
        <v>43</v>
      </c>
      <c r="C592" s="10"/>
      <c r="D592" s="12">
        <v>1980</v>
      </c>
    </row>
    <row r="593" spans="1:4" ht="19.95" customHeight="1" x14ac:dyDescent="0.25">
      <c r="A593" s="11" t="s">
        <v>10</v>
      </c>
      <c r="B593" s="12" t="s">
        <v>43</v>
      </c>
      <c r="C593" s="10"/>
      <c r="D593" s="12">
        <v>1981</v>
      </c>
    </row>
    <row r="594" spans="1:4" ht="19.95" customHeight="1" x14ac:dyDescent="0.25">
      <c r="A594" s="11" t="s">
        <v>13</v>
      </c>
      <c r="B594" s="12" t="s">
        <v>43</v>
      </c>
      <c r="C594" s="10"/>
      <c r="D594" s="12">
        <v>1981</v>
      </c>
    </row>
    <row r="595" spans="1:4" ht="19.95" customHeight="1" x14ac:dyDescent="0.25">
      <c r="A595" s="11" t="s">
        <v>15</v>
      </c>
      <c r="B595" s="12" t="s">
        <v>43</v>
      </c>
      <c r="C595" s="10"/>
      <c r="D595" s="12">
        <v>1981</v>
      </c>
    </row>
    <row r="596" spans="1:4" ht="19.95" customHeight="1" x14ac:dyDescent="0.25">
      <c r="A596" s="11" t="s">
        <v>16</v>
      </c>
      <c r="B596" s="12" t="s">
        <v>43</v>
      </c>
      <c r="C596" s="10"/>
      <c r="D596" s="12">
        <v>1981</v>
      </c>
    </row>
    <row r="597" spans="1:4" ht="19.95" customHeight="1" x14ac:dyDescent="0.25">
      <c r="A597" s="11" t="s">
        <v>17</v>
      </c>
      <c r="B597" s="12" t="s">
        <v>43</v>
      </c>
      <c r="C597" s="10"/>
      <c r="D597" s="12">
        <v>1981</v>
      </c>
    </row>
    <row r="598" spans="1:4" ht="19.95" customHeight="1" x14ac:dyDescent="0.25">
      <c r="A598" s="11" t="s">
        <v>2</v>
      </c>
      <c r="B598" s="12" t="s">
        <v>43</v>
      </c>
      <c r="C598" s="10"/>
      <c r="D598" s="12">
        <v>1981</v>
      </c>
    </row>
    <row r="599" spans="1:4" ht="19.95" customHeight="1" x14ac:dyDescent="0.25">
      <c r="A599" s="11" t="s">
        <v>18</v>
      </c>
      <c r="B599" s="12" t="s">
        <v>43</v>
      </c>
      <c r="C599" s="10"/>
      <c r="D599" s="12">
        <v>1981</v>
      </c>
    </row>
    <row r="600" spans="1:4" ht="19.95" customHeight="1" x14ac:dyDescent="0.25">
      <c r="A600" s="11" t="s">
        <v>19</v>
      </c>
      <c r="B600" s="12" t="s">
        <v>43</v>
      </c>
      <c r="C600" s="10"/>
      <c r="D600" s="12">
        <v>1981</v>
      </c>
    </row>
    <row r="601" spans="1:4" ht="19.95" customHeight="1" x14ac:dyDescent="0.25">
      <c r="A601" s="11" t="s">
        <v>20</v>
      </c>
      <c r="B601" s="12" t="s">
        <v>43</v>
      </c>
      <c r="C601" s="10"/>
      <c r="D601" s="12">
        <v>1981</v>
      </c>
    </row>
    <row r="602" spans="1:4" ht="19.95" customHeight="1" x14ac:dyDescent="0.25">
      <c r="A602" s="11" t="s">
        <v>21</v>
      </c>
      <c r="B602" s="12" t="s">
        <v>43</v>
      </c>
      <c r="C602" s="10"/>
      <c r="D602" s="12">
        <v>1981</v>
      </c>
    </row>
    <row r="603" spans="1:4" ht="19.95" customHeight="1" x14ac:dyDescent="0.25">
      <c r="A603" s="11" t="s">
        <v>22</v>
      </c>
      <c r="B603" s="12" t="s">
        <v>43</v>
      </c>
      <c r="C603" s="10"/>
      <c r="D603" s="12">
        <v>1981</v>
      </c>
    </row>
    <row r="604" spans="1:4" ht="19.95" customHeight="1" x14ac:dyDescent="0.25">
      <c r="A604" s="11" t="s">
        <v>23</v>
      </c>
      <c r="B604" s="12" t="s">
        <v>43</v>
      </c>
      <c r="C604" s="10"/>
      <c r="D604" s="12">
        <v>1981</v>
      </c>
    </row>
    <row r="605" spans="1:4" ht="19.95" customHeight="1" x14ac:dyDescent="0.25">
      <c r="A605" s="11" t="s">
        <v>24</v>
      </c>
      <c r="B605" s="12" t="s">
        <v>43</v>
      </c>
      <c r="C605" s="10"/>
      <c r="D605" s="12">
        <v>1981</v>
      </c>
    </row>
    <row r="606" spans="1:4" ht="19.95" customHeight="1" x14ac:dyDescent="0.25">
      <c r="A606" s="11" t="s">
        <v>25</v>
      </c>
      <c r="B606" s="12" t="s">
        <v>43</v>
      </c>
      <c r="C606" s="10"/>
      <c r="D606" s="12">
        <v>1981</v>
      </c>
    </row>
    <row r="607" spans="1:4" ht="19.95" customHeight="1" x14ac:dyDescent="0.25">
      <c r="A607" s="11" t="s">
        <v>26</v>
      </c>
      <c r="B607" s="12" t="s">
        <v>43</v>
      </c>
      <c r="C607" s="10"/>
      <c r="D607" s="12">
        <v>1981</v>
      </c>
    </row>
    <row r="608" spans="1:4" ht="19.95" customHeight="1" x14ac:dyDescent="0.25">
      <c r="A608" s="11" t="s">
        <v>27</v>
      </c>
      <c r="B608" s="12" t="s">
        <v>43</v>
      </c>
      <c r="C608" s="10"/>
      <c r="D608" s="12">
        <v>1981</v>
      </c>
    </row>
    <row r="609" spans="1:4" ht="19.95" customHeight="1" x14ac:dyDescent="0.25">
      <c r="A609" s="11" t="s">
        <v>29</v>
      </c>
      <c r="B609" s="12" t="s">
        <v>43</v>
      </c>
      <c r="C609" s="10"/>
      <c r="D609" s="12">
        <v>1981</v>
      </c>
    </row>
    <row r="610" spans="1:4" ht="19.95" customHeight="1" x14ac:dyDescent="0.25">
      <c r="A610" s="11" t="s">
        <v>30</v>
      </c>
      <c r="B610" s="12" t="s">
        <v>43</v>
      </c>
      <c r="C610" s="10"/>
      <c r="D610" s="12">
        <v>1981</v>
      </c>
    </row>
    <row r="611" spans="1:4" ht="19.95" customHeight="1" x14ac:dyDescent="0.25">
      <c r="A611" s="11" t="s">
        <v>31</v>
      </c>
      <c r="B611" s="12" t="s">
        <v>43</v>
      </c>
      <c r="C611" s="10"/>
      <c r="D611" s="12">
        <v>1981</v>
      </c>
    </row>
    <row r="612" spans="1:4" ht="19.95" customHeight="1" x14ac:dyDescent="0.25">
      <c r="A612" s="11" t="s">
        <v>32</v>
      </c>
      <c r="B612" s="12" t="s">
        <v>43</v>
      </c>
      <c r="C612" s="10"/>
      <c r="D612" s="12">
        <v>1981</v>
      </c>
    </row>
    <row r="613" spans="1:4" ht="19.95" customHeight="1" x14ac:dyDescent="0.25">
      <c r="A613" s="11" t="s">
        <v>33</v>
      </c>
      <c r="B613" s="12" t="s">
        <v>43</v>
      </c>
      <c r="C613" s="10"/>
      <c r="D613" s="12">
        <v>1981</v>
      </c>
    </row>
    <row r="614" spans="1:4" ht="19.95" customHeight="1" x14ac:dyDescent="0.25">
      <c r="A614" s="11" t="s">
        <v>34</v>
      </c>
      <c r="B614" s="12" t="s">
        <v>43</v>
      </c>
      <c r="C614" s="10"/>
      <c r="D614" s="12">
        <v>1981</v>
      </c>
    </row>
    <row r="615" spans="1:4" ht="19.95" customHeight="1" x14ac:dyDescent="0.25">
      <c r="A615" s="11" t="s">
        <v>35</v>
      </c>
      <c r="B615" s="12" t="s">
        <v>43</v>
      </c>
      <c r="C615" s="10"/>
      <c r="D615" s="12">
        <v>1981</v>
      </c>
    </row>
    <row r="616" spans="1:4" ht="19.95" customHeight="1" x14ac:dyDescent="0.25">
      <c r="A616" s="11" t="s">
        <v>36</v>
      </c>
      <c r="B616" s="12" t="s">
        <v>43</v>
      </c>
      <c r="C616" s="10"/>
      <c r="D616" s="12">
        <v>1981</v>
      </c>
    </row>
    <row r="617" spans="1:4" ht="19.95" customHeight="1" x14ac:dyDescent="0.25">
      <c r="A617" s="11" t="s">
        <v>37</v>
      </c>
      <c r="B617" s="12" t="s">
        <v>43</v>
      </c>
      <c r="C617" s="10"/>
      <c r="D617" s="12">
        <v>1981</v>
      </c>
    </row>
    <row r="618" spans="1:4" ht="19.95" customHeight="1" x14ac:dyDescent="0.25">
      <c r="A618" s="11" t="s">
        <v>38</v>
      </c>
      <c r="B618" s="12" t="s">
        <v>43</v>
      </c>
      <c r="C618" s="10"/>
      <c r="D618" s="12">
        <v>1981</v>
      </c>
    </row>
    <row r="619" spans="1:4" ht="19.95" customHeight="1" x14ac:dyDescent="0.25">
      <c r="A619" s="11" t="s">
        <v>39</v>
      </c>
      <c r="B619" s="12" t="s">
        <v>43</v>
      </c>
      <c r="C619" s="10"/>
      <c r="D619" s="12">
        <v>1981</v>
      </c>
    </row>
    <row r="620" spans="1:4" ht="19.95" customHeight="1" x14ac:dyDescent="0.25">
      <c r="A620" s="11" t="s">
        <v>40</v>
      </c>
      <c r="B620" s="12" t="s">
        <v>43</v>
      </c>
      <c r="C620" s="10"/>
      <c r="D620" s="12">
        <v>1981</v>
      </c>
    </row>
    <row r="621" spans="1:4" ht="19.95" customHeight="1" x14ac:dyDescent="0.25">
      <c r="A621" s="11" t="s">
        <v>10</v>
      </c>
      <c r="B621" s="12" t="s">
        <v>43</v>
      </c>
      <c r="C621" s="10"/>
      <c r="D621" s="12">
        <v>1982</v>
      </c>
    </row>
    <row r="622" spans="1:4" ht="19.95" customHeight="1" x14ac:dyDescent="0.25">
      <c r="A622" s="11" t="s">
        <v>13</v>
      </c>
      <c r="B622" s="12" t="s">
        <v>43</v>
      </c>
      <c r="C622" s="10"/>
      <c r="D622" s="12">
        <v>1982</v>
      </c>
    </row>
    <row r="623" spans="1:4" ht="19.95" customHeight="1" x14ac:dyDescent="0.25">
      <c r="A623" s="11" t="s">
        <v>15</v>
      </c>
      <c r="B623" s="12" t="s">
        <v>43</v>
      </c>
      <c r="C623" s="10"/>
      <c r="D623" s="12">
        <v>1982</v>
      </c>
    </row>
    <row r="624" spans="1:4" ht="19.95" customHeight="1" x14ac:dyDescent="0.25">
      <c r="A624" s="11" t="s">
        <v>16</v>
      </c>
      <c r="B624" s="12" t="s">
        <v>43</v>
      </c>
      <c r="C624" s="10"/>
      <c r="D624" s="12">
        <v>1982</v>
      </c>
    </row>
    <row r="625" spans="1:4" ht="19.95" customHeight="1" x14ac:dyDescent="0.25">
      <c r="A625" s="11" t="s">
        <v>17</v>
      </c>
      <c r="B625" s="12" t="s">
        <v>43</v>
      </c>
      <c r="C625" s="10"/>
      <c r="D625" s="12">
        <v>1982</v>
      </c>
    </row>
    <row r="626" spans="1:4" ht="19.95" customHeight="1" x14ac:dyDescent="0.25">
      <c r="A626" s="11" t="s">
        <v>2</v>
      </c>
      <c r="B626" s="12" t="s">
        <v>43</v>
      </c>
      <c r="C626" s="10"/>
      <c r="D626" s="12">
        <v>1982</v>
      </c>
    </row>
    <row r="627" spans="1:4" ht="19.95" customHeight="1" x14ac:dyDescent="0.25">
      <c r="A627" s="11" t="s">
        <v>18</v>
      </c>
      <c r="B627" s="12" t="s">
        <v>43</v>
      </c>
      <c r="C627" s="10"/>
      <c r="D627" s="12">
        <v>1982</v>
      </c>
    </row>
    <row r="628" spans="1:4" ht="19.95" customHeight="1" x14ac:dyDescent="0.25">
      <c r="A628" s="11" t="s">
        <v>19</v>
      </c>
      <c r="B628" s="12" t="s">
        <v>43</v>
      </c>
      <c r="C628" s="10"/>
      <c r="D628" s="12">
        <v>1982</v>
      </c>
    </row>
    <row r="629" spans="1:4" ht="19.95" customHeight="1" x14ac:dyDescent="0.25">
      <c r="A629" s="11" t="s">
        <v>20</v>
      </c>
      <c r="B629" s="12" t="s">
        <v>43</v>
      </c>
      <c r="C629" s="10"/>
      <c r="D629" s="12">
        <v>1982</v>
      </c>
    </row>
    <row r="630" spans="1:4" ht="19.95" customHeight="1" x14ac:dyDescent="0.25">
      <c r="A630" s="11" t="s">
        <v>21</v>
      </c>
      <c r="B630" s="12" t="s">
        <v>43</v>
      </c>
      <c r="C630" s="10"/>
      <c r="D630" s="12">
        <v>1982</v>
      </c>
    </row>
    <row r="631" spans="1:4" ht="19.95" customHeight="1" x14ac:dyDescent="0.25">
      <c r="A631" s="11" t="s">
        <v>22</v>
      </c>
      <c r="B631" s="12" t="s">
        <v>43</v>
      </c>
      <c r="C631" s="10"/>
      <c r="D631" s="12">
        <v>1982</v>
      </c>
    </row>
    <row r="632" spans="1:4" ht="19.95" customHeight="1" x14ac:dyDescent="0.25">
      <c r="A632" s="11" t="s">
        <v>23</v>
      </c>
      <c r="B632" s="12" t="s">
        <v>43</v>
      </c>
      <c r="C632" s="10"/>
      <c r="D632" s="12">
        <v>1982</v>
      </c>
    </row>
    <row r="633" spans="1:4" ht="19.95" customHeight="1" x14ac:dyDescent="0.25">
      <c r="A633" s="11" t="s">
        <v>24</v>
      </c>
      <c r="B633" s="12" t="s">
        <v>43</v>
      </c>
      <c r="C633" s="10"/>
      <c r="D633" s="12">
        <v>1982</v>
      </c>
    </row>
    <row r="634" spans="1:4" ht="19.95" customHeight="1" x14ac:dyDescent="0.25">
      <c r="A634" s="11" t="s">
        <v>25</v>
      </c>
      <c r="B634" s="12" t="s">
        <v>43</v>
      </c>
      <c r="C634" s="10"/>
      <c r="D634" s="12">
        <v>1982</v>
      </c>
    </row>
    <row r="635" spans="1:4" ht="19.95" customHeight="1" x14ac:dyDescent="0.25">
      <c r="A635" s="11" t="s">
        <v>26</v>
      </c>
      <c r="B635" s="12" t="s">
        <v>43</v>
      </c>
      <c r="C635" s="10"/>
      <c r="D635" s="12">
        <v>1982</v>
      </c>
    </row>
    <row r="636" spans="1:4" ht="19.95" customHeight="1" x14ac:dyDescent="0.25">
      <c r="A636" s="11" t="s">
        <v>27</v>
      </c>
      <c r="B636" s="12" t="s">
        <v>43</v>
      </c>
      <c r="C636" s="10"/>
      <c r="D636" s="12">
        <v>1982</v>
      </c>
    </row>
    <row r="637" spans="1:4" ht="19.95" customHeight="1" x14ac:dyDescent="0.25">
      <c r="A637" s="11" t="s">
        <v>29</v>
      </c>
      <c r="B637" s="12" t="s">
        <v>43</v>
      </c>
      <c r="C637" s="10"/>
      <c r="D637" s="12">
        <v>1982</v>
      </c>
    </row>
    <row r="638" spans="1:4" ht="19.95" customHeight="1" x14ac:dyDescent="0.25">
      <c r="A638" s="11" t="s">
        <v>30</v>
      </c>
      <c r="B638" s="12" t="s">
        <v>43</v>
      </c>
      <c r="C638" s="10"/>
      <c r="D638" s="12">
        <v>1982</v>
      </c>
    </row>
    <row r="639" spans="1:4" ht="19.95" customHeight="1" x14ac:dyDescent="0.25">
      <c r="A639" s="11" t="s">
        <v>31</v>
      </c>
      <c r="B639" s="12" t="s">
        <v>43</v>
      </c>
      <c r="C639" s="10"/>
      <c r="D639" s="12">
        <v>1982</v>
      </c>
    </row>
    <row r="640" spans="1:4" ht="19.95" customHeight="1" x14ac:dyDescent="0.25">
      <c r="A640" s="11" t="s">
        <v>32</v>
      </c>
      <c r="B640" s="12" t="s">
        <v>43</v>
      </c>
      <c r="C640" s="10"/>
      <c r="D640" s="12">
        <v>1982</v>
      </c>
    </row>
    <row r="641" spans="1:4" ht="19.95" customHeight="1" x14ac:dyDescent="0.25">
      <c r="A641" s="11" t="s">
        <v>33</v>
      </c>
      <c r="B641" s="12" t="s">
        <v>43</v>
      </c>
      <c r="C641" s="10"/>
      <c r="D641" s="12">
        <v>1982</v>
      </c>
    </row>
    <row r="642" spans="1:4" ht="19.95" customHeight="1" x14ac:dyDescent="0.25">
      <c r="A642" s="11" t="s">
        <v>34</v>
      </c>
      <c r="B642" s="12" t="s">
        <v>43</v>
      </c>
      <c r="C642" s="10"/>
      <c r="D642" s="12">
        <v>1982</v>
      </c>
    </row>
    <row r="643" spans="1:4" ht="19.95" customHeight="1" x14ac:dyDescent="0.25">
      <c r="A643" s="11" t="s">
        <v>35</v>
      </c>
      <c r="B643" s="12" t="s">
        <v>43</v>
      </c>
      <c r="C643" s="10"/>
      <c r="D643" s="12">
        <v>1982</v>
      </c>
    </row>
    <row r="644" spans="1:4" ht="19.95" customHeight="1" x14ac:dyDescent="0.25">
      <c r="A644" s="11" t="s">
        <v>36</v>
      </c>
      <c r="B644" s="12" t="s">
        <v>43</v>
      </c>
      <c r="C644" s="10"/>
      <c r="D644" s="12">
        <v>1982</v>
      </c>
    </row>
    <row r="645" spans="1:4" ht="19.95" customHeight="1" x14ac:dyDescent="0.25">
      <c r="A645" s="11" t="s">
        <v>37</v>
      </c>
      <c r="B645" s="12" t="s">
        <v>43</v>
      </c>
      <c r="C645" s="10"/>
      <c r="D645" s="12">
        <v>1982</v>
      </c>
    </row>
    <row r="646" spans="1:4" ht="19.95" customHeight="1" x14ac:dyDescent="0.25">
      <c r="A646" s="11" t="s">
        <v>38</v>
      </c>
      <c r="B646" s="12" t="s">
        <v>43</v>
      </c>
      <c r="C646" s="10"/>
      <c r="D646" s="12">
        <v>1982</v>
      </c>
    </row>
    <row r="647" spans="1:4" ht="19.95" customHeight="1" x14ac:dyDescent="0.25">
      <c r="A647" s="11" t="s">
        <v>39</v>
      </c>
      <c r="B647" s="12" t="s">
        <v>43</v>
      </c>
      <c r="C647" s="10"/>
      <c r="D647" s="12">
        <v>1982</v>
      </c>
    </row>
    <row r="648" spans="1:4" ht="19.95" customHeight="1" x14ac:dyDescent="0.25">
      <c r="A648" s="11" t="s">
        <v>40</v>
      </c>
      <c r="B648" s="12" t="s">
        <v>43</v>
      </c>
      <c r="C648" s="10"/>
      <c r="D648" s="12">
        <v>1982</v>
      </c>
    </row>
    <row r="649" spans="1:4" ht="19.95" customHeight="1" x14ac:dyDescent="0.25">
      <c r="A649" s="11" t="s">
        <v>10</v>
      </c>
      <c r="B649" s="12" t="s">
        <v>43</v>
      </c>
      <c r="C649" s="10"/>
      <c r="D649" s="12">
        <v>1983</v>
      </c>
    </row>
    <row r="650" spans="1:4" ht="19.95" customHeight="1" x14ac:dyDescent="0.25">
      <c r="A650" s="11" t="s">
        <v>13</v>
      </c>
      <c r="B650" s="12" t="s">
        <v>43</v>
      </c>
      <c r="C650" s="10"/>
      <c r="D650" s="12">
        <v>1983</v>
      </c>
    </row>
    <row r="651" spans="1:4" ht="19.95" customHeight="1" x14ac:dyDescent="0.25">
      <c r="A651" s="11" t="s">
        <v>15</v>
      </c>
      <c r="B651" s="12" t="s">
        <v>43</v>
      </c>
      <c r="C651" s="10"/>
      <c r="D651" s="12">
        <v>1983</v>
      </c>
    </row>
    <row r="652" spans="1:4" ht="19.95" customHeight="1" x14ac:dyDescent="0.25">
      <c r="A652" s="11" t="s">
        <v>16</v>
      </c>
      <c r="B652" s="12" t="s">
        <v>43</v>
      </c>
      <c r="C652" s="10"/>
      <c r="D652" s="12">
        <v>1983</v>
      </c>
    </row>
    <row r="653" spans="1:4" ht="19.95" customHeight="1" x14ac:dyDescent="0.25">
      <c r="A653" s="11" t="s">
        <v>17</v>
      </c>
      <c r="B653" s="12" t="s">
        <v>43</v>
      </c>
      <c r="C653" s="10"/>
      <c r="D653" s="12">
        <v>1983</v>
      </c>
    </row>
    <row r="654" spans="1:4" ht="19.95" customHeight="1" x14ac:dyDescent="0.25">
      <c r="A654" s="11" t="s">
        <v>2</v>
      </c>
      <c r="B654" s="12" t="s">
        <v>43</v>
      </c>
      <c r="C654" s="10"/>
      <c r="D654" s="12">
        <v>1983</v>
      </c>
    </row>
    <row r="655" spans="1:4" ht="19.95" customHeight="1" x14ac:dyDescent="0.25">
      <c r="A655" s="11" t="s">
        <v>18</v>
      </c>
      <c r="B655" s="12" t="s">
        <v>43</v>
      </c>
      <c r="C655" s="10"/>
      <c r="D655" s="12">
        <v>1983</v>
      </c>
    </row>
    <row r="656" spans="1:4" ht="19.95" customHeight="1" x14ac:dyDescent="0.25">
      <c r="A656" s="11" t="s">
        <v>19</v>
      </c>
      <c r="B656" s="12" t="s">
        <v>43</v>
      </c>
      <c r="C656" s="10"/>
      <c r="D656" s="12">
        <v>1983</v>
      </c>
    </row>
    <row r="657" spans="1:4" ht="19.95" customHeight="1" x14ac:dyDescent="0.25">
      <c r="A657" s="11" t="s">
        <v>20</v>
      </c>
      <c r="B657" s="12" t="s">
        <v>43</v>
      </c>
      <c r="C657" s="10"/>
      <c r="D657" s="12">
        <v>1983</v>
      </c>
    </row>
    <row r="658" spans="1:4" ht="19.95" customHeight="1" x14ac:dyDescent="0.25">
      <c r="A658" s="11" t="s">
        <v>21</v>
      </c>
      <c r="B658" s="12" t="s">
        <v>43</v>
      </c>
      <c r="C658" s="10"/>
      <c r="D658" s="12">
        <v>1983</v>
      </c>
    </row>
    <row r="659" spans="1:4" ht="19.95" customHeight="1" x14ac:dyDescent="0.25">
      <c r="A659" s="11" t="s">
        <v>22</v>
      </c>
      <c r="B659" s="12" t="s">
        <v>43</v>
      </c>
      <c r="C659" s="10"/>
      <c r="D659" s="12">
        <v>1983</v>
      </c>
    </row>
    <row r="660" spans="1:4" ht="19.95" customHeight="1" x14ac:dyDescent="0.25">
      <c r="A660" s="11" t="s">
        <v>23</v>
      </c>
      <c r="B660" s="12" t="s">
        <v>43</v>
      </c>
      <c r="C660" s="10"/>
      <c r="D660" s="12">
        <v>1983</v>
      </c>
    </row>
    <row r="661" spans="1:4" ht="19.95" customHeight="1" x14ac:dyDescent="0.25">
      <c r="A661" s="11" t="s">
        <v>24</v>
      </c>
      <c r="B661" s="12" t="s">
        <v>43</v>
      </c>
      <c r="C661" s="10"/>
      <c r="D661" s="12">
        <v>1983</v>
      </c>
    </row>
    <row r="662" spans="1:4" ht="19.95" customHeight="1" x14ac:dyDescent="0.25">
      <c r="A662" s="11" t="s">
        <v>25</v>
      </c>
      <c r="B662" s="12" t="s">
        <v>43</v>
      </c>
      <c r="C662" s="10"/>
      <c r="D662" s="12">
        <v>1983</v>
      </c>
    </row>
    <row r="663" spans="1:4" ht="19.95" customHeight="1" x14ac:dyDescent="0.25">
      <c r="A663" s="11" t="s">
        <v>26</v>
      </c>
      <c r="B663" s="12" t="s">
        <v>43</v>
      </c>
      <c r="C663" s="10"/>
      <c r="D663" s="12">
        <v>1983</v>
      </c>
    </row>
    <row r="664" spans="1:4" ht="19.95" customHeight="1" x14ac:dyDescent="0.25">
      <c r="A664" s="11" t="s">
        <v>27</v>
      </c>
      <c r="B664" s="12" t="s">
        <v>43</v>
      </c>
      <c r="C664" s="10"/>
      <c r="D664" s="12">
        <v>1983</v>
      </c>
    </row>
    <row r="665" spans="1:4" ht="19.95" customHeight="1" x14ac:dyDescent="0.25">
      <c r="A665" s="11" t="s">
        <v>29</v>
      </c>
      <c r="B665" s="12" t="s">
        <v>43</v>
      </c>
      <c r="C665" s="10"/>
      <c r="D665" s="12">
        <v>1983</v>
      </c>
    </row>
    <row r="666" spans="1:4" ht="19.95" customHeight="1" x14ac:dyDescent="0.25">
      <c r="A666" s="11" t="s">
        <v>30</v>
      </c>
      <c r="B666" s="12" t="s">
        <v>43</v>
      </c>
      <c r="C666" s="10"/>
      <c r="D666" s="12">
        <v>1983</v>
      </c>
    </row>
    <row r="667" spans="1:4" ht="19.95" customHeight="1" x14ac:dyDescent="0.25">
      <c r="A667" s="11" t="s">
        <v>31</v>
      </c>
      <c r="B667" s="12" t="s">
        <v>43</v>
      </c>
      <c r="C667" s="10"/>
      <c r="D667" s="12">
        <v>1983</v>
      </c>
    </row>
    <row r="668" spans="1:4" ht="19.95" customHeight="1" x14ac:dyDescent="0.25">
      <c r="A668" s="11" t="s">
        <v>32</v>
      </c>
      <c r="B668" s="12" t="s">
        <v>43</v>
      </c>
      <c r="C668" s="10"/>
      <c r="D668" s="12">
        <v>1983</v>
      </c>
    </row>
    <row r="669" spans="1:4" ht="19.95" customHeight="1" x14ac:dyDescent="0.25">
      <c r="A669" s="11" t="s">
        <v>33</v>
      </c>
      <c r="B669" s="12" t="s">
        <v>43</v>
      </c>
      <c r="C669" s="10"/>
      <c r="D669" s="12">
        <v>1983</v>
      </c>
    </row>
    <row r="670" spans="1:4" ht="19.95" customHeight="1" x14ac:dyDescent="0.25">
      <c r="A670" s="11" t="s">
        <v>34</v>
      </c>
      <c r="B670" s="12" t="s">
        <v>43</v>
      </c>
      <c r="C670" s="10"/>
      <c r="D670" s="12">
        <v>1983</v>
      </c>
    </row>
    <row r="671" spans="1:4" ht="19.95" customHeight="1" x14ac:dyDescent="0.25">
      <c r="A671" s="11" t="s">
        <v>35</v>
      </c>
      <c r="B671" s="12" t="s">
        <v>43</v>
      </c>
      <c r="C671" s="10"/>
      <c r="D671" s="12">
        <v>1983</v>
      </c>
    </row>
    <row r="672" spans="1:4" ht="19.95" customHeight="1" x14ac:dyDescent="0.25">
      <c r="A672" s="11" t="s">
        <v>36</v>
      </c>
      <c r="B672" s="12" t="s">
        <v>43</v>
      </c>
      <c r="C672" s="10"/>
      <c r="D672" s="12">
        <v>1983</v>
      </c>
    </row>
    <row r="673" spans="1:4" ht="19.95" customHeight="1" x14ac:dyDescent="0.25">
      <c r="A673" s="11" t="s">
        <v>37</v>
      </c>
      <c r="B673" s="12" t="s">
        <v>43</v>
      </c>
      <c r="C673" s="10"/>
      <c r="D673" s="12">
        <v>1983</v>
      </c>
    </row>
    <row r="674" spans="1:4" ht="19.95" customHeight="1" x14ac:dyDescent="0.25">
      <c r="A674" s="11" t="s">
        <v>38</v>
      </c>
      <c r="B674" s="12" t="s">
        <v>43</v>
      </c>
      <c r="C674" s="10"/>
      <c r="D674" s="12">
        <v>1983</v>
      </c>
    </row>
    <row r="675" spans="1:4" ht="19.95" customHeight="1" x14ac:dyDescent="0.25">
      <c r="A675" s="11" t="s">
        <v>39</v>
      </c>
      <c r="B675" s="12" t="s">
        <v>43</v>
      </c>
      <c r="C675" s="10"/>
      <c r="D675" s="12">
        <v>1983</v>
      </c>
    </row>
    <row r="676" spans="1:4" ht="19.95" customHeight="1" x14ac:dyDescent="0.25">
      <c r="A676" s="11" t="s">
        <v>40</v>
      </c>
      <c r="B676" s="12" t="s">
        <v>43</v>
      </c>
      <c r="C676" s="10"/>
      <c r="D676" s="12">
        <v>1983</v>
      </c>
    </row>
    <row r="677" spans="1:4" ht="19.95" customHeight="1" x14ac:dyDescent="0.25">
      <c r="A677" s="11" t="s">
        <v>10</v>
      </c>
      <c r="B677" s="12" t="s">
        <v>43</v>
      </c>
      <c r="C677" s="10"/>
      <c r="D677" s="12">
        <v>1984</v>
      </c>
    </row>
    <row r="678" spans="1:4" ht="19.95" customHeight="1" x14ac:dyDescent="0.25">
      <c r="A678" s="11" t="s">
        <v>13</v>
      </c>
      <c r="B678" s="12" t="s">
        <v>43</v>
      </c>
      <c r="C678" s="10"/>
      <c r="D678" s="12">
        <v>1984</v>
      </c>
    </row>
    <row r="679" spans="1:4" ht="19.95" customHeight="1" x14ac:dyDescent="0.25">
      <c r="A679" s="11" t="s">
        <v>15</v>
      </c>
      <c r="B679" s="12" t="s">
        <v>43</v>
      </c>
      <c r="C679" s="10"/>
      <c r="D679" s="12">
        <v>1984</v>
      </c>
    </row>
    <row r="680" spans="1:4" ht="19.95" customHeight="1" x14ac:dyDescent="0.25">
      <c r="A680" s="11" t="s">
        <v>16</v>
      </c>
      <c r="B680" s="12" t="s">
        <v>43</v>
      </c>
      <c r="C680" s="10"/>
      <c r="D680" s="12">
        <v>1984</v>
      </c>
    </row>
    <row r="681" spans="1:4" ht="19.95" customHeight="1" x14ac:dyDescent="0.25">
      <c r="A681" s="11" t="s">
        <v>17</v>
      </c>
      <c r="B681" s="12" t="s">
        <v>43</v>
      </c>
      <c r="C681" s="10"/>
      <c r="D681" s="12">
        <v>1984</v>
      </c>
    </row>
    <row r="682" spans="1:4" ht="19.95" customHeight="1" x14ac:dyDescent="0.25">
      <c r="A682" s="11" t="s">
        <v>2</v>
      </c>
      <c r="B682" s="12" t="s">
        <v>43</v>
      </c>
      <c r="C682" s="10"/>
      <c r="D682" s="12">
        <v>1984</v>
      </c>
    </row>
    <row r="683" spans="1:4" ht="19.95" customHeight="1" x14ac:dyDescent="0.25">
      <c r="A683" s="11" t="s">
        <v>18</v>
      </c>
      <c r="B683" s="12" t="s">
        <v>43</v>
      </c>
      <c r="C683" s="10"/>
      <c r="D683" s="12">
        <v>1984</v>
      </c>
    </row>
    <row r="684" spans="1:4" ht="19.95" customHeight="1" x14ac:dyDescent="0.25">
      <c r="A684" s="11" t="s">
        <v>19</v>
      </c>
      <c r="B684" s="12" t="s">
        <v>43</v>
      </c>
      <c r="C684" s="10"/>
      <c r="D684" s="12">
        <v>1984</v>
      </c>
    </row>
    <row r="685" spans="1:4" ht="19.95" customHeight="1" x14ac:dyDescent="0.25">
      <c r="A685" s="11" t="s">
        <v>20</v>
      </c>
      <c r="B685" s="12" t="s">
        <v>43</v>
      </c>
      <c r="C685" s="10"/>
      <c r="D685" s="12">
        <v>1984</v>
      </c>
    </row>
    <row r="686" spans="1:4" ht="19.95" customHeight="1" x14ac:dyDescent="0.25">
      <c r="A686" s="11" t="s">
        <v>21</v>
      </c>
      <c r="B686" s="12" t="s">
        <v>43</v>
      </c>
      <c r="C686" s="10"/>
      <c r="D686" s="12">
        <v>1984</v>
      </c>
    </row>
    <row r="687" spans="1:4" ht="19.95" customHeight="1" x14ac:dyDescent="0.25">
      <c r="A687" s="11" t="s">
        <v>22</v>
      </c>
      <c r="B687" s="12" t="s">
        <v>43</v>
      </c>
      <c r="C687" s="10"/>
      <c r="D687" s="12">
        <v>1984</v>
      </c>
    </row>
    <row r="688" spans="1:4" ht="19.95" customHeight="1" x14ac:dyDescent="0.25">
      <c r="A688" s="11" t="s">
        <v>23</v>
      </c>
      <c r="B688" s="12" t="s">
        <v>43</v>
      </c>
      <c r="C688" s="10"/>
      <c r="D688" s="12">
        <v>1984</v>
      </c>
    </row>
    <row r="689" spans="1:4" ht="19.95" customHeight="1" x14ac:dyDescent="0.25">
      <c r="A689" s="11" t="s">
        <v>24</v>
      </c>
      <c r="B689" s="12" t="s">
        <v>43</v>
      </c>
      <c r="C689" s="10"/>
      <c r="D689" s="12">
        <v>1984</v>
      </c>
    </row>
    <row r="690" spans="1:4" ht="19.95" customHeight="1" x14ac:dyDescent="0.25">
      <c r="A690" s="11" t="s">
        <v>25</v>
      </c>
      <c r="B690" s="12" t="s">
        <v>43</v>
      </c>
      <c r="C690" s="10"/>
      <c r="D690" s="12">
        <v>1984</v>
      </c>
    </row>
    <row r="691" spans="1:4" ht="19.95" customHeight="1" x14ac:dyDescent="0.25">
      <c r="A691" s="11" t="s">
        <v>26</v>
      </c>
      <c r="B691" s="12" t="s">
        <v>43</v>
      </c>
      <c r="C691" s="10"/>
      <c r="D691" s="12">
        <v>1984</v>
      </c>
    </row>
    <row r="692" spans="1:4" ht="19.95" customHeight="1" x14ac:dyDescent="0.25">
      <c r="A692" s="11" t="s">
        <v>27</v>
      </c>
      <c r="B692" s="12" t="s">
        <v>43</v>
      </c>
      <c r="C692" s="10"/>
      <c r="D692" s="12">
        <v>1984</v>
      </c>
    </row>
    <row r="693" spans="1:4" ht="19.95" customHeight="1" x14ac:dyDescent="0.25">
      <c r="A693" s="11" t="s">
        <v>29</v>
      </c>
      <c r="B693" s="12" t="s">
        <v>43</v>
      </c>
      <c r="C693" s="10"/>
      <c r="D693" s="12">
        <v>1984</v>
      </c>
    </row>
    <row r="694" spans="1:4" ht="19.95" customHeight="1" x14ac:dyDescent="0.25">
      <c r="A694" s="11" t="s">
        <v>30</v>
      </c>
      <c r="B694" s="12" t="s">
        <v>43</v>
      </c>
      <c r="C694" s="10"/>
      <c r="D694" s="12">
        <v>1984</v>
      </c>
    </row>
    <row r="695" spans="1:4" ht="19.95" customHeight="1" x14ac:dyDescent="0.25">
      <c r="A695" s="11" t="s">
        <v>31</v>
      </c>
      <c r="B695" s="12" t="s">
        <v>43</v>
      </c>
      <c r="C695" s="10"/>
      <c r="D695" s="12">
        <v>1984</v>
      </c>
    </row>
    <row r="696" spans="1:4" ht="19.95" customHeight="1" x14ac:dyDescent="0.25">
      <c r="A696" s="11" t="s">
        <v>32</v>
      </c>
      <c r="B696" s="12" t="s">
        <v>43</v>
      </c>
      <c r="C696" s="10"/>
      <c r="D696" s="12">
        <v>1984</v>
      </c>
    </row>
    <row r="697" spans="1:4" ht="19.95" customHeight="1" x14ac:dyDescent="0.25">
      <c r="A697" s="11" t="s">
        <v>33</v>
      </c>
      <c r="B697" s="12" t="s">
        <v>43</v>
      </c>
      <c r="C697" s="10"/>
      <c r="D697" s="12">
        <v>1984</v>
      </c>
    </row>
    <row r="698" spans="1:4" ht="19.95" customHeight="1" x14ac:dyDescent="0.25">
      <c r="A698" s="11" t="s">
        <v>34</v>
      </c>
      <c r="B698" s="12" t="s">
        <v>43</v>
      </c>
      <c r="C698" s="10"/>
      <c r="D698" s="12">
        <v>1984</v>
      </c>
    </row>
    <row r="699" spans="1:4" ht="19.95" customHeight="1" x14ac:dyDescent="0.25">
      <c r="A699" s="11" t="s">
        <v>35</v>
      </c>
      <c r="B699" s="12" t="s">
        <v>43</v>
      </c>
      <c r="C699" s="10"/>
      <c r="D699" s="12">
        <v>1984</v>
      </c>
    </row>
    <row r="700" spans="1:4" ht="19.95" customHeight="1" x14ac:dyDescent="0.25">
      <c r="A700" s="11" t="s">
        <v>36</v>
      </c>
      <c r="B700" s="12" t="s">
        <v>43</v>
      </c>
      <c r="C700" s="10"/>
      <c r="D700" s="12">
        <v>1984</v>
      </c>
    </row>
    <row r="701" spans="1:4" ht="19.95" customHeight="1" x14ac:dyDescent="0.25">
      <c r="A701" s="11" t="s">
        <v>37</v>
      </c>
      <c r="B701" s="12" t="s">
        <v>43</v>
      </c>
      <c r="C701" s="10"/>
      <c r="D701" s="12">
        <v>1984</v>
      </c>
    </row>
    <row r="702" spans="1:4" ht="19.95" customHeight="1" x14ac:dyDescent="0.25">
      <c r="A702" s="11" t="s">
        <v>38</v>
      </c>
      <c r="B702" s="12" t="s">
        <v>43</v>
      </c>
      <c r="C702" s="10"/>
      <c r="D702" s="12">
        <v>1984</v>
      </c>
    </row>
    <row r="703" spans="1:4" ht="19.95" customHeight="1" x14ac:dyDescent="0.25">
      <c r="A703" s="11" t="s">
        <v>39</v>
      </c>
      <c r="B703" s="12" t="s">
        <v>43</v>
      </c>
      <c r="C703" s="10"/>
      <c r="D703" s="12">
        <v>1984</v>
      </c>
    </row>
    <row r="704" spans="1:4" ht="19.95" customHeight="1" x14ac:dyDescent="0.25">
      <c r="A704" s="11" t="s">
        <v>40</v>
      </c>
      <c r="B704" s="12" t="s">
        <v>43</v>
      </c>
      <c r="C704" s="10"/>
      <c r="D704" s="12">
        <v>1984</v>
      </c>
    </row>
    <row r="705" spans="1:4" ht="19.95" customHeight="1" x14ac:dyDescent="0.25">
      <c r="A705" s="11" t="s">
        <v>10</v>
      </c>
      <c r="B705" s="12" t="s">
        <v>43</v>
      </c>
      <c r="C705" s="10"/>
      <c r="D705" s="12">
        <v>1985</v>
      </c>
    </row>
    <row r="706" spans="1:4" ht="19.95" customHeight="1" x14ac:dyDescent="0.25">
      <c r="A706" s="11" t="s">
        <v>13</v>
      </c>
      <c r="B706" s="12" t="s">
        <v>43</v>
      </c>
      <c r="C706" s="10"/>
      <c r="D706" s="12">
        <v>1985</v>
      </c>
    </row>
    <row r="707" spans="1:4" ht="19.95" customHeight="1" x14ac:dyDescent="0.25">
      <c r="A707" s="11" t="s">
        <v>15</v>
      </c>
      <c r="B707" s="12" t="s">
        <v>43</v>
      </c>
      <c r="C707" s="10"/>
      <c r="D707" s="12">
        <v>1985</v>
      </c>
    </row>
    <row r="708" spans="1:4" ht="19.95" customHeight="1" x14ac:dyDescent="0.25">
      <c r="A708" s="11" t="s">
        <v>16</v>
      </c>
      <c r="B708" s="12" t="s">
        <v>43</v>
      </c>
      <c r="C708" s="10"/>
      <c r="D708" s="12">
        <v>1985</v>
      </c>
    </row>
    <row r="709" spans="1:4" ht="19.95" customHeight="1" x14ac:dyDescent="0.25">
      <c r="A709" s="11" t="s">
        <v>17</v>
      </c>
      <c r="B709" s="12" t="s">
        <v>43</v>
      </c>
      <c r="C709" s="10"/>
      <c r="D709" s="12">
        <v>1985</v>
      </c>
    </row>
    <row r="710" spans="1:4" ht="19.95" customHeight="1" x14ac:dyDescent="0.25">
      <c r="A710" s="11" t="s">
        <v>2</v>
      </c>
      <c r="B710" s="12" t="s">
        <v>43</v>
      </c>
      <c r="C710" s="10"/>
      <c r="D710" s="12">
        <v>1985</v>
      </c>
    </row>
    <row r="711" spans="1:4" ht="19.95" customHeight="1" x14ac:dyDescent="0.25">
      <c r="A711" s="11" t="s">
        <v>18</v>
      </c>
      <c r="B711" s="12" t="s">
        <v>43</v>
      </c>
      <c r="C711" s="10"/>
      <c r="D711" s="12">
        <v>1985</v>
      </c>
    </row>
    <row r="712" spans="1:4" ht="19.95" customHeight="1" x14ac:dyDescent="0.25">
      <c r="A712" s="11" t="s">
        <v>19</v>
      </c>
      <c r="B712" s="12" t="s">
        <v>43</v>
      </c>
      <c r="C712" s="10"/>
      <c r="D712" s="12">
        <v>1985</v>
      </c>
    </row>
    <row r="713" spans="1:4" ht="19.95" customHeight="1" x14ac:dyDescent="0.25">
      <c r="A713" s="11" t="s">
        <v>20</v>
      </c>
      <c r="B713" s="12" t="s">
        <v>43</v>
      </c>
      <c r="C713" s="10"/>
      <c r="D713" s="12">
        <v>1985</v>
      </c>
    </row>
    <row r="714" spans="1:4" ht="19.95" customHeight="1" x14ac:dyDescent="0.25">
      <c r="A714" s="11" t="s">
        <v>21</v>
      </c>
      <c r="B714" s="12" t="s">
        <v>43</v>
      </c>
      <c r="C714" s="10"/>
      <c r="D714" s="12">
        <v>1985</v>
      </c>
    </row>
    <row r="715" spans="1:4" ht="19.95" customHeight="1" x14ac:dyDescent="0.25">
      <c r="A715" s="11" t="s">
        <v>22</v>
      </c>
      <c r="B715" s="12" t="s">
        <v>43</v>
      </c>
      <c r="C715" s="10"/>
      <c r="D715" s="12">
        <v>1985</v>
      </c>
    </row>
    <row r="716" spans="1:4" ht="19.95" customHeight="1" x14ac:dyDescent="0.25">
      <c r="A716" s="11" t="s">
        <v>23</v>
      </c>
      <c r="B716" s="12" t="s">
        <v>43</v>
      </c>
      <c r="C716" s="10"/>
      <c r="D716" s="12">
        <v>1985</v>
      </c>
    </row>
    <row r="717" spans="1:4" ht="19.95" customHeight="1" x14ac:dyDescent="0.25">
      <c r="A717" s="11" t="s">
        <v>24</v>
      </c>
      <c r="B717" s="12" t="s">
        <v>43</v>
      </c>
      <c r="C717" s="10"/>
      <c r="D717" s="12">
        <v>1985</v>
      </c>
    </row>
    <row r="718" spans="1:4" ht="19.95" customHeight="1" x14ac:dyDescent="0.25">
      <c r="A718" s="11" t="s">
        <v>25</v>
      </c>
      <c r="B718" s="12" t="s">
        <v>43</v>
      </c>
      <c r="C718" s="10"/>
      <c r="D718" s="12">
        <v>1985</v>
      </c>
    </row>
    <row r="719" spans="1:4" ht="19.95" customHeight="1" x14ac:dyDescent="0.25">
      <c r="A719" s="11" t="s">
        <v>26</v>
      </c>
      <c r="B719" s="12" t="s">
        <v>43</v>
      </c>
      <c r="C719" s="10"/>
      <c r="D719" s="12">
        <v>1985</v>
      </c>
    </row>
    <row r="720" spans="1:4" ht="19.95" customHeight="1" x14ac:dyDescent="0.25">
      <c r="A720" s="11" t="s">
        <v>27</v>
      </c>
      <c r="B720" s="12" t="s">
        <v>43</v>
      </c>
      <c r="C720" s="10"/>
      <c r="D720" s="12">
        <v>1985</v>
      </c>
    </row>
    <row r="721" spans="1:4" ht="19.95" customHeight="1" x14ac:dyDescent="0.25">
      <c r="A721" s="11" t="s">
        <v>29</v>
      </c>
      <c r="B721" s="12" t="s">
        <v>43</v>
      </c>
      <c r="C721" s="10"/>
      <c r="D721" s="12">
        <v>1985</v>
      </c>
    </row>
    <row r="722" spans="1:4" ht="19.95" customHeight="1" x14ac:dyDescent="0.25">
      <c r="A722" s="11" t="s">
        <v>30</v>
      </c>
      <c r="B722" s="12" t="s">
        <v>43</v>
      </c>
      <c r="C722" s="10"/>
      <c r="D722" s="12">
        <v>1985</v>
      </c>
    </row>
    <row r="723" spans="1:4" ht="19.95" customHeight="1" x14ac:dyDescent="0.25">
      <c r="A723" s="11" t="s">
        <v>31</v>
      </c>
      <c r="B723" s="12" t="s">
        <v>43</v>
      </c>
      <c r="C723" s="10"/>
      <c r="D723" s="12">
        <v>1985</v>
      </c>
    </row>
    <row r="724" spans="1:4" ht="19.95" customHeight="1" x14ac:dyDescent="0.25">
      <c r="A724" s="11" t="s">
        <v>32</v>
      </c>
      <c r="B724" s="12" t="s">
        <v>43</v>
      </c>
      <c r="C724" s="10"/>
      <c r="D724" s="12">
        <v>1985</v>
      </c>
    </row>
    <row r="725" spans="1:4" ht="19.95" customHeight="1" x14ac:dyDescent="0.25">
      <c r="A725" s="11" t="s">
        <v>33</v>
      </c>
      <c r="B725" s="12" t="s">
        <v>43</v>
      </c>
      <c r="C725" s="10"/>
      <c r="D725" s="12">
        <v>1985</v>
      </c>
    </row>
    <row r="726" spans="1:4" ht="19.95" customHeight="1" x14ac:dyDescent="0.25">
      <c r="A726" s="11" t="s">
        <v>34</v>
      </c>
      <c r="B726" s="12" t="s">
        <v>43</v>
      </c>
      <c r="C726" s="10"/>
      <c r="D726" s="12">
        <v>1985</v>
      </c>
    </row>
    <row r="727" spans="1:4" ht="19.95" customHeight="1" x14ac:dyDescent="0.25">
      <c r="A727" s="11" t="s">
        <v>35</v>
      </c>
      <c r="B727" s="12" t="s">
        <v>43</v>
      </c>
      <c r="C727" s="10"/>
      <c r="D727" s="12">
        <v>1985</v>
      </c>
    </row>
    <row r="728" spans="1:4" ht="19.95" customHeight="1" x14ac:dyDescent="0.25">
      <c r="A728" s="11" t="s">
        <v>36</v>
      </c>
      <c r="B728" s="12" t="s">
        <v>43</v>
      </c>
      <c r="C728" s="10"/>
      <c r="D728" s="12">
        <v>1985</v>
      </c>
    </row>
    <row r="729" spans="1:4" ht="19.95" customHeight="1" x14ac:dyDescent="0.25">
      <c r="A729" s="11" t="s">
        <v>37</v>
      </c>
      <c r="B729" s="12" t="s">
        <v>43</v>
      </c>
      <c r="C729" s="10"/>
      <c r="D729" s="12">
        <v>1985</v>
      </c>
    </row>
    <row r="730" spans="1:4" ht="19.95" customHeight="1" x14ac:dyDescent="0.25">
      <c r="A730" s="11" t="s">
        <v>38</v>
      </c>
      <c r="B730" s="12" t="s">
        <v>43</v>
      </c>
      <c r="C730" s="10"/>
      <c r="D730" s="12">
        <v>1985</v>
      </c>
    </row>
    <row r="731" spans="1:4" ht="19.95" customHeight="1" x14ac:dyDescent="0.25">
      <c r="A731" s="11" t="s">
        <v>39</v>
      </c>
      <c r="B731" s="12" t="s">
        <v>43</v>
      </c>
      <c r="C731" s="10"/>
      <c r="D731" s="12">
        <v>1985</v>
      </c>
    </row>
    <row r="732" spans="1:4" ht="19.95" customHeight="1" x14ac:dyDescent="0.25">
      <c r="A732" s="11" t="s">
        <v>40</v>
      </c>
      <c r="B732" s="12" t="s">
        <v>43</v>
      </c>
      <c r="C732" s="10"/>
      <c r="D732" s="12">
        <v>1985</v>
      </c>
    </row>
    <row r="733" spans="1:4" ht="19.95" customHeight="1" x14ac:dyDescent="0.25">
      <c r="A733" s="11" t="s">
        <v>10</v>
      </c>
      <c r="B733" s="12" t="s">
        <v>43</v>
      </c>
      <c r="C733" s="10"/>
      <c r="D733" s="12">
        <v>1986</v>
      </c>
    </row>
    <row r="734" spans="1:4" ht="19.95" customHeight="1" x14ac:dyDescent="0.25">
      <c r="A734" s="11" t="s">
        <v>13</v>
      </c>
      <c r="B734" s="12" t="s">
        <v>43</v>
      </c>
      <c r="C734" s="10"/>
      <c r="D734" s="12">
        <v>1986</v>
      </c>
    </row>
    <row r="735" spans="1:4" ht="19.95" customHeight="1" x14ac:dyDescent="0.25">
      <c r="A735" s="11" t="s">
        <v>15</v>
      </c>
      <c r="B735" s="12" t="s">
        <v>43</v>
      </c>
      <c r="C735" s="10"/>
      <c r="D735" s="12">
        <v>1986</v>
      </c>
    </row>
    <row r="736" spans="1:4" ht="19.95" customHeight="1" x14ac:dyDescent="0.25">
      <c r="A736" s="11" t="s">
        <v>16</v>
      </c>
      <c r="B736" s="12" t="s">
        <v>43</v>
      </c>
      <c r="C736" s="10"/>
      <c r="D736" s="12">
        <v>1986</v>
      </c>
    </row>
    <row r="737" spans="1:4" ht="19.95" customHeight="1" x14ac:dyDescent="0.25">
      <c r="A737" s="11" t="s">
        <v>17</v>
      </c>
      <c r="B737" s="12" t="s">
        <v>43</v>
      </c>
      <c r="C737" s="10"/>
      <c r="D737" s="12">
        <v>1986</v>
      </c>
    </row>
    <row r="738" spans="1:4" ht="19.95" customHeight="1" x14ac:dyDescent="0.25">
      <c r="A738" s="11" t="s">
        <v>2</v>
      </c>
      <c r="B738" s="12" t="s">
        <v>43</v>
      </c>
      <c r="C738" s="10"/>
      <c r="D738" s="12">
        <v>1986</v>
      </c>
    </row>
    <row r="739" spans="1:4" ht="19.95" customHeight="1" x14ac:dyDescent="0.25">
      <c r="A739" s="11" t="s">
        <v>18</v>
      </c>
      <c r="B739" s="12" t="s">
        <v>43</v>
      </c>
      <c r="C739" s="10"/>
      <c r="D739" s="12">
        <v>1986</v>
      </c>
    </row>
    <row r="740" spans="1:4" ht="19.95" customHeight="1" x14ac:dyDescent="0.25">
      <c r="A740" s="11" t="s">
        <v>19</v>
      </c>
      <c r="B740" s="12" t="s">
        <v>43</v>
      </c>
      <c r="C740" s="10"/>
      <c r="D740" s="12">
        <v>1986</v>
      </c>
    </row>
    <row r="741" spans="1:4" ht="19.95" customHeight="1" x14ac:dyDescent="0.25">
      <c r="A741" s="11" t="s">
        <v>20</v>
      </c>
      <c r="B741" s="12" t="s">
        <v>43</v>
      </c>
      <c r="C741" s="10"/>
      <c r="D741" s="12">
        <v>1986</v>
      </c>
    </row>
    <row r="742" spans="1:4" ht="19.95" customHeight="1" x14ac:dyDescent="0.25">
      <c r="A742" s="11" t="s">
        <v>21</v>
      </c>
      <c r="B742" s="12" t="s">
        <v>43</v>
      </c>
      <c r="C742" s="10"/>
      <c r="D742" s="12">
        <v>1986</v>
      </c>
    </row>
    <row r="743" spans="1:4" ht="19.95" customHeight="1" x14ac:dyDescent="0.25">
      <c r="A743" s="11" t="s">
        <v>22</v>
      </c>
      <c r="B743" s="12" t="s">
        <v>43</v>
      </c>
      <c r="C743" s="10"/>
      <c r="D743" s="12">
        <v>1986</v>
      </c>
    </row>
    <row r="744" spans="1:4" ht="19.95" customHeight="1" x14ac:dyDescent="0.25">
      <c r="A744" s="11" t="s">
        <v>23</v>
      </c>
      <c r="B744" s="12" t="s">
        <v>43</v>
      </c>
      <c r="C744" s="10"/>
      <c r="D744" s="12">
        <v>1986</v>
      </c>
    </row>
    <row r="745" spans="1:4" ht="19.95" customHeight="1" x14ac:dyDescent="0.25">
      <c r="A745" s="11" t="s">
        <v>24</v>
      </c>
      <c r="B745" s="12" t="s">
        <v>43</v>
      </c>
      <c r="C745" s="10"/>
      <c r="D745" s="12">
        <v>1986</v>
      </c>
    </row>
    <row r="746" spans="1:4" ht="19.95" customHeight="1" x14ac:dyDescent="0.25">
      <c r="A746" s="11" t="s">
        <v>25</v>
      </c>
      <c r="B746" s="12" t="s">
        <v>43</v>
      </c>
      <c r="C746" s="10"/>
      <c r="D746" s="12">
        <v>1986</v>
      </c>
    </row>
    <row r="747" spans="1:4" ht="19.95" customHeight="1" x14ac:dyDescent="0.25">
      <c r="A747" s="11" t="s">
        <v>26</v>
      </c>
      <c r="B747" s="12" t="s">
        <v>43</v>
      </c>
      <c r="C747" s="10"/>
      <c r="D747" s="12">
        <v>1986</v>
      </c>
    </row>
    <row r="748" spans="1:4" ht="19.95" customHeight="1" x14ac:dyDescent="0.25">
      <c r="A748" s="11" t="s">
        <v>27</v>
      </c>
      <c r="B748" s="12" t="s">
        <v>43</v>
      </c>
      <c r="C748" s="10"/>
      <c r="D748" s="12">
        <v>1986</v>
      </c>
    </row>
    <row r="749" spans="1:4" ht="19.95" customHeight="1" x14ac:dyDescent="0.25">
      <c r="A749" s="11" t="s">
        <v>29</v>
      </c>
      <c r="B749" s="12" t="s">
        <v>43</v>
      </c>
      <c r="C749" s="10"/>
      <c r="D749" s="12">
        <v>1986</v>
      </c>
    </row>
    <row r="750" spans="1:4" ht="19.95" customHeight="1" x14ac:dyDescent="0.25">
      <c r="A750" s="11" t="s">
        <v>30</v>
      </c>
      <c r="B750" s="12" t="s">
        <v>43</v>
      </c>
      <c r="C750" s="10"/>
      <c r="D750" s="12">
        <v>1986</v>
      </c>
    </row>
    <row r="751" spans="1:4" ht="19.95" customHeight="1" x14ac:dyDescent="0.25">
      <c r="A751" s="11" t="s">
        <v>31</v>
      </c>
      <c r="B751" s="12" t="s">
        <v>43</v>
      </c>
      <c r="C751" s="10"/>
      <c r="D751" s="12">
        <v>1986</v>
      </c>
    </row>
    <row r="752" spans="1:4" ht="19.95" customHeight="1" x14ac:dyDescent="0.25">
      <c r="A752" s="11" t="s">
        <v>32</v>
      </c>
      <c r="B752" s="12" t="s">
        <v>43</v>
      </c>
      <c r="C752" s="10"/>
      <c r="D752" s="12">
        <v>1986</v>
      </c>
    </row>
    <row r="753" spans="1:4" ht="19.95" customHeight="1" x14ac:dyDescent="0.25">
      <c r="A753" s="11" t="s">
        <v>33</v>
      </c>
      <c r="B753" s="12" t="s">
        <v>43</v>
      </c>
      <c r="C753" s="10"/>
      <c r="D753" s="12">
        <v>1986</v>
      </c>
    </row>
    <row r="754" spans="1:4" ht="19.95" customHeight="1" x14ac:dyDescent="0.25">
      <c r="A754" s="11" t="s">
        <v>34</v>
      </c>
      <c r="B754" s="12" t="s">
        <v>43</v>
      </c>
      <c r="C754" s="10"/>
      <c r="D754" s="12">
        <v>1986</v>
      </c>
    </row>
    <row r="755" spans="1:4" ht="19.95" customHeight="1" x14ac:dyDescent="0.25">
      <c r="A755" s="11" t="s">
        <v>35</v>
      </c>
      <c r="B755" s="12" t="s">
        <v>43</v>
      </c>
      <c r="C755" s="10"/>
      <c r="D755" s="12">
        <v>1986</v>
      </c>
    </row>
    <row r="756" spans="1:4" ht="19.95" customHeight="1" x14ac:dyDescent="0.25">
      <c r="A756" s="11" t="s">
        <v>36</v>
      </c>
      <c r="B756" s="12" t="s">
        <v>43</v>
      </c>
      <c r="C756" s="10"/>
      <c r="D756" s="12">
        <v>1986</v>
      </c>
    </row>
    <row r="757" spans="1:4" ht="19.95" customHeight="1" x14ac:dyDescent="0.25">
      <c r="A757" s="11" t="s">
        <v>37</v>
      </c>
      <c r="B757" s="12" t="s">
        <v>43</v>
      </c>
      <c r="C757" s="10"/>
      <c r="D757" s="12">
        <v>1986</v>
      </c>
    </row>
    <row r="758" spans="1:4" ht="19.95" customHeight="1" x14ac:dyDescent="0.25">
      <c r="A758" s="11" t="s">
        <v>38</v>
      </c>
      <c r="B758" s="12" t="s">
        <v>43</v>
      </c>
      <c r="C758" s="10"/>
      <c r="D758" s="12">
        <v>1986</v>
      </c>
    </row>
    <row r="759" spans="1:4" ht="19.95" customHeight="1" x14ac:dyDescent="0.25">
      <c r="A759" s="11" t="s">
        <v>39</v>
      </c>
      <c r="B759" s="12" t="s">
        <v>43</v>
      </c>
      <c r="C759" s="10"/>
      <c r="D759" s="12">
        <v>1986</v>
      </c>
    </row>
    <row r="760" spans="1:4" ht="19.95" customHeight="1" x14ac:dyDescent="0.25">
      <c r="A760" s="11" t="s">
        <v>40</v>
      </c>
      <c r="B760" s="12" t="s">
        <v>43</v>
      </c>
      <c r="C760" s="10"/>
      <c r="D760" s="12">
        <v>1986</v>
      </c>
    </row>
    <row r="761" spans="1:4" ht="19.95" customHeight="1" x14ac:dyDescent="0.25">
      <c r="A761" s="11" t="s">
        <v>10</v>
      </c>
      <c r="B761" s="12" t="s">
        <v>43</v>
      </c>
      <c r="C761" s="10"/>
      <c r="D761" s="12">
        <v>1987</v>
      </c>
    </row>
    <row r="762" spans="1:4" ht="19.95" customHeight="1" x14ac:dyDescent="0.25">
      <c r="A762" s="11" t="s">
        <v>13</v>
      </c>
      <c r="B762" s="12" t="s">
        <v>43</v>
      </c>
      <c r="C762" s="10"/>
      <c r="D762" s="12">
        <v>1987</v>
      </c>
    </row>
    <row r="763" spans="1:4" ht="19.95" customHeight="1" x14ac:dyDescent="0.25">
      <c r="A763" s="11" t="s">
        <v>15</v>
      </c>
      <c r="B763" s="12" t="s">
        <v>43</v>
      </c>
      <c r="C763" s="10"/>
      <c r="D763" s="12">
        <v>1987</v>
      </c>
    </row>
    <row r="764" spans="1:4" ht="19.95" customHeight="1" x14ac:dyDescent="0.25">
      <c r="A764" s="11" t="s">
        <v>16</v>
      </c>
      <c r="B764" s="12" t="s">
        <v>43</v>
      </c>
      <c r="C764" s="10"/>
      <c r="D764" s="12">
        <v>1987</v>
      </c>
    </row>
    <row r="765" spans="1:4" ht="19.95" customHeight="1" x14ac:dyDescent="0.25">
      <c r="A765" s="11" t="s">
        <v>17</v>
      </c>
      <c r="B765" s="12" t="s">
        <v>43</v>
      </c>
      <c r="C765" s="10"/>
      <c r="D765" s="12">
        <v>1987</v>
      </c>
    </row>
    <row r="766" spans="1:4" ht="19.95" customHeight="1" x14ac:dyDescent="0.25">
      <c r="A766" s="11" t="s">
        <v>2</v>
      </c>
      <c r="B766" s="12" t="s">
        <v>43</v>
      </c>
      <c r="C766" s="10"/>
      <c r="D766" s="12">
        <v>1987</v>
      </c>
    </row>
    <row r="767" spans="1:4" ht="19.95" customHeight="1" x14ac:dyDescent="0.25">
      <c r="A767" s="11" t="s">
        <v>18</v>
      </c>
      <c r="B767" s="12" t="s">
        <v>43</v>
      </c>
      <c r="C767" s="10"/>
      <c r="D767" s="12">
        <v>1987</v>
      </c>
    </row>
    <row r="768" spans="1:4" ht="19.95" customHeight="1" x14ac:dyDescent="0.25">
      <c r="A768" s="11" t="s">
        <v>19</v>
      </c>
      <c r="B768" s="12" t="s">
        <v>43</v>
      </c>
      <c r="C768" s="10"/>
      <c r="D768" s="12">
        <v>1987</v>
      </c>
    </row>
    <row r="769" spans="1:4" ht="19.95" customHeight="1" x14ac:dyDescent="0.25">
      <c r="A769" s="11" t="s">
        <v>20</v>
      </c>
      <c r="B769" s="12" t="s">
        <v>43</v>
      </c>
      <c r="C769" s="10"/>
      <c r="D769" s="12">
        <v>1987</v>
      </c>
    </row>
    <row r="770" spans="1:4" ht="19.95" customHeight="1" x14ac:dyDescent="0.25">
      <c r="A770" s="11" t="s">
        <v>21</v>
      </c>
      <c r="B770" s="12" t="s">
        <v>43</v>
      </c>
      <c r="C770" s="10"/>
      <c r="D770" s="12">
        <v>1987</v>
      </c>
    </row>
    <row r="771" spans="1:4" ht="19.95" customHeight="1" x14ac:dyDescent="0.25">
      <c r="A771" s="11" t="s">
        <v>22</v>
      </c>
      <c r="B771" s="12" t="s">
        <v>43</v>
      </c>
      <c r="C771" s="10"/>
      <c r="D771" s="12">
        <v>1987</v>
      </c>
    </row>
    <row r="772" spans="1:4" ht="19.95" customHeight="1" x14ac:dyDescent="0.25">
      <c r="A772" s="11" t="s">
        <v>23</v>
      </c>
      <c r="B772" s="12" t="s">
        <v>43</v>
      </c>
      <c r="C772" s="10"/>
      <c r="D772" s="12">
        <v>1987</v>
      </c>
    </row>
    <row r="773" spans="1:4" ht="19.95" customHeight="1" x14ac:dyDescent="0.25">
      <c r="A773" s="11" t="s">
        <v>24</v>
      </c>
      <c r="B773" s="12" t="s">
        <v>43</v>
      </c>
      <c r="C773" s="10"/>
      <c r="D773" s="12">
        <v>1987</v>
      </c>
    </row>
    <row r="774" spans="1:4" ht="19.95" customHeight="1" x14ac:dyDescent="0.25">
      <c r="A774" s="11" t="s">
        <v>25</v>
      </c>
      <c r="B774" s="12" t="s">
        <v>43</v>
      </c>
      <c r="C774" s="10"/>
      <c r="D774" s="12">
        <v>1987</v>
      </c>
    </row>
    <row r="775" spans="1:4" ht="19.95" customHeight="1" x14ac:dyDescent="0.25">
      <c r="A775" s="11" t="s">
        <v>26</v>
      </c>
      <c r="B775" s="12" t="s">
        <v>43</v>
      </c>
      <c r="C775" s="10"/>
      <c r="D775" s="12">
        <v>1987</v>
      </c>
    </row>
    <row r="776" spans="1:4" ht="19.95" customHeight="1" x14ac:dyDescent="0.25">
      <c r="A776" s="11" t="s">
        <v>27</v>
      </c>
      <c r="B776" s="12" t="s">
        <v>43</v>
      </c>
      <c r="C776" s="10"/>
      <c r="D776" s="12">
        <v>1987</v>
      </c>
    </row>
    <row r="777" spans="1:4" ht="19.95" customHeight="1" x14ac:dyDescent="0.25">
      <c r="A777" s="11" t="s">
        <v>29</v>
      </c>
      <c r="B777" s="12" t="s">
        <v>43</v>
      </c>
      <c r="C777" s="10"/>
      <c r="D777" s="12">
        <v>1987</v>
      </c>
    </row>
    <row r="778" spans="1:4" ht="19.95" customHeight="1" x14ac:dyDescent="0.25">
      <c r="A778" s="11" t="s">
        <v>30</v>
      </c>
      <c r="B778" s="12" t="s">
        <v>43</v>
      </c>
      <c r="C778" s="10"/>
      <c r="D778" s="12">
        <v>1987</v>
      </c>
    </row>
    <row r="779" spans="1:4" ht="19.95" customHeight="1" x14ac:dyDescent="0.25">
      <c r="A779" s="11" t="s">
        <v>31</v>
      </c>
      <c r="B779" s="12" t="s">
        <v>43</v>
      </c>
      <c r="C779" s="10"/>
      <c r="D779" s="12">
        <v>1987</v>
      </c>
    </row>
    <row r="780" spans="1:4" ht="19.95" customHeight="1" x14ac:dyDescent="0.25">
      <c r="A780" s="11" t="s">
        <v>32</v>
      </c>
      <c r="B780" s="12" t="s">
        <v>43</v>
      </c>
      <c r="C780" s="10"/>
      <c r="D780" s="12">
        <v>1987</v>
      </c>
    </row>
    <row r="781" spans="1:4" ht="19.95" customHeight="1" x14ac:dyDescent="0.25">
      <c r="A781" s="11" t="s">
        <v>33</v>
      </c>
      <c r="B781" s="12" t="s">
        <v>43</v>
      </c>
      <c r="C781" s="10"/>
      <c r="D781" s="12">
        <v>1987</v>
      </c>
    </row>
    <row r="782" spans="1:4" ht="19.95" customHeight="1" x14ac:dyDescent="0.25">
      <c r="A782" s="11" t="s">
        <v>34</v>
      </c>
      <c r="B782" s="12" t="s">
        <v>43</v>
      </c>
      <c r="C782" s="10"/>
      <c r="D782" s="12">
        <v>1987</v>
      </c>
    </row>
    <row r="783" spans="1:4" ht="19.95" customHeight="1" x14ac:dyDescent="0.25">
      <c r="A783" s="11" t="s">
        <v>35</v>
      </c>
      <c r="B783" s="12" t="s">
        <v>43</v>
      </c>
      <c r="C783" s="10"/>
      <c r="D783" s="12">
        <v>1987</v>
      </c>
    </row>
    <row r="784" spans="1:4" ht="19.95" customHeight="1" x14ac:dyDescent="0.25">
      <c r="A784" s="11" t="s">
        <v>36</v>
      </c>
      <c r="B784" s="12" t="s">
        <v>43</v>
      </c>
      <c r="C784" s="10"/>
      <c r="D784" s="12">
        <v>1987</v>
      </c>
    </row>
    <row r="785" spans="1:4" ht="19.95" customHeight="1" x14ac:dyDescent="0.25">
      <c r="A785" s="11" t="s">
        <v>37</v>
      </c>
      <c r="B785" s="12" t="s">
        <v>43</v>
      </c>
      <c r="C785" s="10"/>
      <c r="D785" s="12">
        <v>1987</v>
      </c>
    </row>
    <row r="786" spans="1:4" ht="19.95" customHeight="1" x14ac:dyDescent="0.25">
      <c r="A786" s="11" t="s">
        <v>38</v>
      </c>
      <c r="B786" s="12" t="s">
        <v>43</v>
      </c>
      <c r="C786" s="10"/>
      <c r="D786" s="12">
        <v>1987</v>
      </c>
    </row>
    <row r="787" spans="1:4" ht="19.95" customHeight="1" x14ac:dyDescent="0.25">
      <c r="A787" s="11" t="s">
        <v>39</v>
      </c>
      <c r="B787" s="12" t="s">
        <v>43</v>
      </c>
      <c r="C787" s="10"/>
      <c r="D787" s="12">
        <v>1987</v>
      </c>
    </row>
    <row r="788" spans="1:4" ht="19.95" customHeight="1" x14ac:dyDescent="0.25">
      <c r="A788" s="11" t="s">
        <v>40</v>
      </c>
      <c r="B788" s="12" t="s">
        <v>43</v>
      </c>
      <c r="C788" s="10"/>
      <c r="D788" s="12">
        <v>1987</v>
      </c>
    </row>
    <row r="789" spans="1:4" ht="19.95" customHeight="1" x14ac:dyDescent="0.25">
      <c r="A789" s="11" t="s">
        <v>10</v>
      </c>
      <c r="B789" s="12" t="s">
        <v>43</v>
      </c>
      <c r="C789" s="10"/>
      <c r="D789" s="12">
        <v>1988</v>
      </c>
    </row>
    <row r="790" spans="1:4" ht="19.95" customHeight="1" x14ac:dyDescent="0.25">
      <c r="A790" s="11" t="s">
        <v>13</v>
      </c>
      <c r="B790" s="12" t="s">
        <v>43</v>
      </c>
      <c r="C790" s="10"/>
      <c r="D790" s="12">
        <v>1988</v>
      </c>
    </row>
    <row r="791" spans="1:4" ht="19.95" customHeight="1" x14ac:dyDescent="0.25">
      <c r="A791" s="11" t="s">
        <v>15</v>
      </c>
      <c r="B791" s="12" t="s">
        <v>43</v>
      </c>
      <c r="C791" s="10"/>
      <c r="D791" s="12">
        <v>1988</v>
      </c>
    </row>
    <row r="792" spans="1:4" ht="19.95" customHeight="1" x14ac:dyDescent="0.25">
      <c r="A792" s="11" t="s">
        <v>16</v>
      </c>
      <c r="B792" s="12" t="s">
        <v>43</v>
      </c>
      <c r="C792" s="10"/>
      <c r="D792" s="12">
        <v>1988</v>
      </c>
    </row>
    <row r="793" spans="1:4" ht="19.95" customHeight="1" x14ac:dyDescent="0.25">
      <c r="A793" s="11" t="s">
        <v>17</v>
      </c>
      <c r="B793" s="12" t="s">
        <v>43</v>
      </c>
      <c r="C793" s="10"/>
      <c r="D793" s="12">
        <v>1988</v>
      </c>
    </row>
    <row r="794" spans="1:4" ht="19.95" customHeight="1" x14ac:dyDescent="0.25">
      <c r="A794" s="11" t="s">
        <v>2</v>
      </c>
      <c r="B794" s="12" t="s">
        <v>43</v>
      </c>
      <c r="C794" s="10"/>
      <c r="D794" s="12">
        <v>1988</v>
      </c>
    </row>
    <row r="795" spans="1:4" ht="19.95" customHeight="1" x14ac:dyDescent="0.25">
      <c r="A795" s="11" t="s">
        <v>18</v>
      </c>
      <c r="B795" s="12" t="s">
        <v>43</v>
      </c>
      <c r="C795" s="10"/>
      <c r="D795" s="12">
        <v>1988</v>
      </c>
    </row>
    <row r="796" spans="1:4" ht="19.95" customHeight="1" x14ac:dyDescent="0.25">
      <c r="A796" s="11" t="s">
        <v>19</v>
      </c>
      <c r="B796" s="12" t="s">
        <v>43</v>
      </c>
      <c r="C796" s="10"/>
      <c r="D796" s="12">
        <v>1988</v>
      </c>
    </row>
    <row r="797" spans="1:4" ht="19.95" customHeight="1" x14ac:dyDescent="0.25">
      <c r="A797" s="11" t="s">
        <v>20</v>
      </c>
      <c r="B797" s="12" t="s">
        <v>43</v>
      </c>
      <c r="C797" s="10"/>
      <c r="D797" s="12">
        <v>1988</v>
      </c>
    </row>
    <row r="798" spans="1:4" ht="19.95" customHeight="1" x14ac:dyDescent="0.25">
      <c r="A798" s="11" t="s">
        <v>21</v>
      </c>
      <c r="B798" s="12" t="s">
        <v>43</v>
      </c>
      <c r="C798" s="10"/>
      <c r="D798" s="12">
        <v>1988</v>
      </c>
    </row>
    <row r="799" spans="1:4" ht="19.95" customHeight="1" x14ac:dyDescent="0.25">
      <c r="A799" s="11" t="s">
        <v>22</v>
      </c>
      <c r="B799" s="12" t="s">
        <v>43</v>
      </c>
      <c r="C799" s="10"/>
      <c r="D799" s="12">
        <v>1988</v>
      </c>
    </row>
    <row r="800" spans="1:4" ht="19.95" customHeight="1" x14ac:dyDescent="0.25">
      <c r="A800" s="11" t="s">
        <v>23</v>
      </c>
      <c r="B800" s="12" t="s">
        <v>43</v>
      </c>
      <c r="C800" s="10"/>
      <c r="D800" s="12">
        <v>1988</v>
      </c>
    </row>
    <row r="801" spans="1:4" ht="19.95" customHeight="1" x14ac:dyDescent="0.25">
      <c r="A801" s="11" t="s">
        <v>24</v>
      </c>
      <c r="B801" s="12" t="s">
        <v>43</v>
      </c>
      <c r="C801" s="10"/>
      <c r="D801" s="12">
        <v>1988</v>
      </c>
    </row>
    <row r="802" spans="1:4" ht="19.95" customHeight="1" x14ac:dyDescent="0.25">
      <c r="A802" s="11" t="s">
        <v>25</v>
      </c>
      <c r="B802" s="12" t="s">
        <v>43</v>
      </c>
      <c r="C802" s="10"/>
      <c r="D802" s="12">
        <v>1988</v>
      </c>
    </row>
    <row r="803" spans="1:4" ht="19.95" customHeight="1" x14ac:dyDescent="0.25">
      <c r="A803" s="11" t="s">
        <v>26</v>
      </c>
      <c r="B803" s="12" t="s">
        <v>43</v>
      </c>
      <c r="C803" s="10"/>
      <c r="D803" s="12">
        <v>1988</v>
      </c>
    </row>
    <row r="804" spans="1:4" ht="19.95" customHeight="1" x14ac:dyDescent="0.25">
      <c r="A804" s="11" t="s">
        <v>27</v>
      </c>
      <c r="B804" s="12" t="s">
        <v>43</v>
      </c>
      <c r="C804" s="10"/>
      <c r="D804" s="12">
        <v>1988</v>
      </c>
    </row>
    <row r="805" spans="1:4" ht="19.95" customHeight="1" x14ac:dyDescent="0.25">
      <c r="A805" s="11" t="s">
        <v>29</v>
      </c>
      <c r="B805" s="12" t="s">
        <v>43</v>
      </c>
      <c r="C805" s="10"/>
      <c r="D805" s="12">
        <v>1988</v>
      </c>
    </row>
    <row r="806" spans="1:4" ht="19.95" customHeight="1" x14ac:dyDescent="0.25">
      <c r="A806" s="11" t="s">
        <v>30</v>
      </c>
      <c r="B806" s="12" t="s">
        <v>43</v>
      </c>
      <c r="C806" s="10"/>
      <c r="D806" s="12">
        <v>1988</v>
      </c>
    </row>
    <row r="807" spans="1:4" ht="19.95" customHeight="1" x14ac:dyDescent="0.25">
      <c r="A807" s="11" t="s">
        <v>31</v>
      </c>
      <c r="B807" s="12" t="s">
        <v>43</v>
      </c>
      <c r="C807" s="10"/>
      <c r="D807" s="12">
        <v>1988</v>
      </c>
    </row>
    <row r="808" spans="1:4" ht="19.95" customHeight="1" x14ac:dyDescent="0.25">
      <c r="A808" s="11" t="s">
        <v>32</v>
      </c>
      <c r="B808" s="12" t="s">
        <v>43</v>
      </c>
      <c r="C808" s="10"/>
      <c r="D808" s="12">
        <v>1988</v>
      </c>
    </row>
    <row r="809" spans="1:4" ht="19.95" customHeight="1" x14ac:dyDescent="0.25">
      <c r="A809" s="11" t="s">
        <v>33</v>
      </c>
      <c r="B809" s="12" t="s">
        <v>43</v>
      </c>
      <c r="C809" s="10"/>
      <c r="D809" s="12">
        <v>1988</v>
      </c>
    </row>
    <row r="810" spans="1:4" ht="19.95" customHeight="1" x14ac:dyDescent="0.25">
      <c r="A810" s="11" t="s">
        <v>34</v>
      </c>
      <c r="B810" s="12" t="s">
        <v>43</v>
      </c>
      <c r="C810" s="10"/>
      <c r="D810" s="12">
        <v>1988</v>
      </c>
    </row>
    <row r="811" spans="1:4" ht="19.95" customHeight="1" x14ac:dyDescent="0.25">
      <c r="A811" s="11" t="s">
        <v>35</v>
      </c>
      <c r="B811" s="12" t="s">
        <v>43</v>
      </c>
      <c r="C811" s="10"/>
      <c r="D811" s="12">
        <v>1988</v>
      </c>
    </row>
    <row r="812" spans="1:4" ht="19.95" customHeight="1" x14ac:dyDescent="0.25">
      <c r="A812" s="11" t="s">
        <v>36</v>
      </c>
      <c r="B812" s="12" t="s">
        <v>43</v>
      </c>
      <c r="C812" s="10"/>
      <c r="D812" s="12">
        <v>1988</v>
      </c>
    </row>
    <row r="813" spans="1:4" ht="19.95" customHeight="1" x14ac:dyDescent="0.25">
      <c r="A813" s="11" t="s">
        <v>37</v>
      </c>
      <c r="B813" s="12" t="s">
        <v>43</v>
      </c>
      <c r="C813" s="10"/>
      <c r="D813" s="12">
        <v>1988</v>
      </c>
    </row>
    <row r="814" spans="1:4" ht="19.95" customHeight="1" x14ac:dyDescent="0.25">
      <c r="A814" s="11" t="s">
        <v>38</v>
      </c>
      <c r="B814" s="12" t="s">
        <v>43</v>
      </c>
      <c r="C814" s="10"/>
      <c r="D814" s="12">
        <v>1988</v>
      </c>
    </row>
    <row r="815" spans="1:4" ht="19.95" customHeight="1" x14ac:dyDescent="0.25">
      <c r="A815" s="11" t="s">
        <v>39</v>
      </c>
      <c r="B815" s="12" t="s">
        <v>43</v>
      </c>
      <c r="C815" s="10"/>
      <c r="D815" s="12">
        <v>1988</v>
      </c>
    </row>
    <row r="816" spans="1:4" ht="19.95" customHeight="1" x14ac:dyDescent="0.25">
      <c r="A816" s="11" t="s">
        <v>40</v>
      </c>
      <c r="B816" s="12" t="s">
        <v>43</v>
      </c>
      <c r="C816" s="10"/>
      <c r="D816" s="12">
        <v>1988</v>
      </c>
    </row>
    <row r="817" spans="1:4" ht="19.95" customHeight="1" x14ac:dyDescent="0.25">
      <c r="A817" s="11" t="s">
        <v>10</v>
      </c>
      <c r="B817" s="12" t="s">
        <v>43</v>
      </c>
      <c r="C817" s="10"/>
      <c r="D817" s="12">
        <v>1989</v>
      </c>
    </row>
    <row r="818" spans="1:4" ht="19.95" customHeight="1" x14ac:dyDescent="0.25">
      <c r="A818" s="11" t="s">
        <v>13</v>
      </c>
      <c r="B818" s="12" t="s">
        <v>43</v>
      </c>
      <c r="C818" s="10"/>
      <c r="D818" s="12">
        <v>1989</v>
      </c>
    </row>
    <row r="819" spans="1:4" ht="19.95" customHeight="1" x14ac:dyDescent="0.25">
      <c r="A819" s="11" t="s">
        <v>15</v>
      </c>
      <c r="B819" s="12" t="s">
        <v>43</v>
      </c>
      <c r="C819" s="10"/>
      <c r="D819" s="12">
        <v>1989</v>
      </c>
    </row>
    <row r="820" spans="1:4" ht="19.95" customHeight="1" x14ac:dyDescent="0.25">
      <c r="A820" s="11" t="s">
        <v>16</v>
      </c>
      <c r="B820" s="12" t="s">
        <v>43</v>
      </c>
      <c r="C820" s="10"/>
      <c r="D820" s="12">
        <v>1989</v>
      </c>
    </row>
    <row r="821" spans="1:4" ht="19.95" customHeight="1" x14ac:dyDescent="0.25">
      <c r="A821" s="11" t="s">
        <v>17</v>
      </c>
      <c r="B821" s="12" t="s">
        <v>43</v>
      </c>
      <c r="C821" s="10"/>
      <c r="D821" s="12">
        <v>1989</v>
      </c>
    </row>
    <row r="822" spans="1:4" ht="19.95" customHeight="1" x14ac:dyDescent="0.25">
      <c r="A822" s="11" t="s">
        <v>2</v>
      </c>
      <c r="B822" s="12" t="s">
        <v>43</v>
      </c>
      <c r="C822" s="10"/>
      <c r="D822" s="12">
        <v>1989</v>
      </c>
    </row>
    <row r="823" spans="1:4" ht="19.95" customHeight="1" x14ac:dyDescent="0.25">
      <c r="A823" s="11" t="s">
        <v>18</v>
      </c>
      <c r="B823" s="12" t="s">
        <v>43</v>
      </c>
      <c r="C823" s="10"/>
      <c r="D823" s="12">
        <v>1989</v>
      </c>
    </row>
    <row r="824" spans="1:4" ht="19.95" customHeight="1" x14ac:dyDescent="0.25">
      <c r="A824" s="11" t="s">
        <v>19</v>
      </c>
      <c r="B824" s="12" t="s">
        <v>43</v>
      </c>
      <c r="C824" s="10"/>
      <c r="D824" s="12">
        <v>1989</v>
      </c>
    </row>
    <row r="825" spans="1:4" ht="19.95" customHeight="1" x14ac:dyDescent="0.25">
      <c r="A825" s="11" t="s">
        <v>20</v>
      </c>
      <c r="B825" s="12" t="s">
        <v>43</v>
      </c>
      <c r="C825" s="10"/>
      <c r="D825" s="12">
        <v>1989</v>
      </c>
    </row>
    <row r="826" spans="1:4" ht="19.95" customHeight="1" x14ac:dyDescent="0.25">
      <c r="A826" s="11" t="s">
        <v>21</v>
      </c>
      <c r="B826" s="12" t="s">
        <v>43</v>
      </c>
      <c r="C826" s="10"/>
      <c r="D826" s="12">
        <v>1989</v>
      </c>
    </row>
    <row r="827" spans="1:4" ht="19.95" customHeight="1" x14ac:dyDescent="0.25">
      <c r="A827" s="11" t="s">
        <v>22</v>
      </c>
      <c r="B827" s="12" t="s">
        <v>43</v>
      </c>
      <c r="C827" s="10"/>
      <c r="D827" s="12">
        <v>1989</v>
      </c>
    </row>
    <row r="828" spans="1:4" ht="19.95" customHeight="1" x14ac:dyDescent="0.25">
      <c r="A828" s="11" t="s">
        <v>23</v>
      </c>
      <c r="B828" s="12" t="s">
        <v>43</v>
      </c>
      <c r="C828" s="10"/>
      <c r="D828" s="12">
        <v>1989</v>
      </c>
    </row>
    <row r="829" spans="1:4" ht="19.95" customHeight="1" x14ac:dyDescent="0.25">
      <c r="A829" s="11" t="s">
        <v>24</v>
      </c>
      <c r="B829" s="12" t="s">
        <v>43</v>
      </c>
      <c r="C829" s="10"/>
      <c r="D829" s="12">
        <v>1989</v>
      </c>
    </row>
    <row r="830" spans="1:4" ht="19.95" customHeight="1" x14ac:dyDescent="0.25">
      <c r="A830" s="11" t="s">
        <v>25</v>
      </c>
      <c r="B830" s="12" t="s">
        <v>43</v>
      </c>
      <c r="C830" s="10"/>
      <c r="D830" s="12">
        <v>1989</v>
      </c>
    </row>
    <row r="831" spans="1:4" ht="19.95" customHeight="1" x14ac:dyDescent="0.25">
      <c r="A831" s="11" t="s">
        <v>26</v>
      </c>
      <c r="B831" s="12" t="s">
        <v>43</v>
      </c>
      <c r="C831" s="10"/>
      <c r="D831" s="12">
        <v>1989</v>
      </c>
    </row>
    <row r="832" spans="1:4" ht="19.95" customHeight="1" x14ac:dyDescent="0.25">
      <c r="A832" s="11" t="s">
        <v>27</v>
      </c>
      <c r="B832" s="12" t="s">
        <v>43</v>
      </c>
      <c r="C832" s="10"/>
      <c r="D832" s="12">
        <v>1989</v>
      </c>
    </row>
    <row r="833" spans="1:4" ht="19.95" customHeight="1" x14ac:dyDescent="0.25">
      <c r="A833" s="11" t="s">
        <v>29</v>
      </c>
      <c r="B833" s="12" t="s">
        <v>43</v>
      </c>
      <c r="C833" s="10"/>
      <c r="D833" s="12">
        <v>1989</v>
      </c>
    </row>
    <row r="834" spans="1:4" ht="19.95" customHeight="1" x14ac:dyDescent="0.25">
      <c r="A834" s="11" t="s">
        <v>30</v>
      </c>
      <c r="B834" s="12" t="s">
        <v>43</v>
      </c>
      <c r="C834" s="10"/>
      <c r="D834" s="12">
        <v>1989</v>
      </c>
    </row>
    <row r="835" spans="1:4" ht="19.95" customHeight="1" x14ac:dyDescent="0.25">
      <c r="A835" s="11" t="s">
        <v>31</v>
      </c>
      <c r="B835" s="12" t="s">
        <v>43</v>
      </c>
      <c r="C835" s="10"/>
      <c r="D835" s="12">
        <v>1989</v>
      </c>
    </row>
    <row r="836" spans="1:4" ht="19.95" customHeight="1" x14ac:dyDescent="0.25">
      <c r="A836" s="11" t="s">
        <v>32</v>
      </c>
      <c r="B836" s="12" t="s">
        <v>43</v>
      </c>
      <c r="C836" s="10"/>
      <c r="D836" s="12">
        <v>1989</v>
      </c>
    </row>
    <row r="837" spans="1:4" ht="19.95" customHeight="1" x14ac:dyDescent="0.25">
      <c r="A837" s="11" t="s">
        <v>33</v>
      </c>
      <c r="B837" s="12" t="s">
        <v>43</v>
      </c>
      <c r="C837" s="10"/>
      <c r="D837" s="12">
        <v>1989</v>
      </c>
    </row>
    <row r="838" spans="1:4" ht="19.95" customHeight="1" x14ac:dyDescent="0.25">
      <c r="A838" s="11" t="s">
        <v>34</v>
      </c>
      <c r="B838" s="12" t="s">
        <v>43</v>
      </c>
      <c r="C838" s="10"/>
      <c r="D838" s="12">
        <v>1989</v>
      </c>
    </row>
    <row r="839" spans="1:4" ht="19.95" customHeight="1" x14ac:dyDescent="0.25">
      <c r="A839" s="11" t="s">
        <v>35</v>
      </c>
      <c r="B839" s="12" t="s">
        <v>43</v>
      </c>
      <c r="C839" s="10"/>
      <c r="D839" s="12">
        <v>1989</v>
      </c>
    </row>
    <row r="840" spans="1:4" ht="19.95" customHeight="1" x14ac:dyDescent="0.25">
      <c r="A840" s="11" t="s">
        <v>36</v>
      </c>
      <c r="B840" s="12" t="s">
        <v>43</v>
      </c>
      <c r="C840" s="10"/>
      <c r="D840" s="12">
        <v>1989</v>
      </c>
    </row>
    <row r="841" spans="1:4" ht="19.95" customHeight="1" x14ac:dyDescent="0.25">
      <c r="A841" s="11" t="s">
        <v>37</v>
      </c>
      <c r="B841" s="12" t="s">
        <v>43</v>
      </c>
      <c r="C841" s="10"/>
      <c r="D841" s="12">
        <v>1989</v>
      </c>
    </row>
    <row r="842" spans="1:4" ht="19.95" customHeight="1" x14ac:dyDescent="0.25">
      <c r="A842" s="11" t="s">
        <v>38</v>
      </c>
      <c r="B842" s="12" t="s">
        <v>43</v>
      </c>
      <c r="C842" s="10"/>
      <c r="D842" s="12">
        <v>1989</v>
      </c>
    </row>
    <row r="843" spans="1:4" ht="19.95" customHeight="1" x14ac:dyDescent="0.25">
      <c r="A843" s="11" t="s">
        <v>39</v>
      </c>
      <c r="B843" s="12" t="s">
        <v>43</v>
      </c>
      <c r="C843" s="10"/>
      <c r="D843" s="12">
        <v>1989</v>
      </c>
    </row>
    <row r="844" spans="1:4" ht="19.95" customHeight="1" x14ac:dyDescent="0.25">
      <c r="A844" s="11" t="s">
        <v>40</v>
      </c>
      <c r="B844" s="12" t="s">
        <v>43</v>
      </c>
      <c r="C844" s="10"/>
      <c r="D844" s="12">
        <v>1989</v>
      </c>
    </row>
    <row r="845" spans="1:4" ht="19.95" customHeight="1" x14ac:dyDescent="0.25">
      <c r="A845" s="11" t="s">
        <v>10</v>
      </c>
      <c r="B845" s="12" t="s">
        <v>43</v>
      </c>
      <c r="C845" s="10"/>
      <c r="D845" s="12">
        <v>1990</v>
      </c>
    </row>
    <row r="846" spans="1:4" ht="19.95" customHeight="1" x14ac:dyDescent="0.25">
      <c r="A846" s="11" t="s">
        <v>13</v>
      </c>
      <c r="B846" s="12" t="s">
        <v>43</v>
      </c>
      <c r="C846" s="10"/>
      <c r="D846" s="12">
        <v>1990</v>
      </c>
    </row>
    <row r="847" spans="1:4" ht="19.95" customHeight="1" x14ac:dyDescent="0.25">
      <c r="A847" s="11" t="s">
        <v>15</v>
      </c>
      <c r="B847" s="12" t="s">
        <v>43</v>
      </c>
      <c r="C847" s="10"/>
      <c r="D847" s="12">
        <v>1990</v>
      </c>
    </row>
    <row r="848" spans="1:4" ht="19.95" customHeight="1" x14ac:dyDescent="0.25">
      <c r="A848" s="11" t="s">
        <v>16</v>
      </c>
      <c r="B848" s="12" t="s">
        <v>43</v>
      </c>
      <c r="C848" s="10"/>
      <c r="D848" s="12">
        <v>1990</v>
      </c>
    </row>
    <row r="849" spans="1:4" ht="19.95" customHeight="1" x14ac:dyDescent="0.25">
      <c r="A849" s="11" t="s">
        <v>17</v>
      </c>
      <c r="B849" s="12" t="s">
        <v>43</v>
      </c>
      <c r="C849" s="10"/>
      <c r="D849" s="12">
        <v>1990</v>
      </c>
    </row>
    <row r="850" spans="1:4" ht="19.95" customHeight="1" x14ac:dyDescent="0.25">
      <c r="A850" s="11" t="s">
        <v>2</v>
      </c>
      <c r="B850" s="12" t="s">
        <v>43</v>
      </c>
      <c r="C850" s="10"/>
      <c r="D850" s="12">
        <v>1990</v>
      </c>
    </row>
    <row r="851" spans="1:4" ht="19.95" customHeight="1" x14ac:dyDescent="0.25">
      <c r="A851" s="11" t="s">
        <v>18</v>
      </c>
      <c r="B851" s="12" t="s">
        <v>43</v>
      </c>
      <c r="C851" s="10"/>
      <c r="D851" s="12">
        <v>1990</v>
      </c>
    </row>
    <row r="852" spans="1:4" ht="19.95" customHeight="1" x14ac:dyDescent="0.25">
      <c r="A852" s="11" t="s">
        <v>19</v>
      </c>
      <c r="B852" s="12" t="s">
        <v>43</v>
      </c>
      <c r="C852" s="10"/>
      <c r="D852" s="12">
        <v>1990</v>
      </c>
    </row>
    <row r="853" spans="1:4" ht="19.95" customHeight="1" x14ac:dyDescent="0.25">
      <c r="A853" s="11" t="s">
        <v>20</v>
      </c>
      <c r="B853" s="12" t="s">
        <v>43</v>
      </c>
      <c r="C853" s="10"/>
      <c r="D853" s="12">
        <v>1990</v>
      </c>
    </row>
    <row r="854" spans="1:4" ht="19.95" customHeight="1" x14ac:dyDescent="0.25">
      <c r="A854" s="11" t="s">
        <v>21</v>
      </c>
      <c r="B854" s="12" t="s">
        <v>43</v>
      </c>
      <c r="C854" s="10"/>
      <c r="D854" s="12">
        <v>1990</v>
      </c>
    </row>
    <row r="855" spans="1:4" ht="19.95" customHeight="1" x14ac:dyDescent="0.25">
      <c r="A855" s="11" t="s">
        <v>22</v>
      </c>
      <c r="B855" s="12" t="s">
        <v>43</v>
      </c>
      <c r="C855" s="10"/>
      <c r="D855" s="12">
        <v>1990</v>
      </c>
    </row>
    <row r="856" spans="1:4" ht="19.95" customHeight="1" x14ac:dyDescent="0.25">
      <c r="A856" s="11" t="s">
        <v>23</v>
      </c>
      <c r="B856" s="12" t="s">
        <v>43</v>
      </c>
      <c r="C856" s="10"/>
      <c r="D856" s="12">
        <v>1990</v>
      </c>
    </row>
    <row r="857" spans="1:4" ht="19.95" customHeight="1" x14ac:dyDescent="0.25">
      <c r="A857" s="11" t="s">
        <v>24</v>
      </c>
      <c r="B857" s="12" t="s">
        <v>43</v>
      </c>
      <c r="C857" s="10"/>
      <c r="D857" s="12">
        <v>1990</v>
      </c>
    </row>
    <row r="858" spans="1:4" ht="19.95" customHeight="1" x14ac:dyDescent="0.25">
      <c r="A858" s="11" t="s">
        <v>25</v>
      </c>
      <c r="B858" s="12" t="s">
        <v>43</v>
      </c>
      <c r="C858" s="10"/>
      <c r="D858" s="12">
        <v>1990</v>
      </c>
    </row>
    <row r="859" spans="1:4" ht="19.95" customHeight="1" x14ac:dyDescent="0.25">
      <c r="A859" s="11" t="s">
        <v>26</v>
      </c>
      <c r="B859" s="12" t="s">
        <v>43</v>
      </c>
      <c r="C859" s="10"/>
      <c r="D859" s="12">
        <v>1990</v>
      </c>
    </row>
    <row r="860" spans="1:4" ht="19.95" customHeight="1" x14ac:dyDescent="0.25">
      <c r="A860" s="11" t="s">
        <v>27</v>
      </c>
      <c r="B860" s="12" t="s">
        <v>43</v>
      </c>
      <c r="C860" s="10"/>
      <c r="D860" s="12">
        <v>1990</v>
      </c>
    </row>
    <row r="861" spans="1:4" ht="19.95" customHeight="1" x14ac:dyDescent="0.25">
      <c r="A861" s="11" t="s">
        <v>29</v>
      </c>
      <c r="B861" s="12" t="s">
        <v>43</v>
      </c>
      <c r="C861" s="10"/>
      <c r="D861" s="12">
        <v>1990</v>
      </c>
    </row>
    <row r="862" spans="1:4" ht="19.95" customHeight="1" x14ac:dyDescent="0.25">
      <c r="A862" s="11" t="s">
        <v>30</v>
      </c>
      <c r="B862" s="12" t="s">
        <v>43</v>
      </c>
      <c r="C862" s="10"/>
      <c r="D862" s="12">
        <v>1990</v>
      </c>
    </row>
    <row r="863" spans="1:4" ht="19.95" customHeight="1" x14ac:dyDescent="0.25">
      <c r="A863" s="11" t="s">
        <v>31</v>
      </c>
      <c r="B863" s="12" t="s">
        <v>43</v>
      </c>
      <c r="C863" s="10"/>
      <c r="D863" s="12">
        <v>1990</v>
      </c>
    </row>
    <row r="864" spans="1:4" ht="19.95" customHeight="1" x14ac:dyDescent="0.25">
      <c r="A864" s="11" t="s">
        <v>32</v>
      </c>
      <c r="B864" s="12" t="s">
        <v>43</v>
      </c>
      <c r="C864" s="10"/>
      <c r="D864" s="12">
        <v>1990</v>
      </c>
    </row>
    <row r="865" spans="1:4" ht="19.95" customHeight="1" x14ac:dyDescent="0.25">
      <c r="A865" s="11" t="s">
        <v>33</v>
      </c>
      <c r="B865" s="12" t="s">
        <v>43</v>
      </c>
      <c r="C865" s="10"/>
      <c r="D865" s="12">
        <v>1990</v>
      </c>
    </row>
    <row r="866" spans="1:4" ht="19.95" customHeight="1" x14ac:dyDescent="0.25">
      <c r="A866" s="11" t="s">
        <v>34</v>
      </c>
      <c r="B866" s="12" t="s">
        <v>43</v>
      </c>
      <c r="C866" s="10"/>
      <c r="D866" s="12">
        <v>1990</v>
      </c>
    </row>
    <row r="867" spans="1:4" ht="19.95" customHeight="1" x14ac:dyDescent="0.25">
      <c r="A867" s="11" t="s">
        <v>35</v>
      </c>
      <c r="B867" s="12" t="s">
        <v>43</v>
      </c>
      <c r="C867" s="12">
        <v>5.8281403737038204E-3</v>
      </c>
      <c r="D867" s="12">
        <v>1990</v>
      </c>
    </row>
    <row r="868" spans="1:4" ht="19.95" customHeight="1" x14ac:dyDescent="0.25">
      <c r="A868" s="11" t="s">
        <v>36</v>
      </c>
      <c r="B868" s="12" t="s">
        <v>43</v>
      </c>
      <c r="C868" s="12"/>
      <c r="D868" s="12">
        <v>1990</v>
      </c>
    </row>
    <row r="869" spans="1:4" ht="19.95" customHeight="1" x14ac:dyDescent="0.25">
      <c r="A869" s="11" t="s">
        <v>37</v>
      </c>
      <c r="B869" s="12" t="s">
        <v>43</v>
      </c>
      <c r="C869" s="12"/>
      <c r="D869" s="12">
        <v>1990</v>
      </c>
    </row>
    <row r="870" spans="1:4" ht="19.95" customHeight="1" x14ac:dyDescent="0.25">
      <c r="A870" s="11" t="s">
        <v>38</v>
      </c>
      <c r="B870" s="12" t="s">
        <v>43</v>
      </c>
      <c r="C870" s="12"/>
      <c r="D870" s="12">
        <v>1990</v>
      </c>
    </row>
    <row r="871" spans="1:4" ht="19.95" customHeight="1" x14ac:dyDescent="0.25">
      <c r="A871" s="11" t="s">
        <v>39</v>
      </c>
      <c r="B871" s="12" t="s">
        <v>43</v>
      </c>
      <c r="C871" s="12"/>
      <c r="D871" s="12">
        <v>1990</v>
      </c>
    </row>
    <row r="872" spans="1:4" ht="19.95" customHeight="1" x14ac:dyDescent="0.25">
      <c r="A872" s="11" t="s">
        <v>40</v>
      </c>
      <c r="B872" s="12" t="s">
        <v>43</v>
      </c>
      <c r="C872" s="12"/>
      <c r="D872" s="12">
        <v>1990</v>
      </c>
    </row>
    <row r="873" spans="1:4" ht="19.95" customHeight="1" x14ac:dyDescent="0.25">
      <c r="A873" s="11" t="s">
        <v>10</v>
      </c>
      <c r="B873" s="12" t="s">
        <v>43</v>
      </c>
      <c r="C873" s="12"/>
      <c r="D873" s="12">
        <v>1991</v>
      </c>
    </row>
    <row r="874" spans="1:4" ht="19.95" customHeight="1" x14ac:dyDescent="0.25">
      <c r="A874" s="11" t="s">
        <v>13</v>
      </c>
      <c r="B874" s="12" t="s">
        <v>43</v>
      </c>
      <c r="C874" s="12"/>
      <c r="D874" s="12">
        <v>1991</v>
      </c>
    </row>
    <row r="875" spans="1:4" ht="19.95" customHeight="1" x14ac:dyDescent="0.25">
      <c r="A875" s="11" t="s">
        <v>15</v>
      </c>
      <c r="B875" s="12" t="s">
        <v>43</v>
      </c>
      <c r="C875" s="12"/>
      <c r="D875" s="12">
        <v>1991</v>
      </c>
    </row>
    <row r="876" spans="1:4" ht="19.95" customHeight="1" x14ac:dyDescent="0.25">
      <c r="A876" s="11" t="s">
        <v>16</v>
      </c>
      <c r="B876" s="12" t="s">
        <v>43</v>
      </c>
      <c r="C876" s="12"/>
      <c r="D876" s="12">
        <v>1991</v>
      </c>
    </row>
    <row r="877" spans="1:4" ht="19.95" customHeight="1" x14ac:dyDescent="0.25">
      <c r="A877" s="11" t="s">
        <v>17</v>
      </c>
      <c r="B877" s="12" t="s">
        <v>43</v>
      </c>
      <c r="C877" s="12"/>
      <c r="D877" s="12">
        <v>1991</v>
      </c>
    </row>
    <row r="878" spans="1:4" ht="19.95" customHeight="1" x14ac:dyDescent="0.25">
      <c r="A878" s="11" t="s">
        <v>2</v>
      </c>
      <c r="B878" s="12" t="s">
        <v>43</v>
      </c>
      <c r="C878" s="12"/>
      <c r="D878" s="12">
        <v>1991</v>
      </c>
    </row>
    <row r="879" spans="1:4" ht="19.95" customHeight="1" x14ac:dyDescent="0.25">
      <c r="A879" s="11" t="s">
        <v>18</v>
      </c>
      <c r="B879" s="12" t="s">
        <v>43</v>
      </c>
      <c r="C879" s="12"/>
      <c r="D879" s="12">
        <v>1991</v>
      </c>
    </row>
    <row r="880" spans="1:4" ht="19.95" customHeight="1" x14ac:dyDescent="0.25">
      <c r="A880" s="11" t="s">
        <v>19</v>
      </c>
      <c r="B880" s="12" t="s">
        <v>43</v>
      </c>
      <c r="C880" s="12"/>
      <c r="D880" s="12">
        <v>1991</v>
      </c>
    </row>
    <row r="881" spans="1:4" ht="19.95" customHeight="1" x14ac:dyDescent="0.25">
      <c r="A881" s="11" t="s">
        <v>20</v>
      </c>
      <c r="B881" s="12" t="s">
        <v>43</v>
      </c>
      <c r="C881" s="12"/>
      <c r="D881" s="12">
        <v>1991</v>
      </c>
    </row>
    <row r="882" spans="1:4" ht="19.95" customHeight="1" x14ac:dyDescent="0.25">
      <c r="A882" s="11" t="s">
        <v>21</v>
      </c>
      <c r="B882" s="12" t="s">
        <v>43</v>
      </c>
      <c r="C882" s="12"/>
      <c r="D882" s="12">
        <v>1991</v>
      </c>
    </row>
    <row r="883" spans="1:4" ht="19.95" customHeight="1" x14ac:dyDescent="0.25">
      <c r="A883" s="11" t="s">
        <v>22</v>
      </c>
      <c r="B883" s="12" t="s">
        <v>43</v>
      </c>
      <c r="C883" s="12"/>
      <c r="D883" s="12">
        <v>1991</v>
      </c>
    </row>
    <row r="884" spans="1:4" ht="19.95" customHeight="1" x14ac:dyDescent="0.25">
      <c r="A884" s="11" t="s">
        <v>23</v>
      </c>
      <c r="B884" s="12" t="s">
        <v>43</v>
      </c>
      <c r="C884" s="12"/>
      <c r="D884" s="12">
        <v>1991</v>
      </c>
    </row>
    <row r="885" spans="1:4" ht="19.95" customHeight="1" x14ac:dyDescent="0.25">
      <c r="A885" s="11" t="s">
        <v>24</v>
      </c>
      <c r="B885" s="12" t="s">
        <v>43</v>
      </c>
      <c r="C885" s="12"/>
      <c r="D885" s="12">
        <v>1991</v>
      </c>
    </row>
    <row r="886" spans="1:4" ht="19.95" customHeight="1" x14ac:dyDescent="0.25">
      <c r="A886" s="11" t="s">
        <v>25</v>
      </c>
      <c r="B886" s="12" t="s">
        <v>43</v>
      </c>
      <c r="C886" s="12"/>
      <c r="D886" s="12">
        <v>1991</v>
      </c>
    </row>
    <row r="887" spans="1:4" ht="19.95" customHeight="1" x14ac:dyDescent="0.25">
      <c r="A887" s="11" t="s">
        <v>26</v>
      </c>
      <c r="B887" s="12" t="s">
        <v>43</v>
      </c>
      <c r="C887" s="12"/>
      <c r="D887" s="12">
        <v>1991</v>
      </c>
    </row>
    <row r="888" spans="1:4" ht="19.95" customHeight="1" x14ac:dyDescent="0.25">
      <c r="A888" s="11" t="s">
        <v>27</v>
      </c>
      <c r="B888" s="12" t="s">
        <v>43</v>
      </c>
      <c r="C888" s="12"/>
      <c r="D888" s="12">
        <v>1991</v>
      </c>
    </row>
    <row r="889" spans="1:4" ht="19.95" customHeight="1" x14ac:dyDescent="0.25">
      <c r="A889" s="11" t="s">
        <v>29</v>
      </c>
      <c r="B889" s="12" t="s">
        <v>43</v>
      </c>
      <c r="C889" s="12"/>
      <c r="D889" s="12">
        <v>1991</v>
      </c>
    </row>
    <row r="890" spans="1:4" ht="19.95" customHeight="1" x14ac:dyDescent="0.25">
      <c r="A890" s="11" t="s">
        <v>30</v>
      </c>
      <c r="B890" s="12" t="s">
        <v>43</v>
      </c>
      <c r="C890" s="12"/>
      <c r="D890" s="12">
        <v>1991</v>
      </c>
    </row>
    <row r="891" spans="1:4" ht="19.95" customHeight="1" x14ac:dyDescent="0.25">
      <c r="A891" s="11" t="s">
        <v>31</v>
      </c>
      <c r="B891" s="12" t="s">
        <v>43</v>
      </c>
      <c r="C891" s="12"/>
      <c r="D891" s="12">
        <v>1991</v>
      </c>
    </row>
    <row r="892" spans="1:4" ht="19.95" customHeight="1" x14ac:dyDescent="0.25">
      <c r="A892" s="11" t="s">
        <v>32</v>
      </c>
      <c r="B892" s="12" t="s">
        <v>43</v>
      </c>
      <c r="C892" s="12"/>
      <c r="D892" s="12">
        <v>1991</v>
      </c>
    </row>
    <row r="893" spans="1:4" ht="19.95" customHeight="1" x14ac:dyDescent="0.25">
      <c r="A893" s="11" t="s">
        <v>33</v>
      </c>
      <c r="B893" s="12" t="s">
        <v>43</v>
      </c>
      <c r="C893" s="12"/>
      <c r="D893" s="12">
        <v>1991</v>
      </c>
    </row>
    <row r="894" spans="1:4" ht="19.95" customHeight="1" x14ac:dyDescent="0.25">
      <c r="A894" s="11" t="s">
        <v>34</v>
      </c>
      <c r="B894" s="12" t="s">
        <v>43</v>
      </c>
      <c r="C894" s="12"/>
      <c r="D894" s="12">
        <v>1991</v>
      </c>
    </row>
    <row r="895" spans="1:4" ht="19.95" customHeight="1" x14ac:dyDescent="0.25">
      <c r="A895" s="11" t="s">
        <v>35</v>
      </c>
      <c r="B895" s="12" t="s">
        <v>43</v>
      </c>
      <c r="C895" s="12">
        <v>1.0262472424594099E-2</v>
      </c>
      <c r="D895" s="12">
        <v>1991</v>
      </c>
    </row>
    <row r="896" spans="1:4" ht="19.95" customHeight="1" x14ac:dyDescent="0.25">
      <c r="A896" s="11" t="s">
        <v>36</v>
      </c>
      <c r="B896" s="12" t="s">
        <v>43</v>
      </c>
      <c r="C896" s="12"/>
      <c r="D896" s="12">
        <v>1991</v>
      </c>
    </row>
    <row r="897" spans="1:4" ht="19.95" customHeight="1" x14ac:dyDescent="0.25">
      <c r="A897" s="11" t="s">
        <v>37</v>
      </c>
      <c r="B897" s="12" t="s">
        <v>43</v>
      </c>
      <c r="C897" s="12"/>
      <c r="D897" s="12">
        <v>1991</v>
      </c>
    </row>
    <row r="898" spans="1:4" ht="19.95" customHeight="1" x14ac:dyDescent="0.25">
      <c r="A898" s="11" t="s">
        <v>38</v>
      </c>
      <c r="B898" s="12" t="s">
        <v>43</v>
      </c>
      <c r="C898" s="12"/>
      <c r="D898" s="12">
        <v>1991</v>
      </c>
    </row>
    <row r="899" spans="1:4" ht="19.95" customHeight="1" x14ac:dyDescent="0.25">
      <c r="A899" s="11" t="s">
        <v>39</v>
      </c>
      <c r="B899" s="12" t="s">
        <v>43</v>
      </c>
      <c r="C899" s="12"/>
      <c r="D899" s="12">
        <v>1991</v>
      </c>
    </row>
    <row r="900" spans="1:4" ht="19.95" customHeight="1" x14ac:dyDescent="0.25">
      <c r="A900" s="11" t="s">
        <v>40</v>
      </c>
      <c r="B900" s="12" t="s">
        <v>43</v>
      </c>
      <c r="C900" s="12"/>
      <c r="D900" s="12">
        <v>1991</v>
      </c>
    </row>
    <row r="901" spans="1:4" ht="19.95" customHeight="1" x14ac:dyDescent="0.25">
      <c r="A901" s="11" t="s">
        <v>10</v>
      </c>
      <c r="B901" s="12" t="s">
        <v>43</v>
      </c>
      <c r="C901" s="12"/>
      <c r="D901" s="12">
        <v>1992</v>
      </c>
    </row>
    <row r="902" spans="1:4" ht="19.95" customHeight="1" x14ac:dyDescent="0.25">
      <c r="A902" s="11" t="s">
        <v>13</v>
      </c>
      <c r="B902" s="12" t="s">
        <v>43</v>
      </c>
      <c r="C902" s="12"/>
      <c r="D902" s="12">
        <v>1992</v>
      </c>
    </row>
    <row r="903" spans="1:4" ht="19.95" customHeight="1" x14ac:dyDescent="0.25">
      <c r="A903" s="11" t="s">
        <v>15</v>
      </c>
      <c r="B903" s="12" t="s">
        <v>43</v>
      </c>
      <c r="C903" s="12"/>
      <c r="D903" s="12">
        <v>1992</v>
      </c>
    </row>
    <row r="904" spans="1:4" ht="19.95" customHeight="1" x14ac:dyDescent="0.25">
      <c r="A904" s="11" t="s">
        <v>16</v>
      </c>
      <c r="B904" s="12" t="s">
        <v>43</v>
      </c>
      <c r="C904" s="12"/>
      <c r="D904" s="12">
        <v>1992</v>
      </c>
    </row>
    <row r="905" spans="1:4" ht="19.95" customHeight="1" x14ac:dyDescent="0.25">
      <c r="A905" s="11" t="s">
        <v>17</v>
      </c>
      <c r="B905" s="12" t="s">
        <v>43</v>
      </c>
      <c r="C905" s="12"/>
      <c r="D905" s="12">
        <v>1992</v>
      </c>
    </row>
    <row r="906" spans="1:4" ht="19.95" customHeight="1" x14ac:dyDescent="0.25">
      <c r="A906" s="11" t="s">
        <v>2</v>
      </c>
      <c r="B906" s="12" t="s">
        <v>43</v>
      </c>
      <c r="C906" s="12"/>
      <c r="D906" s="12">
        <v>1992</v>
      </c>
    </row>
    <row r="907" spans="1:4" ht="19.95" customHeight="1" x14ac:dyDescent="0.25">
      <c r="A907" s="11" t="s">
        <v>18</v>
      </c>
      <c r="B907" s="12" t="s">
        <v>43</v>
      </c>
      <c r="C907" s="12"/>
      <c r="D907" s="12">
        <v>1992</v>
      </c>
    </row>
    <row r="908" spans="1:4" ht="19.95" customHeight="1" x14ac:dyDescent="0.25">
      <c r="A908" s="11" t="s">
        <v>19</v>
      </c>
      <c r="B908" s="12" t="s">
        <v>43</v>
      </c>
      <c r="C908" s="12"/>
      <c r="D908" s="12">
        <v>1992</v>
      </c>
    </row>
    <row r="909" spans="1:4" ht="19.95" customHeight="1" x14ac:dyDescent="0.25">
      <c r="A909" s="11" t="s">
        <v>20</v>
      </c>
      <c r="B909" s="12" t="s">
        <v>43</v>
      </c>
      <c r="C909" s="12">
        <v>4.4063534328878098E-3</v>
      </c>
      <c r="D909" s="12">
        <v>1992</v>
      </c>
    </row>
    <row r="910" spans="1:4" ht="19.95" customHeight="1" x14ac:dyDescent="0.25">
      <c r="A910" s="11" t="s">
        <v>21</v>
      </c>
      <c r="B910" s="12" t="s">
        <v>43</v>
      </c>
      <c r="C910" s="12"/>
      <c r="D910" s="12">
        <v>1992</v>
      </c>
    </row>
    <row r="911" spans="1:4" ht="19.95" customHeight="1" x14ac:dyDescent="0.25">
      <c r="A911" s="11" t="s">
        <v>22</v>
      </c>
      <c r="B911" s="12" t="s">
        <v>43</v>
      </c>
      <c r="C911" s="12"/>
      <c r="D911" s="12">
        <v>1992</v>
      </c>
    </row>
    <row r="912" spans="1:4" ht="19.95" customHeight="1" x14ac:dyDescent="0.25">
      <c r="A912" s="11" t="s">
        <v>23</v>
      </c>
      <c r="B912" s="12" t="s">
        <v>43</v>
      </c>
      <c r="C912" s="12"/>
      <c r="D912" s="12">
        <v>1992</v>
      </c>
    </row>
    <row r="913" spans="1:4" ht="19.95" customHeight="1" x14ac:dyDescent="0.25">
      <c r="A913" s="11" t="s">
        <v>24</v>
      </c>
      <c r="B913" s="12" t="s">
        <v>43</v>
      </c>
      <c r="C913" s="12"/>
      <c r="D913" s="12">
        <v>1992</v>
      </c>
    </row>
    <row r="914" spans="1:4" ht="19.95" customHeight="1" x14ac:dyDescent="0.25">
      <c r="A914" s="11" t="s">
        <v>25</v>
      </c>
      <c r="B914" s="12" t="s">
        <v>43</v>
      </c>
      <c r="C914" s="12"/>
      <c r="D914" s="12">
        <v>1992</v>
      </c>
    </row>
    <row r="915" spans="1:4" ht="19.95" customHeight="1" x14ac:dyDescent="0.25">
      <c r="A915" s="11" t="s">
        <v>26</v>
      </c>
      <c r="B915" s="12" t="s">
        <v>43</v>
      </c>
      <c r="C915" s="12"/>
      <c r="D915" s="12">
        <v>1992</v>
      </c>
    </row>
    <row r="916" spans="1:4" ht="19.95" customHeight="1" x14ac:dyDescent="0.25">
      <c r="A916" s="11" t="s">
        <v>27</v>
      </c>
      <c r="B916" s="12" t="s">
        <v>43</v>
      </c>
      <c r="C916" s="12"/>
      <c r="D916" s="12">
        <v>1992</v>
      </c>
    </row>
    <row r="917" spans="1:4" ht="19.95" customHeight="1" x14ac:dyDescent="0.25">
      <c r="A917" s="11" t="s">
        <v>29</v>
      </c>
      <c r="B917" s="12" t="s">
        <v>43</v>
      </c>
      <c r="C917" s="12"/>
      <c r="D917" s="12">
        <v>1992</v>
      </c>
    </row>
    <row r="918" spans="1:4" ht="19.95" customHeight="1" x14ac:dyDescent="0.25">
      <c r="A918" s="11" t="s">
        <v>30</v>
      </c>
      <c r="B918" s="12" t="s">
        <v>43</v>
      </c>
      <c r="C918" s="12"/>
      <c r="D918" s="12">
        <v>1992</v>
      </c>
    </row>
    <row r="919" spans="1:4" ht="19.95" customHeight="1" x14ac:dyDescent="0.25">
      <c r="A919" s="11" t="s">
        <v>31</v>
      </c>
      <c r="B919" s="12" t="s">
        <v>43</v>
      </c>
      <c r="C919" s="12"/>
      <c r="D919" s="12">
        <v>1992</v>
      </c>
    </row>
    <row r="920" spans="1:4" ht="19.95" customHeight="1" x14ac:dyDescent="0.25">
      <c r="A920" s="11" t="s">
        <v>32</v>
      </c>
      <c r="B920" s="12" t="s">
        <v>43</v>
      </c>
      <c r="C920" s="12"/>
      <c r="D920" s="12">
        <v>1992</v>
      </c>
    </row>
    <row r="921" spans="1:4" ht="19.95" customHeight="1" x14ac:dyDescent="0.25">
      <c r="A921" s="11" t="s">
        <v>33</v>
      </c>
      <c r="B921" s="12" t="s">
        <v>43</v>
      </c>
      <c r="C921" s="12"/>
      <c r="D921" s="12">
        <v>1992</v>
      </c>
    </row>
    <row r="922" spans="1:4" ht="19.95" customHeight="1" x14ac:dyDescent="0.25">
      <c r="A922" s="11" t="s">
        <v>34</v>
      </c>
      <c r="B922" s="12" t="s">
        <v>43</v>
      </c>
      <c r="C922" s="12"/>
      <c r="D922" s="12">
        <v>1992</v>
      </c>
    </row>
    <row r="923" spans="1:4" ht="19.95" customHeight="1" x14ac:dyDescent="0.25">
      <c r="A923" s="11" t="s">
        <v>35</v>
      </c>
      <c r="B923" s="12" t="s">
        <v>43</v>
      </c>
      <c r="C923" s="12">
        <v>1.4903636211033499E-2</v>
      </c>
      <c r="D923" s="12">
        <v>1992</v>
      </c>
    </row>
    <row r="924" spans="1:4" ht="19.95" customHeight="1" x14ac:dyDescent="0.25">
      <c r="A924" s="11" t="s">
        <v>36</v>
      </c>
      <c r="B924" s="12" t="s">
        <v>43</v>
      </c>
      <c r="C924" s="12"/>
      <c r="D924" s="12">
        <v>1992</v>
      </c>
    </row>
    <row r="925" spans="1:4" ht="19.95" customHeight="1" x14ac:dyDescent="0.25">
      <c r="A925" s="11" t="s">
        <v>37</v>
      </c>
      <c r="B925" s="12" t="s">
        <v>43</v>
      </c>
      <c r="C925" s="12"/>
      <c r="D925" s="12">
        <v>1992</v>
      </c>
    </row>
    <row r="926" spans="1:4" ht="19.95" customHeight="1" x14ac:dyDescent="0.25">
      <c r="A926" s="11" t="s">
        <v>38</v>
      </c>
      <c r="B926" s="12" t="s">
        <v>43</v>
      </c>
      <c r="C926" s="12"/>
      <c r="D926" s="12">
        <v>1992</v>
      </c>
    </row>
    <row r="927" spans="1:4" ht="19.95" customHeight="1" x14ac:dyDescent="0.25">
      <c r="A927" s="11" t="s">
        <v>39</v>
      </c>
      <c r="B927" s="12" t="s">
        <v>43</v>
      </c>
      <c r="C927" s="12"/>
      <c r="D927" s="12">
        <v>1992</v>
      </c>
    </row>
    <row r="928" spans="1:4" ht="19.95" customHeight="1" x14ac:dyDescent="0.25">
      <c r="A928" s="11" t="s">
        <v>40</v>
      </c>
      <c r="B928" s="12" t="s">
        <v>43</v>
      </c>
      <c r="C928" s="12"/>
      <c r="D928" s="12">
        <v>1992</v>
      </c>
    </row>
    <row r="929" spans="1:4" ht="19.95" customHeight="1" x14ac:dyDescent="0.25">
      <c r="A929" s="11" t="s">
        <v>10</v>
      </c>
      <c r="B929" s="12" t="s">
        <v>43</v>
      </c>
      <c r="C929" s="12">
        <v>6.1163690322518002E-3</v>
      </c>
      <c r="D929" s="12">
        <v>1993</v>
      </c>
    </row>
    <row r="930" spans="1:4" ht="19.95" customHeight="1" x14ac:dyDescent="0.25">
      <c r="A930" s="11" t="s">
        <v>13</v>
      </c>
      <c r="B930" s="12" t="s">
        <v>43</v>
      </c>
      <c r="C930" s="12"/>
      <c r="D930" s="12">
        <v>1993</v>
      </c>
    </row>
    <row r="931" spans="1:4" ht="19.95" customHeight="1" x14ac:dyDescent="0.25">
      <c r="A931" s="11" t="s">
        <v>15</v>
      </c>
      <c r="B931" s="12" t="s">
        <v>43</v>
      </c>
      <c r="C931" s="12"/>
      <c r="D931" s="12">
        <v>1993</v>
      </c>
    </row>
    <row r="932" spans="1:4" ht="19.95" customHeight="1" x14ac:dyDescent="0.25">
      <c r="A932" s="11" t="s">
        <v>16</v>
      </c>
      <c r="B932" s="12" t="s">
        <v>43</v>
      </c>
      <c r="C932" s="12"/>
      <c r="D932" s="12">
        <v>1993</v>
      </c>
    </row>
    <row r="933" spans="1:4" ht="19.95" customHeight="1" x14ac:dyDescent="0.25">
      <c r="A933" s="11" t="s">
        <v>17</v>
      </c>
      <c r="B933" s="12" t="s">
        <v>43</v>
      </c>
      <c r="C933" s="12"/>
      <c r="D933" s="12">
        <v>1993</v>
      </c>
    </row>
    <row r="934" spans="1:4" ht="19.95" customHeight="1" x14ac:dyDescent="0.25">
      <c r="A934" s="11" t="s">
        <v>2</v>
      </c>
      <c r="B934" s="12" t="s">
        <v>43</v>
      </c>
      <c r="C934" s="12"/>
      <c r="D934" s="12">
        <v>1993</v>
      </c>
    </row>
    <row r="935" spans="1:4" ht="19.95" customHeight="1" x14ac:dyDescent="0.25">
      <c r="A935" s="11" t="s">
        <v>18</v>
      </c>
      <c r="B935" s="12" t="s">
        <v>43</v>
      </c>
      <c r="C935" s="12">
        <v>5.8632718508785703E-4</v>
      </c>
      <c r="D935" s="12">
        <v>1993</v>
      </c>
    </row>
    <row r="936" spans="1:4" ht="19.95" customHeight="1" x14ac:dyDescent="0.25">
      <c r="A936" s="11" t="s">
        <v>19</v>
      </c>
      <c r="B936" s="12" t="s">
        <v>43</v>
      </c>
      <c r="C936" s="12"/>
      <c r="D936" s="12">
        <v>1993</v>
      </c>
    </row>
    <row r="937" spans="1:4" ht="19.95" customHeight="1" x14ac:dyDescent="0.25">
      <c r="A937" s="11" t="s">
        <v>20</v>
      </c>
      <c r="B937" s="12" t="s">
        <v>43</v>
      </c>
      <c r="C937" s="12">
        <v>4.5119005064588897E-3</v>
      </c>
      <c r="D937" s="12">
        <v>1993</v>
      </c>
    </row>
    <row r="938" spans="1:4" ht="19.95" customHeight="1" x14ac:dyDescent="0.25">
      <c r="A938" s="11" t="s">
        <v>21</v>
      </c>
      <c r="B938" s="12" t="s">
        <v>43</v>
      </c>
      <c r="C938" s="12"/>
      <c r="D938" s="12">
        <v>1993</v>
      </c>
    </row>
    <row r="939" spans="1:4" ht="19.95" customHeight="1" x14ac:dyDescent="0.25">
      <c r="A939" s="11" t="s">
        <v>22</v>
      </c>
      <c r="B939" s="12" t="s">
        <v>43</v>
      </c>
      <c r="C939" s="12"/>
      <c r="D939" s="12">
        <v>1993</v>
      </c>
    </row>
    <row r="940" spans="1:4" ht="19.95" customHeight="1" x14ac:dyDescent="0.25">
      <c r="A940" s="11" t="s">
        <v>23</v>
      </c>
      <c r="B940" s="12" t="s">
        <v>43</v>
      </c>
      <c r="C940" s="12"/>
      <c r="D940" s="12">
        <v>1993</v>
      </c>
    </row>
    <row r="941" spans="1:4" ht="19.95" customHeight="1" x14ac:dyDescent="0.25">
      <c r="A941" s="11" t="s">
        <v>24</v>
      </c>
      <c r="B941" s="12" t="s">
        <v>43</v>
      </c>
      <c r="C941" s="12"/>
      <c r="D941" s="12">
        <v>1993</v>
      </c>
    </row>
    <row r="942" spans="1:4" ht="19.95" customHeight="1" x14ac:dyDescent="0.25">
      <c r="A942" s="11" t="s">
        <v>25</v>
      </c>
      <c r="B942" s="12" t="s">
        <v>43</v>
      </c>
      <c r="C942" s="12"/>
      <c r="D942" s="12">
        <v>1993</v>
      </c>
    </row>
    <row r="943" spans="1:4" ht="19.95" customHeight="1" x14ac:dyDescent="0.25">
      <c r="A943" s="11" t="s">
        <v>26</v>
      </c>
      <c r="B943" s="12" t="s">
        <v>43</v>
      </c>
      <c r="C943" s="12"/>
      <c r="D943" s="12">
        <v>1993</v>
      </c>
    </row>
    <row r="944" spans="1:4" ht="19.95" customHeight="1" x14ac:dyDescent="0.25">
      <c r="A944" s="11" t="s">
        <v>27</v>
      </c>
      <c r="B944" s="12" t="s">
        <v>43</v>
      </c>
      <c r="C944" s="12"/>
      <c r="D944" s="12">
        <v>1993</v>
      </c>
    </row>
    <row r="945" spans="1:4" ht="19.95" customHeight="1" x14ac:dyDescent="0.25">
      <c r="A945" s="11" t="s">
        <v>29</v>
      </c>
      <c r="B945" s="12" t="s">
        <v>43</v>
      </c>
      <c r="C945" s="12">
        <v>1.5233437143403099E-3</v>
      </c>
      <c r="D945" s="12">
        <v>1993</v>
      </c>
    </row>
    <row r="946" spans="1:4" ht="19.95" customHeight="1" x14ac:dyDescent="0.25">
      <c r="A946" s="11" t="s">
        <v>30</v>
      </c>
      <c r="B946" s="12" t="s">
        <v>43</v>
      </c>
      <c r="C946" s="12"/>
      <c r="D946" s="12">
        <v>1993</v>
      </c>
    </row>
    <row r="947" spans="1:4" ht="19.95" customHeight="1" x14ac:dyDescent="0.25">
      <c r="A947" s="11" t="s">
        <v>31</v>
      </c>
      <c r="B947" s="12" t="s">
        <v>43</v>
      </c>
      <c r="C947" s="12">
        <v>7.3194204103393598E-3</v>
      </c>
      <c r="D947" s="12">
        <v>1993</v>
      </c>
    </row>
    <row r="948" spans="1:4" ht="19.95" customHeight="1" x14ac:dyDescent="0.25">
      <c r="A948" s="11" t="s">
        <v>32</v>
      </c>
      <c r="B948" s="12" t="s">
        <v>43</v>
      </c>
      <c r="C948" s="12"/>
      <c r="D948" s="12">
        <v>1993</v>
      </c>
    </row>
    <row r="949" spans="1:4" ht="19.95" customHeight="1" x14ac:dyDescent="0.25">
      <c r="A949" s="11" t="s">
        <v>33</v>
      </c>
      <c r="B949" s="12" t="s">
        <v>43</v>
      </c>
      <c r="C949" s="12"/>
      <c r="D949" s="12">
        <v>1993</v>
      </c>
    </row>
    <row r="950" spans="1:4" ht="19.95" customHeight="1" x14ac:dyDescent="0.25">
      <c r="A950" s="11" t="s">
        <v>34</v>
      </c>
      <c r="B950" s="12" t="s">
        <v>43</v>
      </c>
      <c r="C950" s="12"/>
      <c r="D950" s="12">
        <v>1993</v>
      </c>
    </row>
    <row r="951" spans="1:4" ht="19.95" customHeight="1" x14ac:dyDescent="0.25">
      <c r="A951" s="11" t="s">
        <v>35</v>
      </c>
      <c r="B951" s="12" t="s">
        <v>43</v>
      </c>
      <c r="C951" s="12">
        <v>8.1919501024509706E-2</v>
      </c>
      <c r="D951" s="12">
        <v>1993</v>
      </c>
    </row>
    <row r="952" spans="1:4" ht="19.95" customHeight="1" x14ac:dyDescent="0.25">
      <c r="A952" s="11" t="s">
        <v>36</v>
      </c>
      <c r="B952" s="12" t="s">
        <v>43</v>
      </c>
      <c r="C952" s="12"/>
      <c r="D952" s="12">
        <v>1993</v>
      </c>
    </row>
    <row r="953" spans="1:4" ht="19.95" customHeight="1" x14ac:dyDescent="0.25">
      <c r="A953" s="11" t="s">
        <v>37</v>
      </c>
      <c r="B953" s="12" t="s">
        <v>43</v>
      </c>
      <c r="C953" s="12"/>
      <c r="D953" s="12">
        <v>1993</v>
      </c>
    </row>
    <row r="954" spans="1:4" ht="19.95" customHeight="1" x14ac:dyDescent="0.25">
      <c r="A954" s="11" t="s">
        <v>38</v>
      </c>
      <c r="B954" s="12" t="s">
        <v>43</v>
      </c>
      <c r="C954" s="12"/>
      <c r="D954" s="12">
        <v>1993</v>
      </c>
    </row>
    <row r="955" spans="1:4" ht="19.95" customHeight="1" x14ac:dyDescent="0.25">
      <c r="A955" s="11" t="s">
        <v>39</v>
      </c>
      <c r="B955" s="12" t="s">
        <v>43</v>
      </c>
      <c r="C955" s="12"/>
      <c r="D955" s="12">
        <v>1993</v>
      </c>
    </row>
    <row r="956" spans="1:4" ht="19.95" customHeight="1" x14ac:dyDescent="0.25">
      <c r="A956" s="11" t="s">
        <v>40</v>
      </c>
      <c r="B956" s="12" t="s">
        <v>43</v>
      </c>
      <c r="C956" s="12"/>
      <c r="D956" s="12">
        <v>1993</v>
      </c>
    </row>
    <row r="957" spans="1:4" ht="19.95" customHeight="1" x14ac:dyDescent="0.25">
      <c r="A957" s="11" t="s">
        <v>10</v>
      </c>
      <c r="B957" s="12" t="s">
        <v>43</v>
      </c>
      <c r="C957" s="12">
        <v>6.4377605653784401E-3</v>
      </c>
      <c r="D957" s="12">
        <v>1994</v>
      </c>
    </row>
    <row r="958" spans="1:4" ht="19.95" customHeight="1" x14ac:dyDescent="0.25">
      <c r="A958" s="11" t="s">
        <v>13</v>
      </c>
      <c r="B958" s="12" t="s">
        <v>43</v>
      </c>
      <c r="C958" s="12">
        <v>1.2204740626377801E-2</v>
      </c>
      <c r="D958" s="12">
        <v>1994</v>
      </c>
    </row>
    <row r="959" spans="1:4" ht="19.95" customHeight="1" x14ac:dyDescent="0.25">
      <c r="A959" s="11" t="s">
        <v>15</v>
      </c>
      <c r="B959" s="12" t="s">
        <v>43</v>
      </c>
      <c r="C959" s="12"/>
      <c r="D959" s="12">
        <v>1994</v>
      </c>
    </row>
    <row r="960" spans="1:4" ht="19.95" customHeight="1" x14ac:dyDescent="0.25">
      <c r="A960" s="11" t="s">
        <v>16</v>
      </c>
      <c r="B960" s="12" t="s">
        <v>43</v>
      </c>
      <c r="C960" s="12"/>
      <c r="D960" s="12">
        <v>1994</v>
      </c>
    </row>
    <row r="961" spans="1:4" ht="19.95" customHeight="1" x14ac:dyDescent="0.25">
      <c r="A961" s="11" t="s">
        <v>17</v>
      </c>
      <c r="B961" s="12" t="s">
        <v>43</v>
      </c>
      <c r="C961" s="12"/>
      <c r="D961" s="12">
        <v>1994</v>
      </c>
    </row>
    <row r="962" spans="1:4" ht="19.95" customHeight="1" x14ac:dyDescent="0.25">
      <c r="A962" s="11" t="s">
        <v>2</v>
      </c>
      <c r="B962" s="12" t="s">
        <v>43</v>
      </c>
      <c r="C962" s="12"/>
      <c r="D962" s="12">
        <v>1994</v>
      </c>
    </row>
    <row r="963" spans="1:4" ht="19.95" customHeight="1" x14ac:dyDescent="0.25">
      <c r="A963" s="11" t="s">
        <v>18</v>
      </c>
      <c r="B963" s="12" t="s">
        <v>43</v>
      </c>
      <c r="C963" s="12">
        <v>1.07631055058719E-2</v>
      </c>
      <c r="D963" s="12">
        <v>1994</v>
      </c>
    </row>
    <row r="964" spans="1:4" ht="19.95" customHeight="1" x14ac:dyDescent="0.25">
      <c r="A964" s="11" t="s">
        <v>19</v>
      </c>
      <c r="B964" s="12" t="s">
        <v>43</v>
      </c>
      <c r="C964" s="12"/>
      <c r="D964" s="12">
        <v>1994</v>
      </c>
    </row>
    <row r="965" spans="1:4" ht="19.95" customHeight="1" x14ac:dyDescent="0.25">
      <c r="A965" s="11" t="s">
        <v>20</v>
      </c>
      <c r="B965" s="12" t="s">
        <v>43</v>
      </c>
      <c r="C965" s="12">
        <v>7.4957193415850498E-3</v>
      </c>
      <c r="D965" s="12">
        <v>1994</v>
      </c>
    </row>
    <row r="966" spans="1:4" ht="19.95" customHeight="1" x14ac:dyDescent="0.25">
      <c r="A966" s="11" t="s">
        <v>21</v>
      </c>
      <c r="B966" s="12" t="s">
        <v>43</v>
      </c>
      <c r="C966" s="12"/>
      <c r="D966" s="12">
        <v>1994</v>
      </c>
    </row>
    <row r="967" spans="1:4" ht="19.95" customHeight="1" x14ac:dyDescent="0.25">
      <c r="A967" s="11" t="s">
        <v>22</v>
      </c>
      <c r="B967" s="12" t="s">
        <v>43</v>
      </c>
      <c r="C967" s="12"/>
      <c r="D967" s="12">
        <v>1994</v>
      </c>
    </row>
    <row r="968" spans="1:4" ht="19.95" customHeight="1" x14ac:dyDescent="0.25">
      <c r="A968" s="11" t="s">
        <v>23</v>
      </c>
      <c r="B968" s="12" t="s">
        <v>43</v>
      </c>
      <c r="C968" s="12">
        <v>2.29594009678E-3</v>
      </c>
      <c r="D968" s="12">
        <v>1994</v>
      </c>
    </row>
    <row r="969" spans="1:4" ht="19.95" customHeight="1" x14ac:dyDescent="0.25">
      <c r="A969" s="11" t="s">
        <v>24</v>
      </c>
      <c r="B969" s="12" t="s">
        <v>43</v>
      </c>
      <c r="C969" s="12"/>
      <c r="D969" s="12">
        <v>1994</v>
      </c>
    </row>
    <row r="970" spans="1:4" ht="19.95" customHeight="1" x14ac:dyDescent="0.25">
      <c r="A970" s="11" t="s">
        <v>25</v>
      </c>
      <c r="B970" s="12" t="s">
        <v>43</v>
      </c>
      <c r="C970" s="12"/>
      <c r="D970" s="12">
        <v>1994</v>
      </c>
    </row>
    <row r="971" spans="1:4" ht="19.95" customHeight="1" x14ac:dyDescent="0.25">
      <c r="A971" s="11" t="s">
        <v>26</v>
      </c>
      <c r="B971" s="12" t="s">
        <v>43</v>
      </c>
      <c r="C971" s="12"/>
      <c r="D971" s="12">
        <v>1994</v>
      </c>
    </row>
    <row r="972" spans="1:4" ht="19.95" customHeight="1" x14ac:dyDescent="0.25">
      <c r="A972" s="11" t="s">
        <v>27</v>
      </c>
      <c r="B972" s="12" t="s">
        <v>43</v>
      </c>
      <c r="C972" s="12"/>
      <c r="D972" s="12">
        <v>1994</v>
      </c>
    </row>
    <row r="973" spans="1:4" ht="19.95" customHeight="1" x14ac:dyDescent="0.25">
      <c r="A973" s="11" t="s">
        <v>29</v>
      </c>
      <c r="B973" s="12" t="s">
        <v>43</v>
      </c>
      <c r="C973" s="12">
        <v>4.4952003551770202E-3</v>
      </c>
      <c r="D973" s="12">
        <v>1994</v>
      </c>
    </row>
    <row r="974" spans="1:4" ht="19.95" customHeight="1" x14ac:dyDescent="0.25">
      <c r="A974" s="11" t="s">
        <v>30</v>
      </c>
      <c r="B974" s="12" t="s">
        <v>43</v>
      </c>
      <c r="C974" s="12"/>
      <c r="D974" s="12">
        <v>1994</v>
      </c>
    </row>
    <row r="975" spans="1:4" ht="19.95" customHeight="1" x14ac:dyDescent="0.25">
      <c r="A975" s="11" t="s">
        <v>31</v>
      </c>
      <c r="B975" s="12" t="s">
        <v>43</v>
      </c>
      <c r="C975" s="12">
        <v>4.8288714752611601E-2</v>
      </c>
      <c r="D975" s="12">
        <v>1994</v>
      </c>
    </row>
    <row r="976" spans="1:4" ht="19.95" customHeight="1" x14ac:dyDescent="0.25">
      <c r="A976" s="11" t="s">
        <v>32</v>
      </c>
      <c r="B976" s="12" t="s">
        <v>43</v>
      </c>
      <c r="C976" s="12"/>
      <c r="D976" s="12">
        <v>1994</v>
      </c>
    </row>
    <row r="977" spans="1:4" ht="19.95" customHeight="1" x14ac:dyDescent="0.25">
      <c r="A977" s="11" t="s">
        <v>33</v>
      </c>
      <c r="B977" s="12" t="s">
        <v>43</v>
      </c>
      <c r="C977" s="12"/>
      <c r="D977" s="12">
        <v>1994</v>
      </c>
    </row>
    <row r="978" spans="1:4" ht="19.95" customHeight="1" x14ac:dyDescent="0.25">
      <c r="A978" s="11" t="s">
        <v>34</v>
      </c>
      <c r="B978" s="12" t="s">
        <v>43</v>
      </c>
      <c r="C978" s="12"/>
      <c r="D978" s="12">
        <v>1994</v>
      </c>
    </row>
    <row r="979" spans="1:4" ht="19.95" customHeight="1" x14ac:dyDescent="0.25">
      <c r="A979" s="11" t="s">
        <v>35</v>
      </c>
      <c r="B979" s="12" t="s">
        <v>43</v>
      </c>
      <c r="C979" s="12">
        <v>0.161241235940429</v>
      </c>
      <c r="D979" s="12">
        <v>1994</v>
      </c>
    </row>
    <row r="980" spans="1:4" ht="19.95" customHeight="1" x14ac:dyDescent="0.25">
      <c r="A980" s="11" t="s">
        <v>36</v>
      </c>
      <c r="B980" s="12" t="s">
        <v>43</v>
      </c>
      <c r="C980" s="12"/>
      <c r="D980" s="12">
        <v>1994</v>
      </c>
    </row>
    <row r="981" spans="1:4" ht="19.95" customHeight="1" x14ac:dyDescent="0.25">
      <c r="A981" s="11" t="s">
        <v>37</v>
      </c>
      <c r="B981" s="12" t="s">
        <v>43</v>
      </c>
      <c r="C981" s="12">
        <v>1.27620279103142E-3</v>
      </c>
      <c r="D981" s="12">
        <v>1994</v>
      </c>
    </row>
    <row r="982" spans="1:4" ht="19.95" customHeight="1" x14ac:dyDescent="0.25">
      <c r="A982" s="11" t="s">
        <v>38</v>
      </c>
      <c r="B982" s="12" t="s">
        <v>43</v>
      </c>
      <c r="C982" s="12"/>
      <c r="D982" s="12">
        <v>1994</v>
      </c>
    </row>
    <row r="983" spans="1:4" ht="19.95" customHeight="1" x14ac:dyDescent="0.25">
      <c r="A983" s="11" t="s">
        <v>39</v>
      </c>
      <c r="B983" s="12" t="s">
        <v>43</v>
      </c>
      <c r="C983" s="12"/>
      <c r="D983" s="12">
        <v>1994</v>
      </c>
    </row>
    <row r="984" spans="1:4" ht="19.95" customHeight="1" x14ac:dyDescent="0.25">
      <c r="A984" s="11" t="s">
        <v>40</v>
      </c>
      <c r="B984" s="12" t="s">
        <v>43</v>
      </c>
      <c r="C984" s="12"/>
      <c r="D984" s="12">
        <v>1994</v>
      </c>
    </row>
    <row r="985" spans="1:4" ht="19.95" customHeight="1" x14ac:dyDescent="0.25">
      <c r="A985" s="11" t="s">
        <v>10</v>
      </c>
      <c r="B985" s="12" t="s">
        <v>43</v>
      </c>
      <c r="C985" s="12">
        <v>9.4598207531694598E-3</v>
      </c>
      <c r="D985" s="12">
        <v>1995</v>
      </c>
    </row>
    <row r="986" spans="1:4" ht="19.95" customHeight="1" x14ac:dyDescent="0.25">
      <c r="A986" s="11" t="s">
        <v>13</v>
      </c>
      <c r="B986" s="12" t="s">
        <v>43</v>
      </c>
      <c r="C986" s="12">
        <v>2.0800841304884299E-2</v>
      </c>
      <c r="D986" s="12">
        <v>1995</v>
      </c>
    </row>
    <row r="987" spans="1:4" ht="19.95" customHeight="1" x14ac:dyDescent="0.25">
      <c r="A987" s="11" t="s">
        <v>15</v>
      </c>
      <c r="B987" s="12" t="s">
        <v>43</v>
      </c>
      <c r="C987" s="12"/>
      <c r="D987" s="12">
        <v>1995</v>
      </c>
    </row>
    <row r="988" spans="1:4" ht="19.95" customHeight="1" x14ac:dyDescent="0.25">
      <c r="A988" s="11" t="s">
        <v>16</v>
      </c>
      <c r="B988" s="12" t="s">
        <v>43</v>
      </c>
      <c r="C988" s="12"/>
      <c r="D988" s="12">
        <v>1995</v>
      </c>
    </row>
    <row r="989" spans="1:4" ht="19.95" customHeight="1" x14ac:dyDescent="0.25">
      <c r="A989" s="11" t="s">
        <v>17</v>
      </c>
      <c r="B989" s="12" t="s">
        <v>43</v>
      </c>
      <c r="C989" s="12"/>
      <c r="D989" s="12">
        <v>1995</v>
      </c>
    </row>
    <row r="990" spans="1:4" ht="19.95" customHeight="1" x14ac:dyDescent="0.25">
      <c r="A990" s="11" t="s">
        <v>2</v>
      </c>
      <c r="B990" s="12" t="s">
        <v>43</v>
      </c>
      <c r="C990" s="12"/>
      <c r="D990" s="12">
        <v>1995</v>
      </c>
    </row>
    <row r="991" spans="1:4" ht="19.95" customHeight="1" x14ac:dyDescent="0.25">
      <c r="A991" s="11" t="s">
        <v>18</v>
      </c>
      <c r="B991" s="12" t="s">
        <v>43</v>
      </c>
      <c r="C991" s="12">
        <v>1.20693573880284E-2</v>
      </c>
      <c r="D991" s="12">
        <v>1995</v>
      </c>
    </row>
    <row r="992" spans="1:4" ht="19.95" customHeight="1" x14ac:dyDescent="0.25">
      <c r="A992" s="11" t="s">
        <v>19</v>
      </c>
      <c r="B992" s="12" t="s">
        <v>43</v>
      </c>
      <c r="C992" s="12"/>
      <c r="D992" s="12">
        <v>1995</v>
      </c>
    </row>
    <row r="993" spans="1:4" ht="19.95" customHeight="1" x14ac:dyDescent="0.25">
      <c r="A993" s="11" t="s">
        <v>20</v>
      </c>
      <c r="B993" s="12" t="s">
        <v>43</v>
      </c>
      <c r="C993" s="12">
        <v>8.3338038391519605E-3</v>
      </c>
      <c r="D993" s="12">
        <v>1995</v>
      </c>
    </row>
    <row r="994" spans="1:4" ht="19.95" customHeight="1" x14ac:dyDescent="0.25">
      <c r="A994" s="11" t="s">
        <v>21</v>
      </c>
      <c r="B994" s="12" t="s">
        <v>43</v>
      </c>
      <c r="C994" s="12"/>
      <c r="D994" s="12">
        <v>1995</v>
      </c>
    </row>
    <row r="995" spans="1:4" ht="19.95" customHeight="1" x14ac:dyDescent="0.25">
      <c r="A995" s="11" t="s">
        <v>22</v>
      </c>
      <c r="B995" s="12" t="s">
        <v>43</v>
      </c>
      <c r="C995" s="12"/>
      <c r="D995" s="12">
        <v>1995</v>
      </c>
    </row>
    <row r="996" spans="1:4" ht="19.95" customHeight="1" x14ac:dyDescent="0.25">
      <c r="A996" s="11" t="s">
        <v>23</v>
      </c>
      <c r="B996" s="12" t="s">
        <v>43</v>
      </c>
      <c r="C996" s="12">
        <v>9.6472089882303994E-3</v>
      </c>
      <c r="D996" s="12">
        <v>1995</v>
      </c>
    </row>
    <row r="997" spans="1:4" ht="19.95" customHeight="1" x14ac:dyDescent="0.25">
      <c r="A997" s="11" t="s">
        <v>24</v>
      </c>
      <c r="B997" s="12" t="s">
        <v>43</v>
      </c>
      <c r="C997" s="12">
        <v>3.8550470033165501E-3</v>
      </c>
      <c r="D997" s="12">
        <v>1995</v>
      </c>
    </row>
    <row r="998" spans="1:4" ht="19.95" customHeight="1" x14ac:dyDescent="0.25">
      <c r="A998" s="11" t="s">
        <v>25</v>
      </c>
      <c r="B998" s="12" t="s">
        <v>43</v>
      </c>
      <c r="C998" s="12"/>
      <c r="D998" s="12">
        <v>1995</v>
      </c>
    </row>
    <row r="999" spans="1:4" ht="19.95" customHeight="1" x14ac:dyDescent="0.25">
      <c r="A999" s="11" t="s">
        <v>26</v>
      </c>
      <c r="B999" s="12" t="s">
        <v>43</v>
      </c>
      <c r="C999" s="12">
        <v>3.2264889209284402E-4</v>
      </c>
      <c r="D999" s="12">
        <v>1995</v>
      </c>
    </row>
    <row r="1000" spans="1:4" ht="19.95" customHeight="1" x14ac:dyDescent="0.25">
      <c r="A1000" s="11" t="s">
        <v>27</v>
      </c>
      <c r="B1000" s="12" t="s">
        <v>43</v>
      </c>
      <c r="C1000" s="12"/>
      <c r="D1000" s="12">
        <v>1995</v>
      </c>
    </row>
    <row r="1001" spans="1:4" ht="19.95" customHeight="1" x14ac:dyDescent="0.25">
      <c r="A1001" s="11" t="s">
        <v>29</v>
      </c>
      <c r="B1001" s="12" t="s">
        <v>43</v>
      </c>
      <c r="C1001" s="12">
        <v>6.3971814286908997E-3</v>
      </c>
      <c r="D1001" s="12">
        <v>1995</v>
      </c>
    </row>
    <row r="1002" spans="1:4" ht="19.95" customHeight="1" x14ac:dyDescent="0.25">
      <c r="A1002" s="11" t="s">
        <v>30</v>
      </c>
      <c r="B1002" s="12" t="s">
        <v>43</v>
      </c>
      <c r="C1002" s="12"/>
      <c r="D1002" s="12">
        <v>1995</v>
      </c>
    </row>
    <row r="1003" spans="1:4" ht="19.95" customHeight="1" x14ac:dyDescent="0.25">
      <c r="A1003" s="11" t="s">
        <v>31</v>
      </c>
      <c r="B1003" s="12" t="s">
        <v>43</v>
      </c>
      <c r="C1003" s="12">
        <v>9.5398579601875699E-2</v>
      </c>
      <c r="D1003" s="12">
        <v>1995</v>
      </c>
    </row>
    <row r="1004" spans="1:4" ht="19.95" customHeight="1" x14ac:dyDescent="0.25">
      <c r="A1004" s="11" t="s">
        <v>32</v>
      </c>
      <c r="B1004" s="12" t="s">
        <v>43</v>
      </c>
      <c r="C1004" s="12"/>
      <c r="D1004" s="12">
        <v>1995</v>
      </c>
    </row>
    <row r="1005" spans="1:4" ht="19.95" customHeight="1" x14ac:dyDescent="0.25">
      <c r="A1005" s="11" t="s">
        <v>33</v>
      </c>
      <c r="B1005" s="12" t="s">
        <v>43</v>
      </c>
      <c r="C1005" s="12"/>
      <c r="D1005" s="12">
        <v>1995</v>
      </c>
    </row>
    <row r="1006" spans="1:4" ht="19.95" customHeight="1" x14ac:dyDescent="0.25">
      <c r="A1006" s="11" t="s">
        <v>34</v>
      </c>
      <c r="B1006" s="12" t="s">
        <v>43</v>
      </c>
      <c r="C1006" s="12"/>
      <c r="D1006" s="12">
        <v>1995</v>
      </c>
    </row>
    <row r="1007" spans="1:4" ht="19.95" customHeight="1" x14ac:dyDescent="0.25">
      <c r="A1007" s="11" t="s">
        <v>35</v>
      </c>
      <c r="B1007" s="12" t="s">
        <v>43</v>
      </c>
      <c r="C1007" s="12">
        <v>0.28122792631232102</v>
      </c>
      <c r="D1007" s="12">
        <v>1995</v>
      </c>
    </row>
    <row r="1008" spans="1:4" ht="19.95" customHeight="1" x14ac:dyDescent="0.25">
      <c r="A1008" s="11" t="s">
        <v>36</v>
      </c>
      <c r="B1008" s="12" t="s">
        <v>43</v>
      </c>
      <c r="C1008" s="12"/>
      <c r="D1008" s="12">
        <v>1995</v>
      </c>
    </row>
    <row r="1009" spans="1:4" ht="19.95" customHeight="1" x14ac:dyDescent="0.25">
      <c r="A1009" s="11" t="s">
        <v>37</v>
      </c>
      <c r="B1009" s="12" t="s">
        <v>43</v>
      </c>
      <c r="C1009" s="12">
        <v>1.16819404143604E-2</v>
      </c>
      <c r="D1009" s="12">
        <v>1995</v>
      </c>
    </row>
    <row r="1010" spans="1:4" ht="19.95" customHeight="1" x14ac:dyDescent="0.25">
      <c r="A1010" s="11" t="s">
        <v>38</v>
      </c>
      <c r="B1010" s="12" t="s">
        <v>43</v>
      </c>
      <c r="C1010" s="12">
        <v>8.5010961645263297E-3</v>
      </c>
      <c r="D1010" s="12">
        <v>1995</v>
      </c>
    </row>
    <row r="1011" spans="1:4" ht="19.95" customHeight="1" x14ac:dyDescent="0.25">
      <c r="A1011" s="11" t="s">
        <v>39</v>
      </c>
      <c r="B1011" s="12" t="s">
        <v>43</v>
      </c>
      <c r="C1011" s="12">
        <v>1.6931016341440501E-2</v>
      </c>
      <c r="D1011" s="12">
        <v>1995</v>
      </c>
    </row>
    <row r="1012" spans="1:4" ht="19.95" customHeight="1" x14ac:dyDescent="0.25">
      <c r="A1012" s="11" t="s">
        <v>40</v>
      </c>
      <c r="B1012" s="12" t="s">
        <v>43</v>
      </c>
      <c r="C1012" s="12"/>
      <c r="D1012" s="12">
        <v>1995</v>
      </c>
    </row>
    <row r="1013" spans="1:4" ht="19.95" customHeight="1" x14ac:dyDescent="0.25">
      <c r="A1013" s="11" t="s">
        <v>10</v>
      </c>
      <c r="B1013" s="12" t="s">
        <v>43</v>
      </c>
      <c r="C1013" s="12">
        <v>9.2863697941703502E-3</v>
      </c>
      <c r="D1013" s="12">
        <v>1996</v>
      </c>
    </row>
    <row r="1014" spans="1:4" ht="19.95" customHeight="1" x14ac:dyDescent="0.25">
      <c r="A1014" s="11" t="s">
        <v>13</v>
      </c>
      <c r="B1014" s="12" t="s">
        <v>43</v>
      </c>
      <c r="C1014" s="12">
        <v>2.5339417882620899E-2</v>
      </c>
      <c r="D1014" s="12">
        <v>1996</v>
      </c>
    </row>
    <row r="1015" spans="1:4" ht="19.95" customHeight="1" x14ac:dyDescent="0.25">
      <c r="A1015" s="11" t="s">
        <v>15</v>
      </c>
      <c r="B1015" s="12" t="s">
        <v>43</v>
      </c>
      <c r="C1015" s="12"/>
      <c r="D1015" s="12">
        <v>1996</v>
      </c>
    </row>
    <row r="1016" spans="1:4" ht="19.95" customHeight="1" x14ac:dyDescent="0.25">
      <c r="A1016" s="11" t="s">
        <v>16</v>
      </c>
      <c r="B1016" s="12" t="s">
        <v>43</v>
      </c>
      <c r="C1016" s="12"/>
      <c r="D1016" s="12">
        <v>1996</v>
      </c>
    </row>
    <row r="1017" spans="1:4" ht="19.95" customHeight="1" x14ac:dyDescent="0.25">
      <c r="A1017" s="11" t="s">
        <v>17</v>
      </c>
      <c r="B1017" s="12" t="s">
        <v>43</v>
      </c>
      <c r="C1017" s="12">
        <v>1.7089183789510999E-2</v>
      </c>
      <c r="D1017" s="12">
        <v>1996</v>
      </c>
    </row>
    <row r="1018" spans="1:4" ht="19.95" customHeight="1" x14ac:dyDescent="0.25">
      <c r="A1018" s="11" t="s">
        <v>2</v>
      </c>
      <c r="B1018" s="12" t="s">
        <v>43</v>
      </c>
      <c r="C1018" s="12"/>
      <c r="D1018" s="12">
        <v>1996</v>
      </c>
    </row>
    <row r="1019" spans="1:4" ht="19.95" customHeight="1" x14ac:dyDescent="0.25">
      <c r="A1019" s="11" t="s">
        <v>18</v>
      </c>
      <c r="B1019" s="12" t="s">
        <v>43</v>
      </c>
      <c r="C1019" s="12">
        <v>1.1681450054054399E-2</v>
      </c>
      <c r="D1019" s="12">
        <v>1996</v>
      </c>
    </row>
    <row r="1020" spans="1:4" ht="19.95" customHeight="1" x14ac:dyDescent="0.25">
      <c r="A1020" s="11" t="s">
        <v>19</v>
      </c>
      <c r="B1020" s="12" t="s">
        <v>43</v>
      </c>
      <c r="C1020" s="12"/>
      <c r="D1020" s="12">
        <v>1996</v>
      </c>
    </row>
    <row r="1021" spans="1:4" ht="19.95" customHeight="1" x14ac:dyDescent="0.25">
      <c r="A1021" s="11" t="s">
        <v>20</v>
      </c>
      <c r="B1021" s="12" t="s">
        <v>43</v>
      </c>
      <c r="C1021" s="12">
        <v>1.0039884560512E-2</v>
      </c>
      <c r="D1021" s="12">
        <v>1996</v>
      </c>
    </row>
    <row r="1022" spans="1:4" ht="19.95" customHeight="1" x14ac:dyDescent="0.25">
      <c r="A1022" s="11" t="s">
        <v>21</v>
      </c>
      <c r="B1022" s="12" t="s">
        <v>43</v>
      </c>
      <c r="C1022" s="12"/>
      <c r="D1022" s="12">
        <v>1996</v>
      </c>
    </row>
    <row r="1023" spans="1:4" ht="19.95" customHeight="1" x14ac:dyDescent="0.25">
      <c r="A1023" s="11" t="s">
        <v>22</v>
      </c>
      <c r="B1023" s="12" t="s">
        <v>43</v>
      </c>
      <c r="C1023" s="12"/>
      <c r="D1023" s="12">
        <v>1996</v>
      </c>
    </row>
    <row r="1024" spans="1:4" ht="19.95" customHeight="1" x14ac:dyDescent="0.25">
      <c r="A1024" s="11" t="s">
        <v>23</v>
      </c>
      <c r="B1024" s="12" t="s">
        <v>43</v>
      </c>
      <c r="C1024" s="12">
        <v>1.6543563374219399E-2</v>
      </c>
      <c r="D1024" s="12">
        <v>1996</v>
      </c>
    </row>
    <row r="1025" spans="1:4" ht="19.95" customHeight="1" x14ac:dyDescent="0.25">
      <c r="A1025" s="11" t="s">
        <v>24</v>
      </c>
      <c r="B1025" s="12" t="s">
        <v>43</v>
      </c>
      <c r="C1025" s="12">
        <v>3.6598192108658299E-2</v>
      </c>
      <c r="D1025" s="12">
        <v>1996</v>
      </c>
    </row>
    <row r="1026" spans="1:4" ht="19.95" customHeight="1" x14ac:dyDescent="0.25">
      <c r="A1026" s="11" t="s">
        <v>25</v>
      </c>
      <c r="B1026" s="12" t="s">
        <v>43</v>
      </c>
      <c r="C1026" s="12">
        <v>1.204243563587E-2</v>
      </c>
      <c r="D1026" s="12">
        <v>1996</v>
      </c>
    </row>
    <row r="1027" spans="1:4" ht="19.95" customHeight="1" x14ac:dyDescent="0.25">
      <c r="A1027" s="11" t="s">
        <v>26</v>
      </c>
      <c r="B1027" s="12" t="s">
        <v>43</v>
      </c>
      <c r="C1027" s="12">
        <v>2.13224557906691E-2</v>
      </c>
      <c r="D1027" s="12">
        <v>1996</v>
      </c>
    </row>
    <row r="1028" spans="1:4" ht="19.95" customHeight="1" x14ac:dyDescent="0.25">
      <c r="A1028" s="11" t="s">
        <v>27</v>
      </c>
      <c r="B1028" s="12" t="s">
        <v>43</v>
      </c>
      <c r="C1028" s="12"/>
      <c r="D1028" s="12">
        <v>1996</v>
      </c>
    </row>
    <row r="1029" spans="1:4" ht="19.95" customHeight="1" x14ac:dyDescent="0.25">
      <c r="A1029" s="11" t="s">
        <v>29</v>
      </c>
      <c r="B1029" s="12" t="s">
        <v>43</v>
      </c>
      <c r="C1029" s="12">
        <v>1.6577874565772699E-2</v>
      </c>
      <c r="D1029" s="12">
        <v>1996</v>
      </c>
    </row>
    <row r="1030" spans="1:4" ht="19.95" customHeight="1" x14ac:dyDescent="0.25">
      <c r="A1030" s="11" t="s">
        <v>30</v>
      </c>
      <c r="B1030" s="12" t="s">
        <v>43</v>
      </c>
      <c r="C1030" s="12"/>
      <c r="D1030" s="12">
        <v>1996</v>
      </c>
    </row>
    <row r="1031" spans="1:4" ht="19.95" customHeight="1" x14ac:dyDescent="0.25">
      <c r="A1031" s="11" t="s">
        <v>31</v>
      </c>
      <c r="B1031" s="12" t="s">
        <v>43</v>
      </c>
      <c r="C1031" s="12">
        <v>0.10849265621719301</v>
      </c>
      <c r="D1031" s="12">
        <v>1996</v>
      </c>
    </row>
    <row r="1032" spans="1:4" ht="19.95" customHeight="1" x14ac:dyDescent="0.25">
      <c r="A1032" s="11" t="s">
        <v>32</v>
      </c>
      <c r="B1032" s="12" t="s">
        <v>43</v>
      </c>
      <c r="C1032" s="12"/>
      <c r="D1032" s="12">
        <v>1996</v>
      </c>
    </row>
    <row r="1033" spans="1:4" ht="19.95" customHeight="1" x14ac:dyDescent="0.25">
      <c r="A1033" s="11" t="s">
        <v>33</v>
      </c>
      <c r="B1033" s="12" t="s">
        <v>43</v>
      </c>
      <c r="C1033" s="12"/>
      <c r="D1033" s="12">
        <v>1996</v>
      </c>
    </row>
    <row r="1034" spans="1:4" ht="19.95" customHeight="1" x14ac:dyDescent="0.25">
      <c r="A1034" s="11" t="s">
        <v>34</v>
      </c>
      <c r="B1034" s="12" t="s">
        <v>43</v>
      </c>
      <c r="C1034" s="12"/>
      <c r="D1034" s="12">
        <v>1996</v>
      </c>
    </row>
    <row r="1035" spans="1:4" ht="19.95" customHeight="1" x14ac:dyDescent="0.25">
      <c r="A1035" s="11" t="s">
        <v>35</v>
      </c>
      <c r="B1035" s="12" t="s">
        <v>43</v>
      </c>
      <c r="C1035" s="12">
        <v>0.38661297661892002</v>
      </c>
      <c r="D1035" s="12">
        <v>1996</v>
      </c>
    </row>
    <row r="1036" spans="1:4" ht="19.95" customHeight="1" x14ac:dyDescent="0.25">
      <c r="A1036" s="11" t="s">
        <v>36</v>
      </c>
      <c r="B1036" s="12" t="s">
        <v>43</v>
      </c>
      <c r="C1036" s="12">
        <v>1.7437268571545801E-3</v>
      </c>
      <c r="D1036" s="12">
        <v>1996</v>
      </c>
    </row>
    <row r="1037" spans="1:4" ht="19.95" customHeight="1" x14ac:dyDescent="0.25">
      <c r="A1037" s="11" t="s">
        <v>37</v>
      </c>
      <c r="B1037" s="12" t="s">
        <v>43</v>
      </c>
      <c r="C1037" s="12">
        <v>2.93328665000165E-2</v>
      </c>
      <c r="D1037" s="12">
        <v>1996</v>
      </c>
    </row>
    <row r="1038" spans="1:4" ht="19.95" customHeight="1" x14ac:dyDescent="0.25">
      <c r="A1038" s="11" t="s">
        <v>38</v>
      </c>
      <c r="B1038" s="12" t="s">
        <v>43</v>
      </c>
      <c r="C1038" s="12">
        <v>1.8866039704146499E-2</v>
      </c>
      <c r="D1038" s="12">
        <v>1996</v>
      </c>
    </row>
    <row r="1039" spans="1:4" ht="19.95" customHeight="1" x14ac:dyDescent="0.25">
      <c r="A1039" s="11" t="s">
        <v>39</v>
      </c>
      <c r="B1039" s="12" t="s">
        <v>43</v>
      </c>
      <c r="C1039" s="12">
        <v>2.8964359680078499E-2</v>
      </c>
      <c r="D1039" s="12">
        <v>1996</v>
      </c>
    </row>
    <row r="1040" spans="1:4" ht="19.95" customHeight="1" x14ac:dyDescent="0.25">
      <c r="A1040" s="11" t="s">
        <v>40</v>
      </c>
      <c r="B1040" s="12" t="s">
        <v>43</v>
      </c>
      <c r="C1040" s="12"/>
      <c r="D1040" s="12">
        <v>1996</v>
      </c>
    </row>
    <row r="1041" spans="1:4" ht="19.95" customHeight="1" x14ac:dyDescent="0.25">
      <c r="A1041" s="11" t="s">
        <v>10</v>
      </c>
      <c r="B1041" s="12" t="s">
        <v>43</v>
      </c>
      <c r="C1041" s="12">
        <v>1.0127457074061499E-2</v>
      </c>
      <c r="D1041" s="12">
        <v>1997</v>
      </c>
    </row>
    <row r="1042" spans="1:4" ht="19.95" customHeight="1" x14ac:dyDescent="0.25">
      <c r="A1042" s="11" t="s">
        <v>13</v>
      </c>
      <c r="B1042" s="12" t="s">
        <v>43</v>
      </c>
      <c r="C1042" s="12">
        <v>2.96496617150084E-2</v>
      </c>
      <c r="D1042" s="12">
        <v>1997</v>
      </c>
    </row>
    <row r="1043" spans="1:4" ht="19.95" customHeight="1" x14ac:dyDescent="0.25">
      <c r="A1043" s="11" t="s">
        <v>15</v>
      </c>
      <c r="B1043" s="12" t="s">
        <v>43</v>
      </c>
      <c r="C1043" s="12"/>
      <c r="D1043" s="12">
        <v>1997</v>
      </c>
    </row>
    <row r="1044" spans="1:4" ht="19.95" customHeight="1" x14ac:dyDescent="0.25">
      <c r="A1044" s="11" t="s">
        <v>16</v>
      </c>
      <c r="B1044" s="12" t="s">
        <v>43</v>
      </c>
      <c r="C1044" s="12"/>
      <c r="D1044" s="12">
        <v>1997</v>
      </c>
    </row>
    <row r="1045" spans="1:4" ht="19.95" customHeight="1" x14ac:dyDescent="0.25">
      <c r="A1045" s="11" t="s">
        <v>17</v>
      </c>
      <c r="B1045" s="12" t="s">
        <v>43</v>
      </c>
      <c r="C1045" s="12">
        <v>3.0713227718158501E-2</v>
      </c>
      <c r="D1045" s="12">
        <v>1997</v>
      </c>
    </row>
    <row r="1046" spans="1:4" ht="19.95" customHeight="1" x14ac:dyDescent="0.25">
      <c r="A1046" s="11" t="s">
        <v>2</v>
      </c>
      <c r="B1046" s="12" t="s">
        <v>43</v>
      </c>
      <c r="C1046" s="12"/>
      <c r="D1046" s="12">
        <v>1997</v>
      </c>
    </row>
    <row r="1047" spans="1:4" ht="19.95" customHeight="1" x14ac:dyDescent="0.25">
      <c r="A1047" s="11" t="s">
        <v>18</v>
      </c>
      <c r="B1047" s="12" t="s">
        <v>43</v>
      </c>
      <c r="C1047" s="12">
        <v>3.4396787330468699E-2</v>
      </c>
      <c r="D1047" s="12">
        <v>1997</v>
      </c>
    </row>
    <row r="1048" spans="1:4" ht="19.95" customHeight="1" x14ac:dyDescent="0.25">
      <c r="A1048" s="11" t="s">
        <v>19</v>
      </c>
      <c r="B1048" s="12" t="s">
        <v>43</v>
      </c>
      <c r="C1048" s="12">
        <v>0</v>
      </c>
      <c r="D1048" s="12">
        <v>1997</v>
      </c>
    </row>
    <row r="1049" spans="1:4" ht="19.95" customHeight="1" x14ac:dyDescent="0.25">
      <c r="A1049" s="11" t="s">
        <v>20</v>
      </c>
      <c r="B1049" s="12" t="s">
        <v>43</v>
      </c>
      <c r="C1049" s="12">
        <v>2.3371462860165601E-2</v>
      </c>
      <c r="D1049" s="12">
        <v>1997</v>
      </c>
    </row>
    <row r="1050" spans="1:4" ht="19.95" customHeight="1" x14ac:dyDescent="0.25">
      <c r="A1050" s="11" t="s">
        <v>21</v>
      </c>
      <c r="B1050" s="12" t="s">
        <v>43</v>
      </c>
      <c r="C1050" s="12"/>
      <c r="D1050" s="12">
        <v>1997</v>
      </c>
    </row>
    <row r="1051" spans="1:4" ht="19.95" customHeight="1" x14ac:dyDescent="0.25">
      <c r="A1051" s="11" t="s">
        <v>22</v>
      </c>
      <c r="B1051" s="12" t="s">
        <v>43</v>
      </c>
      <c r="C1051" s="12"/>
      <c r="D1051" s="12">
        <v>1997</v>
      </c>
    </row>
    <row r="1052" spans="1:4" ht="19.95" customHeight="1" x14ac:dyDescent="0.25">
      <c r="A1052" s="11" t="s">
        <v>23</v>
      </c>
      <c r="B1052" s="12" t="s">
        <v>43</v>
      </c>
      <c r="C1052" s="12">
        <v>2.85757019830283E-2</v>
      </c>
      <c r="D1052" s="12">
        <v>1997</v>
      </c>
    </row>
    <row r="1053" spans="1:4" ht="19.95" customHeight="1" x14ac:dyDescent="0.25">
      <c r="A1053" s="11" t="s">
        <v>24</v>
      </c>
      <c r="B1053" s="12" t="s">
        <v>43</v>
      </c>
      <c r="C1053" s="12">
        <v>6.7425284597310203E-2</v>
      </c>
      <c r="D1053" s="12">
        <v>1997</v>
      </c>
    </row>
    <row r="1054" spans="1:4" ht="19.95" customHeight="1" x14ac:dyDescent="0.25">
      <c r="A1054" s="11" t="s">
        <v>25</v>
      </c>
      <c r="B1054" s="12" t="s">
        <v>43</v>
      </c>
      <c r="C1054" s="12">
        <v>2.8099402675118498E-2</v>
      </c>
      <c r="D1054" s="12">
        <v>1997</v>
      </c>
    </row>
    <row r="1055" spans="1:4" ht="19.95" customHeight="1" x14ac:dyDescent="0.25">
      <c r="A1055" s="11" t="s">
        <v>26</v>
      </c>
      <c r="B1055" s="12" t="s">
        <v>43</v>
      </c>
      <c r="C1055" s="12">
        <v>5.1342717070589898E-2</v>
      </c>
      <c r="D1055" s="12">
        <v>1997</v>
      </c>
    </row>
    <row r="1056" spans="1:4" ht="19.95" customHeight="1" x14ac:dyDescent="0.25">
      <c r="A1056" s="11" t="s">
        <v>27</v>
      </c>
      <c r="B1056" s="12" t="s">
        <v>43</v>
      </c>
      <c r="C1056" s="12">
        <v>1.4968848927251499E-2</v>
      </c>
      <c r="D1056" s="12">
        <v>1997</v>
      </c>
    </row>
    <row r="1057" spans="1:4" ht="19.95" customHeight="1" x14ac:dyDescent="0.25">
      <c r="A1057" s="11" t="s">
        <v>29</v>
      </c>
      <c r="B1057" s="12" t="s">
        <v>43</v>
      </c>
      <c r="C1057" s="12">
        <v>1.9138400133869599E-2</v>
      </c>
      <c r="D1057" s="12">
        <v>1997</v>
      </c>
    </row>
    <row r="1058" spans="1:4" ht="19.95" customHeight="1" x14ac:dyDescent="0.25">
      <c r="A1058" s="11" t="s">
        <v>30</v>
      </c>
      <c r="B1058" s="12" t="s">
        <v>43</v>
      </c>
      <c r="C1058" s="12"/>
      <c r="D1058" s="12">
        <v>1997</v>
      </c>
    </row>
    <row r="1059" spans="1:4" ht="19.95" customHeight="1" x14ac:dyDescent="0.25">
      <c r="A1059" s="11" t="s">
        <v>31</v>
      </c>
      <c r="B1059" s="12" t="s">
        <v>43</v>
      </c>
      <c r="C1059" s="12">
        <v>0.15793959854929601</v>
      </c>
      <c r="D1059" s="12">
        <v>1997</v>
      </c>
    </row>
    <row r="1060" spans="1:4" ht="19.95" customHeight="1" x14ac:dyDescent="0.25">
      <c r="A1060" s="11" t="s">
        <v>32</v>
      </c>
      <c r="B1060" s="12" t="s">
        <v>43</v>
      </c>
      <c r="C1060" s="12">
        <v>9.6266613726577897E-4</v>
      </c>
      <c r="D1060" s="12">
        <v>1997</v>
      </c>
    </row>
    <row r="1061" spans="1:4" ht="19.95" customHeight="1" x14ac:dyDescent="0.25">
      <c r="A1061" s="11" t="s">
        <v>33</v>
      </c>
      <c r="B1061" s="12" t="s">
        <v>43</v>
      </c>
      <c r="C1061" s="12"/>
      <c r="D1061" s="12">
        <v>1997</v>
      </c>
    </row>
    <row r="1062" spans="1:4" ht="19.95" customHeight="1" x14ac:dyDescent="0.25">
      <c r="A1062" s="11" t="s">
        <v>34</v>
      </c>
      <c r="B1062" s="12" t="s">
        <v>43</v>
      </c>
      <c r="C1062" s="12"/>
      <c r="D1062" s="12">
        <v>1997</v>
      </c>
    </row>
    <row r="1063" spans="1:4" ht="19.95" customHeight="1" x14ac:dyDescent="0.25">
      <c r="A1063" s="11" t="s">
        <v>35</v>
      </c>
      <c r="B1063" s="12" t="s">
        <v>43</v>
      </c>
      <c r="C1063" s="12">
        <v>0.62180590972156302</v>
      </c>
      <c r="D1063" s="12">
        <v>1997</v>
      </c>
    </row>
    <row r="1064" spans="1:4" ht="19.95" customHeight="1" x14ac:dyDescent="0.25">
      <c r="A1064" s="11" t="s">
        <v>36</v>
      </c>
      <c r="B1064" s="12" t="s">
        <v>43</v>
      </c>
      <c r="C1064" s="12">
        <v>5.3923962494536E-3</v>
      </c>
      <c r="D1064" s="12">
        <v>1997</v>
      </c>
    </row>
    <row r="1065" spans="1:4" ht="19.95" customHeight="1" x14ac:dyDescent="0.25">
      <c r="A1065" s="11" t="s">
        <v>37</v>
      </c>
      <c r="B1065" s="12" t="s">
        <v>43</v>
      </c>
      <c r="C1065" s="12">
        <v>6.3852820386979106E-2</v>
      </c>
      <c r="D1065" s="12">
        <v>1997</v>
      </c>
    </row>
    <row r="1066" spans="1:4" ht="19.95" customHeight="1" x14ac:dyDescent="0.25">
      <c r="A1066" s="11" t="s">
        <v>38</v>
      </c>
      <c r="B1066" s="12" t="s">
        <v>43</v>
      </c>
      <c r="C1066" s="12">
        <v>2.2866622967025699E-2</v>
      </c>
      <c r="D1066" s="12">
        <v>1997</v>
      </c>
    </row>
    <row r="1067" spans="1:4" ht="19.95" customHeight="1" x14ac:dyDescent="0.25">
      <c r="A1067" s="11" t="s">
        <v>39</v>
      </c>
      <c r="B1067" s="12" t="s">
        <v>43</v>
      </c>
      <c r="C1067" s="12">
        <v>4.706939725723E-2</v>
      </c>
      <c r="D1067" s="12">
        <v>1997</v>
      </c>
    </row>
    <row r="1068" spans="1:4" ht="19.95" customHeight="1" x14ac:dyDescent="0.25">
      <c r="A1068" s="11" t="s">
        <v>40</v>
      </c>
      <c r="B1068" s="12" t="s">
        <v>43</v>
      </c>
      <c r="C1068" s="12">
        <v>4.8966707677209502E-2</v>
      </c>
      <c r="D1068" s="12">
        <v>1997</v>
      </c>
    </row>
    <row r="1069" spans="1:4" ht="19.95" customHeight="1" x14ac:dyDescent="0.25">
      <c r="A1069" s="11" t="s">
        <v>10</v>
      </c>
      <c r="B1069" s="12" t="s">
        <v>43</v>
      </c>
      <c r="C1069" s="12">
        <v>1.0022061466919399E-2</v>
      </c>
      <c r="D1069" s="12">
        <v>1998</v>
      </c>
    </row>
    <row r="1070" spans="1:4" ht="19.95" customHeight="1" x14ac:dyDescent="0.25">
      <c r="A1070" s="11" t="s">
        <v>13</v>
      </c>
      <c r="B1070" s="12" t="s">
        <v>43</v>
      </c>
      <c r="C1070" s="12">
        <v>3.4426797268164798E-2</v>
      </c>
      <c r="D1070" s="12">
        <v>1998</v>
      </c>
    </row>
    <row r="1071" spans="1:4" ht="19.95" customHeight="1" x14ac:dyDescent="0.25">
      <c r="A1071" s="11" t="s">
        <v>15</v>
      </c>
      <c r="B1071" s="12" t="s">
        <v>43</v>
      </c>
      <c r="C1071" s="12"/>
      <c r="D1071" s="12">
        <v>1998</v>
      </c>
    </row>
    <row r="1072" spans="1:4" ht="19.95" customHeight="1" x14ac:dyDescent="0.25">
      <c r="A1072" s="11" t="s">
        <v>16</v>
      </c>
      <c r="B1072" s="12" t="s">
        <v>43</v>
      </c>
      <c r="C1072" s="12"/>
      <c r="D1072" s="12">
        <v>1998</v>
      </c>
    </row>
    <row r="1073" spans="1:4" ht="19.95" customHeight="1" x14ac:dyDescent="0.25">
      <c r="A1073" s="11" t="s">
        <v>17</v>
      </c>
      <c r="B1073" s="12" t="s">
        <v>43</v>
      </c>
      <c r="C1073" s="12">
        <v>3.2323849711730003E-2</v>
      </c>
      <c r="D1073" s="12">
        <v>1998</v>
      </c>
    </row>
    <row r="1074" spans="1:4" ht="19.95" customHeight="1" x14ac:dyDescent="0.25">
      <c r="A1074" s="11" t="s">
        <v>2</v>
      </c>
      <c r="B1074" s="12" t="s">
        <v>43</v>
      </c>
      <c r="C1074" s="12"/>
      <c r="D1074" s="12">
        <v>1998</v>
      </c>
    </row>
    <row r="1075" spans="1:4" ht="19.95" customHeight="1" x14ac:dyDescent="0.25">
      <c r="A1075" s="11" t="s">
        <v>18</v>
      </c>
      <c r="B1075" s="12" t="s">
        <v>43</v>
      </c>
      <c r="C1075" s="12">
        <v>0.25363103276293902</v>
      </c>
      <c r="D1075" s="12">
        <v>1998</v>
      </c>
    </row>
    <row r="1076" spans="1:4" ht="19.95" customHeight="1" x14ac:dyDescent="0.25">
      <c r="A1076" s="11" t="s">
        <v>19</v>
      </c>
      <c r="B1076" s="12" t="s">
        <v>43</v>
      </c>
      <c r="C1076" s="12">
        <v>0.12108761379057099</v>
      </c>
      <c r="D1076" s="12">
        <v>1998</v>
      </c>
    </row>
    <row r="1077" spans="1:4" ht="19.95" customHeight="1" x14ac:dyDescent="0.25">
      <c r="A1077" s="11" t="s">
        <v>20</v>
      </c>
      <c r="B1077" s="12" t="s">
        <v>43</v>
      </c>
      <c r="C1077" s="12">
        <v>3.6130571639993697E-2</v>
      </c>
      <c r="D1077" s="12">
        <v>1998</v>
      </c>
    </row>
    <row r="1078" spans="1:4" ht="19.95" customHeight="1" x14ac:dyDescent="0.25">
      <c r="A1078" s="11" t="s">
        <v>21</v>
      </c>
      <c r="B1078" s="12" t="s">
        <v>43</v>
      </c>
      <c r="C1078" s="12"/>
      <c r="D1078" s="12">
        <v>1998</v>
      </c>
    </row>
    <row r="1079" spans="1:4" ht="19.95" customHeight="1" x14ac:dyDescent="0.25">
      <c r="A1079" s="11" t="s">
        <v>22</v>
      </c>
      <c r="B1079" s="12" t="s">
        <v>43</v>
      </c>
      <c r="C1079" s="12"/>
      <c r="D1079" s="12">
        <v>1998</v>
      </c>
    </row>
    <row r="1080" spans="1:4" ht="19.95" customHeight="1" x14ac:dyDescent="0.25">
      <c r="A1080" s="11" t="s">
        <v>23</v>
      </c>
      <c r="B1080" s="12" t="s">
        <v>43</v>
      </c>
      <c r="C1080" s="12">
        <v>8.6327101246820206E-2</v>
      </c>
      <c r="D1080" s="12">
        <v>1998</v>
      </c>
    </row>
    <row r="1081" spans="1:4" ht="19.95" customHeight="1" x14ac:dyDescent="0.25">
      <c r="A1081" s="11" t="s">
        <v>24</v>
      </c>
      <c r="B1081" s="12" t="s">
        <v>43</v>
      </c>
      <c r="C1081" s="12">
        <v>9.8087352672796294E-2</v>
      </c>
      <c r="D1081" s="12">
        <v>1998</v>
      </c>
    </row>
    <row r="1082" spans="1:4" ht="19.95" customHeight="1" x14ac:dyDescent="0.25">
      <c r="A1082" s="11" t="s">
        <v>25</v>
      </c>
      <c r="B1082" s="12" t="s">
        <v>43</v>
      </c>
      <c r="C1082" s="12">
        <v>4.3089019332259899E-2</v>
      </c>
      <c r="D1082" s="12">
        <v>1998</v>
      </c>
    </row>
    <row r="1083" spans="1:4" ht="19.95" customHeight="1" x14ac:dyDescent="0.25">
      <c r="A1083" s="11" t="s">
        <v>26</v>
      </c>
      <c r="B1083" s="12" t="s">
        <v>43</v>
      </c>
      <c r="C1083" s="12">
        <v>0.16457871141452099</v>
      </c>
      <c r="D1083" s="12">
        <v>1998</v>
      </c>
    </row>
    <row r="1084" spans="1:4" ht="19.95" customHeight="1" x14ac:dyDescent="0.25">
      <c r="A1084" s="11" t="s">
        <v>27</v>
      </c>
      <c r="B1084" s="12" t="s">
        <v>43</v>
      </c>
      <c r="C1084" s="12">
        <v>3.9243078337937498E-2</v>
      </c>
      <c r="D1084" s="12">
        <v>1998</v>
      </c>
    </row>
    <row r="1085" spans="1:4" ht="19.95" customHeight="1" x14ac:dyDescent="0.25">
      <c r="A1085" s="11" t="s">
        <v>29</v>
      </c>
      <c r="B1085" s="12" t="s">
        <v>43</v>
      </c>
      <c r="C1085" s="12">
        <v>1.89413085227992E-2</v>
      </c>
      <c r="D1085" s="12">
        <v>1998</v>
      </c>
    </row>
    <row r="1086" spans="1:4" ht="19.95" customHeight="1" x14ac:dyDescent="0.25">
      <c r="A1086" s="11" t="s">
        <v>30</v>
      </c>
      <c r="B1086" s="12" t="s">
        <v>43</v>
      </c>
      <c r="C1086" s="12"/>
      <c r="D1086" s="12">
        <v>1998</v>
      </c>
    </row>
    <row r="1087" spans="1:4" ht="19.95" customHeight="1" x14ac:dyDescent="0.25">
      <c r="A1087" s="11" t="s">
        <v>31</v>
      </c>
      <c r="B1087" s="12" t="s">
        <v>43</v>
      </c>
      <c r="C1087" s="12">
        <v>0.37600423523284898</v>
      </c>
      <c r="D1087" s="12">
        <v>1998</v>
      </c>
    </row>
    <row r="1088" spans="1:4" ht="19.95" customHeight="1" x14ac:dyDescent="0.25">
      <c r="A1088" s="11" t="s">
        <v>32</v>
      </c>
      <c r="B1088" s="12" t="s">
        <v>43</v>
      </c>
      <c r="C1088" s="12">
        <v>1.27787973134023E-2</v>
      </c>
      <c r="D1088" s="12">
        <v>1998</v>
      </c>
    </row>
    <row r="1089" spans="1:4" ht="19.95" customHeight="1" x14ac:dyDescent="0.25">
      <c r="A1089" s="11" t="s">
        <v>33</v>
      </c>
      <c r="B1089" s="12" t="s">
        <v>43</v>
      </c>
      <c r="C1089" s="12">
        <v>7.0823405662444605E-2</v>
      </c>
      <c r="D1089" s="12">
        <v>1998</v>
      </c>
    </row>
    <row r="1090" spans="1:4" ht="19.95" customHeight="1" x14ac:dyDescent="0.25">
      <c r="A1090" s="11" t="s">
        <v>34</v>
      </c>
      <c r="B1090" s="12" t="s">
        <v>43</v>
      </c>
      <c r="C1090" s="12"/>
      <c r="D1090" s="12">
        <v>1998</v>
      </c>
    </row>
    <row r="1091" spans="1:4" ht="19.95" customHeight="1" x14ac:dyDescent="0.25">
      <c r="A1091" s="11" t="s">
        <v>35</v>
      </c>
      <c r="B1091" s="12" t="s">
        <v>43</v>
      </c>
      <c r="C1091" s="12">
        <v>0.93804751904626504</v>
      </c>
      <c r="D1091" s="12">
        <v>1998</v>
      </c>
    </row>
    <row r="1092" spans="1:4" ht="19.95" customHeight="1" x14ac:dyDescent="0.25">
      <c r="A1092" s="11" t="s">
        <v>36</v>
      </c>
      <c r="B1092" s="12" t="s">
        <v>43</v>
      </c>
      <c r="C1092" s="12">
        <v>6.9747849897977198E-3</v>
      </c>
      <c r="D1092" s="12">
        <v>1998</v>
      </c>
    </row>
    <row r="1093" spans="1:4" ht="19.95" customHeight="1" x14ac:dyDescent="0.25">
      <c r="A1093" s="11" t="s">
        <v>37</v>
      </c>
      <c r="B1093" s="12" t="s">
        <v>43</v>
      </c>
      <c r="C1093" s="12">
        <v>0.116912164236138</v>
      </c>
      <c r="D1093" s="12">
        <v>1998</v>
      </c>
    </row>
    <row r="1094" spans="1:4" ht="19.95" customHeight="1" x14ac:dyDescent="0.25">
      <c r="A1094" s="11" t="s">
        <v>38</v>
      </c>
      <c r="B1094" s="12" t="s">
        <v>43</v>
      </c>
      <c r="C1094" s="12">
        <v>0.133027140330197</v>
      </c>
      <c r="D1094" s="12">
        <v>1998</v>
      </c>
    </row>
    <row r="1095" spans="1:4" ht="19.95" customHeight="1" x14ac:dyDescent="0.25">
      <c r="A1095" s="11" t="s">
        <v>39</v>
      </c>
      <c r="B1095" s="12" t="s">
        <v>43</v>
      </c>
      <c r="C1095" s="12">
        <v>8.3013206536857898E-2</v>
      </c>
      <c r="D1095" s="12">
        <v>1998</v>
      </c>
    </row>
    <row r="1096" spans="1:4" ht="19.95" customHeight="1" x14ac:dyDescent="0.25">
      <c r="A1096" s="11" t="s">
        <v>40</v>
      </c>
      <c r="B1096" s="12" t="s">
        <v>43</v>
      </c>
      <c r="C1096" s="12">
        <v>0.159754187073162</v>
      </c>
      <c r="D1096" s="12">
        <v>1998</v>
      </c>
    </row>
    <row r="1097" spans="1:4" ht="19.95" customHeight="1" x14ac:dyDescent="0.25">
      <c r="A1097" s="11" t="s">
        <v>10</v>
      </c>
      <c r="B1097" s="12" t="s">
        <v>43</v>
      </c>
      <c r="C1097" s="12">
        <v>1.2741004054824499E-2</v>
      </c>
      <c r="D1097" s="12">
        <v>1999</v>
      </c>
    </row>
    <row r="1098" spans="1:4" ht="19.95" customHeight="1" x14ac:dyDescent="0.25">
      <c r="A1098" s="11" t="s">
        <v>13</v>
      </c>
      <c r="B1098" s="12" t="s">
        <v>43</v>
      </c>
      <c r="C1098" s="12">
        <v>4.0290383538262503E-2</v>
      </c>
      <c r="D1098" s="12">
        <v>1999</v>
      </c>
    </row>
    <row r="1099" spans="1:4" ht="19.95" customHeight="1" x14ac:dyDescent="0.25">
      <c r="A1099" s="11" t="s">
        <v>15</v>
      </c>
      <c r="B1099" s="12" t="s">
        <v>43</v>
      </c>
      <c r="C1099" s="12"/>
      <c r="D1099" s="12">
        <v>1999</v>
      </c>
    </row>
    <row r="1100" spans="1:4" ht="19.95" customHeight="1" x14ac:dyDescent="0.25">
      <c r="A1100" s="11" t="s">
        <v>16</v>
      </c>
      <c r="B1100" s="12" t="s">
        <v>43</v>
      </c>
      <c r="C1100" s="12"/>
      <c r="D1100" s="12">
        <v>1999</v>
      </c>
    </row>
    <row r="1101" spans="1:4" ht="19.95" customHeight="1" x14ac:dyDescent="0.25">
      <c r="A1101" s="11" t="s">
        <v>17</v>
      </c>
      <c r="B1101" s="12" t="s">
        <v>43</v>
      </c>
      <c r="C1101" s="12">
        <v>3.9994343657111402E-2</v>
      </c>
      <c r="D1101" s="12">
        <v>1999</v>
      </c>
    </row>
    <row r="1102" spans="1:4" ht="19.95" customHeight="1" x14ac:dyDescent="0.25">
      <c r="A1102" s="11" t="s">
        <v>2</v>
      </c>
      <c r="B1102" s="12" t="s">
        <v>43</v>
      </c>
      <c r="C1102" s="12">
        <v>1.04269714873691E-2</v>
      </c>
      <c r="D1102" s="12">
        <v>1999</v>
      </c>
    </row>
    <row r="1103" spans="1:4" ht="19.95" customHeight="1" x14ac:dyDescent="0.25">
      <c r="A1103" s="11" t="s">
        <v>18</v>
      </c>
      <c r="B1103" s="12" t="s">
        <v>43</v>
      </c>
      <c r="C1103" s="12">
        <v>0.29099459437847303</v>
      </c>
      <c r="D1103" s="12">
        <v>1999</v>
      </c>
    </row>
    <row r="1104" spans="1:4" ht="19.95" customHeight="1" x14ac:dyDescent="0.25">
      <c r="A1104" s="11" t="s">
        <v>19</v>
      </c>
      <c r="B1104" s="12" t="s">
        <v>43</v>
      </c>
      <c r="C1104" s="12">
        <v>0.29746330433185098</v>
      </c>
      <c r="D1104" s="12">
        <v>1999</v>
      </c>
    </row>
    <row r="1105" spans="1:4" ht="19.95" customHeight="1" x14ac:dyDescent="0.25">
      <c r="A1105" s="11" t="s">
        <v>20</v>
      </c>
      <c r="B1105" s="12" t="s">
        <v>43</v>
      </c>
      <c r="C1105" s="12">
        <v>7.7636247660446994E-2</v>
      </c>
      <c r="D1105" s="12">
        <v>1999</v>
      </c>
    </row>
    <row r="1106" spans="1:4" ht="19.95" customHeight="1" x14ac:dyDescent="0.25">
      <c r="A1106" s="11" t="s">
        <v>21</v>
      </c>
      <c r="B1106" s="12" t="s">
        <v>43</v>
      </c>
      <c r="C1106" s="12"/>
      <c r="D1106" s="12">
        <v>1999</v>
      </c>
    </row>
    <row r="1107" spans="1:4" ht="19.95" customHeight="1" x14ac:dyDescent="0.25">
      <c r="A1107" s="11" t="s">
        <v>22</v>
      </c>
      <c r="B1107" s="12" t="s">
        <v>43</v>
      </c>
      <c r="C1107" s="12"/>
      <c r="D1107" s="12">
        <v>1999</v>
      </c>
    </row>
    <row r="1108" spans="1:4" ht="19.95" customHeight="1" x14ac:dyDescent="0.25">
      <c r="A1108" s="11" t="s">
        <v>23</v>
      </c>
      <c r="B1108" s="12" t="s">
        <v>43</v>
      </c>
      <c r="C1108" s="12">
        <v>0.23394046047769201</v>
      </c>
      <c r="D1108" s="12">
        <v>1999</v>
      </c>
    </row>
    <row r="1109" spans="1:4" ht="19.95" customHeight="1" x14ac:dyDescent="0.25">
      <c r="A1109" s="11" t="s">
        <v>24</v>
      </c>
      <c r="B1109" s="12" t="s">
        <v>43</v>
      </c>
      <c r="C1109" s="12">
        <v>0.20372396543537699</v>
      </c>
      <c r="D1109" s="12">
        <v>1999</v>
      </c>
    </row>
    <row r="1110" spans="1:4" ht="19.95" customHeight="1" x14ac:dyDescent="0.25">
      <c r="A1110" s="11" t="s">
        <v>25</v>
      </c>
      <c r="B1110" s="12" t="s">
        <v>43</v>
      </c>
      <c r="C1110" s="12">
        <v>5.9894654052810602E-2</v>
      </c>
      <c r="D1110" s="12">
        <v>1999</v>
      </c>
    </row>
    <row r="1111" spans="1:4" ht="19.95" customHeight="1" x14ac:dyDescent="0.25">
      <c r="A1111" s="11" t="s">
        <v>26</v>
      </c>
      <c r="B1111" s="12" t="s">
        <v>43</v>
      </c>
      <c r="C1111" s="12">
        <v>0.42610882393254401</v>
      </c>
      <c r="D1111" s="12">
        <v>1999</v>
      </c>
    </row>
    <row r="1112" spans="1:4" ht="19.95" customHeight="1" x14ac:dyDescent="0.25">
      <c r="A1112" s="11" t="s">
        <v>27</v>
      </c>
      <c r="B1112" s="12" t="s">
        <v>43</v>
      </c>
      <c r="C1112" s="12">
        <v>6.9622355446605805E-2</v>
      </c>
      <c r="D1112" s="12">
        <v>1999</v>
      </c>
    </row>
    <row r="1113" spans="1:4" ht="19.95" customHeight="1" x14ac:dyDescent="0.25">
      <c r="A1113" s="11" t="s">
        <v>29</v>
      </c>
      <c r="B1113" s="12" t="s">
        <v>43</v>
      </c>
      <c r="C1113" s="12">
        <v>2.5009093766754E-2</v>
      </c>
      <c r="D1113" s="12">
        <v>1999</v>
      </c>
    </row>
    <row r="1114" spans="1:4" ht="19.95" customHeight="1" x14ac:dyDescent="0.25">
      <c r="A1114" s="11" t="s">
        <v>30</v>
      </c>
      <c r="B1114" s="12" t="s">
        <v>43</v>
      </c>
      <c r="C1114" s="12">
        <v>2.3599079275486001E-2</v>
      </c>
      <c r="D1114" s="12">
        <v>1999</v>
      </c>
    </row>
    <row r="1115" spans="1:4" ht="19.95" customHeight="1" x14ac:dyDescent="0.25">
      <c r="A1115" s="11" t="s">
        <v>31</v>
      </c>
      <c r="B1115" s="12" t="s">
        <v>43</v>
      </c>
      <c r="C1115" s="12">
        <v>0.89357652848882596</v>
      </c>
      <c r="D1115" s="12">
        <v>1999</v>
      </c>
    </row>
    <row r="1116" spans="1:4" ht="19.95" customHeight="1" x14ac:dyDescent="0.25">
      <c r="A1116" s="11" t="s">
        <v>32</v>
      </c>
      <c r="B1116" s="12" t="s">
        <v>43</v>
      </c>
      <c r="C1116" s="12">
        <v>2.0022234545314901E-2</v>
      </c>
      <c r="D1116" s="12">
        <v>1999</v>
      </c>
    </row>
    <row r="1117" spans="1:4" ht="19.95" customHeight="1" x14ac:dyDescent="0.25">
      <c r="A1117" s="11" t="s">
        <v>33</v>
      </c>
      <c r="B1117" s="12" t="s">
        <v>43</v>
      </c>
      <c r="C1117" s="12">
        <v>0.144865715408141</v>
      </c>
      <c r="D1117" s="12">
        <v>1999</v>
      </c>
    </row>
    <row r="1118" spans="1:4" ht="19.95" customHeight="1" x14ac:dyDescent="0.25">
      <c r="A1118" s="11" t="s">
        <v>34</v>
      </c>
      <c r="B1118" s="12" t="s">
        <v>43</v>
      </c>
      <c r="C1118" s="12"/>
      <c r="D1118" s="12">
        <v>1999</v>
      </c>
    </row>
    <row r="1119" spans="1:4" ht="19.95" customHeight="1" x14ac:dyDescent="0.25">
      <c r="A1119" s="11" t="s">
        <v>35</v>
      </c>
      <c r="B1119" s="12" t="s">
        <v>43</v>
      </c>
      <c r="C1119" s="12">
        <v>1.37475806952268</v>
      </c>
      <c r="D1119" s="12">
        <v>1999</v>
      </c>
    </row>
    <row r="1120" spans="1:4" ht="19.95" customHeight="1" x14ac:dyDescent="0.25">
      <c r="A1120" s="11" t="s">
        <v>36</v>
      </c>
      <c r="B1120" s="12" t="s">
        <v>43</v>
      </c>
      <c r="C1120" s="12">
        <v>1.02209591478893E-2</v>
      </c>
      <c r="D1120" s="12">
        <v>1999</v>
      </c>
    </row>
    <row r="1121" spans="1:4" ht="19.95" customHeight="1" x14ac:dyDescent="0.25">
      <c r="A1121" s="11" t="s">
        <v>37</v>
      </c>
      <c r="B1121" s="12" t="s">
        <v>43</v>
      </c>
      <c r="C1121" s="12">
        <v>0.15304188391405099</v>
      </c>
      <c r="D1121" s="12">
        <v>1999</v>
      </c>
    </row>
    <row r="1122" spans="1:4" ht="19.95" customHeight="1" x14ac:dyDescent="0.25">
      <c r="A1122" s="11" t="s">
        <v>38</v>
      </c>
      <c r="B1122" s="12" t="s">
        <v>43</v>
      </c>
      <c r="C1122" s="12">
        <v>0.24216049545836299</v>
      </c>
      <c r="D1122" s="12">
        <v>1999</v>
      </c>
    </row>
    <row r="1123" spans="1:4" ht="19.95" customHeight="1" x14ac:dyDescent="0.25">
      <c r="A1123" s="11" t="s">
        <v>39</v>
      </c>
      <c r="B1123" s="12" t="s">
        <v>43</v>
      </c>
      <c r="C1123" s="12">
        <v>0.275300657811341</v>
      </c>
      <c r="D1123" s="12">
        <v>1999</v>
      </c>
    </row>
    <row r="1124" spans="1:4" ht="19.95" customHeight="1" x14ac:dyDescent="0.25">
      <c r="A1124" s="11" t="s">
        <v>40</v>
      </c>
      <c r="B1124" s="12" t="s">
        <v>43</v>
      </c>
      <c r="C1124" s="12">
        <v>1.4422434943006901</v>
      </c>
      <c r="D1124" s="12">
        <v>1999</v>
      </c>
    </row>
    <row r="1125" spans="1:4" ht="19.95" customHeight="1" x14ac:dyDescent="0.25">
      <c r="A1125" s="11" t="s">
        <v>10</v>
      </c>
      <c r="B1125" s="12" t="s">
        <v>43</v>
      </c>
      <c r="C1125" s="12">
        <v>0.25497187341521399</v>
      </c>
      <c r="D1125" s="12">
        <v>2000</v>
      </c>
    </row>
    <row r="1126" spans="1:4" ht="19.95" customHeight="1" x14ac:dyDescent="0.25">
      <c r="A1126" s="11" t="s">
        <v>13</v>
      </c>
      <c r="B1126" s="12" t="s">
        <v>43</v>
      </c>
      <c r="C1126" s="12">
        <v>0.67616484073767602</v>
      </c>
      <c r="D1126" s="12">
        <v>2000</v>
      </c>
    </row>
    <row r="1127" spans="1:4" ht="19.95" customHeight="1" x14ac:dyDescent="0.25">
      <c r="A1127" s="11" t="s">
        <v>15</v>
      </c>
      <c r="B1127" s="12" t="s">
        <v>43</v>
      </c>
      <c r="C1127" s="12">
        <v>6.5927013521870206E-2</v>
      </c>
      <c r="D1127" s="12">
        <v>2000</v>
      </c>
    </row>
    <row r="1128" spans="1:4" ht="19.95" customHeight="1" x14ac:dyDescent="0.25">
      <c r="A1128" s="11" t="s">
        <v>16</v>
      </c>
      <c r="B1128" s="12" t="s">
        <v>43</v>
      </c>
      <c r="C1128" s="12"/>
      <c r="D1128" s="12">
        <v>2000</v>
      </c>
    </row>
    <row r="1129" spans="1:4" ht="19.95" customHeight="1" x14ac:dyDescent="0.25">
      <c r="A1129" s="11" t="s">
        <v>17</v>
      </c>
      <c r="B1129" s="12" t="s">
        <v>43</v>
      </c>
      <c r="C1129" s="12">
        <v>3.2051996700037902E-2</v>
      </c>
      <c r="D1129" s="12">
        <v>2000</v>
      </c>
    </row>
    <row r="1130" spans="1:4" ht="19.95" customHeight="1" x14ac:dyDescent="0.25">
      <c r="A1130" s="11" t="s">
        <v>2</v>
      </c>
      <c r="B1130" s="12" t="s">
        <v>43</v>
      </c>
      <c r="C1130" s="12">
        <v>2.6687274246092001E-2</v>
      </c>
      <c r="D1130" s="12">
        <v>2000</v>
      </c>
    </row>
    <row r="1131" spans="1:4" ht="19.95" customHeight="1" x14ac:dyDescent="0.25">
      <c r="A1131" s="11" t="s">
        <v>18</v>
      </c>
      <c r="B1131" s="12" t="s">
        <v>43</v>
      </c>
      <c r="C1131" s="12">
        <v>0.47808117253403698</v>
      </c>
      <c r="D1131" s="12">
        <v>2000</v>
      </c>
    </row>
    <row r="1132" spans="1:4" ht="19.95" customHeight="1" x14ac:dyDescent="0.25">
      <c r="A1132" s="11" t="s">
        <v>19</v>
      </c>
      <c r="B1132" s="12" t="s">
        <v>43</v>
      </c>
      <c r="C1132" s="12">
        <v>0.64333504889346405</v>
      </c>
      <c r="D1132" s="12">
        <v>2000</v>
      </c>
    </row>
    <row r="1133" spans="1:4" ht="19.95" customHeight="1" x14ac:dyDescent="0.25">
      <c r="A1133" s="11" t="s">
        <v>20</v>
      </c>
      <c r="B1133" s="12" t="s">
        <v>43</v>
      </c>
      <c r="C1133" s="12">
        <v>0.40509393766703</v>
      </c>
      <c r="D1133" s="12">
        <v>2000</v>
      </c>
    </row>
    <row r="1134" spans="1:4" ht="19.95" customHeight="1" x14ac:dyDescent="0.25">
      <c r="A1134" s="11" t="s">
        <v>21</v>
      </c>
      <c r="B1134" s="12" t="s">
        <v>43</v>
      </c>
      <c r="C1134" s="12"/>
      <c r="D1134" s="12">
        <v>2000</v>
      </c>
    </row>
    <row r="1135" spans="1:4" ht="19.95" customHeight="1" x14ac:dyDescent="0.25">
      <c r="A1135" s="11" t="s">
        <v>22</v>
      </c>
      <c r="B1135" s="12" t="s">
        <v>43</v>
      </c>
      <c r="C1135" s="12">
        <v>5.20016834678328E-2</v>
      </c>
      <c r="D1135" s="12">
        <v>2000</v>
      </c>
    </row>
    <row r="1136" spans="1:4" ht="19.95" customHeight="1" x14ac:dyDescent="0.25">
      <c r="A1136" s="11" t="s">
        <v>23</v>
      </c>
      <c r="B1136" s="12" t="s">
        <v>43</v>
      </c>
      <c r="C1136" s="12">
        <v>0.400169825137698</v>
      </c>
      <c r="D1136" s="12">
        <v>2000</v>
      </c>
    </row>
    <row r="1137" spans="1:4" ht="19.95" customHeight="1" x14ac:dyDescent="0.25">
      <c r="A1137" s="11" t="s">
        <v>24</v>
      </c>
      <c r="B1137" s="12" t="s">
        <v>43</v>
      </c>
      <c r="C1137" s="12">
        <v>0.43072485190976401</v>
      </c>
      <c r="D1137" s="12">
        <v>2000</v>
      </c>
    </row>
    <row r="1138" spans="1:4" ht="19.95" customHeight="1" x14ac:dyDescent="0.25">
      <c r="A1138" s="11" t="s">
        <v>25</v>
      </c>
      <c r="B1138" s="12" t="s">
        <v>43</v>
      </c>
      <c r="C1138" s="12">
        <v>9.4805743050724395E-2</v>
      </c>
      <c r="D1138" s="12">
        <v>2000</v>
      </c>
    </row>
    <row r="1139" spans="1:4" ht="19.95" customHeight="1" x14ac:dyDescent="0.25">
      <c r="A1139" s="11" t="s">
        <v>26</v>
      </c>
      <c r="B1139" s="12" t="s">
        <v>43</v>
      </c>
      <c r="C1139" s="12">
        <v>3.3086659197174799</v>
      </c>
      <c r="D1139" s="12">
        <v>2000</v>
      </c>
    </row>
    <row r="1140" spans="1:4" ht="19.95" customHeight="1" x14ac:dyDescent="0.25">
      <c r="A1140" s="11" t="s">
        <v>27</v>
      </c>
      <c r="B1140" s="12" t="s">
        <v>43</v>
      </c>
      <c r="C1140" s="12">
        <v>0.28263163956736698</v>
      </c>
      <c r="D1140" s="12">
        <v>2000</v>
      </c>
    </row>
    <row r="1141" spans="1:4" ht="19.95" customHeight="1" x14ac:dyDescent="0.25">
      <c r="A1141" s="11" t="s">
        <v>29</v>
      </c>
      <c r="B1141" s="12" t="s">
        <v>43</v>
      </c>
      <c r="C1141" s="12">
        <v>2.90635984947933E-2</v>
      </c>
      <c r="D1141" s="12">
        <v>2000</v>
      </c>
    </row>
    <row r="1142" spans="1:4" ht="19.95" customHeight="1" x14ac:dyDescent="0.25">
      <c r="A1142" s="11" t="s">
        <v>30</v>
      </c>
      <c r="B1142" s="12" t="s">
        <v>43</v>
      </c>
      <c r="C1142" s="12">
        <v>4.30733260404371E-2</v>
      </c>
      <c r="D1142" s="12">
        <v>2000</v>
      </c>
    </row>
    <row r="1143" spans="1:4" ht="19.95" customHeight="1" x14ac:dyDescent="0.25">
      <c r="A1143" s="11" t="s">
        <v>31</v>
      </c>
      <c r="B1143" s="12" t="s">
        <v>43</v>
      </c>
      <c r="C1143" s="12">
        <v>1.7962535181455499</v>
      </c>
      <c r="D1143" s="12">
        <v>2000</v>
      </c>
    </row>
    <row r="1144" spans="1:4" ht="19.95" customHeight="1" x14ac:dyDescent="0.25">
      <c r="A1144" s="11" t="s">
        <v>32</v>
      </c>
      <c r="B1144" s="12" t="s">
        <v>43</v>
      </c>
      <c r="C1144" s="12">
        <v>1.8109793795863E-2</v>
      </c>
      <c r="D1144" s="12">
        <v>2000</v>
      </c>
    </row>
    <row r="1145" spans="1:4" ht="19.95" customHeight="1" x14ac:dyDescent="0.25">
      <c r="A1145" s="11" t="s">
        <v>33</v>
      </c>
      <c r="B1145" s="12" t="s">
        <v>43</v>
      </c>
      <c r="C1145" s="12">
        <v>0.48593873957209699</v>
      </c>
      <c r="D1145" s="12">
        <v>2000</v>
      </c>
    </row>
    <row r="1146" spans="1:4" ht="19.95" customHeight="1" x14ac:dyDescent="0.25">
      <c r="A1146" s="11" t="s">
        <v>34</v>
      </c>
      <c r="B1146" s="12" t="s">
        <v>43</v>
      </c>
      <c r="C1146" s="12"/>
      <c r="D1146" s="12">
        <v>2000</v>
      </c>
    </row>
    <row r="1147" spans="1:4" ht="19.95" customHeight="1" x14ac:dyDescent="0.25">
      <c r="A1147" s="11" t="s">
        <v>35</v>
      </c>
      <c r="B1147" s="12" t="s">
        <v>43</v>
      </c>
      <c r="C1147" s="12">
        <v>2.2905091050774402</v>
      </c>
      <c r="D1147" s="12">
        <v>2000</v>
      </c>
    </row>
    <row r="1148" spans="1:4" ht="19.95" customHeight="1" x14ac:dyDescent="0.25">
      <c r="A1148" s="11" t="s">
        <v>36</v>
      </c>
      <c r="B1148" s="12" t="s">
        <v>43</v>
      </c>
      <c r="C1148" s="12">
        <v>1.8660903235977602E-2</v>
      </c>
      <c r="D1148" s="12">
        <v>2000</v>
      </c>
    </row>
    <row r="1149" spans="1:4" ht="19.95" customHeight="1" x14ac:dyDescent="0.25">
      <c r="A1149" s="11" t="s">
        <v>37</v>
      </c>
      <c r="B1149" s="12" t="s">
        <v>43</v>
      </c>
      <c r="C1149" s="12">
        <v>0.32335965881252099</v>
      </c>
      <c r="D1149" s="12">
        <v>2000</v>
      </c>
    </row>
    <row r="1150" spans="1:4" ht="19.95" customHeight="1" x14ac:dyDescent="0.25">
      <c r="A1150" s="11" t="s">
        <v>38</v>
      </c>
      <c r="B1150" s="12" t="s">
        <v>43</v>
      </c>
      <c r="C1150" s="12">
        <v>0.527940236464712</v>
      </c>
      <c r="D1150" s="12">
        <v>2000</v>
      </c>
    </row>
    <row r="1151" spans="1:4" ht="19.95" customHeight="1" x14ac:dyDescent="0.25">
      <c r="A1151" s="11" t="s">
        <v>39</v>
      </c>
      <c r="B1151" s="12" t="s">
        <v>43</v>
      </c>
      <c r="C1151" s="12">
        <v>0.93866608629711601</v>
      </c>
      <c r="D1151" s="12">
        <v>2000</v>
      </c>
    </row>
    <row r="1152" spans="1:4" ht="19.95" customHeight="1" x14ac:dyDescent="0.25">
      <c r="A1152" s="11" t="s">
        <v>40</v>
      </c>
      <c r="B1152" s="12" t="s">
        <v>43</v>
      </c>
      <c r="C1152" s="12">
        <v>2.1799666853511699</v>
      </c>
      <c r="D1152" s="12">
        <v>2000</v>
      </c>
    </row>
    <row r="1153" spans="1:4" ht="19.95" customHeight="1" x14ac:dyDescent="0.25">
      <c r="A1153" s="11" t="s">
        <v>10</v>
      </c>
      <c r="B1153" s="12" t="s">
        <v>43</v>
      </c>
      <c r="C1153" s="12">
        <v>0.50971433208523298</v>
      </c>
      <c r="D1153" s="12">
        <v>2001</v>
      </c>
    </row>
    <row r="1154" spans="1:4" ht="19.95" customHeight="1" x14ac:dyDescent="0.25">
      <c r="A1154" s="11" t="s">
        <v>13</v>
      </c>
      <c r="B1154" s="12" t="s">
        <v>43</v>
      </c>
      <c r="C1154" s="12">
        <v>2.6626910653680298</v>
      </c>
      <c r="D1154" s="12">
        <v>2001</v>
      </c>
    </row>
    <row r="1155" spans="1:4" ht="19.95" customHeight="1" x14ac:dyDescent="0.25">
      <c r="A1155" s="11" t="s">
        <v>15</v>
      </c>
      <c r="B1155" s="12" t="s">
        <v>43</v>
      </c>
      <c r="C1155" s="12">
        <v>0.253953243975652</v>
      </c>
      <c r="D1155" s="12">
        <v>2001</v>
      </c>
    </row>
    <row r="1156" spans="1:4" ht="19.95" customHeight="1" x14ac:dyDescent="0.25">
      <c r="A1156" s="11" t="s">
        <v>16</v>
      </c>
      <c r="B1156" s="12" t="s">
        <v>43</v>
      </c>
      <c r="C1156" s="12"/>
      <c r="D1156" s="12">
        <v>2001</v>
      </c>
    </row>
    <row r="1157" spans="1:4" ht="19.95" customHeight="1" x14ac:dyDescent="0.25">
      <c r="A1157" s="11" t="s">
        <v>17</v>
      </c>
      <c r="B1157" s="12" t="s">
        <v>43</v>
      </c>
      <c r="C1157" s="12">
        <v>0.40943837338323003</v>
      </c>
      <c r="D1157" s="12">
        <v>2001</v>
      </c>
    </row>
    <row r="1158" spans="1:4" ht="19.95" customHeight="1" x14ac:dyDescent="0.25">
      <c r="A1158" s="11" t="s">
        <v>2</v>
      </c>
      <c r="B1158" s="12" t="s">
        <v>43</v>
      </c>
      <c r="C1158" s="12">
        <v>4.0150523876005401E-2</v>
      </c>
      <c r="D1158" s="12">
        <v>2001</v>
      </c>
    </row>
    <row r="1159" spans="1:4" ht="19.95" customHeight="1" x14ac:dyDescent="0.25">
      <c r="A1159" s="11" t="s">
        <v>18</v>
      </c>
      <c r="B1159" s="12" t="s">
        <v>43</v>
      </c>
      <c r="C1159" s="12">
        <v>0.62054550709781697</v>
      </c>
      <c r="D1159" s="12">
        <v>2001</v>
      </c>
    </row>
    <row r="1160" spans="1:4" ht="19.95" customHeight="1" x14ac:dyDescent="0.25">
      <c r="A1160" s="11" t="s">
        <v>19</v>
      </c>
      <c r="B1160" s="12" t="s">
        <v>43</v>
      </c>
      <c r="C1160" s="12">
        <v>1.05262346554246</v>
      </c>
      <c r="D1160" s="12">
        <v>2001</v>
      </c>
    </row>
    <row r="1161" spans="1:4" ht="19.95" customHeight="1" x14ac:dyDescent="0.25">
      <c r="A1161" s="11" t="s">
        <v>20</v>
      </c>
      <c r="B1161" s="12" t="s">
        <v>43</v>
      </c>
      <c r="C1161" s="12">
        <v>1.85635052254101</v>
      </c>
      <c r="D1161" s="12">
        <v>2001</v>
      </c>
    </row>
    <row r="1162" spans="1:4" ht="19.95" customHeight="1" x14ac:dyDescent="0.25">
      <c r="A1162" s="11" t="s">
        <v>21</v>
      </c>
      <c r="B1162" s="12" t="s">
        <v>43</v>
      </c>
      <c r="C1162" s="12"/>
      <c r="D1162" s="12">
        <v>2001</v>
      </c>
    </row>
    <row r="1163" spans="1:4" ht="19.95" customHeight="1" x14ac:dyDescent="0.25">
      <c r="A1163" s="11" t="s">
        <v>22</v>
      </c>
      <c r="B1163" s="12" t="s">
        <v>43</v>
      </c>
      <c r="C1163" s="12">
        <v>6.6864317589461097E-2</v>
      </c>
      <c r="D1163" s="12">
        <v>2001</v>
      </c>
    </row>
    <row r="1164" spans="1:4" ht="19.95" customHeight="1" x14ac:dyDescent="0.25">
      <c r="A1164" s="11" t="s">
        <v>23</v>
      </c>
      <c r="B1164" s="12" t="s">
        <v>43</v>
      </c>
      <c r="C1164" s="12">
        <v>0.90708207869020097</v>
      </c>
      <c r="D1164" s="12">
        <v>2001</v>
      </c>
    </row>
    <row r="1165" spans="1:4" ht="19.95" customHeight="1" x14ac:dyDescent="0.25">
      <c r="A1165" s="11" t="s">
        <v>24</v>
      </c>
      <c r="B1165" s="12" t="s">
        <v>43</v>
      </c>
      <c r="C1165" s="12">
        <v>0.476493269457756</v>
      </c>
      <c r="D1165" s="12">
        <v>2001</v>
      </c>
    </row>
    <row r="1166" spans="1:4" ht="19.95" customHeight="1" x14ac:dyDescent="0.25">
      <c r="A1166" s="11" t="s">
        <v>25</v>
      </c>
      <c r="B1166" s="12" t="s">
        <v>43</v>
      </c>
      <c r="C1166" s="12">
        <v>0.21248961105820799</v>
      </c>
      <c r="D1166" s="12">
        <v>2001</v>
      </c>
    </row>
    <row r="1167" spans="1:4" ht="19.95" customHeight="1" x14ac:dyDescent="0.25">
      <c r="A1167" s="11" t="s">
        <v>26</v>
      </c>
      <c r="B1167" s="12" t="s">
        <v>43</v>
      </c>
      <c r="C1167" s="12">
        <v>5.3756954059307098</v>
      </c>
      <c r="D1167" s="12">
        <v>2001</v>
      </c>
    </row>
    <row r="1168" spans="1:4" ht="19.95" customHeight="1" x14ac:dyDescent="0.25">
      <c r="A1168" s="11" t="s">
        <v>27</v>
      </c>
      <c r="B1168" s="12" t="s">
        <v>43</v>
      </c>
      <c r="C1168" s="12">
        <v>0.82120602140282895</v>
      </c>
      <c r="D1168" s="12">
        <v>2001</v>
      </c>
    </row>
    <row r="1169" spans="1:4" ht="19.95" customHeight="1" x14ac:dyDescent="0.25">
      <c r="A1169" s="11" t="s">
        <v>29</v>
      </c>
      <c r="B1169" s="12" t="s">
        <v>43</v>
      </c>
      <c r="C1169" s="12">
        <v>4.86210065138123E-2</v>
      </c>
      <c r="D1169" s="12">
        <v>2001</v>
      </c>
    </row>
    <row r="1170" spans="1:4" ht="19.95" customHeight="1" x14ac:dyDescent="0.25">
      <c r="A1170" s="11" t="s">
        <v>30</v>
      </c>
      <c r="B1170" s="12" t="s">
        <v>43</v>
      </c>
      <c r="C1170" s="12">
        <v>7.1542751180925193E-2</v>
      </c>
      <c r="D1170" s="12">
        <v>2001</v>
      </c>
    </row>
    <row r="1171" spans="1:4" ht="19.95" customHeight="1" x14ac:dyDescent="0.25">
      <c r="A1171" s="11" t="s">
        <v>31</v>
      </c>
      <c r="B1171" s="12" t="s">
        <v>43</v>
      </c>
      <c r="C1171" s="12">
        <v>3.2251923736705401</v>
      </c>
      <c r="D1171" s="12">
        <v>2001</v>
      </c>
    </row>
    <row r="1172" spans="1:4" ht="19.95" customHeight="1" x14ac:dyDescent="0.25">
      <c r="A1172" s="11" t="s">
        <v>32</v>
      </c>
      <c r="B1172" s="12" t="s">
        <v>43</v>
      </c>
      <c r="C1172" s="12">
        <v>1.8059839741433398E-2</v>
      </c>
      <c r="D1172" s="12">
        <v>2001</v>
      </c>
    </row>
    <row r="1173" spans="1:4" ht="19.95" customHeight="1" x14ac:dyDescent="0.25">
      <c r="A1173" s="11" t="s">
        <v>33</v>
      </c>
      <c r="B1173" s="12" t="s">
        <v>43</v>
      </c>
      <c r="C1173" s="12">
        <v>0.78036777172345795</v>
      </c>
      <c r="D1173" s="12">
        <v>2001</v>
      </c>
    </row>
    <row r="1174" spans="1:4" ht="19.95" customHeight="1" x14ac:dyDescent="0.25">
      <c r="A1174" s="11" t="s">
        <v>34</v>
      </c>
      <c r="B1174" s="12" t="s">
        <v>43</v>
      </c>
      <c r="C1174" s="12"/>
      <c r="D1174" s="12">
        <v>2001</v>
      </c>
    </row>
    <row r="1175" spans="1:4" ht="19.95" customHeight="1" x14ac:dyDescent="0.25">
      <c r="A1175" s="11" t="s">
        <v>35</v>
      </c>
      <c r="B1175" s="12" t="s">
        <v>43</v>
      </c>
      <c r="C1175" s="12">
        <v>3.53016493264388</v>
      </c>
      <c r="D1175" s="12">
        <v>2001</v>
      </c>
    </row>
    <row r="1176" spans="1:4" ht="19.95" customHeight="1" x14ac:dyDescent="0.25">
      <c r="A1176" s="11" t="s">
        <v>36</v>
      </c>
      <c r="B1176" s="12" t="s">
        <v>43</v>
      </c>
      <c r="C1176" s="12">
        <v>2.5762095738585799E-2</v>
      </c>
      <c r="D1176" s="12">
        <v>2001</v>
      </c>
    </row>
    <row r="1177" spans="1:4" ht="19.95" customHeight="1" x14ac:dyDescent="0.25">
      <c r="A1177" s="11" t="s">
        <v>37</v>
      </c>
      <c r="B1177" s="12" t="s">
        <v>43</v>
      </c>
      <c r="C1177" s="12">
        <v>0.784690750658534</v>
      </c>
      <c r="D1177" s="12">
        <v>2001</v>
      </c>
    </row>
    <row r="1178" spans="1:4" ht="19.95" customHeight="1" x14ac:dyDescent="0.25">
      <c r="A1178" s="11" t="s">
        <v>38</v>
      </c>
      <c r="B1178" s="12" t="s">
        <v>43</v>
      </c>
      <c r="C1178" s="12">
        <v>1.1407009935911201</v>
      </c>
      <c r="D1178" s="12">
        <v>2001</v>
      </c>
    </row>
    <row r="1179" spans="1:4" ht="19.95" customHeight="1" x14ac:dyDescent="0.25">
      <c r="A1179" s="11" t="s">
        <v>39</v>
      </c>
      <c r="B1179" s="12" t="s">
        <v>43</v>
      </c>
      <c r="C1179" s="12">
        <v>1.1197209936138</v>
      </c>
      <c r="D1179" s="12">
        <v>2001</v>
      </c>
    </row>
    <row r="1180" spans="1:4" ht="19.95" customHeight="1" x14ac:dyDescent="0.25">
      <c r="A1180" s="11" t="s">
        <v>40</v>
      </c>
      <c r="B1180" s="12" t="s">
        <v>43</v>
      </c>
      <c r="C1180" s="12">
        <v>2.53920273585222</v>
      </c>
      <c r="D1180" s="12">
        <v>2001</v>
      </c>
    </row>
    <row r="1181" spans="1:4" ht="19.95" customHeight="1" x14ac:dyDescent="0.25">
      <c r="A1181" s="11" t="s">
        <v>10</v>
      </c>
      <c r="B1181" s="12" t="s">
        <v>43</v>
      </c>
      <c r="C1181" s="12">
        <v>0.77133379484805398</v>
      </c>
      <c r="D1181" s="12">
        <v>2002</v>
      </c>
    </row>
    <row r="1182" spans="1:4" ht="19.95" customHeight="1" x14ac:dyDescent="0.25">
      <c r="A1182" s="11" t="s">
        <v>13</v>
      </c>
      <c r="B1182" s="12" t="s">
        <v>43</v>
      </c>
      <c r="C1182" s="12">
        <v>4.3612805213540202</v>
      </c>
      <c r="D1182" s="12">
        <v>2002</v>
      </c>
    </row>
    <row r="1183" spans="1:4" ht="19.95" customHeight="1" x14ac:dyDescent="0.25">
      <c r="A1183" s="11" t="s">
        <v>15</v>
      </c>
      <c r="B1183" s="12" t="s">
        <v>43</v>
      </c>
      <c r="C1183" s="12">
        <v>0.37992870004729101</v>
      </c>
      <c r="D1183" s="12">
        <v>2002</v>
      </c>
    </row>
    <row r="1184" spans="1:4" ht="19.95" customHeight="1" x14ac:dyDescent="0.25">
      <c r="A1184" s="11" t="s">
        <v>16</v>
      </c>
      <c r="B1184" s="12" t="s">
        <v>43</v>
      </c>
      <c r="C1184" s="12"/>
      <c r="D1184" s="12">
        <v>2002</v>
      </c>
    </row>
    <row r="1185" spans="1:4" ht="19.95" customHeight="1" x14ac:dyDescent="0.25">
      <c r="A1185" s="11" t="s">
        <v>17</v>
      </c>
      <c r="B1185" s="12" t="s">
        <v>43</v>
      </c>
      <c r="C1185" s="12">
        <v>2.0101283667974998</v>
      </c>
      <c r="D1185" s="12">
        <v>2002</v>
      </c>
    </row>
    <row r="1186" spans="1:4" ht="19.95" customHeight="1" x14ac:dyDescent="0.25">
      <c r="A1186" s="11" t="s">
        <v>2</v>
      </c>
      <c r="B1186" s="12" t="s">
        <v>43</v>
      </c>
      <c r="C1186" s="12">
        <v>7.1448235838953697E-2</v>
      </c>
      <c r="D1186" s="12">
        <v>2002</v>
      </c>
    </row>
    <row r="1187" spans="1:4" ht="19.95" customHeight="1" x14ac:dyDescent="0.25">
      <c r="A1187" s="11" t="s">
        <v>18</v>
      </c>
      <c r="B1187" s="12" t="s">
        <v>43</v>
      </c>
      <c r="C1187" s="12">
        <v>0.99341767220127897</v>
      </c>
      <c r="D1187" s="12">
        <v>2002</v>
      </c>
    </row>
    <row r="1188" spans="1:4" ht="19.95" customHeight="1" x14ac:dyDescent="0.25">
      <c r="A1188" s="11" t="s">
        <v>19</v>
      </c>
      <c r="B1188" s="12" t="s">
        <v>43</v>
      </c>
      <c r="C1188" s="12">
        <v>1.58465456737629</v>
      </c>
      <c r="D1188" s="12">
        <v>2002</v>
      </c>
    </row>
    <row r="1189" spans="1:4" ht="19.95" customHeight="1" x14ac:dyDescent="0.25">
      <c r="A1189" s="11" t="s">
        <v>20</v>
      </c>
      <c r="B1189" s="12" t="s">
        <v>43</v>
      </c>
      <c r="C1189" s="12">
        <v>3.57416052967289</v>
      </c>
      <c r="D1189" s="12">
        <v>2002</v>
      </c>
    </row>
    <row r="1190" spans="1:4" ht="19.95" customHeight="1" x14ac:dyDescent="0.25">
      <c r="A1190" s="11" t="s">
        <v>21</v>
      </c>
      <c r="B1190" s="12" t="s">
        <v>43</v>
      </c>
      <c r="C1190" s="12"/>
      <c r="D1190" s="12">
        <v>2002</v>
      </c>
    </row>
    <row r="1191" spans="1:4" ht="19.95" customHeight="1" x14ac:dyDescent="0.25">
      <c r="A1191" s="11" t="s">
        <v>22</v>
      </c>
      <c r="B1191" s="12" t="s">
        <v>43</v>
      </c>
      <c r="C1191" s="12">
        <v>0.163245956479281</v>
      </c>
      <c r="D1191" s="12">
        <v>2002</v>
      </c>
    </row>
    <row r="1192" spans="1:4" ht="19.95" customHeight="1" x14ac:dyDescent="0.25">
      <c r="A1192" s="11" t="s">
        <v>23</v>
      </c>
      <c r="B1192" s="12" t="s">
        <v>43</v>
      </c>
      <c r="C1192" s="12">
        <v>0.97231650694713301</v>
      </c>
      <c r="D1192" s="12">
        <v>2002</v>
      </c>
    </row>
    <row r="1193" spans="1:4" ht="19.95" customHeight="1" x14ac:dyDescent="0.25">
      <c r="A1193" s="11" t="s">
        <v>24</v>
      </c>
      <c r="B1193" s="12" t="s">
        <v>43</v>
      </c>
      <c r="C1193" s="12">
        <v>0.71623996948153701</v>
      </c>
      <c r="D1193" s="12">
        <v>2002</v>
      </c>
    </row>
    <row r="1194" spans="1:4" ht="19.95" customHeight="1" x14ac:dyDescent="0.25">
      <c r="A1194" s="11" t="s">
        <v>25</v>
      </c>
      <c r="B1194" s="12" t="s">
        <v>43</v>
      </c>
      <c r="C1194" s="12">
        <v>0.39500197999317599</v>
      </c>
      <c r="D1194" s="12">
        <v>2002</v>
      </c>
    </row>
    <row r="1195" spans="1:4" ht="19.95" customHeight="1" x14ac:dyDescent="0.25">
      <c r="A1195" s="11" t="s">
        <v>26</v>
      </c>
      <c r="B1195" s="12" t="s">
        <v>43</v>
      </c>
      <c r="C1195" s="12">
        <v>8.0980631209572493</v>
      </c>
      <c r="D1195" s="12">
        <v>2002</v>
      </c>
    </row>
    <row r="1196" spans="1:4" ht="19.95" customHeight="1" x14ac:dyDescent="0.25">
      <c r="A1196" s="11" t="s">
        <v>27</v>
      </c>
      <c r="B1196" s="12" t="s">
        <v>43</v>
      </c>
      <c r="C1196" s="12">
        <v>1.33105304180461</v>
      </c>
      <c r="D1196" s="12">
        <v>2002</v>
      </c>
    </row>
    <row r="1197" spans="1:4" ht="19.95" customHeight="1" x14ac:dyDescent="0.25">
      <c r="A1197" s="11" t="s">
        <v>29</v>
      </c>
      <c r="B1197" s="12" t="s">
        <v>43</v>
      </c>
      <c r="C1197" s="12">
        <v>0.101785693830025</v>
      </c>
      <c r="D1197" s="12">
        <v>2002</v>
      </c>
    </row>
    <row r="1198" spans="1:4" ht="19.95" customHeight="1" x14ac:dyDescent="0.25">
      <c r="A1198" s="11" t="s">
        <v>30</v>
      </c>
      <c r="B1198" s="12" t="s">
        <v>43</v>
      </c>
      <c r="C1198" s="12">
        <v>8.9069019718116801E-2</v>
      </c>
      <c r="D1198" s="12">
        <v>2002</v>
      </c>
    </row>
    <row r="1199" spans="1:4" ht="19.95" customHeight="1" x14ac:dyDescent="0.25">
      <c r="A1199" s="11" t="s">
        <v>31</v>
      </c>
      <c r="B1199" s="12" t="s">
        <v>43</v>
      </c>
      <c r="C1199" s="12">
        <v>4.5873975730383698</v>
      </c>
      <c r="D1199" s="12">
        <v>2002</v>
      </c>
    </row>
    <row r="1200" spans="1:4" ht="19.95" customHeight="1" x14ac:dyDescent="0.25">
      <c r="A1200" s="11" t="s">
        <v>32</v>
      </c>
      <c r="B1200" s="12" t="s">
        <v>43</v>
      </c>
      <c r="C1200" s="12">
        <v>0.47141561995483899</v>
      </c>
      <c r="D1200" s="12">
        <v>2002</v>
      </c>
    </row>
    <row r="1201" spans="1:4" ht="19.95" customHeight="1" x14ac:dyDescent="0.25">
      <c r="A1201" s="11" t="s">
        <v>33</v>
      </c>
      <c r="B1201" s="12" t="s">
        <v>43</v>
      </c>
      <c r="C1201" s="12">
        <v>0.96519472060476497</v>
      </c>
      <c r="D1201" s="12">
        <v>2002</v>
      </c>
    </row>
    <row r="1202" spans="1:4" ht="19.95" customHeight="1" x14ac:dyDescent="0.25">
      <c r="A1202" s="11" t="s">
        <v>34</v>
      </c>
      <c r="B1202" s="12" t="s">
        <v>43</v>
      </c>
      <c r="C1202" s="12">
        <v>1.36656336919987</v>
      </c>
      <c r="D1202" s="12">
        <v>2002</v>
      </c>
    </row>
    <row r="1203" spans="1:4" ht="19.95" customHeight="1" x14ac:dyDescent="0.25">
      <c r="A1203" s="11" t="s">
        <v>35</v>
      </c>
      <c r="B1203" s="12" t="s">
        <v>43</v>
      </c>
      <c r="C1203" s="12">
        <v>4.8868688776607696</v>
      </c>
      <c r="D1203" s="12">
        <v>2002</v>
      </c>
    </row>
    <row r="1204" spans="1:4" ht="19.95" customHeight="1" x14ac:dyDescent="0.25">
      <c r="A1204" s="11" t="s">
        <v>36</v>
      </c>
      <c r="B1204" s="12" t="s">
        <v>43</v>
      </c>
      <c r="C1204" s="12">
        <v>0.20472454622494099</v>
      </c>
      <c r="D1204" s="12">
        <v>2002</v>
      </c>
    </row>
    <row r="1205" spans="1:4" ht="19.95" customHeight="1" x14ac:dyDescent="0.25">
      <c r="A1205" s="11" t="s">
        <v>37</v>
      </c>
      <c r="B1205" s="12" t="s">
        <v>43</v>
      </c>
      <c r="C1205" s="12">
        <v>1.6807794468967401</v>
      </c>
      <c r="D1205" s="12">
        <v>2002</v>
      </c>
    </row>
    <row r="1206" spans="1:4" ht="19.95" customHeight="1" x14ac:dyDescent="0.25">
      <c r="A1206" s="11" t="s">
        <v>38</v>
      </c>
      <c r="B1206" s="12" t="s">
        <v>43</v>
      </c>
      <c r="C1206" s="12">
        <v>1.5293151330925301</v>
      </c>
      <c r="D1206" s="12">
        <v>2002</v>
      </c>
    </row>
    <row r="1207" spans="1:4" ht="19.95" customHeight="1" x14ac:dyDescent="0.25">
      <c r="A1207" s="11" t="s">
        <v>39</v>
      </c>
      <c r="B1207" s="12" t="s">
        <v>43</v>
      </c>
      <c r="C1207" s="12">
        <v>1.25078133367217</v>
      </c>
      <c r="D1207" s="12">
        <v>2002</v>
      </c>
    </row>
    <row r="1208" spans="1:4" ht="19.95" customHeight="1" x14ac:dyDescent="0.25">
      <c r="A1208" s="11" t="s">
        <v>40</v>
      </c>
      <c r="B1208" s="12" t="s">
        <v>43</v>
      </c>
      <c r="C1208" s="12">
        <v>2.7101181750366501</v>
      </c>
      <c r="D1208" s="12">
        <v>2002</v>
      </c>
    </row>
    <row r="1209" spans="1:4" ht="19.95" customHeight="1" x14ac:dyDescent="0.25">
      <c r="A1209" s="11" t="s">
        <v>10</v>
      </c>
      <c r="B1209" s="12" t="s">
        <v>43</v>
      </c>
      <c r="C1209" s="12">
        <v>0.92045102675592905</v>
      </c>
      <c r="D1209" s="12">
        <v>2003</v>
      </c>
    </row>
    <row r="1210" spans="1:4" ht="19.95" customHeight="1" x14ac:dyDescent="0.25">
      <c r="A1210" s="11" t="s">
        <v>13</v>
      </c>
      <c r="B1210" s="12" t="s">
        <v>43</v>
      </c>
      <c r="C1210" s="12">
        <v>6.5218094272785496</v>
      </c>
      <c r="D1210" s="12">
        <v>2003</v>
      </c>
    </row>
    <row r="1211" spans="1:4" ht="19.95" customHeight="1" x14ac:dyDescent="0.25">
      <c r="A1211" s="11" t="s">
        <v>15</v>
      </c>
      <c r="B1211" s="12" t="s">
        <v>43</v>
      </c>
      <c r="C1211" s="12">
        <v>0.69494924785642898</v>
      </c>
      <c r="D1211" s="12">
        <v>2003</v>
      </c>
    </row>
    <row r="1212" spans="1:4" ht="19.95" customHeight="1" x14ac:dyDescent="0.25">
      <c r="A1212" s="11" t="s">
        <v>16</v>
      </c>
      <c r="B1212" s="12" t="s">
        <v>43</v>
      </c>
      <c r="C1212" s="12">
        <v>0.342929059980007</v>
      </c>
      <c r="D1212" s="12">
        <v>2003</v>
      </c>
    </row>
    <row r="1213" spans="1:4" ht="19.95" customHeight="1" x14ac:dyDescent="0.25">
      <c r="A1213" s="11" t="s">
        <v>17</v>
      </c>
      <c r="B1213" s="12" t="s">
        <v>43</v>
      </c>
      <c r="C1213" s="12">
        <v>3.0318409206250898</v>
      </c>
      <c r="D1213" s="12">
        <v>2003</v>
      </c>
    </row>
    <row r="1214" spans="1:4" ht="19.95" customHeight="1" x14ac:dyDescent="0.25">
      <c r="A1214" s="11" t="s">
        <v>2</v>
      </c>
      <c r="B1214" s="12" t="s">
        <v>43</v>
      </c>
      <c r="C1214" s="12">
        <v>7.0747671270733198E-2</v>
      </c>
      <c r="D1214" s="12">
        <v>2003</v>
      </c>
    </row>
    <row r="1215" spans="1:4" ht="19.95" customHeight="1" x14ac:dyDescent="0.25">
      <c r="A1215" s="11" t="s">
        <v>18</v>
      </c>
      <c r="B1215" s="12" t="s">
        <v>43</v>
      </c>
      <c r="C1215" s="12">
        <v>1.1976565030922099</v>
      </c>
      <c r="D1215" s="12">
        <v>2003</v>
      </c>
    </row>
    <row r="1216" spans="1:4" ht="19.95" customHeight="1" x14ac:dyDescent="0.25">
      <c r="A1216" s="11" t="s">
        <v>19</v>
      </c>
      <c r="B1216" s="12" t="s">
        <v>43</v>
      </c>
      <c r="C1216" s="12">
        <v>3.5648431602691102</v>
      </c>
      <c r="D1216" s="12">
        <v>2003</v>
      </c>
    </row>
    <row r="1217" spans="1:4" ht="19.95" customHeight="1" x14ac:dyDescent="0.25">
      <c r="A1217" s="11" t="s">
        <v>20</v>
      </c>
      <c r="B1217" s="12" t="s">
        <v>43</v>
      </c>
      <c r="C1217" s="12">
        <v>4.6608417510351003</v>
      </c>
      <c r="D1217" s="12">
        <v>2003</v>
      </c>
    </row>
    <row r="1218" spans="1:4" ht="19.95" customHeight="1" x14ac:dyDescent="0.25">
      <c r="A1218" s="11" t="s">
        <v>21</v>
      </c>
      <c r="B1218" s="12" t="s">
        <v>43</v>
      </c>
      <c r="C1218" s="12"/>
      <c r="D1218" s="12">
        <v>2003</v>
      </c>
    </row>
    <row r="1219" spans="1:4" ht="19.95" customHeight="1" x14ac:dyDescent="0.25">
      <c r="A1219" s="11" t="s">
        <v>22</v>
      </c>
      <c r="B1219" s="12" t="s">
        <v>43</v>
      </c>
      <c r="C1219" s="12">
        <v>1.5162537589455001</v>
      </c>
      <c r="D1219" s="12">
        <v>2003</v>
      </c>
    </row>
    <row r="1220" spans="1:4" ht="19.95" customHeight="1" x14ac:dyDescent="0.25">
      <c r="A1220" s="11" t="s">
        <v>23</v>
      </c>
      <c r="B1220" s="12" t="s">
        <v>43</v>
      </c>
      <c r="C1220" s="12">
        <v>1.64166725649151</v>
      </c>
      <c r="D1220" s="12">
        <v>2003</v>
      </c>
    </row>
    <row r="1221" spans="1:4" ht="19.95" customHeight="1" x14ac:dyDescent="0.25">
      <c r="A1221" s="11" t="s">
        <v>24</v>
      </c>
      <c r="B1221" s="12" t="s">
        <v>43</v>
      </c>
      <c r="C1221" s="12">
        <v>1.0952211075793701</v>
      </c>
      <c r="D1221" s="12">
        <v>2003</v>
      </c>
    </row>
    <row r="1222" spans="1:4" ht="19.95" customHeight="1" x14ac:dyDescent="0.25">
      <c r="A1222" s="11" t="s">
        <v>25</v>
      </c>
      <c r="B1222" s="12" t="s">
        <v>43</v>
      </c>
      <c r="C1222" s="12">
        <v>2.05931165415313</v>
      </c>
      <c r="D1222" s="12">
        <v>2003</v>
      </c>
    </row>
    <row r="1223" spans="1:4" ht="19.95" customHeight="1" x14ac:dyDescent="0.25">
      <c r="A1223" s="11" t="s">
        <v>26</v>
      </c>
      <c r="B1223" s="12" t="s">
        <v>43</v>
      </c>
      <c r="C1223" s="12">
        <v>11.408973819926199</v>
      </c>
      <c r="D1223" s="12">
        <v>2003</v>
      </c>
    </row>
    <row r="1224" spans="1:4" ht="19.95" customHeight="1" x14ac:dyDescent="0.25">
      <c r="A1224" s="11" t="s">
        <v>27</v>
      </c>
      <c r="B1224" s="12" t="s">
        <v>43</v>
      </c>
      <c r="C1224" s="12">
        <v>2.2101023716160402</v>
      </c>
      <c r="D1224" s="12">
        <v>2003</v>
      </c>
    </row>
    <row r="1225" spans="1:4" ht="19.95" customHeight="1" x14ac:dyDescent="0.25">
      <c r="A1225" s="11" t="s">
        <v>29</v>
      </c>
      <c r="B1225" s="12" t="s">
        <v>43</v>
      </c>
      <c r="C1225" s="12">
        <v>0.139668552333156</v>
      </c>
      <c r="D1225" s="12">
        <v>2003</v>
      </c>
    </row>
    <row r="1226" spans="1:4" ht="19.95" customHeight="1" x14ac:dyDescent="0.25">
      <c r="A1226" s="11" t="s">
        <v>30</v>
      </c>
      <c r="B1226" s="12" t="s">
        <v>43</v>
      </c>
      <c r="C1226" s="12">
        <v>0.328116055458816</v>
      </c>
      <c r="D1226" s="12">
        <v>2003</v>
      </c>
    </row>
    <row r="1227" spans="1:4" ht="19.95" customHeight="1" x14ac:dyDescent="0.25">
      <c r="A1227" s="11" t="s">
        <v>31</v>
      </c>
      <c r="B1227" s="12" t="s">
        <v>43</v>
      </c>
      <c r="C1227" s="12">
        <v>8.9051092383548607</v>
      </c>
      <c r="D1227" s="12">
        <v>2003</v>
      </c>
    </row>
    <row r="1228" spans="1:4" ht="19.95" customHeight="1" x14ac:dyDescent="0.25">
      <c r="A1228" s="11" t="s">
        <v>32</v>
      </c>
      <c r="B1228" s="12" t="s">
        <v>43</v>
      </c>
      <c r="C1228" s="12">
        <v>0.65075330630716799</v>
      </c>
      <c r="D1228" s="12">
        <v>2003</v>
      </c>
    </row>
    <row r="1229" spans="1:4" ht="19.95" customHeight="1" x14ac:dyDescent="0.25">
      <c r="A1229" s="11" t="s">
        <v>33</v>
      </c>
      <c r="B1229" s="12" t="s">
        <v>43</v>
      </c>
      <c r="C1229" s="12">
        <v>1.5059307543731599</v>
      </c>
      <c r="D1229" s="12">
        <v>2003</v>
      </c>
    </row>
    <row r="1230" spans="1:4" ht="19.95" customHeight="1" x14ac:dyDescent="0.25">
      <c r="A1230" s="11" t="s">
        <v>34</v>
      </c>
      <c r="B1230" s="12" t="s">
        <v>43</v>
      </c>
      <c r="C1230" s="12">
        <v>3.2479173968134099</v>
      </c>
      <c r="D1230" s="12">
        <v>2003</v>
      </c>
    </row>
    <row r="1231" spans="1:4" ht="19.95" customHeight="1" x14ac:dyDescent="0.25">
      <c r="A1231" s="11" t="s">
        <v>35</v>
      </c>
      <c r="B1231" s="12" t="s">
        <v>43</v>
      </c>
      <c r="C1231" s="12">
        <v>7.2515260880297197</v>
      </c>
      <c r="D1231" s="12">
        <v>2003</v>
      </c>
    </row>
    <row r="1232" spans="1:4" ht="19.95" customHeight="1" x14ac:dyDescent="0.25">
      <c r="A1232" s="11" t="s">
        <v>36</v>
      </c>
      <c r="B1232" s="12" t="s">
        <v>43</v>
      </c>
      <c r="C1232" s="12">
        <v>0.72400624186829099</v>
      </c>
      <c r="D1232" s="12">
        <v>2003</v>
      </c>
    </row>
    <row r="1233" spans="1:4" ht="19.95" customHeight="1" x14ac:dyDescent="0.25">
      <c r="A1233" s="11" t="s">
        <v>37</v>
      </c>
      <c r="B1233" s="12" t="s">
        <v>43</v>
      </c>
      <c r="C1233" s="12">
        <v>3.4940307526389902</v>
      </c>
      <c r="D1233" s="12">
        <v>2003</v>
      </c>
    </row>
    <row r="1234" spans="1:4" ht="19.95" customHeight="1" x14ac:dyDescent="0.25">
      <c r="A1234" s="11" t="s">
        <v>38</v>
      </c>
      <c r="B1234" s="12" t="s">
        <v>43</v>
      </c>
      <c r="C1234" s="12">
        <v>2.9152084408458001</v>
      </c>
      <c r="D1234" s="12">
        <v>2003</v>
      </c>
    </row>
    <row r="1235" spans="1:4" ht="19.95" customHeight="1" x14ac:dyDescent="0.25">
      <c r="A1235" s="11" t="s">
        <v>39</v>
      </c>
      <c r="B1235" s="12" t="s">
        <v>43</v>
      </c>
      <c r="C1235" s="12">
        <v>2.1099661845087501</v>
      </c>
      <c r="D1235" s="12">
        <v>2003</v>
      </c>
    </row>
    <row r="1236" spans="1:4" ht="19.95" customHeight="1" x14ac:dyDescent="0.25">
      <c r="A1236" s="11" t="s">
        <v>40</v>
      </c>
      <c r="B1236" s="12" t="s">
        <v>43</v>
      </c>
      <c r="C1236" s="12">
        <v>2.8783755321101601</v>
      </c>
      <c r="D1236" s="12">
        <v>2003</v>
      </c>
    </row>
    <row r="1237" spans="1:4" ht="19.95" customHeight="1" x14ac:dyDescent="0.25">
      <c r="A1237" s="11" t="s">
        <v>10</v>
      </c>
      <c r="B1237" s="12" t="s">
        <v>43</v>
      </c>
      <c r="C1237" s="12">
        <v>1.40007916517634</v>
      </c>
      <c r="D1237" s="12">
        <v>2004</v>
      </c>
    </row>
    <row r="1238" spans="1:4" ht="19.95" customHeight="1" x14ac:dyDescent="0.25">
      <c r="A1238" s="11" t="s">
        <v>13</v>
      </c>
      <c r="B1238" s="12" t="s">
        <v>43</v>
      </c>
      <c r="C1238" s="12">
        <v>9.0268334705164701</v>
      </c>
      <c r="D1238" s="12">
        <v>2004</v>
      </c>
    </row>
    <row r="1239" spans="1:4" ht="19.95" customHeight="1" x14ac:dyDescent="0.25">
      <c r="A1239" s="11" t="s">
        <v>15</v>
      </c>
      <c r="B1239" s="12" t="s">
        <v>43</v>
      </c>
      <c r="C1239" s="12">
        <v>1.26672971479117</v>
      </c>
      <c r="D1239" s="12">
        <v>2004</v>
      </c>
    </row>
    <row r="1240" spans="1:4" ht="19.95" customHeight="1" x14ac:dyDescent="0.25">
      <c r="A1240" s="11" t="s">
        <v>16</v>
      </c>
      <c r="B1240" s="12" t="s">
        <v>43</v>
      </c>
      <c r="C1240" s="12">
        <v>1.40281433556364</v>
      </c>
      <c r="D1240" s="12">
        <v>2004</v>
      </c>
    </row>
    <row r="1241" spans="1:4" ht="19.95" customHeight="1" x14ac:dyDescent="0.25">
      <c r="A1241" s="11" t="s">
        <v>17</v>
      </c>
      <c r="B1241" s="12" t="s">
        <v>43</v>
      </c>
      <c r="C1241" s="12">
        <v>4.4738125882255204</v>
      </c>
      <c r="D1241" s="12">
        <v>2004</v>
      </c>
    </row>
    <row r="1242" spans="1:4" ht="19.95" customHeight="1" x14ac:dyDescent="0.25">
      <c r="A1242" s="11" t="s">
        <v>2</v>
      </c>
      <c r="B1242" s="12" t="s">
        <v>43</v>
      </c>
      <c r="C1242" s="12">
        <v>0.20842243231286101</v>
      </c>
      <c r="D1242" s="12">
        <v>2004</v>
      </c>
    </row>
    <row r="1243" spans="1:4" ht="19.95" customHeight="1" x14ac:dyDescent="0.25">
      <c r="A1243" s="11" t="s">
        <v>18</v>
      </c>
      <c r="B1243" s="12" t="s">
        <v>43</v>
      </c>
      <c r="C1243" s="12">
        <v>1.6322050816687399</v>
      </c>
      <c r="D1243" s="12">
        <v>2004</v>
      </c>
    </row>
    <row r="1244" spans="1:4" ht="19.95" customHeight="1" x14ac:dyDescent="0.25">
      <c r="A1244" s="11" t="s">
        <v>19</v>
      </c>
      <c r="B1244" s="12" t="s">
        <v>43</v>
      </c>
      <c r="C1244" s="12">
        <v>4.3863602618569404</v>
      </c>
      <c r="D1244" s="12">
        <v>2004</v>
      </c>
    </row>
    <row r="1245" spans="1:4" ht="19.95" customHeight="1" x14ac:dyDescent="0.25">
      <c r="A1245" s="11" t="s">
        <v>20</v>
      </c>
      <c r="B1245" s="12" t="s">
        <v>43</v>
      </c>
      <c r="C1245" s="12">
        <v>7.2591931827321403</v>
      </c>
      <c r="D1245" s="12">
        <v>2004</v>
      </c>
    </row>
    <row r="1246" spans="1:4" ht="19.95" customHeight="1" x14ac:dyDescent="0.25">
      <c r="A1246" s="11" t="s">
        <v>21</v>
      </c>
      <c r="B1246" s="12" t="s">
        <v>43</v>
      </c>
      <c r="C1246" s="12"/>
      <c r="D1246" s="12">
        <v>2004</v>
      </c>
    </row>
    <row r="1247" spans="1:4" ht="19.95" customHeight="1" x14ac:dyDescent="0.25">
      <c r="A1247" s="11" t="s">
        <v>22</v>
      </c>
      <c r="B1247" s="12" t="s">
        <v>43</v>
      </c>
      <c r="C1247" s="12">
        <v>2.9709603345155902</v>
      </c>
      <c r="D1247" s="12">
        <v>2004</v>
      </c>
    </row>
    <row r="1248" spans="1:4" ht="19.95" customHeight="1" x14ac:dyDescent="0.25">
      <c r="A1248" s="11" t="s">
        <v>23</v>
      </c>
      <c r="B1248" s="12" t="s">
        <v>43</v>
      </c>
      <c r="C1248" s="12">
        <v>1.8754595083063801</v>
      </c>
      <c r="D1248" s="12">
        <v>2004</v>
      </c>
    </row>
    <row r="1249" spans="1:4" ht="19.95" customHeight="1" x14ac:dyDescent="0.25">
      <c r="A1249" s="11" t="s">
        <v>24</v>
      </c>
      <c r="B1249" s="12" t="s">
        <v>43</v>
      </c>
      <c r="C1249" s="12">
        <v>1.7524008684732599</v>
      </c>
      <c r="D1249" s="12">
        <v>2004</v>
      </c>
    </row>
    <row r="1250" spans="1:4" ht="19.95" customHeight="1" x14ac:dyDescent="0.25">
      <c r="A1250" s="11" t="s">
        <v>25</v>
      </c>
      <c r="B1250" s="12" t="s">
        <v>43</v>
      </c>
      <c r="C1250" s="12">
        <v>3.28328023146722</v>
      </c>
      <c r="D1250" s="12">
        <v>2004</v>
      </c>
    </row>
    <row r="1251" spans="1:4" ht="19.95" customHeight="1" x14ac:dyDescent="0.25">
      <c r="A1251" s="11" t="s">
        <v>26</v>
      </c>
      <c r="B1251" s="12" t="s">
        <v>43</v>
      </c>
      <c r="C1251" s="12">
        <v>18.889494536807799</v>
      </c>
      <c r="D1251" s="12">
        <v>2004</v>
      </c>
    </row>
    <row r="1252" spans="1:4" ht="19.95" customHeight="1" x14ac:dyDescent="0.25">
      <c r="A1252" s="11" t="s">
        <v>27</v>
      </c>
      <c r="B1252" s="12" t="s">
        <v>43</v>
      </c>
      <c r="C1252" s="12">
        <v>3.4855032847668501</v>
      </c>
      <c r="D1252" s="12">
        <v>2004</v>
      </c>
    </row>
    <row r="1253" spans="1:4" ht="19.95" customHeight="1" x14ac:dyDescent="0.25">
      <c r="A1253" s="11" t="s">
        <v>29</v>
      </c>
      <c r="B1253" s="12" t="s">
        <v>43</v>
      </c>
      <c r="C1253" s="12">
        <v>0.19231302466439701</v>
      </c>
      <c r="D1253" s="12">
        <v>2004</v>
      </c>
    </row>
    <row r="1254" spans="1:4" ht="19.95" customHeight="1" x14ac:dyDescent="0.25">
      <c r="A1254" s="11" t="s">
        <v>30</v>
      </c>
      <c r="B1254" s="12" t="s">
        <v>43</v>
      </c>
      <c r="C1254" s="12">
        <v>0.461400799361535</v>
      </c>
      <c r="D1254" s="12">
        <v>2004</v>
      </c>
    </row>
    <row r="1255" spans="1:4" ht="19.95" customHeight="1" x14ac:dyDescent="0.25">
      <c r="A1255" s="11" t="s">
        <v>31</v>
      </c>
      <c r="B1255" s="12" t="s">
        <v>43</v>
      </c>
      <c r="C1255" s="12">
        <v>13.910834560803099</v>
      </c>
      <c r="D1255" s="12">
        <v>2004</v>
      </c>
    </row>
    <row r="1256" spans="1:4" ht="19.95" customHeight="1" x14ac:dyDescent="0.25">
      <c r="A1256" s="11" t="s">
        <v>32</v>
      </c>
      <c r="B1256" s="12" t="s">
        <v>43</v>
      </c>
      <c r="C1256" s="12">
        <v>1.31348245891754</v>
      </c>
      <c r="D1256" s="12">
        <v>2004</v>
      </c>
    </row>
    <row r="1257" spans="1:4" ht="19.95" customHeight="1" x14ac:dyDescent="0.25">
      <c r="A1257" s="11" t="s">
        <v>33</v>
      </c>
      <c r="B1257" s="12" t="s">
        <v>43</v>
      </c>
      <c r="C1257" s="12">
        <v>1.5566362206095901</v>
      </c>
      <c r="D1257" s="12">
        <v>2004</v>
      </c>
    </row>
    <row r="1258" spans="1:4" ht="19.95" customHeight="1" x14ac:dyDescent="0.25">
      <c r="A1258" s="11" t="s">
        <v>34</v>
      </c>
      <c r="B1258" s="12" t="s">
        <v>43</v>
      </c>
      <c r="C1258" s="12">
        <v>5.0964341411735301</v>
      </c>
      <c r="D1258" s="12">
        <v>2004</v>
      </c>
    </row>
    <row r="1259" spans="1:4" ht="19.95" customHeight="1" x14ac:dyDescent="0.25">
      <c r="A1259" s="11" t="s">
        <v>35</v>
      </c>
      <c r="B1259" s="12" t="s">
        <v>43</v>
      </c>
      <c r="C1259" s="12">
        <v>11.4138787597165</v>
      </c>
      <c r="D1259" s="12">
        <v>2004</v>
      </c>
    </row>
    <row r="1260" spans="1:4" ht="19.95" customHeight="1" x14ac:dyDescent="0.25">
      <c r="A1260" s="11" t="s">
        <v>36</v>
      </c>
      <c r="B1260" s="12" t="s">
        <v>43</v>
      </c>
      <c r="C1260" s="12">
        <v>2.0110710204517002</v>
      </c>
      <c r="D1260" s="12">
        <v>2004</v>
      </c>
    </row>
    <row r="1261" spans="1:4" ht="19.95" customHeight="1" x14ac:dyDescent="0.25">
      <c r="A1261" s="11" t="s">
        <v>37</v>
      </c>
      <c r="B1261" s="12" t="s">
        <v>43</v>
      </c>
      <c r="C1261" s="12">
        <v>5.07712630677179</v>
      </c>
      <c r="D1261" s="12">
        <v>2004</v>
      </c>
    </row>
    <row r="1262" spans="1:4" ht="19.95" customHeight="1" x14ac:dyDescent="0.25">
      <c r="A1262" s="11" t="s">
        <v>38</v>
      </c>
      <c r="B1262" s="12" t="s">
        <v>43</v>
      </c>
      <c r="C1262" s="12">
        <v>4.2259742264668203</v>
      </c>
      <c r="D1262" s="12">
        <v>2004</v>
      </c>
    </row>
    <row r="1263" spans="1:4" ht="19.95" customHeight="1" x14ac:dyDescent="0.25">
      <c r="A1263" s="11" t="s">
        <v>39</v>
      </c>
      <c r="B1263" s="12" t="s">
        <v>43</v>
      </c>
      <c r="C1263" s="12">
        <v>3.9580979676852901</v>
      </c>
      <c r="D1263" s="12">
        <v>2004</v>
      </c>
    </row>
    <row r="1264" spans="1:4" ht="19.95" customHeight="1" x14ac:dyDescent="0.25">
      <c r="A1264" s="11" t="s">
        <v>40</v>
      </c>
      <c r="B1264" s="12" t="s">
        <v>43</v>
      </c>
      <c r="C1264" s="12">
        <v>3.3319869573972598</v>
      </c>
      <c r="D1264" s="12">
        <v>2004</v>
      </c>
    </row>
    <row r="1265" spans="1:4" ht="19.95" customHeight="1" x14ac:dyDescent="0.25">
      <c r="A1265" s="11" t="s">
        <v>10</v>
      </c>
      <c r="B1265" s="12" t="s">
        <v>43</v>
      </c>
      <c r="C1265" s="12">
        <v>2.0610810113953502</v>
      </c>
      <c r="D1265" s="12">
        <v>2005</v>
      </c>
    </row>
    <row r="1266" spans="1:4" ht="19.95" customHeight="1" x14ac:dyDescent="0.25">
      <c r="A1266" s="11" t="s">
        <v>13</v>
      </c>
      <c r="B1266" s="12" t="s">
        <v>43</v>
      </c>
      <c r="C1266" s="12">
        <v>12.9299954450988</v>
      </c>
      <c r="D1266" s="12">
        <v>2005</v>
      </c>
    </row>
    <row r="1267" spans="1:4" ht="19.95" customHeight="1" x14ac:dyDescent="0.25">
      <c r="A1267" s="11" t="s">
        <v>15</v>
      </c>
      <c r="B1267" s="12" t="s">
        <v>43</v>
      </c>
      <c r="C1267" s="12">
        <v>2.0860217766766702</v>
      </c>
      <c r="D1267" s="12">
        <v>2005</v>
      </c>
    </row>
    <row r="1268" spans="1:4" ht="19.95" customHeight="1" x14ac:dyDescent="0.25">
      <c r="A1268" s="11" t="s">
        <v>16</v>
      </c>
      <c r="B1268" s="12" t="s">
        <v>43</v>
      </c>
      <c r="C1268" s="12">
        <v>2.5379847521446899</v>
      </c>
      <c r="D1268" s="12">
        <v>2005</v>
      </c>
    </row>
    <row r="1269" spans="1:4" ht="19.95" customHeight="1" x14ac:dyDescent="0.25">
      <c r="A1269" s="11" t="s">
        <v>17</v>
      </c>
      <c r="B1269" s="12" t="s">
        <v>43</v>
      </c>
      <c r="C1269" s="12">
        <v>5.6243568497575502</v>
      </c>
      <c r="D1269" s="12">
        <v>2005</v>
      </c>
    </row>
    <row r="1270" spans="1:4" ht="19.95" customHeight="1" x14ac:dyDescent="0.25">
      <c r="A1270" s="11" t="s">
        <v>2</v>
      </c>
      <c r="B1270" s="12" t="s">
        <v>43</v>
      </c>
      <c r="C1270" s="12">
        <v>0.53518260299300002</v>
      </c>
      <c r="D1270" s="12">
        <v>2005</v>
      </c>
    </row>
    <row r="1271" spans="1:4" ht="19.95" customHeight="1" x14ac:dyDescent="0.25">
      <c r="A1271" s="11" t="s">
        <v>18</v>
      </c>
      <c r="B1271" s="12" t="s">
        <v>43</v>
      </c>
      <c r="C1271" s="12">
        <v>1.95253077431275</v>
      </c>
      <c r="D1271" s="12">
        <v>2005</v>
      </c>
    </row>
    <row r="1272" spans="1:4" ht="19.95" customHeight="1" x14ac:dyDescent="0.25">
      <c r="A1272" s="11" t="s">
        <v>19</v>
      </c>
      <c r="B1272" s="12" t="s">
        <v>43</v>
      </c>
      <c r="C1272" s="12">
        <v>5.3997429022851602</v>
      </c>
      <c r="D1272" s="12">
        <v>2005</v>
      </c>
    </row>
    <row r="1273" spans="1:4" ht="19.95" customHeight="1" x14ac:dyDescent="0.25">
      <c r="A1273" s="11" t="s">
        <v>20</v>
      </c>
      <c r="B1273" s="12" t="s">
        <v>43</v>
      </c>
      <c r="C1273" s="12">
        <v>12.793866937592201</v>
      </c>
      <c r="D1273" s="12">
        <v>2005</v>
      </c>
    </row>
    <row r="1274" spans="1:4" ht="19.95" customHeight="1" x14ac:dyDescent="0.25">
      <c r="A1274" s="11" t="s">
        <v>21</v>
      </c>
      <c r="B1274" s="12" t="s">
        <v>43</v>
      </c>
      <c r="C1274" s="12">
        <v>32.302099349072499</v>
      </c>
      <c r="D1274" s="12">
        <v>2005</v>
      </c>
    </row>
    <row r="1275" spans="1:4" ht="19.95" customHeight="1" x14ac:dyDescent="0.25">
      <c r="A1275" s="11" t="s">
        <v>22</v>
      </c>
      <c r="B1275" s="12" t="s">
        <v>43</v>
      </c>
      <c r="C1275" s="12">
        <v>4.9061243763856002</v>
      </c>
      <c r="D1275" s="12">
        <v>2005</v>
      </c>
    </row>
    <row r="1276" spans="1:4" ht="19.95" customHeight="1" x14ac:dyDescent="0.25">
      <c r="A1276" s="11" t="s">
        <v>23</v>
      </c>
      <c r="B1276" s="12" t="s">
        <v>43</v>
      </c>
      <c r="C1276" s="12">
        <v>2.7827707937361099</v>
      </c>
      <c r="D1276" s="12">
        <v>2005</v>
      </c>
    </row>
    <row r="1277" spans="1:4" ht="19.95" customHeight="1" x14ac:dyDescent="0.25">
      <c r="A1277" s="11" t="s">
        <v>24</v>
      </c>
      <c r="B1277" s="12" t="s">
        <v>43</v>
      </c>
      <c r="C1277" s="12">
        <v>3.22984918914231</v>
      </c>
      <c r="D1277" s="12">
        <v>2005</v>
      </c>
    </row>
    <row r="1278" spans="1:4" ht="19.95" customHeight="1" x14ac:dyDescent="0.25">
      <c r="A1278" s="11" t="s">
        <v>25</v>
      </c>
      <c r="B1278" s="12" t="s">
        <v>43</v>
      </c>
      <c r="C1278" s="12">
        <v>5.95359098375366</v>
      </c>
      <c r="D1278" s="12">
        <v>2005</v>
      </c>
    </row>
    <row r="1279" spans="1:4" ht="19.95" customHeight="1" x14ac:dyDescent="0.25">
      <c r="A1279" s="11" t="s">
        <v>26</v>
      </c>
      <c r="B1279" s="12" t="s">
        <v>43</v>
      </c>
      <c r="C1279" s="12">
        <v>26.211613683433999</v>
      </c>
      <c r="D1279" s="12">
        <v>2005</v>
      </c>
    </row>
    <row r="1280" spans="1:4" ht="19.95" customHeight="1" x14ac:dyDescent="0.25">
      <c r="A1280" s="11" t="s">
        <v>27</v>
      </c>
      <c r="B1280" s="12" t="s">
        <v>43</v>
      </c>
      <c r="C1280" s="12">
        <v>7.1879652460179102</v>
      </c>
      <c r="D1280" s="12">
        <v>2005</v>
      </c>
    </row>
    <row r="1281" spans="1:4" ht="19.95" customHeight="1" x14ac:dyDescent="0.25">
      <c r="A1281" s="11" t="s">
        <v>29</v>
      </c>
      <c r="B1281" s="12" t="s">
        <v>43</v>
      </c>
      <c r="C1281" s="12">
        <v>0.26545598387083702</v>
      </c>
      <c r="D1281" s="12">
        <v>2005</v>
      </c>
    </row>
    <row r="1282" spans="1:4" ht="19.95" customHeight="1" x14ac:dyDescent="0.25">
      <c r="A1282" s="11" t="s">
        <v>30</v>
      </c>
      <c r="B1282" s="12" t="s">
        <v>43</v>
      </c>
      <c r="C1282" s="12">
        <v>0.88655793907455105</v>
      </c>
      <c r="D1282" s="12">
        <v>2005</v>
      </c>
    </row>
    <row r="1283" spans="1:4" ht="19.95" customHeight="1" x14ac:dyDescent="0.25">
      <c r="A1283" s="11" t="s">
        <v>31</v>
      </c>
      <c r="B1283" s="12" t="s">
        <v>43</v>
      </c>
      <c r="C1283" s="12">
        <v>20.808900293865701</v>
      </c>
      <c r="D1283" s="12">
        <v>2005</v>
      </c>
    </row>
    <row r="1284" spans="1:4" ht="19.95" customHeight="1" x14ac:dyDescent="0.25">
      <c r="A1284" s="11" t="s">
        <v>32</v>
      </c>
      <c r="B1284" s="12" t="s">
        <v>43</v>
      </c>
      <c r="C1284" s="12">
        <v>2.37804613432851</v>
      </c>
      <c r="D1284" s="12">
        <v>2005</v>
      </c>
    </row>
    <row r="1285" spans="1:4" ht="19.95" customHeight="1" x14ac:dyDescent="0.25">
      <c r="A1285" s="11" t="s">
        <v>33</v>
      </c>
      <c r="B1285" s="12" t="s">
        <v>43</v>
      </c>
      <c r="C1285" s="12">
        <v>2.4798106260916302</v>
      </c>
      <c r="D1285" s="12">
        <v>2005</v>
      </c>
    </row>
    <row r="1286" spans="1:4" ht="19.95" customHeight="1" x14ac:dyDescent="0.25">
      <c r="A1286" s="11" t="s">
        <v>34</v>
      </c>
      <c r="B1286" s="12" t="s">
        <v>43</v>
      </c>
      <c r="C1286" s="12">
        <v>7.6803958105763703</v>
      </c>
      <c r="D1286" s="12">
        <v>2005</v>
      </c>
    </row>
    <row r="1287" spans="1:4" ht="19.95" customHeight="1" x14ac:dyDescent="0.25">
      <c r="A1287" s="11" t="s">
        <v>35</v>
      </c>
      <c r="B1287" s="12" t="s">
        <v>43</v>
      </c>
      <c r="C1287" s="12">
        <v>17.218187474461701</v>
      </c>
      <c r="D1287" s="12">
        <v>2005</v>
      </c>
    </row>
    <row r="1288" spans="1:4" ht="19.95" customHeight="1" x14ac:dyDescent="0.25">
      <c r="A1288" s="11" t="s">
        <v>36</v>
      </c>
      <c r="B1288" s="12" t="s">
        <v>43</v>
      </c>
      <c r="C1288" s="12">
        <v>3.8662561334870902</v>
      </c>
      <c r="D1288" s="12">
        <v>2005</v>
      </c>
    </row>
    <row r="1289" spans="1:4" ht="19.95" customHeight="1" x14ac:dyDescent="0.25">
      <c r="A1289" s="11" t="s">
        <v>37</v>
      </c>
      <c r="B1289" s="12" t="s">
        <v>43</v>
      </c>
      <c r="C1289" s="12">
        <v>7.5208297677690101</v>
      </c>
      <c r="D1289" s="12">
        <v>2005</v>
      </c>
    </row>
    <row r="1290" spans="1:4" ht="19.95" customHeight="1" x14ac:dyDescent="0.25">
      <c r="A1290" s="11" t="s">
        <v>38</v>
      </c>
      <c r="B1290" s="12" t="s">
        <v>43</v>
      </c>
      <c r="C1290" s="12">
        <v>4.6079833407721598</v>
      </c>
      <c r="D1290" s="12">
        <v>2005</v>
      </c>
    </row>
    <row r="1291" spans="1:4" ht="19.95" customHeight="1" x14ac:dyDescent="0.25">
      <c r="A1291" s="11" t="s">
        <v>39</v>
      </c>
      <c r="B1291" s="12" t="s">
        <v>43</v>
      </c>
      <c r="C1291" s="12">
        <v>7.8787480016023697</v>
      </c>
      <c r="D1291" s="12">
        <v>2005</v>
      </c>
    </row>
    <row r="1292" spans="1:4" ht="19.95" customHeight="1" x14ac:dyDescent="0.25">
      <c r="A1292" s="11" t="s">
        <v>40</v>
      </c>
      <c r="B1292" s="12" t="s">
        <v>43</v>
      </c>
      <c r="C1292" s="12">
        <v>5.0008377104477004</v>
      </c>
      <c r="D1292" s="12">
        <v>2005</v>
      </c>
    </row>
    <row r="1293" spans="1:4" ht="19.95" customHeight="1" x14ac:dyDescent="0.25">
      <c r="A1293" s="11" t="s">
        <v>10</v>
      </c>
      <c r="B1293" s="12" t="s">
        <v>43</v>
      </c>
      <c r="C1293" s="12">
        <v>2.6057484373978101</v>
      </c>
      <c r="D1293" s="12">
        <v>2006</v>
      </c>
    </row>
    <row r="1294" spans="1:4" ht="19.95" customHeight="1" x14ac:dyDescent="0.25">
      <c r="A1294" s="11" t="s">
        <v>13</v>
      </c>
      <c r="B1294" s="12" t="s">
        <v>43</v>
      </c>
      <c r="C1294" s="12">
        <v>17.519680090496099</v>
      </c>
      <c r="D1294" s="12">
        <v>2006</v>
      </c>
    </row>
    <row r="1295" spans="1:4" ht="19.95" customHeight="1" x14ac:dyDescent="0.25">
      <c r="A1295" s="11" t="s">
        <v>15</v>
      </c>
      <c r="B1295" s="12" t="s">
        <v>43</v>
      </c>
      <c r="C1295" s="12">
        <v>4.4723279934927396</v>
      </c>
      <c r="D1295" s="12">
        <v>2006</v>
      </c>
    </row>
    <row r="1296" spans="1:4" ht="19.95" customHeight="1" x14ac:dyDescent="0.25">
      <c r="A1296" s="11" t="s">
        <v>16</v>
      </c>
      <c r="B1296" s="12" t="s">
        <v>43</v>
      </c>
      <c r="C1296" s="12">
        <v>5.8868978728499002</v>
      </c>
      <c r="D1296" s="12">
        <v>2006</v>
      </c>
    </row>
    <row r="1297" spans="1:4" ht="19.95" customHeight="1" x14ac:dyDescent="0.25">
      <c r="A1297" s="11" t="s">
        <v>17</v>
      </c>
      <c r="B1297" s="12" t="s">
        <v>43</v>
      </c>
      <c r="C1297" s="12">
        <v>5.62880553825131</v>
      </c>
      <c r="D1297" s="12">
        <v>2006</v>
      </c>
    </row>
    <row r="1298" spans="1:4" ht="19.95" customHeight="1" x14ac:dyDescent="0.25">
      <c r="A1298" s="11" t="s">
        <v>2</v>
      </c>
      <c r="B1298" s="12" t="s">
        <v>43</v>
      </c>
      <c r="C1298" s="12">
        <v>1.0991660453341101</v>
      </c>
      <c r="D1298" s="12">
        <v>2006</v>
      </c>
    </row>
    <row r="1299" spans="1:4" ht="19.95" customHeight="1" x14ac:dyDescent="0.25">
      <c r="A1299" s="11" t="s">
        <v>18</v>
      </c>
      <c r="B1299" s="12" t="s">
        <v>43</v>
      </c>
      <c r="C1299" s="12"/>
      <c r="D1299" s="12">
        <v>2006</v>
      </c>
    </row>
    <row r="1300" spans="1:4" ht="19.95" customHeight="1" x14ac:dyDescent="0.25">
      <c r="A1300" s="11" t="s">
        <v>19</v>
      </c>
      <c r="B1300" s="12" t="s">
        <v>43</v>
      </c>
      <c r="C1300" s="12">
        <v>12.7531269870302</v>
      </c>
      <c r="D1300" s="12">
        <v>2006</v>
      </c>
    </row>
    <row r="1301" spans="1:4" ht="19.95" customHeight="1" x14ac:dyDescent="0.25">
      <c r="A1301" s="11" t="s">
        <v>20</v>
      </c>
      <c r="B1301" s="12" t="s">
        <v>43</v>
      </c>
      <c r="C1301" s="12">
        <v>19.810825581850398</v>
      </c>
      <c r="D1301" s="12">
        <v>2006</v>
      </c>
    </row>
    <row r="1302" spans="1:4" ht="19.95" customHeight="1" x14ac:dyDescent="0.25">
      <c r="A1302" s="11" t="s">
        <v>21</v>
      </c>
      <c r="B1302" s="12" t="s">
        <v>43</v>
      </c>
      <c r="C1302" s="12">
        <v>32.302099349072499</v>
      </c>
      <c r="D1302" s="12">
        <v>2006</v>
      </c>
    </row>
    <row r="1303" spans="1:4" ht="19.95" customHeight="1" x14ac:dyDescent="0.25">
      <c r="A1303" s="11" t="s">
        <v>22</v>
      </c>
      <c r="B1303" s="12" t="s">
        <v>43</v>
      </c>
      <c r="C1303" s="12">
        <v>8.2942368680013701</v>
      </c>
      <c r="D1303" s="12">
        <v>2006</v>
      </c>
    </row>
    <row r="1304" spans="1:4" ht="19.95" customHeight="1" x14ac:dyDescent="0.25">
      <c r="A1304" s="11" t="s">
        <v>23</v>
      </c>
      <c r="B1304" s="12" t="s">
        <v>43</v>
      </c>
      <c r="C1304" s="12">
        <v>5.5395823830466799</v>
      </c>
      <c r="D1304" s="12">
        <v>2006</v>
      </c>
    </row>
    <row r="1305" spans="1:4" ht="19.95" customHeight="1" x14ac:dyDescent="0.25">
      <c r="A1305" s="11" t="s">
        <v>24</v>
      </c>
      <c r="B1305" s="12" t="s">
        <v>43</v>
      </c>
      <c r="C1305" s="12">
        <v>4.6179976233988098</v>
      </c>
      <c r="D1305" s="12">
        <v>2006</v>
      </c>
    </row>
    <row r="1306" spans="1:4" ht="19.95" customHeight="1" x14ac:dyDescent="0.25">
      <c r="A1306" s="11" t="s">
        <v>25</v>
      </c>
      <c r="B1306" s="12" t="s">
        <v>43</v>
      </c>
      <c r="C1306" s="12">
        <v>11.438275342131901</v>
      </c>
      <c r="D1306" s="12">
        <v>2006</v>
      </c>
    </row>
    <row r="1307" spans="1:4" ht="19.95" customHeight="1" x14ac:dyDescent="0.25">
      <c r="A1307" s="11" t="s">
        <v>26</v>
      </c>
      <c r="B1307" s="12" t="s">
        <v>43</v>
      </c>
      <c r="C1307" s="12">
        <v>32.768165839511902</v>
      </c>
      <c r="D1307" s="12">
        <v>2006</v>
      </c>
    </row>
    <row r="1308" spans="1:4" ht="19.95" customHeight="1" x14ac:dyDescent="0.25">
      <c r="A1308" s="11" t="s">
        <v>27</v>
      </c>
      <c r="B1308" s="12" t="s">
        <v>43</v>
      </c>
      <c r="C1308" s="12">
        <v>10.856577407744</v>
      </c>
      <c r="D1308" s="12">
        <v>2006</v>
      </c>
    </row>
    <row r="1309" spans="1:4" ht="19.95" customHeight="1" x14ac:dyDescent="0.25">
      <c r="A1309" s="11" t="s">
        <v>29</v>
      </c>
      <c r="B1309" s="12" t="s">
        <v>43</v>
      </c>
      <c r="C1309" s="12">
        <v>0.43854547208463801</v>
      </c>
      <c r="D1309" s="12">
        <v>2006</v>
      </c>
    </row>
    <row r="1310" spans="1:4" ht="19.95" customHeight="1" x14ac:dyDescent="0.25">
      <c r="A1310" s="11" t="s">
        <v>30</v>
      </c>
      <c r="B1310" s="12" t="s">
        <v>43</v>
      </c>
      <c r="C1310" s="12">
        <v>4.4605799291289001</v>
      </c>
      <c r="D1310" s="12">
        <v>2006</v>
      </c>
    </row>
    <row r="1311" spans="1:4" ht="19.95" customHeight="1" x14ac:dyDescent="0.25">
      <c r="A1311" s="11" t="s">
        <v>31</v>
      </c>
      <c r="B1311" s="12" t="s">
        <v>43</v>
      </c>
      <c r="C1311" s="12">
        <v>33.580718251091596</v>
      </c>
      <c r="D1311" s="12">
        <v>2006</v>
      </c>
    </row>
    <row r="1312" spans="1:4" ht="19.95" customHeight="1" x14ac:dyDescent="0.25">
      <c r="A1312" s="11" t="s">
        <v>32</v>
      </c>
      <c r="B1312" s="12" t="s">
        <v>43</v>
      </c>
      <c r="C1312" s="12">
        <v>3.4177597837088798</v>
      </c>
      <c r="D1312" s="12">
        <v>2006</v>
      </c>
    </row>
    <row r="1313" spans="1:4" ht="19.95" customHeight="1" x14ac:dyDescent="0.25">
      <c r="A1313" s="11" t="s">
        <v>33</v>
      </c>
      <c r="B1313" s="12" t="s">
        <v>43</v>
      </c>
      <c r="C1313" s="12">
        <v>3.4127873759854399</v>
      </c>
      <c r="D1313" s="12">
        <v>2006</v>
      </c>
    </row>
    <row r="1314" spans="1:4" ht="19.95" customHeight="1" x14ac:dyDescent="0.25">
      <c r="A1314" s="11" t="s">
        <v>34</v>
      </c>
      <c r="B1314" s="12" t="s">
        <v>43</v>
      </c>
      <c r="C1314" s="12">
        <v>11.5635669813216</v>
      </c>
      <c r="D1314" s="12">
        <v>2006</v>
      </c>
    </row>
    <row r="1315" spans="1:4" ht="19.95" customHeight="1" x14ac:dyDescent="0.25">
      <c r="A1315" s="11" t="s">
        <v>35</v>
      </c>
      <c r="B1315" s="12" t="s">
        <v>43</v>
      </c>
      <c r="C1315" s="12">
        <v>27.516291054400099</v>
      </c>
      <c r="D1315" s="12">
        <v>2006</v>
      </c>
    </row>
    <row r="1316" spans="1:4" ht="19.95" customHeight="1" x14ac:dyDescent="0.25">
      <c r="A1316" s="11" t="s">
        <v>36</v>
      </c>
      <c r="B1316" s="12" t="s">
        <v>43</v>
      </c>
      <c r="C1316" s="12">
        <v>30.711841929149401</v>
      </c>
      <c r="D1316" s="12">
        <v>2006</v>
      </c>
    </row>
    <row r="1317" spans="1:4" ht="19.95" customHeight="1" x14ac:dyDescent="0.25">
      <c r="A1317" s="11" t="s">
        <v>37</v>
      </c>
      <c r="B1317" s="12" t="s">
        <v>43</v>
      </c>
      <c r="C1317" s="12">
        <v>13.8033891417801</v>
      </c>
      <c r="D1317" s="12">
        <v>2006</v>
      </c>
    </row>
    <row r="1318" spans="1:4" ht="19.95" customHeight="1" x14ac:dyDescent="0.25">
      <c r="A1318" s="11" t="s">
        <v>38</v>
      </c>
      <c r="B1318" s="12" t="s">
        <v>43</v>
      </c>
      <c r="C1318" s="12">
        <v>6.7978781659781404</v>
      </c>
      <c r="D1318" s="12">
        <v>2006</v>
      </c>
    </row>
    <row r="1319" spans="1:4" ht="19.95" customHeight="1" x14ac:dyDescent="0.25">
      <c r="A1319" s="11" t="s">
        <v>39</v>
      </c>
      <c r="B1319" s="12" t="s">
        <v>43</v>
      </c>
      <c r="C1319" s="12">
        <v>13.4318670263511</v>
      </c>
      <c r="D1319" s="12">
        <v>2006</v>
      </c>
    </row>
    <row r="1320" spans="1:4" ht="19.95" customHeight="1" x14ac:dyDescent="0.25">
      <c r="A1320" s="11" t="s">
        <v>40</v>
      </c>
      <c r="B1320" s="12" t="s">
        <v>43</v>
      </c>
      <c r="C1320" s="12">
        <v>6.4700451461403503</v>
      </c>
      <c r="D1320" s="12">
        <v>2006</v>
      </c>
    </row>
    <row r="1321" spans="1:4" ht="19.95" customHeight="1" x14ac:dyDescent="0.25">
      <c r="A1321" s="11" t="s">
        <v>10</v>
      </c>
      <c r="B1321" s="12" t="s">
        <v>43</v>
      </c>
      <c r="C1321" s="12">
        <v>3.4006866616126601</v>
      </c>
      <c r="D1321" s="12">
        <v>2007</v>
      </c>
    </row>
    <row r="1322" spans="1:4" ht="19.95" customHeight="1" x14ac:dyDescent="0.25">
      <c r="A1322" s="11" t="s">
        <v>13</v>
      </c>
      <c r="B1322" s="12" t="s">
        <v>43</v>
      </c>
      <c r="C1322" s="12">
        <v>24.658353242760999</v>
      </c>
      <c r="D1322" s="12">
        <v>2007</v>
      </c>
    </row>
    <row r="1323" spans="1:4" ht="19.95" customHeight="1" x14ac:dyDescent="0.25">
      <c r="A1323" s="11" t="s">
        <v>15</v>
      </c>
      <c r="B1323" s="12" t="s">
        <v>43</v>
      </c>
      <c r="C1323" s="12">
        <v>8.5224655308031707</v>
      </c>
      <c r="D1323" s="12">
        <v>2007</v>
      </c>
    </row>
    <row r="1324" spans="1:4" ht="19.95" customHeight="1" x14ac:dyDescent="0.25">
      <c r="A1324" s="11" t="s">
        <v>16</v>
      </c>
      <c r="B1324" s="12" t="s">
        <v>43</v>
      </c>
      <c r="C1324" s="12">
        <v>9.67924939995636</v>
      </c>
      <c r="D1324" s="12">
        <v>2007</v>
      </c>
    </row>
    <row r="1325" spans="1:4" ht="19.95" customHeight="1" x14ac:dyDescent="0.25">
      <c r="A1325" s="11" t="s">
        <v>17</v>
      </c>
      <c r="B1325" s="12" t="s">
        <v>43</v>
      </c>
      <c r="C1325" s="12">
        <v>8.5914045183975301</v>
      </c>
      <c r="D1325" s="12">
        <v>2007</v>
      </c>
    </row>
    <row r="1326" spans="1:4" ht="19.95" customHeight="1" x14ac:dyDescent="0.25">
      <c r="A1326" s="11" t="s">
        <v>2</v>
      </c>
      <c r="B1326" s="12" t="s">
        <v>43</v>
      </c>
      <c r="C1326" s="12">
        <v>1.4919653060023399</v>
      </c>
      <c r="D1326" s="12">
        <v>2007</v>
      </c>
    </row>
    <row r="1327" spans="1:4" ht="19.95" customHeight="1" x14ac:dyDescent="0.25">
      <c r="A1327" s="11" t="s">
        <v>18</v>
      </c>
      <c r="B1327" s="12" t="s">
        <v>43</v>
      </c>
      <c r="C1327" s="12">
        <v>19.8083992961283</v>
      </c>
      <c r="D1327" s="12">
        <v>2007</v>
      </c>
    </row>
    <row r="1328" spans="1:4" ht="19.95" customHeight="1" x14ac:dyDescent="0.25">
      <c r="A1328" s="11" t="s">
        <v>19</v>
      </c>
      <c r="B1328" s="12" t="s">
        <v>43</v>
      </c>
      <c r="C1328" s="12">
        <v>26.159140280900999</v>
      </c>
      <c r="D1328" s="12">
        <v>2007</v>
      </c>
    </row>
    <row r="1329" spans="1:4" ht="19.95" customHeight="1" x14ac:dyDescent="0.25">
      <c r="A1329" s="11" t="s">
        <v>20</v>
      </c>
      <c r="B1329" s="12" t="s">
        <v>43</v>
      </c>
      <c r="C1329" s="12">
        <v>29.799504063300699</v>
      </c>
      <c r="D1329" s="12">
        <v>2007</v>
      </c>
    </row>
    <row r="1330" spans="1:4" ht="19.95" customHeight="1" x14ac:dyDescent="0.25">
      <c r="A1330" s="11" t="s">
        <v>21</v>
      </c>
      <c r="B1330" s="12" t="s">
        <v>43</v>
      </c>
      <c r="C1330" s="12">
        <v>32.302099349072499</v>
      </c>
      <c r="D1330" s="12">
        <v>2007</v>
      </c>
    </row>
    <row r="1331" spans="1:4" ht="19.95" customHeight="1" x14ac:dyDescent="0.25">
      <c r="A1331" s="11" t="s">
        <v>22</v>
      </c>
      <c r="B1331" s="12" t="s">
        <v>43</v>
      </c>
      <c r="C1331" s="12">
        <v>16.026498662655602</v>
      </c>
      <c r="D1331" s="12">
        <v>2007</v>
      </c>
    </row>
    <row r="1332" spans="1:4" ht="19.95" customHeight="1" x14ac:dyDescent="0.25">
      <c r="A1332" s="11" t="s">
        <v>23</v>
      </c>
      <c r="B1332" s="12" t="s">
        <v>43</v>
      </c>
      <c r="C1332" s="12">
        <v>11.4112711318478</v>
      </c>
      <c r="D1332" s="12">
        <v>2007</v>
      </c>
    </row>
    <row r="1333" spans="1:4" ht="19.95" customHeight="1" x14ac:dyDescent="0.25">
      <c r="A1333" s="11" t="s">
        <v>24</v>
      </c>
      <c r="B1333" s="12" t="s">
        <v>43</v>
      </c>
      <c r="C1333" s="12">
        <v>7.5923296988816302</v>
      </c>
      <c r="D1333" s="12">
        <v>2007</v>
      </c>
    </row>
    <row r="1334" spans="1:4" ht="19.95" customHeight="1" x14ac:dyDescent="0.25">
      <c r="A1334" s="11" t="s">
        <v>25</v>
      </c>
      <c r="B1334" s="12" t="s">
        <v>43</v>
      </c>
      <c r="C1334" s="12">
        <v>18.506609506006502</v>
      </c>
      <c r="D1334" s="12">
        <v>2007</v>
      </c>
    </row>
    <row r="1335" spans="1:4" ht="19.95" customHeight="1" x14ac:dyDescent="0.25">
      <c r="A1335" s="11" t="s">
        <v>26</v>
      </c>
      <c r="B1335" s="12" t="s">
        <v>43</v>
      </c>
      <c r="C1335" s="12">
        <v>45.604022042077197</v>
      </c>
      <c r="D1335" s="12">
        <v>2007</v>
      </c>
    </row>
    <row r="1336" spans="1:4" ht="19.95" customHeight="1" x14ac:dyDescent="0.25">
      <c r="A1336" s="11" t="s">
        <v>27</v>
      </c>
      <c r="B1336" s="12" t="s">
        <v>43</v>
      </c>
      <c r="C1336" s="12">
        <v>13.880157219179599</v>
      </c>
      <c r="D1336" s="12">
        <v>2007</v>
      </c>
    </row>
    <row r="1337" spans="1:4" ht="19.95" customHeight="1" x14ac:dyDescent="0.25">
      <c r="A1337" s="11" t="s">
        <v>29</v>
      </c>
      <c r="B1337" s="12" t="s">
        <v>43</v>
      </c>
      <c r="C1337" s="12">
        <v>0.50362622023214798</v>
      </c>
      <c r="D1337" s="12">
        <v>2007</v>
      </c>
    </row>
    <row r="1338" spans="1:4" ht="19.95" customHeight="1" x14ac:dyDescent="0.25">
      <c r="A1338" s="11" t="s">
        <v>30</v>
      </c>
      <c r="B1338" s="12" t="s">
        <v>43</v>
      </c>
      <c r="C1338" s="12">
        <v>12.4696321897282</v>
      </c>
      <c r="D1338" s="12">
        <v>2007</v>
      </c>
    </row>
    <row r="1339" spans="1:4" ht="19.95" customHeight="1" x14ac:dyDescent="0.25">
      <c r="A1339" s="11" t="s">
        <v>31</v>
      </c>
      <c r="B1339" s="12" t="s">
        <v>43</v>
      </c>
      <c r="C1339" s="12">
        <v>45.313889302378499</v>
      </c>
      <c r="D1339" s="12">
        <v>2007</v>
      </c>
    </row>
    <row r="1340" spans="1:4" ht="19.95" customHeight="1" x14ac:dyDescent="0.25">
      <c r="A1340" s="11" t="s">
        <v>32</v>
      </c>
      <c r="B1340" s="12" t="s">
        <v>43</v>
      </c>
      <c r="C1340" s="12">
        <v>6.1356644495102302</v>
      </c>
      <c r="D1340" s="12">
        <v>2007</v>
      </c>
    </row>
    <row r="1341" spans="1:4" ht="19.95" customHeight="1" x14ac:dyDescent="0.25">
      <c r="A1341" s="11" t="s">
        <v>33</v>
      </c>
      <c r="B1341" s="12" t="s">
        <v>43</v>
      </c>
      <c r="C1341" s="12">
        <v>6.7228747120107704</v>
      </c>
      <c r="D1341" s="12">
        <v>2007</v>
      </c>
    </row>
    <row r="1342" spans="1:4" ht="19.95" customHeight="1" x14ac:dyDescent="0.25">
      <c r="A1342" s="11" t="s">
        <v>34</v>
      </c>
      <c r="B1342" s="12" t="s">
        <v>43</v>
      </c>
      <c r="C1342" s="12">
        <v>18.4542093549396</v>
      </c>
      <c r="D1342" s="12">
        <v>2007</v>
      </c>
    </row>
    <row r="1343" spans="1:4" ht="19.95" customHeight="1" x14ac:dyDescent="0.25">
      <c r="A1343" s="11" t="s">
        <v>35</v>
      </c>
      <c r="B1343" s="12" t="s">
        <v>43</v>
      </c>
      <c r="C1343" s="12">
        <v>40.298692798151599</v>
      </c>
      <c r="D1343" s="12">
        <v>2007</v>
      </c>
    </row>
    <row r="1344" spans="1:4" ht="19.95" customHeight="1" x14ac:dyDescent="0.25">
      <c r="A1344" s="11" t="s">
        <v>36</v>
      </c>
      <c r="B1344" s="12" t="s">
        <v>43</v>
      </c>
      <c r="C1344" s="12">
        <v>29.819004429990802</v>
      </c>
      <c r="D1344" s="12">
        <v>2007</v>
      </c>
    </row>
    <row r="1345" spans="1:4" ht="19.95" customHeight="1" x14ac:dyDescent="0.25">
      <c r="A1345" s="11" t="s">
        <v>37</v>
      </c>
      <c r="B1345" s="12" t="s">
        <v>43</v>
      </c>
      <c r="C1345" s="12">
        <v>19.683370140265499</v>
      </c>
      <c r="D1345" s="12">
        <v>2007</v>
      </c>
    </row>
    <row r="1346" spans="1:4" ht="19.95" customHeight="1" x14ac:dyDescent="0.25">
      <c r="A1346" s="11" t="s">
        <v>38</v>
      </c>
      <c r="B1346" s="12" t="s">
        <v>43</v>
      </c>
      <c r="C1346" s="12">
        <v>13.714322364335001</v>
      </c>
      <c r="D1346" s="12">
        <v>2007</v>
      </c>
    </row>
    <row r="1347" spans="1:4" ht="19.95" customHeight="1" x14ac:dyDescent="0.25">
      <c r="A1347" s="11" t="s">
        <v>39</v>
      </c>
      <c r="B1347" s="12" t="s">
        <v>43</v>
      </c>
      <c r="C1347" s="12">
        <v>20.7373203811355</v>
      </c>
      <c r="D1347" s="12">
        <v>2007</v>
      </c>
    </row>
    <row r="1348" spans="1:4" ht="19.95" customHeight="1" x14ac:dyDescent="0.25">
      <c r="A1348" s="11" t="s">
        <v>40</v>
      </c>
      <c r="B1348" s="12" t="s">
        <v>43</v>
      </c>
      <c r="C1348" s="12">
        <v>9.1947664458924692</v>
      </c>
      <c r="D1348" s="12">
        <v>2007</v>
      </c>
    </row>
    <row r="1349" spans="1:4" ht="19.95" customHeight="1" x14ac:dyDescent="0.25">
      <c r="A1349" s="11" t="s">
        <v>10</v>
      </c>
      <c r="B1349" s="12" t="s">
        <v>43</v>
      </c>
      <c r="C1349" s="12">
        <v>5.8520281374295804</v>
      </c>
      <c r="D1349" s="12">
        <v>2008</v>
      </c>
    </row>
    <row r="1350" spans="1:4" ht="19.95" customHeight="1" x14ac:dyDescent="0.25">
      <c r="A1350" s="11" t="s">
        <v>13</v>
      </c>
      <c r="B1350" s="12" t="s">
        <v>43</v>
      </c>
      <c r="C1350" s="12">
        <v>32.585235062046799</v>
      </c>
      <c r="D1350" s="12">
        <v>2008</v>
      </c>
    </row>
    <row r="1351" spans="1:4" ht="19.95" customHeight="1" x14ac:dyDescent="0.25">
      <c r="A1351" s="11" t="s">
        <v>15</v>
      </c>
      <c r="B1351" s="12" t="s">
        <v>43</v>
      </c>
      <c r="C1351" s="12">
        <v>14.3705763885502</v>
      </c>
      <c r="D1351" s="12">
        <v>2008</v>
      </c>
    </row>
    <row r="1352" spans="1:4" ht="19.95" customHeight="1" x14ac:dyDescent="0.25">
      <c r="A1352" s="11" t="s">
        <v>16</v>
      </c>
      <c r="B1352" s="12" t="s">
        <v>43</v>
      </c>
      <c r="C1352" s="12">
        <v>13.958757145530701</v>
      </c>
      <c r="D1352" s="12">
        <v>2008</v>
      </c>
    </row>
    <row r="1353" spans="1:4" ht="19.95" customHeight="1" x14ac:dyDescent="0.25">
      <c r="A1353" s="11" t="s">
        <v>17</v>
      </c>
      <c r="B1353" s="12" t="s">
        <v>43</v>
      </c>
      <c r="C1353" s="12">
        <v>13.7128858450374</v>
      </c>
      <c r="D1353" s="12">
        <v>2008</v>
      </c>
    </row>
    <row r="1354" spans="1:4" ht="19.95" customHeight="1" x14ac:dyDescent="0.25">
      <c r="A1354" s="11" t="s">
        <v>2</v>
      </c>
      <c r="B1354" s="12" t="s">
        <v>43</v>
      </c>
      <c r="C1354" s="12">
        <v>2.3496177647258301</v>
      </c>
      <c r="D1354" s="12">
        <v>2008</v>
      </c>
    </row>
    <row r="1355" spans="1:4" ht="19.95" customHeight="1" x14ac:dyDescent="0.25">
      <c r="A1355" s="11" t="s">
        <v>18</v>
      </c>
      <c r="B1355" s="12" t="s">
        <v>43</v>
      </c>
      <c r="C1355" s="12">
        <v>26.639176328292301</v>
      </c>
      <c r="D1355" s="12">
        <v>2008</v>
      </c>
    </row>
    <row r="1356" spans="1:4" ht="19.95" customHeight="1" x14ac:dyDescent="0.25">
      <c r="A1356" s="11" t="s">
        <v>19</v>
      </c>
      <c r="B1356" s="12" t="s">
        <v>43</v>
      </c>
      <c r="C1356" s="12">
        <v>32.972595960300602</v>
      </c>
      <c r="D1356" s="12">
        <v>2008</v>
      </c>
    </row>
    <row r="1357" spans="1:4" ht="19.95" customHeight="1" x14ac:dyDescent="0.25">
      <c r="A1357" s="11" t="s">
        <v>20</v>
      </c>
      <c r="B1357" s="12" t="s">
        <v>43</v>
      </c>
      <c r="C1357" s="12">
        <v>41.645549592606798</v>
      </c>
      <c r="D1357" s="12">
        <v>2008</v>
      </c>
    </row>
    <row r="1358" spans="1:4" ht="19.95" customHeight="1" x14ac:dyDescent="0.25">
      <c r="A1358" s="11" t="s">
        <v>21</v>
      </c>
      <c r="B1358" s="12" t="s">
        <v>43</v>
      </c>
      <c r="C1358" s="12">
        <v>32.302099349072499</v>
      </c>
      <c r="D1358" s="12">
        <v>2008</v>
      </c>
    </row>
    <row r="1359" spans="1:4" ht="19.95" customHeight="1" x14ac:dyDescent="0.25">
      <c r="A1359" s="11" t="s">
        <v>22</v>
      </c>
      <c r="B1359" s="12" t="s">
        <v>43</v>
      </c>
      <c r="C1359" s="12">
        <v>23.331385017661798</v>
      </c>
      <c r="D1359" s="12">
        <v>2008</v>
      </c>
    </row>
    <row r="1360" spans="1:4" ht="19.95" customHeight="1" x14ac:dyDescent="0.25">
      <c r="A1360" s="11" t="s">
        <v>23</v>
      </c>
      <c r="B1360" s="12" t="s">
        <v>43</v>
      </c>
      <c r="C1360" s="12">
        <v>24.180464060929999</v>
      </c>
      <c r="D1360" s="12">
        <v>2008</v>
      </c>
    </row>
    <row r="1361" spans="1:4" ht="19.95" customHeight="1" x14ac:dyDescent="0.25">
      <c r="A1361" s="11" t="s">
        <v>24</v>
      </c>
      <c r="B1361" s="12" t="s">
        <v>43</v>
      </c>
      <c r="C1361" s="12">
        <v>10.564496384825601</v>
      </c>
      <c r="D1361" s="12">
        <v>2008</v>
      </c>
    </row>
    <row r="1362" spans="1:4" ht="19.95" customHeight="1" x14ac:dyDescent="0.25">
      <c r="A1362" s="11" t="s">
        <v>25</v>
      </c>
      <c r="B1362" s="12" t="s">
        <v>43</v>
      </c>
      <c r="C1362" s="12">
        <v>24.321088318356399</v>
      </c>
      <c r="D1362" s="12">
        <v>2008</v>
      </c>
    </row>
    <row r="1363" spans="1:4" ht="19.95" customHeight="1" x14ac:dyDescent="0.25">
      <c r="A1363" s="11" t="s">
        <v>26</v>
      </c>
      <c r="B1363" s="12" t="s">
        <v>43</v>
      </c>
      <c r="C1363" s="12">
        <v>58.943241297453</v>
      </c>
      <c r="D1363" s="12">
        <v>2008</v>
      </c>
    </row>
    <row r="1364" spans="1:4" ht="19.95" customHeight="1" x14ac:dyDescent="0.25">
      <c r="A1364" s="11" t="s">
        <v>27</v>
      </c>
      <c r="B1364" s="12" t="s">
        <v>43</v>
      </c>
      <c r="C1364" s="12">
        <v>19.2806611773977</v>
      </c>
      <c r="D1364" s="12">
        <v>2008</v>
      </c>
    </row>
    <row r="1365" spans="1:4" ht="19.95" customHeight="1" x14ac:dyDescent="0.25">
      <c r="A1365" s="11" t="s">
        <v>29</v>
      </c>
      <c r="B1365" s="12" t="s">
        <v>43</v>
      </c>
      <c r="C1365" s="12">
        <v>0.74250170049356801</v>
      </c>
      <c r="D1365" s="12">
        <v>2008</v>
      </c>
    </row>
    <row r="1366" spans="1:4" ht="19.95" customHeight="1" x14ac:dyDescent="0.25">
      <c r="A1366" s="11" t="s">
        <v>30</v>
      </c>
      <c r="B1366" s="12" t="s">
        <v>43</v>
      </c>
      <c r="C1366" s="12">
        <v>15.8635079602139</v>
      </c>
      <c r="D1366" s="12">
        <v>2008</v>
      </c>
    </row>
    <row r="1367" spans="1:4" ht="19.95" customHeight="1" x14ac:dyDescent="0.25">
      <c r="A1367" s="11" t="s">
        <v>31</v>
      </c>
      <c r="B1367" s="12" t="s">
        <v>43</v>
      </c>
      <c r="C1367" s="12">
        <v>55.554538684916999</v>
      </c>
      <c r="D1367" s="12">
        <v>2008</v>
      </c>
    </row>
    <row r="1368" spans="1:4" ht="19.95" customHeight="1" x14ac:dyDescent="0.25">
      <c r="A1368" s="11" t="s">
        <v>32</v>
      </c>
      <c r="B1368" s="12" t="s">
        <v>43</v>
      </c>
      <c r="C1368" s="12">
        <v>12.4610098482946</v>
      </c>
      <c r="D1368" s="12">
        <v>2008</v>
      </c>
    </row>
    <row r="1369" spans="1:4" ht="19.95" customHeight="1" x14ac:dyDescent="0.25">
      <c r="A1369" s="11" t="s">
        <v>33</v>
      </c>
      <c r="B1369" s="12" t="s">
        <v>43</v>
      </c>
      <c r="C1369" s="12">
        <v>13.623959368651301</v>
      </c>
      <c r="D1369" s="12">
        <v>2008</v>
      </c>
    </row>
    <row r="1370" spans="1:4" ht="19.95" customHeight="1" x14ac:dyDescent="0.25">
      <c r="A1370" s="11" t="s">
        <v>34</v>
      </c>
      <c r="B1370" s="12" t="s">
        <v>43</v>
      </c>
      <c r="C1370" s="12">
        <v>30.285837532127498</v>
      </c>
      <c r="D1370" s="12">
        <v>2008</v>
      </c>
    </row>
    <row r="1371" spans="1:4" ht="19.95" customHeight="1" x14ac:dyDescent="0.25">
      <c r="A1371" s="11" t="s">
        <v>35</v>
      </c>
      <c r="B1371" s="12" t="s">
        <v>43</v>
      </c>
      <c r="C1371" s="12">
        <v>55.562756168807603</v>
      </c>
      <c r="D1371" s="12">
        <v>2008</v>
      </c>
    </row>
    <row r="1372" spans="1:4" ht="19.95" customHeight="1" x14ac:dyDescent="0.25">
      <c r="A1372" s="11" t="s">
        <v>36</v>
      </c>
      <c r="B1372" s="12" t="s">
        <v>43</v>
      </c>
      <c r="C1372" s="12">
        <v>50.255221534918903</v>
      </c>
      <c r="D1372" s="12">
        <v>2008</v>
      </c>
    </row>
    <row r="1373" spans="1:4" ht="19.95" customHeight="1" x14ac:dyDescent="0.25">
      <c r="A1373" s="11" t="s">
        <v>37</v>
      </c>
      <c r="B1373" s="12" t="s">
        <v>43</v>
      </c>
      <c r="C1373" s="12">
        <v>30.059509392896899</v>
      </c>
      <c r="D1373" s="12">
        <v>2008</v>
      </c>
    </row>
    <row r="1374" spans="1:4" ht="19.95" customHeight="1" x14ac:dyDescent="0.25">
      <c r="A1374" s="11" t="s">
        <v>38</v>
      </c>
      <c r="B1374" s="12" t="s">
        <v>43</v>
      </c>
      <c r="C1374" s="12">
        <v>27.0177239086435</v>
      </c>
      <c r="D1374" s="12">
        <v>2008</v>
      </c>
    </row>
    <row r="1375" spans="1:4" ht="19.95" customHeight="1" x14ac:dyDescent="0.25">
      <c r="A1375" s="11" t="s">
        <v>39</v>
      </c>
      <c r="B1375" s="12" t="s">
        <v>43</v>
      </c>
      <c r="C1375" s="12">
        <v>27.051392327638499</v>
      </c>
      <c r="D1375" s="12">
        <v>2008</v>
      </c>
    </row>
    <row r="1376" spans="1:4" ht="19.95" customHeight="1" x14ac:dyDescent="0.25">
      <c r="A1376" s="11" t="s">
        <v>40</v>
      </c>
      <c r="B1376" s="12" t="s">
        <v>43</v>
      </c>
      <c r="C1376" s="12">
        <v>12.2043351649806</v>
      </c>
      <c r="D1376" s="12">
        <v>2008</v>
      </c>
    </row>
    <row r="1377" spans="1:4" ht="19.95" customHeight="1" x14ac:dyDescent="0.25">
      <c r="A1377" s="11" t="s">
        <v>10</v>
      </c>
      <c r="B1377" s="12" t="s">
        <v>43</v>
      </c>
      <c r="C1377" s="12">
        <v>10.8463380567228</v>
      </c>
      <c r="D1377" s="12">
        <v>2009</v>
      </c>
    </row>
    <row r="1378" spans="1:4" ht="19.95" customHeight="1" x14ac:dyDescent="0.25">
      <c r="A1378" s="11" t="s">
        <v>13</v>
      </c>
      <c r="B1378" s="12" t="s">
        <v>43</v>
      </c>
      <c r="C1378" s="12">
        <v>41.189260838302097</v>
      </c>
      <c r="D1378" s="12">
        <v>2009</v>
      </c>
    </row>
    <row r="1379" spans="1:4" ht="19.95" customHeight="1" x14ac:dyDescent="0.25">
      <c r="A1379" s="11" t="s">
        <v>15</v>
      </c>
      <c r="B1379" s="12" t="s">
        <v>43</v>
      </c>
      <c r="C1379" s="12">
        <v>19.832760515582901</v>
      </c>
      <c r="D1379" s="12">
        <v>2009</v>
      </c>
    </row>
    <row r="1380" spans="1:4" ht="19.95" customHeight="1" x14ac:dyDescent="0.25">
      <c r="A1380" s="11" t="s">
        <v>16</v>
      </c>
      <c r="B1380" s="12" t="s">
        <v>43</v>
      </c>
      <c r="C1380" s="12">
        <v>18.2095262992163</v>
      </c>
      <c r="D1380" s="12">
        <v>2009</v>
      </c>
    </row>
    <row r="1381" spans="1:4" ht="19.95" customHeight="1" x14ac:dyDescent="0.25">
      <c r="A1381" s="11" t="s">
        <v>17</v>
      </c>
      <c r="B1381" s="12" t="s">
        <v>43</v>
      </c>
      <c r="C1381" s="12">
        <v>15.388365756895</v>
      </c>
      <c r="D1381" s="12">
        <v>2009</v>
      </c>
    </row>
    <row r="1382" spans="1:4" ht="19.95" customHeight="1" x14ac:dyDescent="0.25">
      <c r="A1382" s="11" t="s">
        <v>2</v>
      </c>
      <c r="B1382" s="12" t="s">
        <v>43</v>
      </c>
      <c r="C1382" s="12">
        <v>4.7434801430589602</v>
      </c>
      <c r="D1382" s="12">
        <v>2009</v>
      </c>
    </row>
    <row r="1383" spans="1:4" ht="19.95" customHeight="1" x14ac:dyDescent="0.25">
      <c r="A1383" s="11" t="s">
        <v>18</v>
      </c>
      <c r="B1383" s="12" t="s">
        <v>43</v>
      </c>
      <c r="C1383" s="12">
        <v>33.050651900189898</v>
      </c>
      <c r="D1383" s="12">
        <v>2009</v>
      </c>
    </row>
    <row r="1384" spans="1:4" ht="19.95" customHeight="1" x14ac:dyDescent="0.25">
      <c r="A1384" s="11" t="s">
        <v>19</v>
      </c>
      <c r="B1384" s="12" t="s">
        <v>43</v>
      </c>
      <c r="C1384" s="12">
        <v>37.024745074277803</v>
      </c>
      <c r="D1384" s="12">
        <v>2009</v>
      </c>
    </row>
    <row r="1385" spans="1:4" ht="19.95" customHeight="1" x14ac:dyDescent="0.25">
      <c r="A1385" s="11" t="s">
        <v>20</v>
      </c>
      <c r="B1385" s="12" t="s">
        <v>43</v>
      </c>
      <c r="C1385" s="12">
        <v>48.126005474933102</v>
      </c>
      <c r="D1385" s="12">
        <v>2009</v>
      </c>
    </row>
    <row r="1386" spans="1:4" ht="19.95" customHeight="1" x14ac:dyDescent="0.25">
      <c r="A1386" s="11" t="s">
        <v>21</v>
      </c>
      <c r="B1386" s="12" t="s">
        <v>43</v>
      </c>
      <c r="C1386" s="12">
        <v>32.302099349072499</v>
      </c>
      <c r="D1386" s="12">
        <v>2009</v>
      </c>
    </row>
    <row r="1387" spans="1:4" ht="19.95" customHeight="1" x14ac:dyDescent="0.25">
      <c r="A1387" s="11" t="s">
        <v>22</v>
      </c>
      <c r="B1387" s="12" t="s">
        <v>43</v>
      </c>
      <c r="C1387" s="12">
        <v>28.4679005375272</v>
      </c>
      <c r="D1387" s="12">
        <v>2009</v>
      </c>
    </row>
    <row r="1388" spans="1:4" ht="19.95" customHeight="1" x14ac:dyDescent="0.25">
      <c r="A1388" s="11" t="s">
        <v>23</v>
      </c>
      <c r="B1388" s="12" t="s">
        <v>43</v>
      </c>
      <c r="C1388" s="12">
        <v>30.549672005916101</v>
      </c>
      <c r="D1388" s="12">
        <v>2009</v>
      </c>
    </row>
    <row r="1389" spans="1:4" ht="19.95" customHeight="1" x14ac:dyDescent="0.25">
      <c r="A1389" s="11" t="s">
        <v>24</v>
      </c>
      <c r="B1389" s="12" t="s">
        <v>43</v>
      </c>
      <c r="C1389" s="12">
        <v>16.892376701728001</v>
      </c>
      <c r="D1389" s="12">
        <v>2009</v>
      </c>
    </row>
    <row r="1390" spans="1:4" ht="19.95" customHeight="1" x14ac:dyDescent="0.25">
      <c r="A1390" s="11" t="s">
        <v>25</v>
      </c>
      <c r="B1390" s="12" t="s">
        <v>43</v>
      </c>
      <c r="C1390" s="12">
        <v>30.537865869784699</v>
      </c>
      <c r="D1390" s="12">
        <v>2009</v>
      </c>
    </row>
    <row r="1391" spans="1:4" ht="19.95" customHeight="1" x14ac:dyDescent="0.25">
      <c r="A1391" s="11" t="s">
        <v>26</v>
      </c>
      <c r="B1391" s="12" t="s">
        <v>43</v>
      </c>
      <c r="C1391" s="12">
        <v>52.157913496938498</v>
      </c>
      <c r="D1391" s="12">
        <v>2009</v>
      </c>
    </row>
    <row r="1392" spans="1:4" ht="19.95" customHeight="1" x14ac:dyDescent="0.25">
      <c r="A1392" s="11" t="s">
        <v>27</v>
      </c>
      <c r="B1392" s="12" t="s">
        <v>43</v>
      </c>
      <c r="C1392" s="12">
        <v>25.381589056278202</v>
      </c>
      <c r="D1392" s="12">
        <v>2009</v>
      </c>
    </row>
    <row r="1393" spans="1:4" ht="19.95" customHeight="1" x14ac:dyDescent="0.25">
      <c r="A1393" s="11" t="s">
        <v>29</v>
      </c>
      <c r="B1393" s="12" t="s">
        <v>43</v>
      </c>
      <c r="C1393" s="12">
        <v>1.00802820201889</v>
      </c>
      <c r="D1393" s="12">
        <v>2009</v>
      </c>
    </row>
    <row r="1394" spans="1:4" ht="19.95" customHeight="1" x14ac:dyDescent="0.25">
      <c r="A1394" s="11" t="s">
        <v>30</v>
      </c>
      <c r="B1394" s="12" t="s">
        <v>43</v>
      </c>
      <c r="C1394" s="12">
        <v>20.933616687389399</v>
      </c>
      <c r="D1394" s="12">
        <v>2009</v>
      </c>
    </row>
    <row r="1395" spans="1:4" ht="19.95" customHeight="1" x14ac:dyDescent="0.25">
      <c r="A1395" s="11" t="s">
        <v>31</v>
      </c>
      <c r="B1395" s="12" t="s">
        <v>43</v>
      </c>
      <c r="C1395" s="12">
        <v>59.022592282718598</v>
      </c>
      <c r="D1395" s="12">
        <v>2009</v>
      </c>
    </row>
    <row r="1396" spans="1:4" ht="19.95" customHeight="1" x14ac:dyDescent="0.25">
      <c r="A1396" s="11" t="s">
        <v>32</v>
      </c>
      <c r="B1396" s="12" t="s">
        <v>43</v>
      </c>
      <c r="C1396" s="12">
        <v>16.4348950193415</v>
      </c>
      <c r="D1396" s="12">
        <v>2009</v>
      </c>
    </row>
    <row r="1397" spans="1:4" ht="19.95" customHeight="1" x14ac:dyDescent="0.25">
      <c r="A1397" s="11" t="s">
        <v>33</v>
      </c>
      <c r="B1397" s="12" t="s">
        <v>43</v>
      </c>
      <c r="C1397" s="12">
        <v>24.347433200841198</v>
      </c>
      <c r="D1397" s="12">
        <v>2009</v>
      </c>
    </row>
    <row r="1398" spans="1:4" ht="19.95" customHeight="1" x14ac:dyDescent="0.25">
      <c r="A1398" s="11" t="s">
        <v>34</v>
      </c>
      <c r="B1398" s="12" t="s">
        <v>43</v>
      </c>
      <c r="C1398" s="12">
        <v>47.320168839608201</v>
      </c>
      <c r="D1398" s="12">
        <v>2009</v>
      </c>
    </row>
    <row r="1399" spans="1:4" ht="19.95" customHeight="1" x14ac:dyDescent="0.25">
      <c r="A1399" s="11" t="s">
        <v>35</v>
      </c>
      <c r="B1399" s="12" t="s">
        <v>43</v>
      </c>
      <c r="C1399" s="12">
        <v>81.222152672222705</v>
      </c>
      <c r="D1399" s="12">
        <v>2009</v>
      </c>
    </row>
    <row r="1400" spans="1:4" ht="19.95" customHeight="1" x14ac:dyDescent="0.25">
      <c r="A1400" s="11" t="s">
        <v>36</v>
      </c>
      <c r="B1400" s="12" t="s">
        <v>43</v>
      </c>
      <c r="C1400" s="12">
        <v>65.570971276033802</v>
      </c>
      <c r="D1400" s="12">
        <v>2009</v>
      </c>
    </row>
    <row r="1401" spans="1:4" ht="19.95" customHeight="1" x14ac:dyDescent="0.25">
      <c r="A1401" s="11" t="s">
        <v>37</v>
      </c>
      <c r="B1401" s="12" t="s">
        <v>43</v>
      </c>
      <c r="C1401" s="12">
        <v>39.112922374058101</v>
      </c>
      <c r="D1401" s="12">
        <v>2009</v>
      </c>
    </row>
    <row r="1402" spans="1:4" ht="19.95" customHeight="1" x14ac:dyDescent="0.25">
      <c r="A1402" s="11" t="s">
        <v>38</v>
      </c>
      <c r="B1402" s="12" t="s">
        <v>43</v>
      </c>
      <c r="C1402" s="12">
        <v>28.6334799986391</v>
      </c>
      <c r="D1402" s="12">
        <v>2009</v>
      </c>
    </row>
    <row r="1403" spans="1:4" ht="19.95" customHeight="1" x14ac:dyDescent="0.25">
      <c r="A1403" s="11" t="s">
        <v>39</v>
      </c>
      <c r="B1403" s="12" t="s">
        <v>43</v>
      </c>
      <c r="C1403" s="12">
        <v>32.747810951459101</v>
      </c>
      <c r="D1403" s="12">
        <v>2009</v>
      </c>
    </row>
    <row r="1404" spans="1:4" ht="19.95" customHeight="1" x14ac:dyDescent="0.25">
      <c r="A1404" s="11" t="s">
        <v>40</v>
      </c>
      <c r="B1404" s="12" t="s">
        <v>43</v>
      </c>
      <c r="C1404" s="12">
        <v>28.8980948617797</v>
      </c>
      <c r="D1404" s="12">
        <v>2009</v>
      </c>
    </row>
    <row r="1405" spans="1:4" ht="19.95" customHeight="1" x14ac:dyDescent="0.25">
      <c r="A1405" s="11" t="s">
        <v>10</v>
      </c>
      <c r="B1405" s="12" t="s">
        <v>43</v>
      </c>
      <c r="C1405" s="12">
        <v>19.140440268144001</v>
      </c>
      <c r="D1405" s="12">
        <v>2010</v>
      </c>
    </row>
    <row r="1406" spans="1:4" ht="19.95" customHeight="1" x14ac:dyDescent="0.25">
      <c r="A1406" s="11" t="s">
        <v>13</v>
      </c>
      <c r="B1406" s="12" t="s">
        <v>43</v>
      </c>
      <c r="C1406" s="12">
        <v>43.247060225597799</v>
      </c>
      <c r="D1406" s="12">
        <v>2010</v>
      </c>
    </row>
    <row r="1407" spans="1:4" ht="19.95" customHeight="1" x14ac:dyDescent="0.25">
      <c r="A1407" s="11" t="s">
        <v>15</v>
      </c>
      <c r="B1407" s="12" t="s">
        <v>43</v>
      </c>
      <c r="C1407" s="12">
        <v>24.188232016247401</v>
      </c>
      <c r="D1407" s="12">
        <v>2010</v>
      </c>
    </row>
    <row r="1408" spans="1:4" ht="19.95" customHeight="1" x14ac:dyDescent="0.25">
      <c r="A1408" s="11" t="s">
        <v>16</v>
      </c>
      <c r="B1408" s="12" t="s">
        <v>43</v>
      </c>
      <c r="C1408" s="12">
        <v>23.9640303207809</v>
      </c>
      <c r="D1408" s="12">
        <v>2010</v>
      </c>
    </row>
    <row r="1409" spans="1:4" ht="19.95" customHeight="1" x14ac:dyDescent="0.25">
      <c r="A1409" s="11" t="s">
        <v>17</v>
      </c>
      <c r="B1409" s="12" t="s">
        <v>43</v>
      </c>
      <c r="C1409" s="12">
        <v>19.457648864002199</v>
      </c>
      <c r="D1409" s="12">
        <v>2010</v>
      </c>
    </row>
    <row r="1410" spans="1:4" ht="19.95" customHeight="1" x14ac:dyDescent="0.25">
      <c r="A1410" s="11" t="s">
        <v>2</v>
      </c>
      <c r="B1410" s="12" t="s">
        <v>43</v>
      </c>
      <c r="C1410" s="12">
        <v>7.8150414348844803</v>
      </c>
      <c r="D1410" s="12">
        <v>2010</v>
      </c>
    </row>
    <row r="1411" spans="1:4" ht="19.95" customHeight="1" x14ac:dyDescent="0.25">
      <c r="A1411" s="11" t="s">
        <v>18</v>
      </c>
      <c r="B1411" s="12" t="s">
        <v>43</v>
      </c>
      <c r="C1411" s="12">
        <v>37.057040976749498</v>
      </c>
      <c r="D1411" s="12">
        <v>2010</v>
      </c>
    </row>
    <row r="1412" spans="1:4" ht="19.95" customHeight="1" x14ac:dyDescent="0.25">
      <c r="A1412" s="11" t="s">
        <v>19</v>
      </c>
      <c r="B1412" s="12" t="s">
        <v>43</v>
      </c>
      <c r="C1412" s="12">
        <v>40.001532058677803</v>
      </c>
      <c r="D1412" s="12">
        <v>2010</v>
      </c>
    </row>
    <row r="1413" spans="1:4" ht="19.95" customHeight="1" x14ac:dyDescent="0.25">
      <c r="A1413" s="11" t="s">
        <v>20</v>
      </c>
      <c r="B1413" s="12" t="s">
        <v>43</v>
      </c>
      <c r="C1413" s="12">
        <v>60.384036798703903</v>
      </c>
      <c r="D1413" s="12">
        <v>2010</v>
      </c>
    </row>
    <row r="1414" spans="1:4" ht="19.95" customHeight="1" x14ac:dyDescent="0.25">
      <c r="A1414" s="11" t="s">
        <v>21</v>
      </c>
      <c r="B1414" s="12" t="s">
        <v>43</v>
      </c>
      <c r="C1414" s="12">
        <v>32.302099349072499</v>
      </c>
      <c r="D1414" s="12">
        <v>2010</v>
      </c>
    </row>
    <row r="1415" spans="1:4" ht="19.95" customHeight="1" x14ac:dyDescent="0.25">
      <c r="A1415" s="11" t="s">
        <v>22</v>
      </c>
      <c r="B1415" s="12" t="s">
        <v>43</v>
      </c>
      <c r="C1415" s="12">
        <v>39.798841222099099</v>
      </c>
      <c r="D1415" s="12">
        <v>2010</v>
      </c>
    </row>
    <row r="1416" spans="1:4" ht="19.95" customHeight="1" x14ac:dyDescent="0.25">
      <c r="A1416" s="11" t="s">
        <v>23</v>
      </c>
      <c r="B1416" s="12" t="s">
        <v>43</v>
      </c>
      <c r="C1416" s="12">
        <v>36.459210727867898</v>
      </c>
      <c r="D1416" s="12">
        <v>2010</v>
      </c>
    </row>
    <row r="1417" spans="1:4" ht="19.95" customHeight="1" x14ac:dyDescent="0.25">
      <c r="A1417" s="11" t="s">
        <v>24</v>
      </c>
      <c r="B1417" s="12" t="s">
        <v>43</v>
      </c>
      <c r="C1417" s="12">
        <v>20.553467885577302</v>
      </c>
      <c r="D1417" s="12">
        <v>2010</v>
      </c>
    </row>
    <row r="1418" spans="1:4" ht="19.95" customHeight="1" x14ac:dyDescent="0.25">
      <c r="A1418" s="11" t="s">
        <v>25</v>
      </c>
      <c r="B1418" s="12" t="s">
        <v>43</v>
      </c>
      <c r="C1418" s="12">
        <v>49.355496171331701</v>
      </c>
      <c r="D1418" s="12">
        <v>2010</v>
      </c>
    </row>
    <row r="1419" spans="1:4" ht="19.95" customHeight="1" x14ac:dyDescent="0.25">
      <c r="A1419" s="11" t="s">
        <v>26</v>
      </c>
      <c r="B1419" s="12" t="s">
        <v>43</v>
      </c>
      <c r="C1419" s="12">
        <v>62.445926422475701</v>
      </c>
      <c r="D1419" s="12">
        <v>2010</v>
      </c>
    </row>
    <row r="1420" spans="1:4" ht="19.95" customHeight="1" x14ac:dyDescent="0.25">
      <c r="A1420" s="11" t="s">
        <v>27</v>
      </c>
      <c r="B1420" s="12" t="s">
        <v>43</v>
      </c>
      <c r="C1420" s="12">
        <v>29.8255860880077</v>
      </c>
      <c r="D1420" s="12">
        <v>2010</v>
      </c>
    </row>
    <row r="1421" spans="1:4" ht="19.95" customHeight="1" x14ac:dyDescent="0.25">
      <c r="A1421" s="11" t="s">
        <v>29</v>
      </c>
      <c r="B1421" s="12" t="s">
        <v>43</v>
      </c>
      <c r="C1421" s="12">
        <v>1.1843074241959499</v>
      </c>
      <c r="D1421" s="12">
        <v>2010</v>
      </c>
    </row>
    <row r="1422" spans="1:4" ht="19.95" customHeight="1" x14ac:dyDescent="0.25">
      <c r="A1422" s="11" t="s">
        <v>30</v>
      </c>
      <c r="B1422" s="12" t="s">
        <v>43</v>
      </c>
      <c r="C1422" s="12">
        <v>34.028477152745097</v>
      </c>
      <c r="D1422" s="12">
        <v>2010</v>
      </c>
    </row>
    <row r="1423" spans="1:4" ht="19.95" customHeight="1" x14ac:dyDescent="0.25">
      <c r="A1423" s="11" t="s">
        <v>31</v>
      </c>
      <c r="B1423" s="12" t="s">
        <v>43</v>
      </c>
      <c r="C1423" s="12">
        <v>69.056087231816505</v>
      </c>
      <c r="D1423" s="12">
        <v>2010</v>
      </c>
    </row>
    <row r="1424" spans="1:4" ht="19.95" customHeight="1" x14ac:dyDescent="0.25">
      <c r="A1424" s="11" t="s">
        <v>32</v>
      </c>
      <c r="B1424" s="12" t="s">
        <v>43</v>
      </c>
      <c r="C1424" s="12">
        <v>22.3348304698928</v>
      </c>
      <c r="D1424" s="12">
        <v>2010</v>
      </c>
    </row>
    <row r="1425" spans="1:4" ht="19.95" customHeight="1" x14ac:dyDescent="0.25">
      <c r="A1425" s="11" t="s">
        <v>33</v>
      </c>
      <c r="B1425" s="12" t="s">
        <v>43</v>
      </c>
      <c r="C1425" s="12">
        <v>34.632728795857297</v>
      </c>
      <c r="D1425" s="12">
        <v>2010</v>
      </c>
    </row>
    <row r="1426" spans="1:4" ht="19.95" customHeight="1" x14ac:dyDescent="0.25">
      <c r="A1426" s="11" t="s">
        <v>34</v>
      </c>
      <c r="B1426" s="12" t="s">
        <v>43</v>
      </c>
      <c r="C1426" s="12">
        <v>58.778093102027697</v>
      </c>
      <c r="D1426" s="12">
        <v>2010</v>
      </c>
    </row>
    <row r="1427" spans="1:4" ht="19.95" customHeight="1" x14ac:dyDescent="0.25">
      <c r="A1427" s="11" t="s">
        <v>35</v>
      </c>
      <c r="B1427" s="12" t="s">
        <v>43</v>
      </c>
      <c r="C1427" s="12">
        <v>85.944195549013301</v>
      </c>
      <c r="D1427" s="12">
        <v>2010</v>
      </c>
    </row>
    <row r="1428" spans="1:4" ht="19.95" customHeight="1" x14ac:dyDescent="0.25">
      <c r="A1428" s="11" t="s">
        <v>36</v>
      </c>
      <c r="B1428" s="12" t="s">
        <v>43</v>
      </c>
      <c r="C1428" s="12">
        <v>77.743125485007795</v>
      </c>
      <c r="D1428" s="12">
        <v>2010</v>
      </c>
    </row>
    <row r="1429" spans="1:4" ht="19.95" customHeight="1" x14ac:dyDescent="0.25">
      <c r="A1429" s="11" t="s">
        <v>37</v>
      </c>
      <c r="B1429" s="12" t="s">
        <v>43</v>
      </c>
      <c r="C1429" s="12">
        <v>45.519510563782703</v>
      </c>
      <c r="D1429" s="12">
        <v>2010</v>
      </c>
    </row>
    <row r="1430" spans="1:4" ht="19.95" customHeight="1" x14ac:dyDescent="0.25">
      <c r="A1430" s="11" t="s">
        <v>38</v>
      </c>
      <c r="B1430" s="12" t="s">
        <v>43</v>
      </c>
      <c r="C1430" s="12">
        <v>37.8246017787989</v>
      </c>
      <c r="D1430" s="12">
        <v>2010</v>
      </c>
    </row>
    <row r="1431" spans="1:4" ht="19.95" customHeight="1" x14ac:dyDescent="0.25">
      <c r="A1431" s="11" t="s">
        <v>39</v>
      </c>
      <c r="B1431" s="12" t="s">
        <v>43</v>
      </c>
      <c r="C1431" s="12">
        <v>39.328361167081702</v>
      </c>
      <c r="D1431" s="12">
        <v>2010</v>
      </c>
    </row>
    <row r="1432" spans="1:4" ht="19.95" customHeight="1" x14ac:dyDescent="0.25">
      <c r="A1432" s="11" t="s">
        <v>40</v>
      </c>
      <c r="B1432" s="12" t="s">
        <v>43</v>
      </c>
      <c r="C1432" s="12">
        <v>54.662975425017102</v>
      </c>
      <c r="D1432" s="12">
        <v>2010</v>
      </c>
    </row>
    <row r="1433" spans="1:4" ht="19.95" customHeight="1" x14ac:dyDescent="0.25">
      <c r="A1433" s="11" t="s">
        <v>10</v>
      </c>
      <c r="B1433" s="12" t="s">
        <v>43</v>
      </c>
      <c r="C1433" s="12">
        <v>21.170833265144498</v>
      </c>
      <c r="D1433" s="12">
        <v>2011</v>
      </c>
    </row>
    <row r="1434" spans="1:4" ht="19.95" customHeight="1" x14ac:dyDescent="0.25">
      <c r="A1434" s="11" t="s">
        <v>13</v>
      </c>
      <c r="B1434" s="12" t="s">
        <v>43</v>
      </c>
      <c r="C1434" s="12">
        <v>51.103243511215901</v>
      </c>
      <c r="D1434" s="12">
        <v>2011</v>
      </c>
    </row>
    <row r="1435" spans="1:4" ht="19.95" customHeight="1" x14ac:dyDescent="0.25">
      <c r="A1435" s="11" t="s">
        <v>15</v>
      </c>
      <c r="B1435" s="12" t="s">
        <v>43</v>
      </c>
      <c r="C1435" s="12">
        <v>29.829645255610199</v>
      </c>
      <c r="D1435" s="12">
        <v>2011</v>
      </c>
    </row>
    <row r="1436" spans="1:4" ht="19.95" customHeight="1" x14ac:dyDescent="0.25">
      <c r="A1436" s="11" t="s">
        <v>16</v>
      </c>
      <c r="B1436" s="12" t="s">
        <v>43</v>
      </c>
      <c r="C1436" s="12">
        <v>30.6322524764036</v>
      </c>
      <c r="D1436" s="12">
        <v>2011</v>
      </c>
    </row>
    <row r="1437" spans="1:4" ht="19.95" customHeight="1" x14ac:dyDescent="0.25">
      <c r="A1437" s="11" t="s">
        <v>17</v>
      </c>
      <c r="B1437" s="12" t="s">
        <v>43</v>
      </c>
      <c r="C1437" s="12">
        <v>22.2936541572886</v>
      </c>
      <c r="D1437" s="12">
        <v>2011</v>
      </c>
    </row>
    <row r="1438" spans="1:4" ht="19.95" customHeight="1" x14ac:dyDescent="0.25">
      <c r="A1438" s="11" t="s">
        <v>2</v>
      </c>
      <c r="B1438" s="12" t="s">
        <v>43</v>
      </c>
      <c r="C1438" s="12">
        <v>15.6881376159736</v>
      </c>
      <c r="D1438" s="12">
        <v>2011</v>
      </c>
    </row>
    <row r="1439" spans="1:4" ht="19.95" customHeight="1" x14ac:dyDescent="0.25">
      <c r="A1439" s="11" t="s">
        <v>18</v>
      </c>
      <c r="B1439" s="12" t="s">
        <v>43</v>
      </c>
      <c r="C1439" s="12">
        <v>44.046353613039003</v>
      </c>
      <c r="D1439" s="12">
        <v>2011</v>
      </c>
    </row>
    <row r="1440" spans="1:4" ht="19.95" customHeight="1" x14ac:dyDescent="0.25">
      <c r="A1440" s="11" t="s">
        <v>19</v>
      </c>
      <c r="B1440" s="12" t="s">
        <v>43</v>
      </c>
      <c r="C1440" s="12">
        <v>41.399483925861801</v>
      </c>
      <c r="D1440" s="12">
        <v>2011</v>
      </c>
    </row>
    <row r="1441" spans="1:4" ht="19.95" customHeight="1" x14ac:dyDescent="0.25">
      <c r="A1441" s="11" t="s">
        <v>20</v>
      </c>
      <c r="B1441" s="12" t="s">
        <v>43</v>
      </c>
      <c r="C1441" s="12">
        <v>66.092869370677306</v>
      </c>
      <c r="D1441" s="12">
        <v>2011</v>
      </c>
    </row>
    <row r="1442" spans="1:4" ht="19.95" customHeight="1" x14ac:dyDescent="0.25">
      <c r="A1442" s="11" t="s">
        <v>21</v>
      </c>
      <c r="B1442" s="12" t="s">
        <v>43</v>
      </c>
      <c r="C1442" s="12"/>
      <c r="D1442" s="12">
        <v>2011</v>
      </c>
    </row>
    <row r="1443" spans="1:4" ht="19.95" customHeight="1" x14ac:dyDescent="0.25">
      <c r="A1443" s="11" t="s">
        <v>22</v>
      </c>
      <c r="B1443" s="12" t="s">
        <v>43</v>
      </c>
      <c r="C1443" s="12">
        <v>49.645063703774298</v>
      </c>
      <c r="D1443" s="12">
        <v>2011</v>
      </c>
    </row>
    <row r="1444" spans="1:4" ht="19.95" customHeight="1" x14ac:dyDescent="0.25">
      <c r="A1444" s="11" t="s">
        <v>23</v>
      </c>
      <c r="B1444" s="12" t="s">
        <v>43</v>
      </c>
      <c r="C1444" s="12">
        <v>39.9227021733725</v>
      </c>
      <c r="D1444" s="12">
        <v>2011</v>
      </c>
    </row>
    <row r="1445" spans="1:4" ht="19.95" customHeight="1" x14ac:dyDescent="0.25">
      <c r="A1445" s="11" t="s">
        <v>24</v>
      </c>
      <c r="B1445" s="12" t="s">
        <v>43</v>
      </c>
      <c r="C1445" s="12">
        <v>25.285824109598799</v>
      </c>
      <c r="D1445" s="12">
        <v>2011</v>
      </c>
    </row>
    <row r="1446" spans="1:4" ht="19.95" customHeight="1" x14ac:dyDescent="0.25">
      <c r="A1446" s="11" t="s">
        <v>25</v>
      </c>
      <c r="B1446" s="12" t="s">
        <v>43</v>
      </c>
      <c r="C1446" s="12">
        <v>69.634757479076796</v>
      </c>
      <c r="D1446" s="12">
        <v>2011</v>
      </c>
    </row>
    <row r="1447" spans="1:4" ht="19.95" customHeight="1" x14ac:dyDescent="0.25">
      <c r="A1447" s="11" t="s">
        <v>26</v>
      </c>
      <c r="B1447" s="12" t="s">
        <v>43</v>
      </c>
      <c r="C1447" s="12">
        <v>78.905337953307097</v>
      </c>
      <c r="D1447" s="12">
        <v>2011</v>
      </c>
    </row>
    <row r="1448" spans="1:4" ht="19.95" customHeight="1" x14ac:dyDescent="0.25">
      <c r="A1448" s="11" t="s">
        <v>27</v>
      </c>
      <c r="B1448" s="12" t="s">
        <v>43</v>
      </c>
      <c r="C1448" s="12">
        <v>31.498229380041401</v>
      </c>
      <c r="D1448" s="12">
        <v>2011</v>
      </c>
    </row>
    <row r="1449" spans="1:4" ht="19.95" customHeight="1" x14ac:dyDescent="0.25">
      <c r="A1449" s="11" t="s">
        <v>29</v>
      </c>
      <c r="B1449" s="12" t="s">
        <v>43</v>
      </c>
      <c r="C1449" s="12">
        <v>2.4600285589206301</v>
      </c>
      <c r="D1449" s="12">
        <v>2011</v>
      </c>
    </row>
    <row r="1450" spans="1:4" ht="19.95" customHeight="1" x14ac:dyDescent="0.25">
      <c r="A1450" s="11" t="s">
        <v>30</v>
      </c>
      <c r="B1450" s="12" t="s">
        <v>43</v>
      </c>
      <c r="C1450" s="12">
        <v>48.868903146018098</v>
      </c>
      <c r="D1450" s="12">
        <v>2011</v>
      </c>
    </row>
    <row r="1451" spans="1:4" ht="19.95" customHeight="1" x14ac:dyDescent="0.25">
      <c r="A1451" s="11" t="s">
        <v>31</v>
      </c>
      <c r="B1451" s="12" t="s">
        <v>43</v>
      </c>
      <c r="C1451" s="12">
        <v>83.052401761762596</v>
      </c>
      <c r="D1451" s="12">
        <v>2011</v>
      </c>
    </row>
    <row r="1452" spans="1:4" ht="19.95" customHeight="1" x14ac:dyDescent="0.25">
      <c r="A1452" s="11" t="s">
        <v>32</v>
      </c>
      <c r="B1452" s="12" t="s">
        <v>43</v>
      </c>
      <c r="C1452" s="12">
        <v>27.7936136463737</v>
      </c>
      <c r="D1452" s="12">
        <v>2011</v>
      </c>
    </row>
    <row r="1453" spans="1:4" ht="19.95" customHeight="1" x14ac:dyDescent="0.25">
      <c r="A1453" s="11" t="s">
        <v>33</v>
      </c>
      <c r="B1453" s="12" t="s">
        <v>43</v>
      </c>
      <c r="C1453" s="12">
        <v>42.279992213822098</v>
      </c>
      <c r="D1453" s="12">
        <v>2011</v>
      </c>
    </row>
    <row r="1454" spans="1:4" ht="19.95" customHeight="1" x14ac:dyDescent="0.25">
      <c r="A1454" s="11" t="s">
        <v>34</v>
      </c>
      <c r="B1454" s="12" t="s">
        <v>43</v>
      </c>
      <c r="C1454" s="12">
        <v>64.338926174496606</v>
      </c>
      <c r="D1454" s="12">
        <v>2011</v>
      </c>
    </row>
    <row r="1455" spans="1:4" ht="19.95" customHeight="1" x14ac:dyDescent="0.25">
      <c r="A1455" s="11" t="s">
        <v>35</v>
      </c>
      <c r="B1455" s="12" t="s">
        <v>43</v>
      </c>
      <c r="C1455" s="12">
        <v>90.176872606111999</v>
      </c>
      <c r="D1455" s="12">
        <v>2011</v>
      </c>
    </row>
    <row r="1456" spans="1:4" ht="19.95" customHeight="1" x14ac:dyDescent="0.25">
      <c r="A1456" s="11" t="s">
        <v>36</v>
      </c>
      <c r="B1456" s="12" t="s">
        <v>43</v>
      </c>
      <c r="C1456" s="12">
        <v>80.911479847168906</v>
      </c>
      <c r="D1456" s="12">
        <v>2011</v>
      </c>
    </row>
    <row r="1457" spans="1:4" ht="19.95" customHeight="1" x14ac:dyDescent="0.25">
      <c r="A1457" s="11" t="s">
        <v>37</v>
      </c>
      <c r="B1457" s="12" t="s">
        <v>43</v>
      </c>
      <c r="C1457" s="12">
        <v>53.954106230737402</v>
      </c>
      <c r="D1457" s="12">
        <v>2011</v>
      </c>
    </row>
    <row r="1458" spans="1:4" ht="19.95" customHeight="1" x14ac:dyDescent="0.25">
      <c r="A1458" s="11" t="s">
        <v>38</v>
      </c>
      <c r="B1458" s="12" t="s">
        <v>43</v>
      </c>
      <c r="C1458" s="12">
        <v>47.578387974940703</v>
      </c>
      <c r="D1458" s="12">
        <v>2011</v>
      </c>
    </row>
    <row r="1459" spans="1:4" ht="19.95" customHeight="1" x14ac:dyDescent="0.25">
      <c r="A1459" s="11" t="s">
        <v>39</v>
      </c>
      <c r="B1459" s="12" t="s">
        <v>43</v>
      </c>
      <c r="C1459" s="12">
        <v>57.235840556964298</v>
      </c>
      <c r="D1459" s="12">
        <v>2011</v>
      </c>
    </row>
    <row r="1460" spans="1:4" ht="19.95" customHeight="1" x14ac:dyDescent="0.25">
      <c r="A1460" s="11" t="s">
        <v>40</v>
      </c>
      <c r="B1460" s="12" t="s">
        <v>43</v>
      </c>
      <c r="C1460" s="12">
        <v>63.948178620330602</v>
      </c>
      <c r="D1460" s="12">
        <v>2011</v>
      </c>
    </row>
    <row r="1461" spans="1:4" ht="19.95" customHeight="1" x14ac:dyDescent="0.25">
      <c r="A1461" s="11" t="s">
        <v>10</v>
      </c>
      <c r="B1461" s="12" t="s">
        <v>43</v>
      </c>
      <c r="C1461" s="12">
        <v>24.111544243329501</v>
      </c>
      <c r="D1461" s="12">
        <v>2012</v>
      </c>
    </row>
    <row r="1462" spans="1:4" ht="19.95" customHeight="1" x14ac:dyDescent="0.25">
      <c r="A1462" s="11" t="s">
        <v>13</v>
      </c>
      <c r="B1462" s="12" t="s">
        <v>43</v>
      </c>
      <c r="C1462" s="12">
        <v>62.175409677359497</v>
      </c>
      <c r="D1462" s="12">
        <v>2012</v>
      </c>
    </row>
    <row r="1463" spans="1:4" ht="19.95" customHeight="1" x14ac:dyDescent="0.25">
      <c r="A1463" s="11" t="s">
        <v>15</v>
      </c>
      <c r="B1463" s="12" t="s">
        <v>43</v>
      </c>
      <c r="C1463" s="12">
        <v>34.649627886677301</v>
      </c>
      <c r="D1463" s="12">
        <v>2012</v>
      </c>
    </row>
    <row r="1464" spans="1:4" ht="19.95" customHeight="1" x14ac:dyDescent="0.25">
      <c r="A1464" s="11" t="s">
        <v>16</v>
      </c>
      <c r="B1464" s="12" t="s">
        <v>43</v>
      </c>
      <c r="C1464" s="12">
        <v>39.166118684622099</v>
      </c>
      <c r="D1464" s="12">
        <v>2012</v>
      </c>
    </row>
    <row r="1465" spans="1:4" ht="19.95" customHeight="1" x14ac:dyDescent="0.25">
      <c r="A1465" s="11" t="s">
        <v>17</v>
      </c>
      <c r="B1465" s="12" t="s">
        <v>43</v>
      </c>
      <c r="C1465" s="12">
        <v>24.111622417540001</v>
      </c>
      <c r="D1465" s="12">
        <v>2012</v>
      </c>
    </row>
    <row r="1466" spans="1:4" ht="19.95" customHeight="1" x14ac:dyDescent="0.25">
      <c r="A1466" s="11" t="s">
        <v>2</v>
      </c>
      <c r="B1466" s="12" t="s">
        <v>43</v>
      </c>
      <c r="C1466" s="12">
        <v>22.201385023868902</v>
      </c>
      <c r="D1466" s="12">
        <v>2012</v>
      </c>
    </row>
    <row r="1467" spans="1:4" ht="19.95" customHeight="1" x14ac:dyDescent="0.25">
      <c r="A1467" s="11" t="s">
        <v>18</v>
      </c>
      <c r="B1467" s="12" t="s">
        <v>43</v>
      </c>
      <c r="C1467" s="12">
        <v>49.503304933072101</v>
      </c>
      <c r="D1467" s="12">
        <v>2012</v>
      </c>
    </row>
    <row r="1468" spans="1:4" ht="19.95" customHeight="1" x14ac:dyDescent="0.25">
      <c r="A1468" s="11" t="s">
        <v>19</v>
      </c>
      <c r="B1468" s="12" t="s">
        <v>43</v>
      </c>
      <c r="C1468" s="12">
        <v>59.236297052932201</v>
      </c>
      <c r="D1468" s="12">
        <v>2012</v>
      </c>
    </row>
    <row r="1469" spans="1:4" ht="19.95" customHeight="1" x14ac:dyDescent="0.25">
      <c r="A1469" s="11" t="s">
        <v>20</v>
      </c>
      <c r="B1469" s="12" t="s">
        <v>43</v>
      </c>
      <c r="C1469" s="12">
        <v>70.410372356591395</v>
      </c>
      <c r="D1469" s="12">
        <v>2012</v>
      </c>
    </row>
    <row r="1470" spans="1:4" ht="19.95" customHeight="1" x14ac:dyDescent="0.25">
      <c r="A1470" s="11" t="s">
        <v>21</v>
      </c>
      <c r="B1470" s="12" t="s">
        <v>43</v>
      </c>
      <c r="C1470" s="12"/>
      <c r="D1470" s="12">
        <v>2012</v>
      </c>
    </row>
    <row r="1471" spans="1:4" ht="19.95" customHeight="1" x14ac:dyDescent="0.25">
      <c r="A1471" s="11" t="s">
        <v>22</v>
      </c>
      <c r="B1471" s="12" t="s">
        <v>43</v>
      </c>
      <c r="C1471" s="12">
        <v>56.914125172812199</v>
      </c>
      <c r="D1471" s="12">
        <v>2012</v>
      </c>
    </row>
    <row r="1472" spans="1:4" ht="19.95" customHeight="1" x14ac:dyDescent="0.25">
      <c r="A1472" s="11" t="s">
        <v>23</v>
      </c>
      <c r="B1472" s="12" t="s">
        <v>43</v>
      </c>
      <c r="C1472" s="12">
        <v>39.283875876627697</v>
      </c>
      <c r="D1472" s="12">
        <v>2012</v>
      </c>
    </row>
    <row r="1473" spans="1:4" ht="19.95" customHeight="1" x14ac:dyDescent="0.25">
      <c r="A1473" s="11" t="s">
        <v>24</v>
      </c>
      <c r="B1473" s="12" t="s">
        <v>43</v>
      </c>
      <c r="C1473" s="12">
        <v>28.867527825309899</v>
      </c>
      <c r="D1473" s="12">
        <v>2012</v>
      </c>
    </row>
    <row r="1474" spans="1:4" ht="19.95" customHeight="1" x14ac:dyDescent="0.25">
      <c r="A1474" s="11" t="s">
        <v>25</v>
      </c>
      <c r="B1474" s="12" t="s">
        <v>43</v>
      </c>
      <c r="C1474" s="12">
        <v>91.292161330245506</v>
      </c>
      <c r="D1474" s="12">
        <v>2012</v>
      </c>
    </row>
    <row r="1475" spans="1:4" ht="19.95" customHeight="1" x14ac:dyDescent="0.25">
      <c r="A1475" s="11" t="s">
        <v>26</v>
      </c>
      <c r="B1475" s="12" t="s">
        <v>43</v>
      </c>
      <c r="C1475" s="12">
        <v>87.985869367501806</v>
      </c>
      <c r="D1475" s="12">
        <v>2012</v>
      </c>
    </row>
    <row r="1476" spans="1:4" ht="19.95" customHeight="1" x14ac:dyDescent="0.25">
      <c r="A1476" s="11" t="s">
        <v>27</v>
      </c>
      <c r="B1476" s="12" t="s">
        <v>43</v>
      </c>
      <c r="C1476" s="12">
        <v>34.291860847964102</v>
      </c>
      <c r="D1476" s="12">
        <v>2012</v>
      </c>
    </row>
    <row r="1477" spans="1:4" ht="19.95" customHeight="1" x14ac:dyDescent="0.25">
      <c r="A1477" s="11" t="s">
        <v>29</v>
      </c>
      <c r="B1477" s="12" t="s">
        <v>43</v>
      </c>
      <c r="C1477" s="12">
        <v>7.3149088011782899</v>
      </c>
      <c r="D1477" s="12">
        <v>2012</v>
      </c>
    </row>
    <row r="1478" spans="1:4" ht="19.95" customHeight="1" x14ac:dyDescent="0.25">
      <c r="A1478" s="11" t="s">
        <v>30</v>
      </c>
      <c r="B1478" s="12" t="s">
        <v>43</v>
      </c>
      <c r="C1478" s="12">
        <v>60.067511937193302</v>
      </c>
      <c r="D1478" s="12">
        <v>2012</v>
      </c>
    </row>
    <row r="1479" spans="1:4" ht="19.95" customHeight="1" x14ac:dyDescent="0.25">
      <c r="A1479" s="11" t="s">
        <v>31</v>
      </c>
      <c r="B1479" s="12" t="s">
        <v>43</v>
      </c>
      <c r="C1479" s="12">
        <v>99.568069873822296</v>
      </c>
      <c r="D1479" s="12">
        <v>2012</v>
      </c>
    </row>
    <row r="1480" spans="1:4" ht="19.95" customHeight="1" x14ac:dyDescent="0.25">
      <c r="A1480" s="11" t="s">
        <v>32</v>
      </c>
      <c r="B1480" s="12" t="s">
        <v>43</v>
      </c>
      <c r="C1480" s="12">
        <v>30.4288933552317</v>
      </c>
      <c r="D1480" s="12">
        <v>2012</v>
      </c>
    </row>
    <row r="1481" spans="1:4" ht="19.95" customHeight="1" x14ac:dyDescent="0.25">
      <c r="A1481" s="11" t="s">
        <v>33</v>
      </c>
      <c r="B1481" s="12" t="s">
        <v>43</v>
      </c>
      <c r="C1481" s="12">
        <v>52.746580197172001</v>
      </c>
      <c r="D1481" s="12">
        <v>2012</v>
      </c>
    </row>
    <row r="1482" spans="1:4" ht="19.95" customHeight="1" x14ac:dyDescent="0.25">
      <c r="A1482" s="11" t="s">
        <v>34</v>
      </c>
      <c r="B1482" s="12" t="s">
        <v>43</v>
      </c>
      <c r="C1482" s="12">
        <v>66.801174482883098</v>
      </c>
      <c r="D1482" s="12">
        <v>2012</v>
      </c>
    </row>
    <row r="1483" spans="1:4" ht="19.95" customHeight="1" x14ac:dyDescent="0.25">
      <c r="A1483" s="11" t="s">
        <v>35</v>
      </c>
      <c r="B1483" s="12" t="s">
        <v>43</v>
      </c>
      <c r="C1483" s="12">
        <v>94.654909250164806</v>
      </c>
      <c r="D1483" s="12">
        <v>2012</v>
      </c>
    </row>
    <row r="1484" spans="1:4" ht="19.95" customHeight="1" x14ac:dyDescent="0.25">
      <c r="A1484" s="11" t="s">
        <v>36</v>
      </c>
      <c r="B1484" s="12" t="s">
        <v>43</v>
      </c>
      <c r="C1484" s="12">
        <v>81.650398708602907</v>
      </c>
      <c r="D1484" s="12">
        <v>2012</v>
      </c>
    </row>
    <row r="1485" spans="1:4" ht="19.95" customHeight="1" x14ac:dyDescent="0.25">
      <c r="A1485" s="11" t="s">
        <v>37</v>
      </c>
      <c r="B1485" s="12" t="s">
        <v>43</v>
      </c>
      <c r="C1485" s="12">
        <v>55.455625498989001</v>
      </c>
      <c r="D1485" s="12">
        <v>2012</v>
      </c>
    </row>
    <row r="1486" spans="1:4" ht="19.95" customHeight="1" x14ac:dyDescent="0.25">
      <c r="A1486" s="11" t="s">
        <v>38</v>
      </c>
      <c r="B1486" s="12" t="s">
        <v>43</v>
      </c>
      <c r="C1486" s="12">
        <v>45.050483110655101</v>
      </c>
      <c r="D1486" s="12">
        <v>2012</v>
      </c>
    </row>
    <row r="1487" spans="1:4" ht="19.95" customHeight="1" x14ac:dyDescent="0.25">
      <c r="A1487" s="11" t="s">
        <v>39</v>
      </c>
      <c r="B1487" s="12" t="s">
        <v>43</v>
      </c>
      <c r="C1487" s="12">
        <v>71.596742217330601</v>
      </c>
      <c r="D1487" s="12">
        <v>2012</v>
      </c>
    </row>
    <row r="1488" spans="1:4" ht="19.95" customHeight="1" x14ac:dyDescent="0.25">
      <c r="A1488" s="11" t="s">
        <v>40</v>
      </c>
      <c r="B1488" s="12" t="s">
        <v>43</v>
      </c>
      <c r="C1488" s="12">
        <v>85.745932961208297</v>
      </c>
      <c r="D1488" s="12">
        <v>2012</v>
      </c>
    </row>
    <row r="1489" spans="1:4" ht="19.95" customHeight="1" x14ac:dyDescent="0.25">
      <c r="A1489" s="11" t="s">
        <v>10</v>
      </c>
      <c r="B1489" s="12" t="s">
        <v>43</v>
      </c>
      <c r="C1489" s="12">
        <v>26.424810935954799</v>
      </c>
      <c r="D1489" s="12">
        <v>2013</v>
      </c>
    </row>
    <row r="1490" spans="1:4" ht="19.95" customHeight="1" x14ac:dyDescent="0.25">
      <c r="A1490" s="11" t="s">
        <v>13</v>
      </c>
      <c r="B1490" s="12" t="s">
        <v>43</v>
      </c>
      <c r="C1490" s="12">
        <v>72.335021032554195</v>
      </c>
      <c r="D1490" s="12">
        <v>2013</v>
      </c>
    </row>
    <row r="1491" spans="1:4" ht="19.95" customHeight="1" x14ac:dyDescent="0.25">
      <c r="A1491" s="11" t="s">
        <v>15</v>
      </c>
      <c r="B1491" s="12" t="s">
        <v>43</v>
      </c>
      <c r="C1491" s="12">
        <v>34.7296005684356</v>
      </c>
      <c r="D1491" s="12">
        <v>2013</v>
      </c>
    </row>
    <row r="1492" spans="1:4" ht="19.95" customHeight="1" x14ac:dyDescent="0.25">
      <c r="A1492" s="11" t="s">
        <v>16</v>
      </c>
      <c r="B1492" s="12" t="s">
        <v>43</v>
      </c>
      <c r="C1492" s="12">
        <v>46.864463924477398</v>
      </c>
      <c r="D1492" s="12">
        <v>2013</v>
      </c>
    </row>
    <row r="1493" spans="1:4" ht="19.95" customHeight="1" x14ac:dyDescent="0.25">
      <c r="A1493" s="11" t="s">
        <v>17</v>
      </c>
      <c r="B1493" s="12" t="s">
        <v>43</v>
      </c>
      <c r="C1493" s="12">
        <v>27.224965651374799</v>
      </c>
      <c r="D1493" s="12">
        <v>2013</v>
      </c>
    </row>
    <row r="1494" spans="1:4" ht="19.95" customHeight="1" x14ac:dyDescent="0.25">
      <c r="A1494" s="11" t="s">
        <v>2</v>
      </c>
      <c r="B1494" s="12" t="s">
        <v>43</v>
      </c>
      <c r="C1494" s="12">
        <v>27.028643873890399</v>
      </c>
      <c r="D1494" s="12">
        <v>2013</v>
      </c>
    </row>
    <row r="1495" spans="1:4" ht="19.95" customHeight="1" x14ac:dyDescent="0.25">
      <c r="A1495" s="11" t="s">
        <v>18</v>
      </c>
      <c r="B1495" s="12" t="s">
        <v>43</v>
      </c>
      <c r="C1495" s="12">
        <v>64.459731038957301</v>
      </c>
      <c r="D1495" s="12">
        <v>2013</v>
      </c>
    </row>
    <row r="1496" spans="1:4" ht="19.95" customHeight="1" x14ac:dyDescent="0.25">
      <c r="A1496" s="11" t="s">
        <v>19</v>
      </c>
      <c r="B1496" s="12" t="s">
        <v>43</v>
      </c>
      <c r="C1496" s="12">
        <v>68.638360332890599</v>
      </c>
      <c r="D1496" s="12">
        <v>2013</v>
      </c>
    </row>
    <row r="1497" spans="1:4" ht="19.95" customHeight="1" x14ac:dyDescent="0.25">
      <c r="A1497" s="11" t="s">
        <v>20</v>
      </c>
      <c r="B1497" s="12" t="s">
        <v>43</v>
      </c>
      <c r="C1497" s="12">
        <v>71.006559037865898</v>
      </c>
      <c r="D1497" s="12">
        <v>2013</v>
      </c>
    </row>
    <row r="1498" spans="1:4" ht="19.95" customHeight="1" x14ac:dyDescent="0.25">
      <c r="A1498" s="11" t="s">
        <v>21</v>
      </c>
      <c r="B1498" s="12" t="s">
        <v>43</v>
      </c>
      <c r="C1498" s="12"/>
      <c r="D1498" s="12">
        <v>2013</v>
      </c>
    </row>
    <row r="1499" spans="1:4" ht="19.95" customHeight="1" x14ac:dyDescent="0.25">
      <c r="A1499" s="11" t="s">
        <v>22</v>
      </c>
      <c r="B1499" s="12" t="s">
        <v>43</v>
      </c>
      <c r="C1499" s="12">
        <v>59.510075260872398</v>
      </c>
      <c r="D1499" s="12">
        <v>2013</v>
      </c>
    </row>
    <row r="1500" spans="1:4" ht="19.95" customHeight="1" x14ac:dyDescent="0.25">
      <c r="A1500" s="11" t="s">
        <v>23</v>
      </c>
      <c r="B1500" s="12" t="s">
        <v>43</v>
      </c>
      <c r="C1500" s="12">
        <v>36.8497286677242</v>
      </c>
      <c r="D1500" s="12">
        <v>2013</v>
      </c>
    </row>
    <row r="1501" spans="1:4" ht="19.95" customHeight="1" x14ac:dyDescent="0.25">
      <c r="A1501" s="11" t="s">
        <v>24</v>
      </c>
      <c r="B1501" s="12" t="s">
        <v>43</v>
      </c>
      <c r="C1501" s="12">
        <v>31.911667309217901</v>
      </c>
      <c r="D1501" s="12">
        <v>2013</v>
      </c>
    </row>
    <row r="1502" spans="1:4" ht="19.95" customHeight="1" x14ac:dyDescent="0.25">
      <c r="A1502" s="11" t="s">
        <v>25</v>
      </c>
      <c r="B1502" s="12" t="s">
        <v>43</v>
      </c>
      <c r="C1502" s="12">
        <v>119.854285318602</v>
      </c>
      <c r="D1502" s="12">
        <v>2013</v>
      </c>
    </row>
    <row r="1503" spans="1:4" ht="19.95" customHeight="1" x14ac:dyDescent="0.25">
      <c r="A1503" s="11" t="s">
        <v>26</v>
      </c>
      <c r="B1503" s="12" t="s">
        <v>43</v>
      </c>
      <c r="C1503" s="12">
        <v>90.787492227338007</v>
      </c>
      <c r="D1503" s="12">
        <v>2013</v>
      </c>
    </row>
    <row r="1504" spans="1:4" ht="19.95" customHeight="1" x14ac:dyDescent="0.25">
      <c r="A1504" s="11" t="s">
        <v>27</v>
      </c>
      <c r="B1504" s="12" t="s">
        <v>43</v>
      </c>
      <c r="C1504" s="12">
        <v>46.9135033735623</v>
      </c>
      <c r="D1504" s="12">
        <v>2013</v>
      </c>
    </row>
    <row r="1505" spans="1:4" ht="19.95" customHeight="1" x14ac:dyDescent="0.25">
      <c r="A1505" s="11" t="s">
        <v>29</v>
      </c>
      <c r="B1505" s="12" t="s">
        <v>43</v>
      </c>
      <c r="C1505" s="12">
        <v>13.280115788705199</v>
      </c>
      <c r="D1505" s="12">
        <v>2013</v>
      </c>
    </row>
    <row r="1506" spans="1:4" ht="19.95" customHeight="1" x14ac:dyDescent="0.25">
      <c r="A1506" s="11" t="s">
        <v>30</v>
      </c>
      <c r="B1506" s="12" t="s">
        <v>43</v>
      </c>
      <c r="C1506" s="12">
        <v>76.333937340697702</v>
      </c>
      <c r="D1506" s="12">
        <v>2013</v>
      </c>
    </row>
    <row r="1507" spans="1:4" ht="19.95" customHeight="1" x14ac:dyDescent="0.25">
      <c r="A1507" s="11" t="s">
        <v>31</v>
      </c>
      <c r="B1507" s="12" t="s">
        <v>43</v>
      </c>
      <c r="C1507" s="12">
        <v>114.51765438388099</v>
      </c>
      <c r="D1507" s="12">
        <v>2013</v>
      </c>
    </row>
    <row r="1508" spans="1:4" ht="19.95" customHeight="1" x14ac:dyDescent="0.25">
      <c r="A1508" s="11" t="s">
        <v>32</v>
      </c>
      <c r="B1508" s="12" t="s">
        <v>43</v>
      </c>
      <c r="C1508" s="12">
        <v>38.023220197660201</v>
      </c>
      <c r="D1508" s="12">
        <v>2013</v>
      </c>
    </row>
    <row r="1509" spans="1:4" ht="19.95" customHeight="1" x14ac:dyDescent="0.25">
      <c r="A1509" s="11" t="s">
        <v>33</v>
      </c>
      <c r="B1509" s="12" t="s">
        <v>43</v>
      </c>
      <c r="C1509" s="12">
        <v>60.452478235498099</v>
      </c>
      <c r="D1509" s="12">
        <v>2013</v>
      </c>
    </row>
    <row r="1510" spans="1:4" ht="19.95" customHeight="1" x14ac:dyDescent="0.25">
      <c r="A1510" s="11" t="s">
        <v>34</v>
      </c>
      <c r="B1510" s="12" t="s">
        <v>43</v>
      </c>
      <c r="C1510" s="12">
        <v>67.004731481728996</v>
      </c>
      <c r="D1510" s="12">
        <v>2013</v>
      </c>
    </row>
    <row r="1511" spans="1:4" ht="19.95" customHeight="1" x14ac:dyDescent="0.25">
      <c r="A1511" s="11" t="s">
        <v>35</v>
      </c>
      <c r="B1511" s="12" t="s">
        <v>43</v>
      </c>
      <c r="C1511" s="12">
        <v>98.966821295398205</v>
      </c>
      <c r="D1511" s="12">
        <v>2013</v>
      </c>
    </row>
    <row r="1512" spans="1:4" ht="19.95" customHeight="1" x14ac:dyDescent="0.25">
      <c r="A1512" s="11" t="s">
        <v>36</v>
      </c>
      <c r="B1512" s="12" t="s">
        <v>43</v>
      </c>
      <c r="C1512" s="12">
        <v>92.165273118998002</v>
      </c>
      <c r="D1512" s="12">
        <v>2013</v>
      </c>
    </row>
    <row r="1513" spans="1:4" ht="19.95" customHeight="1" x14ac:dyDescent="0.25">
      <c r="A1513" s="11" t="s">
        <v>37</v>
      </c>
      <c r="B1513" s="12" t="s">
        <v>43</v>
      </c>
      <c r="C1513" s="12">
        <v>54.195632624981997</v>
      </c>
      <c r="D1513" s="12">
        <v>2013</v>
      </c>
    </row>
    <row r="1514" spans="1:4" ht="19.95" customHeight="1" x14ac:dyDescent="0.25">
      <c r="A1514" s="11" t="s">
        <v>38</v>
      </c>
      <c r="B1514" s="12" t="s">
        <v>43</v>
      </c>
      <c r="C1514" s="12">
        <v>48.114128542131901</v>
      </c>
      <c r="D1514" s="12">
        <v>2013</v>
      </c>
    </row>
    <row r="1515" spans="1:4" ht="19.95" customHeight="1" x14ac:dyDescent="0.25">
      <c r="A1515" s="11" t="s">
        <v>39</v>
      </c>
      <c r="B1515" s="12" t="s">
        <v>43</v>
      </c>
      <c r="C1515" s="12">
        <v>68.604612488047096</v>
      </c>
      <c r="D1515" s="12">
        <v>2013</v>
      </c>
    </row>
    <row r="1516" spans="1:4" ht="19.95" customHeight="1" x14ac:dyDescent="0.25">
      <c r="A1516" s="11" t="s">
        <v>40</v>
      </c>
      <c r="B1516" s="12" t="s">
        <v>43</v>
      </c>
      <c r="C1516" s="12">
        <v>90.558713783102505</v>
      </c>
      <c r="D1516" s="12">
        <v>2013</v>
      </c>
    </row>
    <row r="1517" spans="1:4" ht="19.95" customHeight="1" x14ac:dyDescent="0.25">
      <c r="A1517" s="11" t="s">
        <v>10</v>
      </c>
      <c r="B1517" s="12" t="s">
        <v>43</v>
      </c>
      <c r="C1517" s="12">
        <v>32.281892357197201</v>
      </c>
      <c r="D1517" s="12">
        <v>2014</v>
      </c>
    </row>
    <row r="1518" spans="1:4" ht="19.95" customHeight="1" x14ac:dyDescent="0.25">
      <c r="A1518" s="11" t="s">
        <v>13</v>
      </c>
      <c r="B1518" s="12" t="s">
        <v>43</v>
      </c>
      <c r="C1518" s="12">
        <v>76.614804632250198</v>
      </c>
      <c r="D1518" s="12">
        <v>2014</v>
      </c>
    </row>
    <row r="1519" spans="1:4" ht="19.95" customHeight="1" x14ac:dyDescent="0.25">
      <c r="A1519" s="11" t="s">
        <v>15</v>
      </c>
      <c r="B1519" s="12" t="s">
        <v>43</v>
      </c>
      <c r="C1519" s="12">
        <v>38.701381737401398</v>
      </c>
      <c r="D1519" s="12">
        <v>2014</v>
      </c>
    </row>
    <row r="1520" spans="1:4" ht="19.95" customHeight="1" x14ac:dyDescent="0.25">
      <c r="A1520" s="11" t="s">
        <v>16</v>
      </c>
      <c r="B1520" s="12" t="s">
        <v>43</v>
      </c>
      <c r="C1520" s="12">
        <v>50.435549819920098</v>
      </c>
      <c r="D1520" s="12">
        <v>2014</v>
      </c>
    </row>
    <row r="1521" spans="1:4" ht="19.95" customHeight="1" x14ac:dyDescent="0.25">
      <c r="A1521" s="11" t="s">
        <v>17</v>
      </c>
      <c r="B1521" s="12" t="s">
        <v>43</v>
      </c>
      <c r="C1521" s="12">
        <v>31.4690121513237</v>
      </c>
      <c r="D1521" s="12">
        <v>2014</v>
      </c>
    </row>
    <row r="1522" spans="1:4" ht="19.95" customHeight="1" x14ac:dyDescent="0.25">
      <c r="A1522" s="11" t="s">
        <v>2</v>
      </c>
      <c r="B1522" s="12" t="s">
        <v>43</v>
      </c>
      <c r="C1522" s="12">
        <v>31.3145837613969</v>
      </c>
      <c r="D1522" s="12">
        <v>2014</v>
      </c>
    </row>
    <row r="1523" spans="1:4" ht="19.95" customHeight="1" x14ac:dyDescent="0.25">
      <c r="A1523" s="11" t="s">
        <v>18</v>
      </c>
      <c r="B1523" s="12" t="s">
        <v>43</v>
      </c>
      <c r="C1523" s="12">
        <v>73.5546430060745</v>
      </c>
      <c r="D1523" s="12">
        <v>2014</v>
      </c>
    </row>
    <row r="1524" spans="1:4" ht="19.95" customHeight="1" x14ac:dyDescent="0.25">
      <c r="A1524" s="11" t="s">
        <v>19</v>
      </c>
      <c r="B1524" s="12" t="s">
        <v>43</v>
      </c>
      <c r="C1524" s="12">
        <v>64.027749060625993</v>
      </c>
      <c r="D1524" s="12">
        <v>2014</v>
      </c>
    </row>
    <row r="1525" spans="1:4" ht="19.95" customHeight="1" x14ac:dyDescent="0.25">
      <c r="A1525" s="11" t="s">
        <v>20</v>
      </c>
      <c r="B1525" s="12" t="s">
        <v>43</v>
      </c>
      <c r="C1525" s="12">
        <v>73.075891513712904</v>
      </c>
      <c r="D1525" s="12">
        <v>2014</v>
      </c>
    </row>
    <row r="1526" spans="1:4" ht="19.95" customHeight="1" x14ac:dyDescent="0.25">
      <c r="A1526" s="11" t="s">
        <v>21</v>
      </c>
      <c r="B1526" s="12" t="s">
        <v>43</v>
      </c>
      <c r="C1526" s="12"/>
      <c r="D1526" s="12">
        <v>2014</v>
      </c>
    </row>
    <row r="1527" spans="1:4" ht="19.95" customHeight="1" x14ac:dyDescent="0.25">
      <c r="A1527" s="11" t="s">
        <v>22</v>
      </c>
      <c r="B1527" s="12" t="s">
        <v>43</v>
      </c>
      <c r="C1527" s="12">
        <v>73.455959671462907</v>
      </c>
      <c r="D1527" s="12">
        <v>2014</v>
      </c>
    </row>
    <row r="1528" spans="1:4" ht="19.95" customHeight="1" x14ac:dyDescent="0.25">
      <c r="A1528" s="11" t="s">
        <v>23</v>
      </c>
      <c r="B1528" s="12" t="s">
        <v>43</v>
      </c>
      <c r="C1528" s="12">
        <v>41.178316849726698</v>
      </c>
      <c r="D1528" s="12">
        <v>2014</v>
      </c>
    </row>
    <row r="1529" spans="1:4" ht="19.95" customHeight="1" x14ac:dyDescent="0.25">
      <c r="A1529" s="11" t="s">
        <v>24</v>
      </c>
      <c r="B1529" s="12" t="s">
        <v>43</v>
      </c>
      <c r="C1529" s="12">
        <v>32.998813393155402</v>
      </c>
      <c r="D1529" s="12">
        <v>2014</v>
      </c>
    </row>
    <row r="1530" spans="1:4" ht="19.95" customHeight="1" x14ac:dyDescent="0.25">
      <c r="A1530" s="11" t="s">
        <v>25</v>
      </c>
      <c r="B1530" s="12" t="s">
        <v>43</v>
      </c>
      <c r="C1530" s="12">
        <v>138.570844774515</v>
      </c>
      <c r="D1530" s="12">
        <v>2014</v>
      </c>
    </row>
    <row r="1531" spans="1:4" ht="19.95" customHeight="1" x14ac:dyDescent="0.25">
      <c r="A1531" s="11" t="s">
        <v>26</v>
      </c>
      <c r="B1531" s="12" t="s">
        <v>43</v>
      </c>
      <c r="C1531" s="12">
        <v>91.8471996754743</v>
      </c>
      <c r="D1531" s="12">
        <v>2014</v>
      </c>
    </row>
    <row r="1532" spans="1:4" ht="19.95" customHeight="1" x14ac:dyDescent="0.25">
      <c r="A1532" s="11" t="s">
        <v>27</v>
      </c>
      <c r="B1532" s="12" t="s">
        <v>43</v>
      </c>
      <c r="C1532" s="12">
        <v>67.919956437477595</v>
      </c>
      <c r="D1532" s="12">
        <v>2014</v>
      </c>
    </row>
    <row r="1533" spans="1:4" ht="19.95" customHeight="1" x14ac:dyDescent="0.25">
      <c r="A1533" s="11" t="s">
        <v>29</v>
      </c>
      <c r="B1533" s="12" t="s">
        <v>43</v>
      </c>
      <c r="C1533" s="12">
        <v>55.907172500088699</v>
      </c>
      <c r="D1533" s="12">
        <v>2014</v>
      </c>
    </row>
    <row r="1534" spans="1:4" ht="19.95" customHeight="1" x14ac:dyDescent="0.25">
      <c r="A1534" s="11" t="s">
        <v>30</v>
      </c>
      <c r="B1534" s="12" t="s">
        <v>43</v>
      </c>
      <c r="C1534" s="12">
        <v>81.280740435037103</v>
      </c>
      <c r="D1534" s="12">
        <v>2014</v>
      </c>
    </row>
    <row r="1535" spans="1:4" ht="19.95" customHeight="1" x14ac:dyDescent="0.25">
      <c r="A1535" s="11" t="s">
        <v>31</v>
      </c>
      <c r="B1535" s="12" t="s">
        <v>43</v>
      </c>
      <c r="C1535" s="12">
        <v>117.52350391927401</v>
      </c>
      <c r="D1535" s="12">
        <v>2014</v>
      </c>
    </row>
    <row r="1536" spans="1:4" ht="19.95" customHeight="1" x14ac:dyDescent="0.25">
      <c r="A1536" s="11" t="s">
        <v>32</v>
      </c>
      <c r="B1536" s="12" t="s">
        <v>43</v>
      </c>
      <c r="C1536" s="12">
        <v>43.013922078079403</v>
      </c>
      <c r="D1536" s="12">
        <v>2014</v>
      </c>
    </row>
    <row r="1537" spans="1:4" ht="19.95" customHeight="1" x14ac:dyDescent="0.25">
      <c r="A1537" s="11" t="s">
        <v>33</v>
      </c>
      <c r="B1537" s="12" t="s">
        <v>43</v>
      </c>
      <c r="C1537" s="12">
        <v>68.283607117872094</v>
      </c>
      <c r="D1537" s="12">
        <v>2014</v>
      </c>
    </row>
    <row r="1538" spans="1:4" ht="19.95" customHeight="1" x14ac:dyDescent="0.25">
      <c r="A1538" s="11" t="s">
        <v>34</v>
      </c>
      <c r="B1538" s="12" t="s">
        <v>43</v>
      </c>
      <c r="C1538" s="12">
        <v>67.183921867974405</v>
      </c>
      <c r="D1538" s="12">
        <v>2014</v>
      </c>
    </row>
    <row r="1539" spans="1:4" ht="19.95" customHeight="1" x14ac:dyDescent="0.25">
      <c r="A1539" s="11" t="s">
        <v>35</v>
      </c>
      <c r="B1539" s="12" t="s">
        <v>43</v>
      </c>
      <c r="C1539" s="12">
        <v>107.270498930253</v>
      </c>
      <c r="D1539" s="12">
        <v>2014</v>
      </c>
    </row>
    <row r="1540" spans="1:4" ht="19.95" customHeight="1" x14ac:dyDescent="0.25">
      <c r="A1540" s="11" t="s">
        <v>36</v>
      </c>
      <c r="B1540" s="12" t="s">
        <v>43</v>
      </c>
      <c r="C1540" s="12">
        <v>95.6516072174866</v>
      </c>
      <c r="D1540" s="12">
        <v>2014</v>
      </c>
    </row>
    <row r="1541" spans="1:4" ht="19.95" customHeight="1" x14ac:dyDescent="0.25">
      <c r="A1541" s="11" t="s">
        <v>37</v>
      </c>
      <c r="B1541" s="12" t="s">
        <v>43</v>
      </c>
      <c r="C1541" s="12">
        <v>60.998824367684399</v>
      </c>
      <c r="D1541" s="12">
        <v>2014</v>
      </c>
    </row>
    <row r="1542" spans="1:4" ht="19.95" customHeight="1" x14ac:dyDescent="0.25">
      <c r="A1542" s="11" t="s">
        <v>38</v>
      </c>
      <c r="B1542" s="12" t="s">
        <v>43</v>
      </c>
      <c r="C1542" s="12">
        <v>52.444476959462001</v>
      </c>
      <c r="D1542" s="12">
        <v>2014</v>
      </c>
    </row>
    <row r="1543" spans="1:4" ht="19.95" customHeight="1" x14ac:dyDescent="0.25">
      <c r="A1543" s="11" t="s">
        <v>39</v>
      </c>
      <c r="B1543" s="12" t="s">
        <v>43</v>
      </c>
      <c r="C1543" s="12">
        <v>64.751833016302299</v>
      </c>
      <c r="D1543" s="12">
        <v>2014</v>
      </c>
    </row>
    <row r="1544" spans="1:4" ht="19.95" customHeight="1" x14ac:dyDescent="0.25">
      <c r="A1544" s="11" t="s">
        <v>40</v>
      </c>
      <c r="B1544" s="12" t="s">
        <v>43</v>
      </c>
      <c r="C1544" s="12">
        <v>76.556584537371805</v>
      </c>
      <c r="D1544" s="12">
        <v>2014</v>
      </c>
    </row>
    <row r="1545" spans="1:4" ht="19.95" customHeight="1" x14ac:dyDescent="0.25">
      <c r="A1545" s="11" t="s">
        <v>10</v>
      </c>
      <c r="B1545" s="12" t="s">
        <v>43</v>
      </c>
      <c r="C1545" s="12">
        <v>49.000526508269701</v>
      </c>
      <c r="D1545" s="12">
        <v>2015</v>
      </c>
    </row>
    <row r="1546" spans="1:4" ht="19.95" customHeight="1" x14ac:dyDescent="0.25">
      <c r="A1546" s="11" t="s">
        <v>13</v>
      </c>
      <c r="B1546" s="12" t="s">
        <v>43</v>
      </c>
      <c r="C1546" s="12">
        <v>79.531627594394095</v>
      </c>
      <c r="D1546" s="12">
        <v>2015</v>
      </c>
    </row>
    <row r="1547" spans="1:4" ht="19.95" customHeight="1" x14ac:dyDescent="0.25">
      <c r="A1547" s="11" t="s">
        <v>15</v>
      </c>
      <c r="B1547" s="12" t="s">
        <v>43</v>
      </c>
      <c r="C1547" s="12">
        <v>39.015175011258499</v>
      </c>
      <c r="D1547" s="12">
        <v>2015</v>
      </c>
    </row>
    <row r="1548" spans="1:4" ht="19.95" customHeight="1" x14ac:dyDescent="0.25">
      <c r="A1548" s="11" t="s">
        <v>16</v>
      </c>
      <c r="B1548" s="12" t="s">
        <v>43</v>
      </c>
      <c r="C1548" s="12">
        <v>54.640196340735599</v>
      </c>
      <c r="D1548" s="12">
        <v>2015</v>
      </c>
    </row>
    <row r="1549" spans="1:4" ht="19.95" customHeight="1" x14ac:dyDescent="0.25">
      <c r="A1549" s="11" t="s">
        <v>17</v>
      </c>
      <c r="B1549" s="12" t="s">
        <v>43</v>
      </c>
      <c r="C1549" s="12">
        <v>33.895326143448301</v>
      </c>
      <c r="D1549" s="12">
        <v>2015</v>
      </c>
    </row>
    <row r="1550" spans="1:4" ht="19.95" customHeight="1" x14ac:dyDescent="0.25">
      <c r="A1550" s="11" t="s">
        <v>2</v>
      </c>
      <c r="B1550" s="12" t="s">
        <v>43</v>
      </c>
      <c r="C1550" s="12">
        <v>42.365419101670803</v>
      </c>
      <c r="D1550" s="12">
        <v>2015</v>
      </c>
    </row>
    <row r="1551" spans="1:4" ht="19.95" customHeight="1" x14ac:dyDescent="0.25">
      <c r="A1551" s="11" t="s">
        <v>18</v>
      </c>
      <c r="B1551" s="12" t="s">
        <v>43</v>
      </c>
      <c r="C1551" s="12">
        <v>89.020970293841103</v>
      </c>
      <c r="D1551" s="12">
        <v>2015</v>
      </c>
    </row>
    <row r="1552" spans="1:4" ht="19.95" customHeight="1" x14ac:dyDescent="0.25">
      <c r="A1552" s="11" t="s">
        <v>19</v>
      </c>
      <c r="B1552" s="12" t="s">
        <v>43</v>
      </c>
      <c r="C1552" s="12">
        <v>68.1538458234903</v>
      </c>
      <c r="D1552" s="12">
        <v>2015</v>
      </c>
    </row>
    <row r="1553" spans="1:4" ht="19.95" customHeight="1" x14ac:dyDescent="0.25">
      <c r="A1553" s="11" t="s">
        <v>20</v>
      </c>
      <c r="B1553" s="12" t="s">
        <v>43</v>
      </c>
      <c r="C1553" s="12">
        <v>79.845323906789503</v>
      </c>
      <c r="D1553" s="12">
        <v>2015</v>
      </c>
    </row>
    <row r="1554" spans="1:4" ht="19.95" customHeight="1" x14ac:dyDescent="0.25">
      <c r="A1554" s="11" t="s">
        <v>21</v>
      </c>
      <c r="B1554" s="12" t="s">
        <v>43</v>
      </c>
      <c r="C1554" s="12"/>
      <c r="D1554" s="12">
        <v>2015</v>
      </c>
    </row>
    <row r="1555" spans="1:4" ht="19.95" customHeight="1" x14ac:dyDescent="0.25">
      <c r="A1555" s="11" t="s">
        <v>22</v>
      </c>
      <c r="B1555" s="12" t="s">
        <v>43</v>
      </c>
      <c r="C1555" s="12">
        <v>81.162391232505996</v>
      </c>
      <c r="D1555" s="12">
        <v>2015</v>
      </c>
    </row>
    <row r="1556" spans="1:4" ht="19.95" customHeight="1" x14ac:dyDescent="0.25">
      <c r="A1556" s="11" t="s">
        <v>23</v>
      </c>
      <c r="B1556" s="12" t="s">
        <v>43</v>
      </c>
      <c r="C1556" s="12">
        <v>44.126954560864803</v>
      </c>
      <c r="D1556" s="12">
        <v>2015</v>
      </c>
    </row>
    <row r="1557" spans="1:4" ht="19.95" customHeight="1" x14ac:dyDescent="0.25">
      <c r="A1557" s="11" t="s">
        <v>24</v>
      </c>
      <c r="B1557" s="12" t="s">
        <v>43</v>
      </c>
      <c r="C1557" s="12">
        <v>37.366870671456297</v>
      </c>
      <c r="D1557" s="12">
        <v>2015</v>
      </c>
    </row>
    <row r="1558" spans="1:4" ht="19.95" customHeight="1" x14ac:dyDescent="0.25">
      <c r="A1558" s="11" t="s">
        <v>25</v>
      </c>
      <c r="B1558" s="12" t="s">
        <v>43</v>
      </c>
      <c r="C1558" s="12">
        <v>129.94640742550399</v>
      </c>
      <c r="D1558" s="12">
        <v>2015</v>
      </c>
    </row>
    <row r="1559" spans="1:4" ht="19.95" customHeight="1" x14ac:dyDescent="0.25">
      <c r="A1559" s="11" t="s">
        <v>26</v>
      </c>
      <c r="B1559" s="12" t="s">
        <v>43</v>
      </c>
      <c r="C1559" s="12">
        <v>91.322067496642902</v>
      </c>
      <c r="D1559" s="12">
        <v>2015</v>
      </c>
    </row>
    <row r="1560" spans="1:4" ht="19.95" customHeight="1" x14ac:dyDescent="0.25">
      <c r="A1560" s="11" t="s">
        <v>27</v>
      </c>
      <c r="B1560" s="12" t="s">
        <v>43</v>
      </c>
      <c r="C1560" s="12">
        <v>71.883024949295205</v>
      </c>
      <c r="D1560" s="12">
        <v>2015</v>
      </c>
    </row>
    <row r="1561" spans="1:4" ht="19.95" customHeight="1" x14ac:dyDescent="0.25">
      <c r="A1561" s="11" t="s">
        <v>29</v>
      </c>
      <c r="B1561" s="12" t="s">
        <v>43</v>
      </c>
      <c r="C1561" s="12">
        <v>78.226806981778296</v>
      </c>
      <c r="D1561" s="12">
        <v>2015</v>
      </c>
    </row>
    <row r="1562" spans="1:4" ht="19.95" customHeight="1" x14ac:dyDescent="0.25">
      <c r="A1562" s="11" t="s">
        <v>30</v>
      </c>
      <c r="B1562" s="12" t="s">
        <v>43</v>
      </c>
      <c r="C1562" s="12">
        <v>96.021022545771999</v>
      </c>
      <c r="D1562" s="12">
        <v>2015</v>
      </c>
    </row>
    <row r="1563" spans="1:4" ht="19.95" customHeight="1" x14ac:dyDescent="0.25">
      <c r="A1563" s="11" t="s">
        <v>31</v>
      </c>
      <c r="B1563" s="12" t="s">
        <v>43</v>
      </c>
      <c r="C1563" s="12">
        <v>119.43619199823701</v>
      </c>
      <c r="D1563" s="12">
        <v>2015</v>
      </c>
    </row>
    <row r="1564" spans="1:4" ht="19.95" customHeight="1" x14ac:dyDescent="0.25">
      <c r="A1564" s="11" t="s">
        <v>32</v>
      </c>
      <c r="B1564" s="12" t="s">
        <v>43</v>
      </c>
      <c r="C1564" s="12">
        <v>45.026967680749301</v>
      </c>
      <c r="D1564" s="12">
        <v>2015</v>
      </c>
    </row>
    <row r="1565" spans="1:4" ht="19.95" customHeight="1" x14ac:dyDescent="0.25">
      <c r="A1565" s="11" t="s">
        <v>33</v>
      </c>
      <c r="B1565" s="12" t="s">
        <v>43</v>
      </c>
      <c r="C1565" s="12">
        <v>75.322060959694696</v>
      </c>
      <c r="D1565" s="12">
        <v>2015</v>
      </c>
    </row>
    <row r="1566" spans="1:4" ht="19.95" customHeight="1" x14ac:dyDescent="0.25">
      <c r="A1566" s="11" t="s">
        <v>34</v>
      </c>
      <c r="B1566" s="12" t="s">
        <v>43</v>
      </c>
      <c r="C1566" s="12">
        <v>94.588679283876999</v>
      </c>
      <c r="D1566" s="12">
        <v>2015</v>
      </c>
    </row>
    <row r="1567" spans="1:4" ht="19.95" customHeight="1" x14ac:dyDescent="0.25">
      <c r="A1567" s="11" t="s">
        <v>35</v>
      </c>
      <c r="B1567" s="12" t="s">
        <v>43</v>
      </c>
      <c r="C1567" s="12">
        <v>115.37895070203599</v>
      </c>
      <c r="D1567" s="12">
        <v>2015</v>
      </c>
    </row>
    <row r="1568" spans="1:4" ht="19.95" customHeight="1" x14ac:dyDescent="0.25">
      <c r="A1568" s="11" t="s">
        <v>36</v>
      </c>
      <c r="B1568" s="12" t="s">
        <v>43</v>
      </c>
      <c r="C1568" s="12">
        <v>99.302217390790702</v>
      </c>
      <c r="D1568" s="12">
        <v>2015</v>
      </c>
    </row>
    <row r="1569" spans="1:4" ht="19.95" customHeight="1" x14ac:dyDescent="0.25">
      <c r="A1569" s="11" t="s">
        <v>37</v>
      </c>
      <c r="B1569" s="12" t="s">
        <v>43</v>
      </c>
      <c r="C1569" s="12">
        <v>73.618470037012102</v>
      </c>
      <c r="D1569" s="12">
        <v>2015</v>
      </c>
    </row>
    <row r="1570" spans="1:4" ht="19.95" customHeight="1" x14ac:dyDescent="0.25">
      <c r="A1570" s="11" t="s">
        <v>38</v>
      </c>
      <c r="B1570" s="12" t="s">
        <v>43</v>
      </c>
      <c r="C1570" s="12">
        <v>50.368261249818502</v>
      </c>
      <c r="D1570" s="12">
        <v>2015</v>
      </c>
    </row>
    <row r="1571" spans="1:4" ht="19.95" customHeight="1" x14ac:dyDescent="0.25">
      <c r="A1571" s="11" t="s">
        <v>39</v>
      </c>
      <c r="B1571" s="12" t="s">
        <v>43</v>
      </c>
      <c r="C1571" s="12">
        <v>71.784494565322404</v>
      </c>
      <c r="D1571" s="12">
        <v>2015</v>
      </c>
    </row>
    <row r="1572" spans="1:4" ht="19.95" customHeight="1" x14ac:dyDescent="0.25">
      <c r="A1572" s="11" t="s">
        <v>40</v>
      </c>
      <c r="B1572" s="12" t="s">
        <v>43</v>
      </c>
      <c r="C1572" s="12">
        <v>80.858498625665206</v>
      </c>
      <c r="D1572" s="12">
        <v>2015</v>
      </c>
    </row>
    <row r="1573" spans="1:4" ht="19.95" customHeight="1" x14ac:dyDescent="0.25">
      <c r="A1573" s="11" t="s">
        <v>10</v>
      </c>
      <c r="B1573" s="12" t="s">
        <v>43</v>
      </c>
      <c r="C1573" s="12">
        <v>50.9098863116022</v>
      </c>
      <c r="D1573" s="12">
        <v>2016</v>
      </c>
    </row>
    <row r="1574" spans="1:4" ht="19.95" customHeight="1" x14ac:dyDescent="0.25">
      <c r="A1574" s="11" t="s">
        <v>13</v>
      </c>
      <c r="B1574" s="12" t="s">
        <v>43</v>
      </c>
      <c r="C1574" s="12">
        <v>79.855591419993203</v>
      </c>
      <c r="D1574" s="12">
        <v>2016</v>
      </c>
    </row>
    <row r="1575" spans="1:4" ht="19.95" customHeight="1" x14ac:dyDescent="0.25">
      <c r="A1575" s="11" t="s">
        <v>15</v>
      </c>
      <c r="B1575" s="12" t="s">
        <v>43</v>
      </c>
      <c r="C1575" s="12">
        <v>38.648623982644402</v>
      </c>
      <c r="D1575" s="12">
        <v>2016</v>
      </c>
    </row>
    <row r="1576" spans="1:4" ht="19.95" customHeight="1" x14ac:dyDescent="0.25">
      <c r="A1576" s="11" t="s">
        <v>16</v>
      </c>
      <c r="B1576" s="12" t="s">
        <v>43</v>
      </c>
      <c r="C1576" s="12">
        <v>57.112673312376401</v>
      </c>
      <c r="D1576" s="12">
        <v>2016</v>
      </c>
    </row>
    <row r="1577" spans="1:4" ht="19.95" customHeight="1" x14ac:dyDescent="0.25">
      <c r="A1577" s="11" t="s">
        <v>17</v>
      </c>
      <c r="B1577" s="12" t="s">
        <v>43</v>
      </c>
      <c r="C1577" s="12">
        <v>36.637367045407501</v>
      </c>
      <c r="D1577" s="12">
        <v>2016</v>
      </c>
    </row>
    <row r="1578" spans="1:4" ht="19.95" customHeight="1" x14ac:dyDescent="0.25">
      <c r="A1578" s="11" t="s">
        <v>2</v>
      </c>
      <c r="B1578" s="12" t="s">
        <v>43</v>
      </c>
      <c r="C1578" s="12">
        <v>50.021876270346098</v>
      </c>
      <c r="D1578" s="12">
        <v>2016</v>
      </c>
    </row>
    <row r="1579" spans="1:4" ht="19.95" customHeight="1" x14ac:dyDescent="0.25">
      <c r="A1579" s="11" t="s">
        <v>18</v>
      </c>
      <c r="B1579" s="12" t="s">
        <v>43</v>
      </c>
      <c r="C1579" s="12">
        <v>87.125413160003205</v>
      </c>
      <c r="D1579" s="12">
        <v>2016</v>
      </c>
    </row>
    <row r="1580" spans="1:4" ht="19.95" customHeight="1" x14ac:dyDescent="0.25">
      <c r="A1580" s="11" t="s">
        <v>19</v>
      </c>
      <c r="B1580" s="12" t="s">
        <v>43</v>
      </c>
      <c r="C1580" s="12">
        <v>59.9595255387176</v>
      </c>
      <c r="D1580" s="12">
        <v>2016</v>
      </c>
    </row>
    <row r="1581" spans="1:4" ht="19.95" customHeight="1" x14ac:dyDescent="0.25">
      <c r="A1581" s="11" t="s">
        <v>20</v>
      </c>
      <c r="B1581" s="12" t="s">
        <v>43</v>
      </c>
      <c r="C1581" s="12">
        <v>80.439388185693602</v>
      </c>
      <c r="D1581" s="12">
        <v>2016</v>
      </c>
    </row>
    <row r="1582" spans="1:4" ht="19.95" customHeight="1" x14ac:dyDescent="0.25">
      <c r="A1582" s="11" t="s">
        <v>21</v>
      </c>
      <c r="B1582" s="12" t="s">
        <v>43</v>
      </c>
      <c r="C1582" s="12"/>
      <c r="D1582" s="12">
        <v>2016</v>
      </c>
    </row>
    <row r="1583" spans="1:4" ht="19.95" customHeight="1" x14ac:dyDescent="0.25">
      <c r="A1583" s="11" t="s">
        <v>22</v>
      </c>
      <c r="B1583" s="12" t="s">
        <v>43</v>
      </c>
      <c r="C1583" s="12">
        <v>67.557901549322594</v>
      </c>
      <c r="D1583" s="12">
        <v>2016</v>
      </c>
    </row>
    <row r="1584" spans="1:4" ht="19.95" customHeight="1" x14ac:dyDescent="0.25">
      <c r="A1584" s="11" t="s">
        <v>23</v>
      </c>
      <c r="B1584" s="12" t="s">
        <v>43</v>
      </c>
      <c r="C1584" s="12">
        <v>32.1285288495462</v>
      </c>
      <c r="D1584" s="12">
        <v>2016</v>
      </c>
    </row>
    <row r="1585" spans="1:4" ht="19.95" customHeight="1" x14ac:dyDescent="0.25">
      <c r="A1585" s="11" t="s">
        <v>24</v>
      </c>
      <c r="B1585" s="12" t="s">
        <v>43</v>
      </c>
      <c r="C1585" s="12">
        <v>39.678049036637198</v>
      </c>
      <c r="D1585" s="12">
        <v>2016</v>
      </c>
    </row>
    <row r="1586" spans="1:4" ht="19.95" customHeight="1" x14ac:dyDescent="0.25">
      <c r="A1586" s="11" t="s">
        <v>25</v>
      </c>
      <c r="B1586" s="12" t="s">
        <v>43</v>
      </c>
      <c r="C1586" s="12">
        <v>112.35276540709999</v>
      </c>
      <c r="D1586" s="12">
        <v>2016</v>
      </c>
    </row>
    <row r="1587" spans="1:4" ht="19.95" customHeight="1" x14ac:dyDescent="0.25">
      <c r="A1587" s="11" t="s">
        <v>26</v>
      </c>
      <c r="B1587" s="12" t="s">
        <v>43</v>
      </c>
      <c r="C1587" s="12">
        <v>93.321571935024295</v>
      </c>
      <c r="D1587" s="12">
        <v>2016</v>
      </c>
    </row>
    <row r="1588" spans="1:4" ht="19.95" customHeight="1" x14ac:dyDescent="0.25">
      <c r="A1588" s="11" t="s">
        <v>27</v>
      </c>
      <c r="B1588" s="12" t="s">
        <v>43</v>
      </c>
      <c r="C1588" s="12">
        <v>52.118873058948402</v>
      </c>
      <c r="D1588" s="12">
        <v>2016</v>
      </c>
    </row>
    <row r="1589" spans="1:4" ht="19.95" customHeight="1" x14ac:dyDescent="0.25">
      <c r="A1589" s="11" t="s">
        <v>29</v>
      </c>
      <c r="B1589" s="12" t="s">
        <v>43</v>
      </c>
      <c r="C1589" s="12">
        <v>95.653214887644495</v>
      </c>
      <c r="D1589" s="12">
        <v>2016</v>
      </c>
    </row>
    <row r="1590" spans="1:4" ht="19.95" customHeight="1" x14ac:dyDescent="0.25">
      <c r="A1590" s="11" t="s">
        <v>30</v>
      </c>
      <c r="B1590" s="12" t="s">
        <v>43</v>
      </c>
      <c r="C1590" s="12">
        <v>110.825514233956</v>
      </c>
      <c r="D1590" s="12">
        <v>2016</v>
      </c>
    </row>
    <row r="1591" spans="1:4" ht="19.95" customHeight="1" x14ac:dyDescent="0.25">
      <c r="A1591" s="11" t="s">
        <v>31</v>
      </c>
      <c r="B1591" s="12" t="s">
        <v>43</v>
      </c>
      <c r="C1591" s="12">
        <v>125.94475902807299</v>
      </c>
      <c r="D1591" s="12">
        <v>2016</v>
      </c>
    </row>
    <row r="1592" spans="1:4" ht="19.95" customHeight="1" x14ac:dyDescent="0.25">
      <c r="A1592" s="11" t="s">
        <v>32</v>
      </c>
      <c r="B1592" s="12" t="s">
        <v>43</v>
      </c>
      <c r="C1592" s="12">
        <v>36.142827352428597</v>
      </c>
      <c r="D1592" s="12">
        <v>2016</v>
      </c>
    </row>
    <row r="1593" spans="1:4" ht="19.95" customHeight="1" x14ac:dyDescent="0.25">
      <c r="A1593" s="11" t="s">
        <v>33</v>
      </c>
      <c r="B1593" s="12" t="s">
        <v>43</v>
      </c>
      <c r="C1593" s="12">
        <v>74.860725916861099</v>
      </c>
      <c r="D1593" s="12">
        <v>2016</v>
      </c>
    </row>
    <row r="1594" spans="1:4" ht="19.95" customHeight="1" x14ac:dyDescent="0.25">
      <c r="A1594" s="11" t="s">
        <v>34</v>
      </c>
      <c r="B1594" s="12" t="s">
        <v>43</v>
      </c>
      <c r="C1594" s="12">
        <v>89.063578610374705</v>
      </c>
      <c r="D1594" s="12">
        <v>2016</v>
      </c>
    </row>
    <row r="1595" spans="1:4" ht="19.95" customHeight="1" x14ac:dyDescent="0.25">
      <c r="A1595" s="11" t="s">
        <v>35</v>
      </c>
      <c r="B1595" s="12" t="s">
        <v>43</v>
      </c>
      <c r="C1595" s="12">
        <v>124.033987656413</v>
      </c>
      <c r="D1595" s="12">
        <v>2016</v>
      </c>
    </row>
    <row r="1596" spans="1:4" ht="19.95" customHeight="1" x14ac:dyDescent="0.25">
      <c r="A1596" s="11" t="s">
        <v>36</v>
      </c>
      <c r="B1596" s="12" t="s">
        <v>43</v>
      </c>
      <c r="C1596" s="12">
        <v>107.61365461580699</v>
      </c>
      <c r="D1596" s="12">
        <v>2016</v>
      </c>
    </row>
    <row r="1597" spans="1:4" ht="19.95" customHeight="1" x14ac:dyDescent="0.25">
      <c r="A1597" s="11" t="s">
        <v>37</v>
      </c>
      <c r="B1597" s="12" t="s">
        <v>43</v>
      </c>
      <c r="C1597" s="12">
        <v>72.057944942652199</v>
      </c>
      <c r="D1597" s="12">
        <v>2016</v>
      </c>
    </row>
    <row r="1598" spans="1:4" ht="19.95" customHeight="1" x14ac:dyDescent="0.25">
      <c r="A1598" s="11" t="s">
        <v>38</v>
      </c>
      <c r="B1598" s="12" t="s">
        <v>43</v>
      </c>
      <c r="C1598" s="12">
        <v>55.048460439069501</v>
      </c>
      <c r="D1598" s="12">
        <v>2016</v>
      </c>
    </row>
    <row r="1599" spans="1:4" ht="19.95" customHeight="1" x14ac:dyDescent="0.25">
      <c r="A1599" s="11" t="s">
        <v>39</v>
      </c>
      <c r="B1599" s="12" t="s">
        <v>43</v>
      </c>
      <c r="C1599" s="12">
        <v>72.429338349589798</v>
      </c>
      <c r="D1599" s="12">
        <v>2016</v>
      </c>
    </row>
    <row r="1600" spans="1:4" ht="19.95" customHeight="1" x14ac:dyDescent="0.25">
      <c r="A1600" s="11" t="s">
        <v>40</v>
      </c>
      <c r="B1600" s="12" t="s">
        <v>43</v>
      </c>
      <c r="C1600" s="12">
        <v>79.743884378566904</v>
      </c>
      <c r="D1600" s="12">
        <v>2016</v>
      </c>
    </row>
    <row r="1601" spans="1:4" ht="19.95" customHeight="1" x14ac:dyDescent="0.25">
      <c r="A1601" s="11" t="s">
        <v>10</v>
      </c>
      <c r="B1601" s="12" t="s">
        <v>43</v>
      </c>
      <c r="C1601" s="12">
        <v>54.496304161034701</v>
      </c>
      <c r="D1601" s="12">
        <v>2017</v>
      </c>
    </row>
    <row r="1602" spans="1:4" ht="19.95" customHeight="1" x14ac:dyDescent="0.25">
      <c r="A1602" s="11" t="s">
        <v>13</v>
      </c>
      <c r="B1602" s="12" t="s">
        <v>43</v>
      </c>
      <c r="C1602" s="12">
        <v>81.925046376389005</v>
      </c>
      <c r="D1602" s="12">
        <v>2017</v>
      </c>
    </row>
    <row r="1603" spans="1:4" ht="19.95" customHeight="1" x14ac:dyDescent="0.25">
      <c r="A1603" s="11" t="s">
        <v>15</v>
      </c>
      <c r="B1603" s="12" t="s">
        <v>43</v>
      </c>
      <c r="C1603" s="12"/>
      <c r="D1603" s="12">
        <v>2017</v>
      </c>
    </row>
    <row r="1604" spans="1:4" ht="19.95" customHeight="1" x14ac:dyDescent="0.25">
      <c r="A1604" s="11" t="s">
        <v>16</v>
      </c>
      <c r="B1604" s="12" t="s">
        <v>43</v>
      </c>
      <c r="C1604" s="12">
        <v>54.903724235543898</v>
      </c>
      <c r="D1604" s="12">
        <v>2017</v>
      </c>
    </row>
    <row r="1605" spans="1:4" ht="19.95" customHeight="1" x14ac:dyDescent="0.25">
      <c r="A1605" s="11" t="s">
        <v>17</v>
      </c>
      <c r="B1605" s="12" t="s">
        <v>43</v>
      </c>
      <c r="C1605" s="12">
        <v>38.982011212297003</v>
      </c>
      <c r="D1605" s="12">
        <v>2017</v>
      </c>
    </row>
    <row r="1606" spans="1:4" ht="19.95" customHeight="1" x14ac:dyDescent="0.25">
      <c r="A1606" s="11" t="s">
        <v>2</v>
      </c>
      <c r="B1606" s="12" t="s">
        <v>43</v>
      </c>
      <c r="C1606" s="12">
        <v>59.659421183661102</v>
      </c>
      <c r="D1606" s="12">
        <v>2017</v>
      </c>
    </row>
    <row r="1607" spans="1:4" ht="19.95" customHeight="1" x14ac:dyDescent="0.25">
      <c r="A1607" s="11" t="s">
        <v>18</v>
      </c>
      <c r="B1607" s="12" t="s">
        <v>43</v>
      </c>
      <c r="C1607" s="12"/>
      <c r="D1607" s="12">
        <v>2017</v>
      </c>
    </row>
    <row r="1608" spans="1:4" ht="19.95" customHeight="1" x14ac:dyDescent="0.25">
      <c r="A1608" s="11" t="s">
        <v>19</v>
      </c>
      <c r="B1608" s="12" t="s">
        <v>43</v>
      </c>
      <c r="C1608" s="12">
        <v>59.0694265641851</v>
      </c>
      <c r="D1608" s="12">
        <v>2017</v>
      </c>
    </row>
    <row r="1609" spans="1:4" ht="19.95" customHeight="1" x14ac:dyDescent="0.25">
      <c r="A1609" s="11" t="s">
        <v>20</v>
      </c>
      <c r="B1609" s="12" t="s">
        <v>43</v>
      </c>
      <c r="C1609" s="12">
        <v>86.147339805490802</v>
      </c>
      <c r="D1609" s="12">
        <v>2017</v>
      </c>
    </row>
    <row r="1610" spans="1:4" ht="19.95" customHeight="1" x14ac:dyDescent="0.25">
      <c r="A1610" s="11" t="s">
        <v>21</v>
      </c>
      <c r="B1610" s="12" t="s">
        <v>43</v>
      </c>
      <c r="C1610" s="12"/>
      <c r="D1610" s="12">
        <v>2017</v>
      </c>
    </row>
    <row r="1611" spans="1:4" ht="19.95" customHeight="1" x14ac:dyDescent="0.25">
      <c r="A1611" s="11" t="s">
        <v>22</v>
      </c>
      <c r="B1611" s="12" t="s">
        <v>43</v>
      </c>
      <c r="C1611" s="12"/>
      <c r="D1611" s="12">
        <v>2017</v>
      </c>
    </row>
    <row r="1612" spans="1:4" ht="19.95" customHeight="1" x14ac:dyDescent="0.25">
      <c r="A1612" s="11" t="s">
        <v>23</v>
      </c>
      <c r="B1612" s="12" t="s">
        <v>43</v>
      </c>
      <c r="C1612" s="12">
        <v>34.142328612275797</v>
      </c>
      <c r="D1612" s="12">
        <v>2017</v>
      </c>
    </row>
    <row r="1613" spans="1:4" ht="19.95" customHeight="1" x14ac:dyDescent="0.25">
      <c r="A1613" s="11" t="s">
        <v>24</v>
      </c>
      <c r="B1613" s="12" t="s">
        <v>43</v>
      </c>
      <c r="C1613" s="12">
        <v>41.738049578071298</v>
      </c>
      <c r="D1613" s="12">
        <v>2017</v>
      </c>
    </row>
    <row r="1614" spans="1:4" ht="19.95" customHeight="1" x14ac:dyDescent="0.25">
      <c r="A1614" s="11" t="s">
        <v>25</v>
      </c>
      <c r="B1614" s="12" t="s">
        <v>43</v>
      </c>
      <c r="C1614" s="12"/>
      <c r="D1614" s="12">
        <v>2017</v>
      </c>
    </row>
    <row r="1615" spans="1:4" ht="19.95" customHeight="1" x14ac:dyDescent="0.25">
      <c r="A1615" s="11" t="s">
        <v>26</v>
      </c>
      <c r="B1615" s="12" t="s">
        <v>43</v>
      </c>
      <c r="C1615" s="12">
        <v>90.416596317349004</v>
      </c>
      <c r="D1615" s="12">
        <v>2017</v>
      </c>
    </row>
    <row r="1616" spans="1:4" ht="19.95" customHeight="1" x14ac:dyDescent="0.25">
      <c r="A1616" s="11" t="s">
        <v>27</v>
      </c>
      <c r="B1616" s="12" t="s">
        <v>43</v>
      </c>
      <c r="C1616" s="12">
        <v>40.026871295312802</v>
      </c>
      <c r="D1616" s="12">
        <v>2017</v>
      </c>
    </row>
    <row r="1617" spans="1:4" ht="19.95" customHeight="1" x14ac:dyDescent="0.25">
      <c r="A1617" s="11" t="s">
        <v>29</v>
      </c>
      <c r="B1617" s="12" t="s">
        <v>43</v>
      </c>
      <c r="C1617" s="12">
        <v>89.845757615394604</v>
      </c>
      <c r="D1617" s="12">
        <v>2017</v>
      </c>
    </row>
    <row r="1618" spans="1:4" ht="19.95" customHeight="1" x14ac:dyDescent="0.25">
      <c r="A1618" s="11" t="s">
        <v>30</v>
      </c>
      <c r="B1618" s="12" t="s">
        <v>43</v>
      </c>
      <c r="C1618" s="12">
        <v>123.174879588799</v>
      </c>
      <c r="D1618" s="12">
        <v>2017</v>
      </c>
    </row>
    <row r="1619" spans="1:4" ht="19.95" customHeight="1" x14ac:dyDescent="0.25">
      <c r="A1619" s="11" t="s">
        <v>31</v>
      </c>
      <c r="B1619" s="12" t="s">
        <v>43</v>
      </c>
      <c r="C1619" s="12">
        <v>131.560425187866</v>
      </c>
      <c r="D1619" s="12">
        <v>2017</v>
      </c>
    </row>
    <row r="1620" spans="1:4" ht="19.95" customHeight="1" x14ac:dyDescent="0.25">
      <c r="A1620" s="11" t="s">
        <v>32</v>
      </c>
      <c r="B1620" s="12" t="s">
        <v>43</v>
      </c>
      <c r="C1620" s="12">
        <v>40.875083832510398</v>
      </c>
      <c r="D1620" s="12">
        <v>2017</v>
      </c>
    </row>
    <row r="1621" spans="1:4" ht="19.95" customHeight="1" x14ac:dyDescent="0.25">
      <c r="A1621" s="11" t="s">
        <v>33</v>
      </c>
      <c r="B1621" s="12" t="s">
        <v>43</v>
      </c>
      <c r="C1621" s="12">
        <v>72.238884237722402</v>
      </c>
      <c r="D1621" s="12">
        <v>2017</v>
      </c>
    </row>
    <row r="1622" spans="1:4" ht="19.95" customHeight="1" x14ac:dyDescent="0.25">
      <c r="A1622" s="11" t="s">
        <v>34</v>
      </c>
      <c r="B1622" s="12" t="s">
        <v>43</v>
      </c>
      <c r="C1622" s="12">
        <v>84.984363300004404</v>
      </c>
      <c r="D1622" s="12">
        <v>2017</v>
      </c>
    </row>
    <row r="1623" spans="1:4" ht="19.95" customHeight="1" x14ac:dyDescent="0.25">
      <c r="A1623" s="11" t="s">
        <v>35</v>
      </c>
      <c r="B1623" s="12" t="s">
        <v>43</v>
      </c>
      <c r="C1623" s="12">
        <v>135.07302347372499</v>
      </c>
      <c r="D1623" s="12">
        <v>2017</v>
      </c>
    </row>
    <row r="1624" spans="1:4" ht="19.95" customHeight="1" x14ac:dyDescent="0.25">
      <c r="A1624" s="11" t="s">
        <v>36</v>
      </c>
      <c r="B1624" s="12" t="s">
        <v>43</v>
      </c>
      <c r="C1624" s="12"/>
      <c r="D1624" s="12">
        <v>2017</v>
      </c>
    </row>
    <row r="1625" spans="1:4" ht="19.95" customHeight="1" x14ac:dyDescent="0.25">
      <c r="A1625" s="11" t="s">
        <v>37</v>
      </c>
      <c r="B1625" s="12" t="s">
        <v>43</v>
      </c>
      <c r="C1625" s="12">
        <v>69.715314524673303</v>
      </c>
      <c r="D1625" s="12">
        <v>2017</v>
      </c>
    </row>
    <row r="1626" spans="1:4" ht="19.95" customHeight="1" x14ac:dyDescent="0.25">
      <c r="A1626" s="11" t="s">
        <v>38</v>
      </c>
      <c r="B1626" s="12" t="s">
        <v>43</v>
      </c>
      <c r="C1626" s="12">
        <v>58.206150868075902</v>
      </c>
      <c r="D1626" s="12">
        <v>2017</v>
      </c>
    </row>
    <row r="1627" spans="1:4" ht="19.95" customHeight="1" x14ac:dyDescent="0.25">
      <c r="A1627" s="11" t="s">
        <v>39</v>
      </c>
      <c r="B1627" s="12" t="s">
        <v>43</v>
      </c>
      <c r="C1627" s="12">
        <v>78.614933898361599</v>
      </c>
      <c r="D1627" s="12">
        <v>2017</v>
      </c>
    </row>
    <row r="1628" spans="1:4" ht="19.95" customHeight="1" x14ac:dyDescent="0.25">
      <c r="A1628" s="11" t="s">
        <v>40</v>
      </c>
      <c r="B1628" s="12" t="s">
        <v>43</v>
      </c>
      <c r="C1628" s="12">
        <v>85.252182952786697</v>
      </c>
      <c r="D1628" s="12">
        <v>2017</v>
      </c>
    </row>
  </sheetData>
  <mergeCells count="2">
    <mergeCell ref="G2:K2"/>
    <mergeCell ref="J4:K4"/>
  </mergeCells>
  <phoneticPr fontId="10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nlever">
                <anchor moveWithCells="1" sizeWithCells="1">
                  <from>
                    <xdr:col>5</xdr:col>
                    <xdr:colOff>7620</xdr:colOff>
                    <xdr:row>6</xdr:row>
                    <xdr:rowOff>45720</xdr:rowOff>
                  </from>
                  <to>
                    <xdr:col>5</xdr:col>
                    <xdr:colOff>1013460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fficher">
                <anchor moveWithCells="1" sizeWithCells="1">
                  <from>
                    <xdr:col>5</xdr:col>
                    <xdr:colOff>7620</xdr:colOff>
                    <xdr:row>3</xdr:row>
                    <xdr:rowOff>266700</xdr:rowOff>
                  </from>
                  <to>
                    <xdr:col>5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omite 3">
              <controlPr defaultSize="0" print="0" autoFill="0" autoPict="0" macro="[0]!SelectSheet">
                <anchor moveWithCells="1" sizeWithCells="1">
                  <from>
                    <xdr:col>4</xdr:col>
                    <xdr:colOff>800100</xdr:colOff>
                    <xdr:row>8</xdr:row>
                    <xdr:rowOff>106680</xdr:rowOff>
                  </from>
                  <to>
                    <xdr:col>5</xdr:col>
                    <xdr:colOff>998220</xdr:colOff>
                    <xdr:row>9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1:AB72"/>
  <sheetViews>
    <sheetView topLeftCell="A36" workbookViewId="0">
      <selection activeCell="I58" sqref="I58"/>
    </sheetView>
  </sheetViews>
  <sheetFormatPr defaultColWidth="8" defaultRowHeight="13.8" x14ac:dyDescent="0.25"/>
  <cols>
    <col min="1" max="2" width="8" style="1"/>
    <col min="3" max="3" width="8" style="1" bestFit="1" customWidth="1"/>
    <col min="4" max="16384" width="8" style="1"/>
  </cols>
  <sheetData>
    <row r="1" spans="1:28" x14ac:dyDescent="0.25">
      <c r="A1" s="13" t="s">
        <v>7</v>
      </c>
      <c r="B1" s="14">
        <v>1990</v>
      </c>
      <c r="C1" s="14">
        <v>1991</v>
      </c>
      <c r="D1" s="14">
        <v>1992</v>
      </c>
      <c r="E1" s="14">
        <v>1993</v>
      </c>
      <c r="F1" s="14">
        <v>1994</v>
      </c>
      <c r="G1" s="14">
        <v>1995</v>
      </c>
      <c r="H1" s="14">
        <v>1996</v>
      </c>
      <c r="I1" s="14">
        <v>1997</v>
      </c>
      <c r="J1" s="14">
        <v>1998</v>
      </c>
      <c r="K1" s="14">
        <v>1999</v>
      </c>
      <c r="L1" s="14">
        <v>2000</v>
      </c>
      <c r="M1" s="14">
        <v>2001</v>
      </c>
      <c r="N1" s="14">
        <v>2002</v>
      </c>
      <c r="O1" s="14">
        <v>2003</v>
      </c>
      <c r="P1" s="14">
        <v>2004</v>
      </c>
      <c r="Q1" s="14">
        <v>2005</v>
      </c>
      <c r="R1" s="14">
        <v>2006</v>
      </c>
      <c r="S1" s="14">
        <v>2007</v>
      </c>
      <c r="T1" s="14">
        <v>2008</v>
      </c>
      <c r="U1" s="14">
        <v>2009</v>
      </c>
      <c r="V1" s="14">
        <v>2010</v>
      </c>
      <c r="W1" s="14">
        <v>2011</v>
      </c>
      <c r="X1" s="14">
        <v>2012</v>
      </c>
      <c r="Y1" s="14">
        <v>2013</v>
      </c>
      <c r="Z1" s="14">
        <v>2014</v>
      </c>
      <c r="AA1" s="14">
        <v>2015</v>
      </c>
      <c r="AB1" s="14">
        <v>2016</v>
      </c>
    </row>
    <row r="2" spans="1:28" x14ac:dyDescent="0.25">
      <c r="A2" s="13" t="s">
        <v>10</v>
      </c>
      <c r="B2" s="1">
        <v>0.34862706065177901</v>
      </c>
      <c r="C2" s="1">
        <v>0.688546001911163</v>
      </c>
      <c r="D2" s="1">
        <v>1.02795505523682</v>
      </c>
      <c r="E2" s="1">
        <v>1.3643051385879501</v>
      </c>
      <c r="F2" s="1">
        <v>1.69453692436218</v>
      </c>
      <c r="G2" s="1">
        <v>2.0155913829803498</v>
      </c>
      <c r="H2" s="1">
        <v>2.3244094848632799</v>
      </c>
      <c r="I2" s="1">
        <v>2.61793184280396</v>
      </c>
      <c r="J2" s="1">
        <v>3.9</v>
      </c>
      <c r="K2" s="1">
        <v>3.1468539237976101</v>
      </c>
      <c r="L2" s="1">
        <v>3.3776555061340301</v>
      </c>
      <c r="M2" s="1">
        <v>3.5900473594665501</v>
      </c>
      <c r="N2" s="1">
        <v>3.7900922298431401</v>
      </c>
      <c r="O2" s="1">
        <v>3.9838535785675</v>
      </c>
      <c r="P2" s="1">
        <v>4.1773943901062003</v>
      </c>
      <c r="Q2" s="1">
        <v>3.2073170731707301</v>
      </c>
      <c r="R2" s="1">
        <v>4.5880656242370597</v>
      </c>
      <c r="S2" s="1">
        <v>4.81732225418091</v>
      </c>
      <c r="T2" s="1">
        <v>4.8</v>
      </c>
      <c r="U2" s="1">
        <v>5.3419041633606001</v>
      </c>
      <c r="V2" s="1">
        <v>5.3</v>
      </c>
      <c r="W2" s="1">
        <v>5.9385800361633301</v>
      </c>
      <c r="X2" s="1">
        <v>6.5</v>
      </c>
      <c r="Y2" s="1">
        <v>6.5833191871643102</v>
      </c>
      <c r="Z2" s="1">
        <v>7</v>
      </c>
      <c r="AA2" s="1">
        <v>7.2520895004272496</v>
      </c>
      <c r="AB2" s="1">
        <v>7.5884771347045801</v>
      </c>
    </row>
    <row r="3" spans="1:28" x14ac:dyDescent="0.25">
      <c r="A3" s="13" t="s">
        <v>13</v>
      </c>
      <c r="B3" s="1">
        <v>30.129716873168899</v>
      </c>
      <c r="C3" s="1">
        <v>29</v>
      </c>
      <c r="D3" s="1">
        <v>32.555599212646499</v>
      </c>
      <c r="E3" s="1">
        <v>33.765224456787102</v>
      </c>
      <c r="F3" s="1">
        <v>34.968734741210902</v>
      </c>
      <c r="G3" s="1">
        <v>36.1630668640137</v>
      </c>
      <c r="H3" s="1">
        <v>37.345161437988303</v>
      </c>
      <c r="I3" s="1">
        <v>38.511959075927699</v>
      </c>
      <c r="J3" s="1">
        <v>40.700000000000003</v>
      </c>
      <c r="K3" s="1">
        <v>40.787437438964801</v>
      </c>
      <c r="L3" s="1">
        <v>41</v>
      </c>
      <c r="M3" s="1">
        <v>46.2</v>
      </c>
      <c r="N3" s="1">
        <v>44.050506591796903</v>
      </c>
      <c r="O3" s="1">
        <v>45.117542266845703</v>
      </c>
      <c r="P3" s="1">
        <v>47.1</v>
      </c>
      <c r="Q3" s="1">
        <v>47.257022857666001</v>
      </c>
      <c r="R3" s="1">
        <v>49</v>
      </c>
      <c r="S3" s="1">
        <v>48.2</v>
      </c>
      <c r="T3" s="1">
        <v>50.569175720214801</v>
      </c>
      <c r="U3" s="1">
        <v>51.715255737304702</v>
      </c>
      <c r="V3" s="1">
        <v>52.879360198974602</v>
      </c>
      <c r="W3" s="1">
        <v>53.7</v>
      </c>
      <c r="X3" s="1">
        <v>55.249626159667997</v>
      </c>
      <c r="Y3" s="1">
        <v>56.449779510498097</v>
      </c>
      <c r="Z3" s="1">
        <v>56.8</v>
      </c>
      <c r="AA3" s="1">
        <v>58.865100860595703</v>
      </c>
      <c r="AB3" s="1">
        <v>60.0747680664063</v>
      </c>
    </row>
    <row r="4" spans="1:28" x14ac:dyDescent="0.25">
      <c r="A4" s="13" t="s">
        <v>15</v>
      </c>
      <c r="B4" s="1">
        <v>9.9999997764825804E-3</v>
      </c>
      <c r="C4" s="1">
        <v>3.0787270516157199E-2</v>
      </c>
      <c r="D4" s="1">
        <v>0.108397804200649</v>
      </c>
      <c r="E4" s="1">
        <v>0.29748061299324002</v>
      </c>
      <c r="F4" s="1">
        <v>0.57513010501861594</v>
      </c>
      <c r="G4" s="1">
        <v>1.00354039669037</v>
      </c>
      <c r="H4" s="1">
        <v>1.4197142124176001</v>
      </c>
      <c r="I4" s="1">
        <v>2.2999999999999998</v>
      </c>
      <c r="J4" s="1">
        <v>2.2031161785125701</v>
      </c>
      <c r="K4" s="1">
        <v>2.5642261505127002</v>
      </c>
      <c r="L4" s="1">
        <v>2.9023835659027002</v>
      </c>
      <c r="M4" s="1">
        <v>3.2221312522888201</v>
      </c>
      <c r="N4" s="1">
        <v>3.5295321941375701</v>
      </c>
      <c r="O4" s="1">
        <v>3.83064913749695</v>
      </c>
      <c r="P4" s="1">
        <v>3.5</v>
      </c>
      <c r="Q4" s="1">
        <v>4.4382843971252397</v>
      </c>
      <c r="R4" s="1">
        <v>4.7569284439086896</v>
      </c>
      <c r="S4" s="1">
        <v>5.0935411453247097</v>
      </c>
      <c r="T4" s="1">
        <v>5.4526739120483301</v>
      </c>
      <c r="U4" s="1">
        <v>5.8328347206115696</v>
      </c>
      <c r="V4" s="1">
        <v>6.4</v>
      </c>
      <c r="W4" s="1">
        <v>6.6442222595214799</v>
      </c>
      <c r="X4" s="1">
        <v>7.0694417953491202</v>
      </c>
      <c r="Y4" s="1">
        <v>7.5036730766296396</v>
      </c>
      <c r="Z4" s="1">
        <v>7.9439120292663601</v>
      </c>
      <c r="AA4" s="1">
        <v>7.7</v>
      </c>
      <c r="AB4" s="1">
        <v>8.8308982849121005</v>
      </c>
    </row>
    <row r="5" spans="1:28" x14ac:dyDescent="0.25">
      <c r="A5" s="13" t="s">
        <v>16</v>
      </c>
      <c r="B5" s="1">
        <v>15.2995491027832</v>
      </c>
      <c r="C5" s="1">
        <v>17.766576766967798</v>
      </c>
      <c r="D5" s="1">
        <v>20.2330932617188</v>
      </c>
      <c r="E5" s="1">
        <v>22.6965522766113</v>
      </c>
      <c r="F5" s="1">
        <v>25.153892517089801</v>
      </c>
      <c r="G5" s="1">
        <v>27.602054595947301</v>
      </c>
      <c r="H5" s="1">
        <v>28.9</v>
      </c>
      <c r="I5" s="1">
        <v>32.458610534667997</v>
      </c>
      <c r="J5" s="1">
        <v>34.860885620117202</v>
      </c>
      <c r="K5" s="1">
        <v>37.241748809814503</v>
      </c>
      <c r="L5" s="1">
        <v>39.599658966064503</v>
      </c>
      <c r="M5" s="1">
        <v>41.939159393310497</v>
      </c>
      <c r="N5" s="1">
        <v>44.8</v>
      </c>
      <c r="O5" s="1">
        <v>46.587181091308601</v>
      </c>
      <c r="P5" s="1">
        <v>48.907833099365199</v>
      </c>
      <c r="Q5" s="1">
        <v>51.234321594238303</v>
      </c>
      <c r="R5" s="1">
        <v>53.572719573974602</v>
      </c>
      <c r="S5" s="1">
        <v>55.929084777832003</v>
      </c>
      <c r="T5" s="1">
        <v>58.307968139648402</v>
      </c>
      <c r="U5" s="1">
        <v>60.707881927490199</v>
      </c>
      <c r="V5" s="1">
        <v>63.125820159912102</v>
      </c>
      <c r="W5" s="1">
        <v>65.558776855468807</v>
      </c>
      <c r="X5" s="1">
        <v>69.3</v>
      </c>
      <c r="Y5" s="1">
        <v>70.457733154296903</v>
      </c>
      <c r="Z5" s="1">
        <v>72.917724609375</v>
      </c>
      <c r="AA5" s="1">
        <v>75.380714416503906</v>
      </c>
      <c r="AB5" s="1">
        <v>77.844215393066406</v>
      </c>
    </row>
    <row r="6" spans="1:28" x14ac:dyDescent="0.25">
      <c r="A6" s="13" t="s">
        <v>17</v>
      </c>
      <c r="B6" s="1">
        <v>59.609077453613303</v>
      </c>
      <c r="C6" s="1">
        <v>59.3695259094238</v>
      </c>
      <c r="D6" s="1">
        <v>59.129463195800803</v>
      </c>
      <c r="E6" s="1">
        <v>58.886344909667997</v>
      </c>
      <c r="F6" s="1">
        <v>58.6371040344238</v>
      </c>
      <c r="G6" s="1">
        <v>58.378688812255902</v>
      </c>
      <c r="H6" s="1">
        <v>62</v>
      </c>
      <c r="I6" s="1">
        <v>57.822086334228501</v>
      </c>
      <c r="J6" s="1">
        <v>57.517784118652401</v>
      </c>
      <c r="K6" s="1">
        <v>57.192070007324197</v>
      </c>
      <c r="L6" s="1">
        <v>56.843399047851499</v>
      </c>
      <c r="M6" s="1">
        <v>56.476322174072301</v>
      </c>
      <c r="N6" s="1">
        <v>49.7</v>
      </c>
      <c r="O6" s="1">
        <v>55.711185455322301</v>
      </c>
      <c r="P6" s="1">
        <v>55.3252563476563</v>
      </c>
      <c r="Q6" s="1">
        <v>54.945167541503899</v>
      </c>
      <c r="R6" s="1">
        <v>55.5</v>
      </c>
      <c r="S6" s="1">
        <v>54.226772308349602</v>
      </c>
      <c r="T6" s="1">
        <v>53.899078369140597</v>
      </c>
      <c r="U6" s="1">
        <v>53.592414855957003</v>
      </c>
      <c r="V6" s="1">
        <v>53.3037719726563</v>
      </c>
      <c r="W6" s="1">
        <v>53.030147552490199</v>
      </c>
      <c r="X6" s="1">
        <v>54.6</v>
      </c>
      <c r="Y6" s="1">
        <v>52.515945434570298</v>
      </c>
      <c r="Z6" s="1">
        <v>52.269359588622997</v>
      </c>
      <c r="AA6" s="1">
        <v>52.0257759094238</v>
      </c>
      <c r="AB6" s="1">
        <v>51.782691955566399</v>
      </c>
    </row>
    <row r="7" spans="1:28" x14ac:dyDescent="0.25">
      <c r="A7" s="13" t="s">
        <v>2</v>
      </c>
      <c r="B7" s="1">
        <v>9.9999997764825804E-3</v>
      </c>
      <c r="C7" s="1">
        <v>9.9999997764825804E-3</v>
      </c>
      <c r="D7" s="1">
        <v>2.73247733712196E-2</v>
      </c>
      <c r="E7" s="1">
        <v>0.15724191069603</v>
      </c>
      <c r="F7" s="1">
        <v>0.59865397214889504</v>
      </c>
      <c r="G7" s="1">
        <v>1.11878561973572</v>
      </c>
      <c r="H7" s="1">
        <v>2.7807688713073699</v>
      </c>
      <c r="I7" s="1">
        <v>4.4274568557739302</v>
      </c>
      <c r="J7" s="1">
        <v>6.0557899475097701</v>
      </c>
      <c r="K7" s="1">
        <v>7.6627092361450204</v>
      </c>
      <c r="L7" s="1">
        <v>12.7</v>
      </c>
      <c r="M7" s="1">
        <v>10.812232971191399</v>
      </c>
      <c r="N7" s="1">
        <v>12.3654432296753</v>
      </c>
      <c r="O7" s="1">
        <v>13.9123697280884</v>
      </c>
      <c r="P7" s="1">
        <v>15.4590759277344</v>
      </c>
      <c r="Q7" s="1">
        <v>14</v>
      </c>
      <c r="R7" s="1">
        <v>18.576078414916999</v>
      </c>
      <c r="S7" s="1">
        <v>20.158500671386701</v>
      </c>
      <c r="T7" s="1">
        <v>21.763442993164102</v>
      </c>
      <c r="U7" s="1">
        <v>23.389411926269499</v>
      </c>
      <c r="V7" s="1">
        <v>25.033405303955099</v>
      </c>
      <c r="W7" s="1">
        <v>23</v>
      </c>
      <c r="X7" s="1">
        <v>28.363447189331101</v>
      </c>
      <c r="Y7" s="1">
        <v>30.0434875488281</v>
      </c>
      <c r="Z7" s="1">
        <v>27.2</v>
      </c>
      <c r="AA7" s="1">
        <v>33.418590545654197</v>
      </c>
      <c r="AB7" s="1">
        <v>42.9</v>
      </c>
    </row>
    <row r="8" spans="1:28" x14ac:dyDescent="0.25">
      <c r="A8" s="13" t="s">
        <v>18</v>
      </c>
      <c r="B8" s="1">
        <v>6.4290671348571804</v>
      </c>
      <c r="C8" s="1">
        <v>7.4742112159729004</v>
      </c>
      <c r="D8" s="1">
        <v>8.5188455581665004</v>
      </c>
      <c r="E8" s="1">
        <v>9.5604200363159197</v>
      </c>
      <c r="F8" s="1">
        <v>10.5958766937256</v>
      </c>
      <c r="G8" s="1">
        <v>11.6221561431885</v>
      </c>
      <c r="H8" s="1">
        <v>12.636198997497599</v>
      </c>
      <c r="I8" s="1">
        <v>13.634946823120099</v>
      </c>
      <c r="J8" s="1">
        <v>14.615339279174799</v>
      </c>
      <c r="K8" s="1">
        <v>16.399999999999999</v>
      </c>
      <c r="L8" s="1">
        <v>16.5103454589844</v>
      </c>
      <c r="M8" s="1">
        <v>17.427961349487301</v>
      </c>
      <c r="N8" s="1">
        <v>18.33323097229</v>
      </c>
      <c r="O8" s="1">
        <v>19.2322177886963</v>
      </c>
      <c r="P8" s="1">
        <v>20.130983352661101</v>
      </c>
      <c r="Q8" s="1">
        <v>20.2</v>
      </c>
      <c r="R8" s="1">
        <v>21.952104568481399</v>
      </c>
      <c r="S8" s="1">
        <v>22.8865871429443</v>
      </c>
      <c r="T8" s="1">
        <v>23.8435878753662</v>
      </c>
      <c r="U8" s="1">
        <v>24.821617126464801</v>
      </c>
      <c r="V8" s="1">
        <v>25.817670822143601</v>
      </c>
      <c r="W8" s="1">
        <v>26.828742980956999</v>
      </c>
      <c r="X8" s="1">
        <v>26.2</v>
      </c>
      <c r="Y8" s="1">
        <v>28.8839321136475</v>
      </c>
      <c r="Z8" s="1">
        <v>29.922040939331101</v>
      </c>
      <c r="AA8" s="1">
        <v>30.963151931762699</v>
      </c>
      <c r="AB8" s="1">
        <v>33.5</v>
      </c>
    </row>
    <row r="9" spans="1:28" x14ac:dyDescent="0.25">
      <c r="A9" s="13" t="s">
        <v>19</v>
      </c>
      <c r="B9" s="1">
        <v>28.001398086547901</v>
      </c>
      <c r="C9" s="1">
        <v>28.4739665985107</v>
      </c>
      <c r="D9" s="1">
        <v>28.946027755737301</v>
      </c>
      <c r="E9" s="1">
        <v>29.4150276184082</v>
      </c>
      <c r="F9" s="1">
        <v>29.8779106140137</v>
      </c>
      <c r="G9" s="1">
        <v>31.3</v>
      </c>
      <c r="H9" s="1">
        <v>30.773084640502901</v>
      </c>
      <c r="I9" s="1">
        <v>31.199256896972699</v>
      </c>
      <c r="J9" s="1">
        <v>31.6070766448975</v>
      </c>
      <c r="K9" s="1">
        <v>31.993480682373001</v>
      </c>
      <c r="L9" s="1">
        <v>33.700000000000003</v>
      </c>
      <c r="M9" s="1">
        <v>31.542382</v>
      </c>
      <c r="N9" s="1">
        <v>33.034671783447301</v>
      </c>
      <c r="O9" s="1">
        <v>31.6</v>
      </c>
      <c r="P9" s="1">
        <v>33.6872749328613</v>
      </c>
      <c r="Q9" s="1">
        <v>34.019309997558601</v>
      </c>
      <c r="R9" s="1">
        <v>33.9</v>
      </c>
      <c r="S9" s="1">
        <v>34.725154876708999</v>
      </c>
      <c r="T9" s="1">
        <v>35.109580993652301</v>
      </c>
      <c r="U9" s="1">
        <v>35.515037536621101</v>
      </c>
      <c r="V9" s="1">
        <v>35.938518524169901</v>
      </c>
      <c r="W9" s="1">
        <v>36.3770141601562</v>
      </c>
      <c r="X9" s="1">
        <v>37.9</v>
      </c>
      <c r="Y9" s="1">
        <v>37.287055969238303</v>
      </c>
      <c r="Z9" s="1">
        <v>37.752590179443402</v>
      </c>
      <c r="AA9" s="1">
        <v>38.221126556396499</v>
      </c>
      <c r="AB9" s="1">
        <v>38.6901664733887</v>
      </c>
    </row>
    <row r="10" spans="1:28" x14ac:dyDescent="0.25">
      <c r="A10" s="13" t="s">
        <v>20</v>
      </c>
      <c r="B10" s="1">
        <v>3.3183898925781201</v>
      </c>
      <c r="C10" s="1">
        <v>4.61489009857178</v>
      </c>
      <c r="D10" s="1">
        <v>5.9108810424804696</v>
      </c>
      <c r="E10" s="1">
        <v>10.9</v>
      </c>
      <c r="F10" s="1">
        <v>8.4906253814697301</v>
      </c>
      <c r="G10" s="1">
        <v>9.7682619094848597</v>
      </c>
      <c r="H10" s="1">
        <v>11.0336608886719</v>
      </c>
      <c r="I10" s="1">
        <v>12.283764839172401</v>
      </c>
      <c r="J10" s="1">
        <v>14.5</v>
      </c>
      <c r="K10" s="1">
        <v>14.7258501052856</v>
      </c>
      <c r="L10" s="1">
        <v>15.9132328033447</v>
      </c>
      <c r="M10" s="1">
        <v>17.082206726074201</v>
      </c>
      <c r="N10" s="1">
        <v>18.238832473754901</v>
      </c>
      <c r="O10" s="1">
        <v>16</v>
      </c>
      <c r="P10" s="1">
        <v>20.5392971038818</v>
      </c>
      <c r="Q10" s="1">
        <v>21.695262908935501</v>
      </c>
      <c r="R10" s="1">
        <v>22.863132476806602</v>
      </c>
      <c r="S10" s="1">
        <v>24.0489711761475</v>
      </c>
      <c r="T10" s="1">
        <v>25.257329940795799</v>
      </c>
      <c r="U10" s="1">
        <v>23</v>
      </c>
      <c r="V10" s="1">
        <v>19.2</v>
      </c>
      <c r="W10" s="1">
        <v>28.996553421020501</v>
      </c>
      <c r="X10" s="1">
        <v>30.270999908447301</v>
      </c>
      <c r="Y10" s="1">
        <v>31.554456710815401</v>
      </c>
      <c r="Z10" s="1">
        <v>36</v>
      </c>
      <c r="AA10" s="1">
        <v>41.6</v>
      </c>
      <c r="AB10" s="1">
        <v>56</v>
      </c>
    </row>
    <row r="11" spans="1:28" x14ac:dyDescent="0.25">
      <c r="A11" s="13" t="s">
        <v>21</v>
      </c>
      <c r="B11" s="1">
        <v>87.694694519042997</v>
      </c>
      <c r="C11" s="1">
        <v>88.333473205566406</v>
      </c>
      <c r="D11" s="1">
        <v>88.971748352050795</v>
      </c>
      <c r="E11" s="1">
        <v>89.606956481933494</v>
      </c>
      <c r="F11" s="1">
        <v>90.236053466796903</v>
      </c>
      <c r="G11" s="1">
        <v>90.855964660644503</v>
      </c>
      <c r="H11" s="1">
        <v>91.463645935058494</v>
      </c>
      <c r="I11" s="1">
        <v>92.0560302734375</v>
      </c>
      <c r="J11" s="1">
        <v>92.630058288574205</v>
      </c>
      <c r="K11" s="1">
        <v>93.182678222656307</v>
      </c>
      <c r="L11" s="1">
        <v>93.712341308593807</v>
      </c>
      <c r="M11" s="1">
        <v>94.223594665527301</v>
      </c>
      <c r="N11" s="1">
        <v>94.722496032714901</v>
      </c>
      <c r="O11" s="1">
        <v>95.215118408203097</v>
      </c>
      <c r="P11" s="1">
        <v>95.70751953125</v>
      </c>
      <c r="Q11" s="1">
        <v>96.205764770507798</v>
      </c>
      <c r="R11" s="1">
        <v>96.715919494628906</v>
      </c>
      <c r="S11" s="1">
        <v>97.244033813476605</v>
      </c>
      <c r="T11" s="1">
        <v>97.794670104980497</v>
      </c>
      <c r="U11" s="1">
        <v>98.377059936523395</v>
      </c>
      <c r="V11" s="1">
        <v>0</v>
      </c>
      <c r="W11" s="1">
        <v>99.430435180664105</v>
      </c>
      <c r="X11" s="1">
        <v>99.773651123046903</v>
      </c>
      <c r="Y11" s="1">
        <v>99.9425048828125</v>
      </c>
      <c r="Z11" s="1">
        <v>99.993133544921903</v>
      </c>
      <c r="AA11" s="1">
        <v>100</v>
      </c>
      <c r="AB11" s="1">
        <v>100</v>
      </c>
    </row>
    <row r="12" spans="1:28" x14ac:dyDescent="0.25">
      <c r="A12" s="13" t="s">
        <v>22</v>
      </c>
      <c r="B12" s="1">
        <v>9.9999997764825804E-3</v>
      </c>
      <c r="C12" s="1">
        <v>9.9999997764825804E-3</v>
      </c>
      <c r="D12" s="1">
        <v>9.9999997764825804E-3</v>
      </c>
      <c r="E12" s="1">
        <v>9.9999997764825804E-3</v>
      </c>
      <c r="F12" s="1">
        <v>9.9999997764825804E-3</v>
      </c>
      <c r="G12" s="1">
        <v>9.9999997764825804E-3</v>
      </c>
      <c r="H12" s="1">
        <v>9.9999997764825804E-3</v>
      </c>
      <c r="I12" s="1">
        <v>9.9999997764825804E-3</v>
      </c>
      <c r="J12" s="1">
        <v>9.9999997764825804E-3</v>
      </c>
      <c r="K12" s="1">
        <v>9.9999997764825804E-3</v>
      </c>
      <c r="L12" s="1">
        <v>9.9999997764825804E-3</v>
      </c>
      <c r="M12" s="1">
        <v>9.9999997764825804E-3</v>
      </c>
      <c r="N12" s="1">
        <v>9.9999997764825804E-3</v>
      </c>
      <c r="O12" s="1">
        <v>9.9999997764825804E-3</v>
      </c>
      <c r="P12" s="1">
        <v>1.1186852119863E-2</v>
      </c>
      <c r="Q12" s="1">
        <v>4.4350128620863002E-2</v>
      </c>
      <c r="R12" s="1">
        <v>0.244776546955109</v>
      </c>
      <c r="S12" s="1">
        <v>3</v>
      </c>
      <c r="T12" s="1">
        <v>1.7526564598083501</v>
      </c>
      <c r="U12" s="1">
        <v>1.9</v>
      </c>
      <c r="V12" s="1">
        <v>5.1461310386657697</v>
      </c>
      <c r="W12" s="1">
        <v>4.0999999999999996</v>
      </c>
      <c r="X12" s="1">
        <v>8.5996837615966708</v>
      </c>
      <c r="Y12" s="1">
        <v>9.8000000000000007</v>
      </c>
      <c r="Z12" s="1">
        <v>9.4</v>
      </c>
      <c r="AA12" s="1">
        <v>13.840091705322299</v>
      </c>
      <c r="AB12" s="1">
        <v>19.8</v>
      </c>
    </row>
    <row r="13" spans="1:28" x14ac:dyDescent="0.25">
      <c r="A13" s="13" t="s">
        <v>23</v>
      </c>
      <c r="B13" s="1">
        <v>9.5717821121215803</v>
      </c>
      <c r="C13" s="1">
        <v>10.0140933990479</v>
      </c>
      <c r="D13" s="1">
        <v>9.1999999999999993</v>
      </c>
      <c r="E13" s="1">
        <v>10.8946380615234</v>
      </c>
      <c r="F13" s="1">
        <v>11.327262878418001</v>
      </c>
      <c r="G13" s="1">
        <v>11.750709533691399</v>
      </c>
      <c r="H13" s="1">
        <v>12.1619205474854</v>
      </c>
      <c r="I13" s="1">
        <v>10.9</v>
      </c>
      <c r="J13" s="1">
        <v>12.935396194458001</v>
      </c>
      <c r="K13" s="1">
        <v>13.291543006896999</v>
      </c>
      <c r="L13" s="1">
        <v>13.6247367858887</v>
      </c>
      <c r="M13" s="1">
        <v>14.8</v>
      </c>
      <c r="N13" s="1">
        <v>14.2419586181641</v>
      </c>
      <c r="O13" s="1">
        <v>20.3</v>
      </c>
      <c r="P13" s="1">
        <v>14.8340463638306</v>
      </c>
      <c r="Q13" s="1">
        <v>15.135821342468301</v>
      </c>
      <c r="R13" s="1">
        <v>15.4495029449463</v>
      </c>
      <c r="S13" s="1">
        <v>15.781151771545399</v>
      </c>
      <c r="T13" s="1">
        <v>16.135322570800799</v>
      </c>
      <c r="U13" s="1">
        <v>17.399999999999999</v>
      </c>
      <c r="V13" s="1">
        <v>16.903739929199201</v>
      </c>
      <c r="W13" s="1">
        <v>14.3</v>
      </c>
      <c r="X13" s="1">
        <v>17.732236862182599</v>
      </c>
      <c r="Y13" s="1">
        <v>12.9</v>
      </c>
      <c r="Z13" s="1">
        <v>18.5967807769775</v>
      </c>
      <c r="AA13" s="1">
        <v>19.035060882568398</v>
      </c>
      <c r="AB13" s="1">
        <v>22.9</v>
      </c>
    </row>
    <row r="14" spans="1:28" x14ac:dyDescent="0.25">
      <c r="A14" s="13" t="s">
        <v>24</v>
      </c>
      <c r="B14" s="1">
        <v>1.1207196712493901</v>
      </c>
      <c r="C14" s="1">
        <v>1.5494590997695901</v>
      </c>
      <c r="D14" s="1">
        <v>3.2</v>
      </c>
      <c r="E14" s="1">
        <v>2.4028589725494398</v>
      </c>
      <c r="F14" s="1">
        <v>2.82191109657288</v>
      </c>
      <c r="G14" s="1">
        <v>3.2317860126495401</v>
      </c>
      <c r="H14" s="1">
        <v>3.6294245719909699</v>
      </c>
      <c r="I14" s="1">
        <v>4.0117673873901403</v>
      </c>
      <c r="J14" s="1">
        <v>4.3757557868957502</v>
      </c>
      <c r="K14" s="1">
        <v>4.7183303833007804</v>
      </c>
      <c r="L14" s="1">
        <v>4.8</v>
      </c>
      <c r="M14" s="1">
        <v>5.3391642570495597</v>
      </c>
      <c r="N14" s="1">
        <v>5.62802982330322</v>
      </c>
      <c r="O14" s="1">
        <v>6.2</v>
      </c>
      <c r="P14" s="1">
        <v>6.9</v>
      </c>
      <c r="Q14" s="1">
        <v>6.4811758995056197</v>
      </c>
      <c r="R14" s="1">
        <v>3.65322733295476</v>
      </c>
      <c r="S14" s="1">
        <v>7.0993618965148899</v>
      </c>
      <c r="T14" s="1">
        <v>7.4399595260620099</v>
      </c>
      <c r="U14" s="1">
        <v>7.8015847206115696</v>
      </c>
      <c r="V14" s="1">
        <v>8.6999999999999993</v>
      </c>
      <c r="W14" s="1">
        <v>7.6</v>
      </c>
      <c r="X14" s="1">
        <v>7.4</v>
      </c>
      <c r="Y14" s="1">
        <v>9</v>
      </c>
      <c r="Z14" s="1">
        <v>11.9</v>
      </c>
      <c r="AA14" s="1">
        <v>10.8</v>
      </c>
      <c r="AB14" s="1">
        <v>11</v>
      </c>
    </row>
    <row r="15" spans="1:28" x14ac:dyDescent="0.25">
      <c r="A15" s="13" t="s">
        <v>25</v>
      </c>
      <c r="B15" s="1">
        <v>9.9999997764825804E-3</v>
      </c>
      <c r="C15" s="1">
        <v>2.36798115074635E-2</v>
      </c>
      <c r="D15" s="1">
        <v>0.13086751103401201</v>
      </c>
      <c r="E15" s="1">
        <v>0.51163536310195901</v>
      </c>
      <c r="F15" s="1">
        <v>0.88550788164138805</v>
      </c>
      <c r="G15" s="1">
        <v>2.4924738407135001</v>
      </c>
      <c r="H15" s="1">
        <v>6.2</v>
      </c>
      <c r="I15" s="1">
        <v>5.6666369438171396</v>
      </c>
      <c r="J15" s="1">
        <v>7.2277164459228498</v>
      </c>
      <c r="K15" s="1">
        <v>8.7673816680908203</v>
      </c>
      <c r="L15" s="1">
        <v>10.284094810485801</v>
      </c>
      <c r="M15" s="1">
        <v>10.8</v>
      </c>
      <c r="N15" s="1">
        <v>13.268354415893601</v>
      </c>
      <c r="O15" s="1">
        <v>14.7480278015137</v>
      </c>
      <c r="P15" s="1">
        <v>16.227479934692401</v>
      </c>
      <c r="Q15" s="1">
        <v>17.712774276733299</v>
      </c>
      <c r="R15" s="1">
        <v>16.600000000000001</v>
      </c>
      <c r="S15" s="1">
        <v>20.725141525268601</v>
      </c>
      <c r="T15" s="1">
        <v>22.262830734252901</v>
      </c>
      <c r="U15" s="1">
        <v>24.030895834837199</v>
      </c>
      <c r="V15" s="1">
        <v>25.398286819458001</v>
      </c>
      <c r="W15" s="1">
        <v>26.990045547485298</v>
      </c>
      <c r="X15" s="1">
        <v>25.6</v>
      </c>
      <c r="Y15" s="1">
        <v>30.206607818603501</v>
      </c>
      <c r="Z15" s="1">
        <v>31.825401306152301</v>
      </c>
      <c r="AA15" s="1">
        <v>37.6</v>
      </c>
      <c r="AB15" s="1">
        <v>35.069499969482401</v>
      </c>
    </row>
    <row r="16" spans="1:28" x14ac:dyDescent="0.25">
      <c r="A16" s="13" t="s">
        <v>26</v>
      </c>
      <c r="B16" s="1">
        <v>94.91943359375</v>
      </c>
      <c r="C16" s="1">
        <v>95.274398803710895</v>
      </c>
      <c r="D16" s="1">
        <v>95.628852844238295</v>
      </c>
      <c r="E16" s="1">
        <v>95.980247497558494</v>
      </c>
      <c r="F16" s="1">
        <v>96.325523376464801</v>
      </c>
      <c r="G16" s="1">
        <v>96.661628723144503</v>
      </c>
      <c r="H16" s="1">
        <v>96.985488891601605</v>
      </c>
      <c r="I16" s="1">
        <v>97.294052124023395</v>
      </c>
      <c r="J16" s="1">
        <v>97.584266662597699</v>
      </c>
      <c r="K16" s="1">
        <v>97.853065490722699</v>
      </c>
      <c r="L16" s="1">
        <v>98.085433959960895</v>
      </c>
      <c r="M16" s="1">
        <v>98.317108154296903</v>
      </c>
      <c r="N16" s="1">
        <v>99</v>
      </c>
      <c r="O16" s="1">
        <v>98.750076293945298</v>
      </c>
      <c r="P16" s="1">
        <v>99.1</v>
      </c>
      <c r="Q16" s="1">
        <v>98.6</v>
      </c>
      <c r="R16" s="1">
        <v>99.409637451171903</v>
      </c>
      <c r="S16" s="1">
        <v>99.633293151855497</v>
      </c>
      <c r="T16" s="1">
        <v>99.819427490234403</v>
      </c>
      <c r="U16" s="1">
        <v>99.936302185058494</v>
      </c>
      <c r="V16" s="1">
        <v>99.986061096191406</v>
      </c>
      <c r="W16" s="1">
        <v>99.998603820800795</v>
      </c>
      <c r="X16" s="1">
        <v>100</v>
      </c>
      <c r="Y16" s="1">
        <v>100</v>
      </c>
      <c r="Z16" s="1">
        <v>100</v>
      </c>
      <c r="AA16" s="1">
        <v>100</v>
      </c>
      <c r="AB16" s="1">
        <v>100</v>
      </c>
    </row>
    <row r="17" spans="1:28" x14ac:dyDescent="0.25">
      <c r="A17" s="13" t="s">
        <v>27</v>
      </c>
      <c r="B17" s="1">
        <v>9.9999997764825804E-3</v>
      </c>
      <c r="C17" s="1">
        <v>1.0269812308251899E-2</v>
      </c>
      <c r="D17" s="1">
        <v>2.9886074364185299E-2</v>
      </c>
      <c r="E17" s="1">
        <v>0.15972380340099299</v>
      </c>
      <c r="F17" s="1">
        <v>0.55948531627654996</v>
      </c>
      <c r="G17" s="1">
        <v>1.1791011095046999</v>
      </c>
      <c r="H17" s="1">
        <v>2.3186979293823198</v>
      </c>
      <c r="I17" s="1">
        <v>6.6</v>
      </c>
      <c r="J17" s="1">
        <v>4.5489459037780797</v>
      </c>
      <c r="K17" s="1">
        <v>5.63347864151</v>
      </c>
      <c r="L17" s="1">
        <v>6.6950588226318404</v>
      </c>
      <c r="M17" s="1">
        <v>5.7</v>
      </c>
      <c r="N17" s="1">
        <v>8.7690534591674805</v>
      </c>
      <c r="O17" s="1">
        <v>8.1</v>
      </c>
      <c r="P17" s="1">
        <v>10.8179121017456</v>
      </c>
      <c r="Q17" s="1">
        <v>11.8480739593506</v>
      </c>
      <c r="R17" s="1">
        <v>12.8901414871216</v>
      </c>
      <c r="S17" s="1">
        <v>13.950177192688001</v>
      </c>
      <c r="T17" s="1">
        <v>13.5712238463743</v>
      </c>
      <c r="U17" s="1">
        <v>15</v>
      </c>
      <c r="V17" s="1">
        <v>17.2579231262207</v>
      </c>
      <c r="W17" s="1">
        <v>20.2</v>
      </c>
      <c r="X17" s="1">
        <v>19.54319190979</v>
      </c>
      <c r="Y17" s="1">
        <v>20.7008457183838</v>
      </c>
      <c r="Z17" s="1">
        <v>21.864507675170799</v>
      </c>
      <c r="AA17" s="1">
        <v>24</v>
      </c>
      <c r="AB17" s="1">
        <v>24.198339462280298</v>
      </c>
    </row>
    <row r="18" spans="1:28" x14ac:dyDescent="0.25">
      <c r="A18" s="13" t="s">
        <v>29</v>
      </c>
      <c r="B18" s="1">
        <v>35.652030944824197</v>
      </c>
      <c r="C18" s="1">
        <v>36.5349311828613</v>
      </c>
      <c r="D18" s="1">
        <v>37.417320251464801</v>
      </c>
      <c r="E18" s="1">
        <v>38.2966499328613</v>
      </c>
      <c r="F18" s="1">
        <v>39.169864654541001</v>
      </c>
      <c r="G18" s="1">
        <v>40.033897399902301</v>
      </c>
      <c r="H18" s="1">
        <v>40.885696411132798</v>
      </c>
      <c r="I18" s="1">
        <v>41.722202301025398</v>
      </c>
      <c r="J18" s="1">
        <v>42.540348052978501</v>
      </c>
      <c r="K18" s="1">
        <v>43.337085723877003</v>
      </c>
      <c r="L18" s="1">
        <v>44.110866546630902</v>
      </c>
      <c r="M18" s="1">
        <v>44.866241455078097</v>
      </c>
      <c r="N18" s="1">
        <v>47</v>
      </c>
      <c r="O18" s="1">
        <v>46.3460083007813</v>
      </c>
      <c r="P18" s="1">
        <v>47.082530975341697</v>
      </c>
      <c r="Q18" s="1">
        <v>47.824893951416001</v>
      </c>
      <c r="R18" s="1">
        <v>48.5791625976563</v>
      </c>
      <c r="S18" s="1">
        <v>49.351398468017599</v>
      </c>
      <c r="T18" s="1">
        <v>50.146156311035099</v>
      </c>
      <c r="U18" s="1">
        <v>50.961944580078097</v>
      </c>
      <c r="V18" s="1">
        <v>48.8</v>
      </c>
      <c r="W18" s="1">
        <v>52.644580841064403</v>
      </c>
      <c r="X18" s="1">
        <v>53.505424499511697</v>
      </c>
      <c r="Y18" s="1">
        <v>54.375282287597699</v>
      </c>
      <c r="Z18" s="1">
        <v>52</v>
      </c>
      <c r="AA18" s="1">
        <v>60.5</v>
      </c>
      <c r="AB18" s="1">
        <v>57.009384155273402</v>
      </c>
    </row>
    <row r="19" spans="1:28" x14ac:dyDescent="0.25">
      <c r="A19" s="13" t="s">
        <v>30</v>
      </c>
      <c r="B19" s="1">
        <v>9.9999997764825804E-3</v>
      </c>
      <c r="C19" s="1">
        <v>6.5060190856456798E-2</v>
      </c>
      <c r="D19" s="1">
        <v>0.45856440067291299</v>
      </c>
      <c r="E19" s="1">
        <v>1.7262779474258401</v>
      </c>
      <c r="F19" s="1">
        <v>3.53385210037231</v>
      </c>
      <c r="G19" s="1">
        <v>7.57501268386841</v>
      </c>
      <c r="H19" s="1">
        <v>17.899999999999999</v>
      </c>
      <c r="I19" s="1">
        <v>15.617564201355</v>
      </c>
      <c r="J19" s="1">
        <v>19.612838745117202</v>
      </c>
      <c r="K19" s="1">
        <v>23.586698532104499</v>
      </c>
      <c r="L19" s="1">
        <v>27.537605285644499</v>
      </c>
      <c r="M19" s="1">
        <v>24.6</v>
      </c>
      <c r="N19" s="1">
        <v>35.390254974365199</v>
      </c>
      <c r="O19" s="1">
        <v>39.304122924804702</v>
      </c>
      <c r="P19" s="1">
        <v>37.200000000000003</v>
      </c>
      <c r="Q19" s="1">
        <v>47.137256622314503</v>
      </c>
      <c r="R19" s="1">
        <v>51.2</v>
      </c>
      <c r="S19" s="1">
        <v>55.018013000488303</v>
      </c>
      <c r="T19" s="1">
        <v>58.989894866943402</v>
      </c>
      <c r="U19" s="1">
        <v>62.9828071594238</v>
      </c>
      <c r="V19" s="1">
        <v>66.993743896484403</v>
      </c>
      <c r="W19" s="1">
        <v>76.3</v>
      </c>
      <c r="X19" s="1">
        <v>75.057662963867202</v>
      </c>
      <c r="Y19" s="1">
        <v>79.104644775390597</v>
      </c>
      <c r="Z19" s="1">
        <v>84.9</v>
      </c>
      <c r="AA19" s="1">
        <v>87.213623046875</v>
      </c>
      <c r="AB19" s="1">
        <v>90.7</v>
      </c>
    </row>
    <row r="20" spans="1:28" x14ac:dyDescent="0.25">
      <c r="A20" s="13" t="s">
        <v>31</v>
      </c>
      <c r="B20" s="1">
        <v>66.828041076660199</v>
      </c>
      <c r="C20" s="1">
        <v>67.465225219726506</v>
      </c>
      <c r="D20" s="1">
        <v>68.101898193359403</v>
      </c>
      <c r="E20" s="1">
        <v>72.064173999999994</v>
      </c>
      <c r="F20" s="1">
        <v>69.363014221191406</v>
      </c>
      <c r="G20" s="1">
        <v>69.981330871582003</v>
      </c>
      <c r="H20" s="1">
        <v>70.587417602539105</v>
      </c>
      <c r="I20" s="1">
        <v>71.178199768066406</v>
      </c>
      <c r="J20" s="1">
        <v>69.047103000000007</v>
      </c>
      <c r="K20" s="1">
        <v>72.301658630370994</v>
      </c>
      <c r="L20" s="1">
        <v>72.829727172851605</v>
      </c>
      <c r="M20" s="1">
        <v>72.221580000000003</v>
      </c>
      <c r="N20" s="1">
        <v>73.836692810058494</v>
      </c>
      <c r="O20" s="1">
        <v>74.327720642089801</v>
      </c>
      <c r="P20" s="1">
        <v>74.818527221679702</v>
      </c>
      <c r="Q20" s="1">
        <v>73.821815000000001</v>
      </c>
      <c r="R20" s="1">
        <v>75.82373046875</v>
      </c>
      <c r="S20" s="1">
        <v>76.350250244140597</v>
      </c>
      <c r="T20" s="1">
        <v>76.8992919921875</v>
      </c>
      <c r="U20" s="1">
        <v>77.916313000000002</v>
      </c>
      <c r="V20" s="1">
        <v>78.057456970214801</v>
      </c>
      <c r="W20" s="1">
        <v>78.660568237304702</v>
      </c>
      <c r="X20" s="1">
        <v>79.275695800781307</v>
      </c>
      <c r="Y20" s="1">
        <v>79.899841308593807</v>
      </c>
      <c r="Z20" s="1">
        <v>81.853072999999995</v>
      </c>
      <c r="AA20" s="1">
        <v>81.163139343261705</v>
      </c>
      <c r="AB20" s="1">
        <v>81.796798706054702</v>
      </c>
    </row>
    <row r="21" spans="1:28" x14ac:dyDescent="0.25">
      <c r="A21" s="13" t="s">
        <v>32</v>
      </c>
      <c r="B21" s="1">
        <v>2.2900023460388201</v>
      </c>
      <c r="C21" s="1">
        <v>2.88712811470032</v>
      </c>
      <c r="D21" s="1">
        <v>4.4000000000000004</v>
      </c>
      <c r="E21" s="1">
        <v>4.0773010253906303</v>
      </c>
      <c r="F21" s="1">
        <v>4.6647400856018102</v>
      </c>
      <c r="G21" s="1">
        <v>6.2</v>
      </c>
      <c r="H21" s="1">
        <v>7</v>
      </c>
      <c r="I21" s="1">
        <v>6.3597555160522496</v>
      </c>
      <c r="J21" s="1">
        <v>6.7</v>
      </c>
      <c r="K21" s="1">
        <v>7.4030914306640598</v>
      </c>
      <c r="L21" s="1">
        <v>6.4814814814814801</v>
      </c>
      <c r="M21" s="1">
        <v>8.3606986999511701</v>
      </c>
      <c r="N21" s="1">
        <v>8.8179512023925799</v>
      </c>
      <c r="O21" s="1">
        <v>9.2689189910888707</v>
      </c>
      <c r="P21" s="1">
        <v>9.71966648101807</v>
      </c>
      <c r="Q21" s="1">
        <v>7.1</v>
      </c>
      <c r="R21" s="1">
        <v>9.3000000000000007</v>
      </c>
      <c r="S21" s="1">
        <v>11.13121509552</v>
      </c>
      <c r="T21" s="1">
        <v>11.640199661254901</v>
      </c>
      <c r="U21" s="1">
        <v>12.1702108383179</v>
      </c>
      <c r="V21" s="1">
        <v>12.7182464599609</v>
      </c>
      <c r="W21" s="1">
        <v>14.3</v>
      </c>
      <c r="X21" s="1">
        <v>14.4</v>
      </c>
      <c r="Y21" s="1">
        <v>14.4404544830322</v>
      </c>
      <c r="Z21" s="1">
        <v>15.0305442810059</v>
      </c>
      <c r="AA21" s="1">
        <v>16.600000000000001</v>
      </c>
      <c r="AB21" s="1">
        <v>16.2172336578369</v>
      </c>
    </row>
    <row r="22" spans="1:28" x14ac:dyDescent="0.25">
      <c r="A22" s="13" t="s">
        <v>33</v>
      </c>
      <c r="B22" s="1">
        <v>9.9999997764825804E-3</v>
      </c>
      <c r="C22" s="1">
        <v>9.9999997764825804E-3</v>
      </c>
      <c r="D22" s="1">
        <v>2.2999999999999998</v>
      </c>
      <c r="E22" s="1">
        <v>4.27721999585629E-2</v>
      </c>
      <c r="F22" s="1">
        <v>0.18825627863407099</v>
      </c>
      <c r="G22" s="1">
        <v>0.57747811079025302</v>
      </c>
      <c r="H22" s="1">
        <v>1.16230273246765</v>
      </c>
      <c r="I22" s="1">
        <v>2.1417901515960698</v>
      </c>
      <c r="J22" s="1">
        <v>3.10292291641235</v>
      </c>
      <c r="K22" s="1">
        <v>4.04264211654663</v>
      </c>
      <c r="L22" s="1">
        <v>6.2</v>
      </c>
      <c r="M22" s="1">
        <v>5.85776567459106</v>
      </c>
      <c r="N22" s="1">
        <v>6.74377536773682</v>
      </c>
      <c r="O22" s="1">
        <v>7.6235017776489302</v>
      </c>
      <c r="P22" s="1">
        <v>8.5030069351196307</v>
      </c>
      <c r="Q22" s="1">
        <v>4.8</v>
      </c>
      <c r="R22" s="1">
        <v>10.285608291626</v>
      </c>
      <c r="S22" s="1">
        <v>11.2008304595947</v>
      </c>
      <c r="T22" s="1">
        <v>6</v>
      </c>
      <c r="U22" s="1">
        <v>13.097342491149901</v>
      </c>
      <c r="V22" s="1">
        <v>9.6999999999999993</v>
      </c>
      <c r="W22" s="1">
        <v>10.8</v>
      </c>
      <c r="X22" s="1">
        <v>16.069776535034201</v>
      </c>
      <c r="Y22" s="1">
        <v>15.2</v>
      </c>
      <c r="Z22" s="1">
        <v>19.8</v>
      </c>
      <c r="AA22" s="1">
        <v>22.8</v>
      </c>
      <c r="AB22" s="1">
        <v>29.37</v>
      </c>
    </row>
    <row r="23" spans="1:28" x14ac:dyDescent="0.25">
      <c r="A23" s="13" t="s">
        <v>34</v>
      </c>
      <c r="B23" s="1">
        <v>42.757965087890597</v>
      </c>
      <c r="C23" s="1">
        <v>43.6918334960938</v>
      </c>
      <c r="D23" s="1">
        <v>44.625190734863303</v>
      </c>
      <c r="E23" s="1">
        <v>45.555488586425803</v>
      </c>
      <c r="F23" s="1">
        <v>46.479671478271499</v>
      </c>
      <c r="G23" s="1">
        <v>47.3946723937988</v>
      </c>
      <c r="H23" s="1">
        <v>48.297439575195298</v>
      </c>
      <c r="I23" s="1">
        <v>49.184913635253899</v>
      </c>
      <c r="J23" s="1">
        <v>50.054027557372997</v>
      </c>
      <c r="K23" s="1">
        <v>50.9017333984375</v>
      </c>
      <c r="L23" s="1">
        <v>52.9</v>
      </c>
      <c r="M23" s="1">
        <v>52.532821655273402</v>
      </c>
      <c r="N23" s="1">
        <v>53.326816558837898</v>
      </c>
      <c r="O23" s="1">
        <v>54.114528656005902</v>
      </c>
      <c r="P23" s="1">
        <v>54.902015686035199</v>
      </c>
      <c r="Q23" s="1">
        <v>55.695346832275398</v>
      </c>
      <c r="R23" s="1">
        <v>56.500587463378899</v>
      </c>
      <c r="S23" s="1">
        <v>57.3237915039063</v>
      </c>
      <c r="T23" s="1">
        <v>58.169517517089801</v>
      </c>
      <c r="U23" s="1">
        <v>56.9</v>
      </c>
      <c r="V23" s="1">
        <v>59.921047210693402</v>
      </c>
      <c r="W23" s="1">
        <v>60.820842742919901</v>
      </c>
      <c r="X23" s="1">
        <v>57.9</v>
      </c>
      <c r="Y23" s="1">
        <v>62.653480529785199</v>
      </c>
      <c r="Z23" s="1">
        <v>68.599999999999994</v>
      </c>
      <c r="AA23" s="1">
        <v>64.510147094726605</v>
      </c>
      <c r="AB23" s="1">
        <v>65.440483093261705</v>
      </c>
    </row>
    <row r="24" spans="1:28" x14ac:dyDescent="0.25">
      <c r="A24" s="13" t="s">
        <v>35</v>
      </c>
      <c r="B24" s="1">
        <v>52.9376411437988</v>
      </c>
      <c r="C24" s="1">
        <v>54.639511108398402</v>
      </c>
      <c r="D24" s="1">
        <v>56.340873718261697</v>
      </c>
      <c r="E24" s="1">
        <v>58.039173126220703</v>
      </c>
      <c r="F24" s="1">
        <v>59.731357574462898</v>
      </c>
      <c r="G24" s="1">
        <v>61.414363861083999</v>
      </c>
      <c r="H24" s="1">
        <v>63.085132598877003</v>
      </c>
      <c r="I24" s="1">
        <v>64.740608215332003</v>
      </c>
      <c r="J24" s="1">
        <v>66.377731323242202</v>
      </c>
      <c r="K24" s="1">
        <v>67.993431091308494</v>
      </c>
      <c r="L24" s="1">
        <v>69.586189270019503</v>
      </c>
      <c r="M24" s="1">
        <v>63.6</v>
      </c>
      <c r="N24" s="1">
        <v>80.7</v>
      </c>
      <c r="O24" s="1">
        <v>74.278244018554702</v>
      </c>
      <c r="P24" s="1">
        <v>75.833732604980497</v>
      </c>
      <c r="Q24" s="1">
        <v>77.395065307617202</v>
      </c>
      <c r="R24" s="1">
        <v>78.968307495117202</v>
      </c>
      <c r="S24" s="1">
        <v>80</v>
      </c>
      <c r="T24" s="1">
        <v>82.173248291015597</v>
      </c>
      <c r="U24" s="1">
        <v>83.807998657226605</v>
      </c>
      <c r="V24" s="1">
        <v>85.3</v>
      </c>
      <c r="W24" s="1">
        <v>87.76</v>
      </c>
      <c r="X24" s="1">
        <v>88.808395385742202</v>
      </c>
      <c r="Y24" s="1">
        <v>90.2</v>
      </c>
      <c r="Z24" s="1">
        <v>92.192062377929702</v>
      </c>
      <c r="AA24" s="1">
        <v>93.889900207519503</v>
      </c>
      <c r="AB24" s="1">
        <v>95.588233947753906</v>
      </c>
    </row>
    <row r="25" spans="1:28" x14ac:dyDescent="0.25">
      <c r="A25" s="13" t="s">
        <v>36</v>
      </c>
      <c r="B25" s="1">
        <v>96.603431701660199</v>
      </c>
      <c r="C25" s="1">
        <v>96.821502685546903</v>
      </c>
      <c r="D25" s="1">
        <v>97.0390625</v>
      </c>
      <c r="E25" s="1">
        <v>97.253562927245994</v>
      </c>
      <c r="F25" s="1">
        <v>97.461952209472699</v>
      </c>
      <c r="G25" s="1">
        <v>97.661155700683494</v>
      </c>
      <c r="H25" s="1">
        <v>97.848121643066406</v>
      </c>
      <c r="I25" s="1">
        <v>98.006057739257798</v>
      </c>
      <c r="J25" s="1">
        <v>98.157394409179702</v>
      </c>
      <c r="K25" s="1">
        <v>97</v>
      </c>
      <c r="L25" s="1">
        <v>98.4677419354839</v>
      </c>
      <c r="M25" s="1">
        <v>98.495285034179702</v>
      </c>
      <c r="N25" s="1">
        <v>99</v>
      </c>
      <c r="O25" s="1">
        <v>100</v>
      </c>
      <c r="P25" s="1">
        <v>98.730705261230497</v>
      </c>
      <c r="Q25" s="1">
        <v>99.3</v>
      </c>
      <c r="R25" s="1">
        <v>98.906448364257798</v>
      </c>
      <c r="S25" s="1">
        <v>99.016609191894503</v>
      </c>
      <c r="T25" s="1">
        <v>99.146080017089801</v>
      </c>
      <c r="U25" s="1">
        <v>99</v>
      </c>
      <c r="V25" s="1">
        <v>99.461280822753906</v>
      </c>
      <c r="W25" s="1">
        <v>99.636390686035199</v>
      </c>
      <c r="X25" s="1">
        <v>99.1</v>
      </c>
      <c r="Y25" s="1">
        <v>99.917449951171903</v>
      </c>
      <c r="Z25" s="1">
        <v>99.978408813476605</v>
      </c>
      <c r="AA25" s="1">
        <v>99.997352600097599</v>
      </c>
      <c r="AB25" s="1">
        <v>100</v>
      </c>
    </row>
    <row r="26" spans="1:28" x14ac:dyDescent="0.25">
      <c r="A26" s="13" t="s">
        <v>37</v>
      </c>
      <c r="B26" s="1">
        <v>2.4837088584899898</v>
      </c>
      <c r="C26" s="1">
        <v>3.2344152927398699</v>
      </c>
      <c r="D26" s="1">
        <v>6.8</v>
      </c>
      <c r="E26" s="1">
        <v>4.7317490577697798</v>
      </c>
      <c r="F26" s="1">
        <v>5.4727678298950204</v>
      </c>
      <c r="G26" s="1">
        <v>6.2046098709106401</v>
      </c>
      <c r="H26" s="1">
        <v>9.4</v>
      </c>
      <c r="I26" s="1">
        <v>7.6285247802734402</v>
      </c>
      <c r="J26" s="1">
        <v>8.3144798278808505</v>
      </c>
      <c r="K26" s="1">
        <v>8</v>
      </c>
      <c r="L26" s="1">
        <v>9.6206102371215803</v>
      </c>
      <c r="M26" s="1">
        <v>10.2437896728516</v>
      </c>
      <c r="N26" s="1">
        <v>10.854621887206999</v>
      </c>
      <c r="O26" s="1">
        <v>11.1</v>
      </c>
      <c r="P26" s="1">
        <v>11.4</v>
      </c>
      <c r="Q26" s="1">
        <v>12.673668861389199</v>
      </c>
      <c r="R26" s="1">
        <v>13.295744895935099</v>
      </c>
      <c r="S26" s="1">
        <v>13.935788154601999</v>
      </c>
      <c r="T26" s="1">
        <v>11.5</v>
      </c>
      <c r="U26" s="1">
        <v>11.2</v>
      </c>
      <c r="V26" s="1">
        <v>14.8</v>
      </c>
      <c r="W26" s="1">
        <v>14.2</v>
      </c>
      <c r="X26" s="1">
        <v>15.3</v>
      </c>
      <c r="Y26" s="1">
        <v>16.399999999999999</v>
      </c>
      <c r="Z26" s="1">
        <v>18.910179138183601</v>
      </c>
      <c r="AA26" s="1">
        <v>18.5</v>
      </c>
      <c r="AB26" s="1">
        <v>32.799999999999997</v>
      </c>
    </row>
    <row r="27" spans="1:28" x14ac:dyDescent="0.25">
      <c r="A27" s="13" t="s">
        <v>38</v>
      </c>
      <c r="B27" s="1">
        <v>1.26645708084106</v>
      </c>
      <c r="C27" s="1">
        <v>5.6</v>
      </c>
      <c r="D27" s="1">
        <v>2.7676658630371098</v>
      </c>
      <c r="E27" s="1">
        <v>3.5149564743042001</v>
      </c>
      <c r="F27" s="1">
        <v>4.2561287879943803</v>
      </c>
      <c r="G27" s="1">
        <v>6.8</v>
      </c>
      <c r="H27" s="1">
        <v>5.7078819274902299</v>
      </c>
      <c r="I27" s="1">
        <v>6.4123449325561497</v>
      </c>
      <c r="J27" s="1">
        <v>7.0984530448913601</v>
      </c>
      <c r="K27" s="1">
        <v>7.7631478309631303</v>
      </c>
      <c r="L27" s="1">
        <v>8.4048900604247994</v>
      </c>
      <c r="M27" s="1">
        <v>8.6</v>
      </c>
      <c r="N27" s="1">
        <v>7.8</v>
      </c>
      <c r="O27" s="1">
        <v>10.243908882141101</v>
      </c>
      <c r="P27" s="1">
        <v>10.848390579223601</v>
      </c>
      <c r="Q27" s="1">
        <v>8.9</v>
      </c>
      <c r="R27" s="1">
        <v>9</v>
      </c>
      <c r="S27" s="1">
        <v>12.7211399078369</v>
      </c>
      <c r="T27" s="1">
        <v>13.3838567733765</v>
      </c>
      <c r="U27" s="1">
        <v>10</v>
      </c>
      <c r="V27" s="1">
        <v>14.769371032714799</v>
      </c>
      <c r="W27" s="1">
        <v>14.6</v>
      </c>
      <c r="X27" s="1">
        <v>16.214963912963899</v>
      </c>
      <c r="Y27" s="1">
        <v>13.9</v>
      </c>
      <c r="Z27" s="1">
        <v>20.399999999999999</v>
      </c>
      <c r="AA27" s="1">
        <v>18.5</v>
      </c>
      <c r="AB27" s="1">
        <v>26.7</v>
      </c>
    </row>
    <row r="28" spans="1:28" x14ac:dyDescent="0.25">
      <c r="A28" s="13" t="s">
        <v>39</v>
      </c>
      <c r="B28" s="1">
        <v>13.9</v>
      </c>
      <c r="C28" s="1">
        <v>14.115426063537599</v>
      </c>
      <c r="D28" s="1">
        <v>19.2</v>
      </c>
      <c r="E28" s="1">
        <v>15.287503242492701</v>
      </c>
      <c r="F28" s="1">
        <v>15.865894317626999</v>
      </c>
      <c r="G28" s="1">
        <v>16.435108184814499</v>
      </c>
      <c r="H28" s="1">
        <v>17.3</v>
      </c>
      <c r="I28" s="1">
        <v>17.533767700195298</v>
      </c>
      <c r="J28" s="1">
        <v>19</v>
      </c>
      <c r="K28" s="1">
        <v>18.559007644653299</v>
      </c>
      <c r="L28" s="1">
        <v>16.7</v>
      </c>
      <c r="M28" s="1">
        <v>19.498519897460898</v>
      </c>
      <c r="N28" s="1">
        <v>17.399999999999999</v>
      </c>
      <c r="O28" s="1">
        <v>18.5</v>
      </c>
      <c r="P28" s="1">
        <v>20.3</v>
      </c>
      <c r="Q28" s="1">
        <v>21.277885437011701</v>
      </c>
      <c r="R28" s="1">
        <v>21.737333297729499</v>
      </c>
      <c r="S28" s="1">
        <v>18.5</v>
      </c>
      <c r="T28" s="1">
        <v>22.714685440063501</v>
      </c>
      <c r="U28" s="1">
        <v>23.235649108886701</v>
      </c>
      <c r="V28" s="1">
        <v>22</v>
      </c>
      <c r="W28" s="1">
        <v>24.3286437988281</v>
      </c>
      <c r="X28" s="1">
        <v>24.894666671752901</v>
      </c>
      <c r="Y28" s="1">
        <v>25.469701766967798</v>
      </c>
      <c r="Z28" s="1">
        <v>27.9</v>
      </c>
      <c r="AA28" s="1">
        <v>31.1</v>
      </c>
      <c r="AB28" s="1">
        <v>27.219337463378899</v>
      </c>
    </row>
    <row r="29" spans="1:28" x14ac:dyDescent="0.25">
      <c r="A29" s="13" t="s">
        <v>40</v>
      </c>
      <c r="B29" s="1">
        <v>30.357831954956101</v>
      </c>
      <c r="C29" s="1">
        <v>30.718805313110401</v>
      </c>
      <c r="D29" s="1">
        <v>28.2</v>
      </c>
      <c r="E29" s="1">
        <v>31.4366779327393</v>
      </c>
      <c r="F29" s="1">
        <v>28.1</v>
      </c>
      <c r="G29" s="1">
        <v>32.130077362060497</v>
      </c>
      <c r="H29" s="1">
        <v>32.459949493408203</v>
      </c>
      <c r="I29" s="1">
        <v>32.774528503417997</v>
      </c>
      <c r="J29" s="1">
        <v>33.070751190185497</v>
      </c>
      <c r="K29" s="1">
        <v>38.4</v>
      </c>
      <c r="L29" s="1">
        <v>33.597419738769503</v>
      </c>
      <c r="M29" s="1">
        <v>33.830867767333999</v>
      </c>
      <c r="N29" s="1">
        <v>34.200000000000003</v>
      </c>
      <c r="O29" s="1">
        <v>34.2667846679688</v>
      </c>
      <c r="P29" s="1">
        <v>34.481380462646499</v>
      </c>
      <c r="Q29" s="1">
        <v>34.701820373535199</v>
      </c>
      <c r="R29" s="1">
        <v>37.200000000000003</v>
      </c>
      <c r="S29" s="1">
        <v>35.184478759765597</v>
      </c>
      <c r="T29" s="1">
        <v>35.457309722900398</v>
      </c>
      <c r="U29" s="1">
        <v>43.369081872874702</v>
      </c>
      <c r="V29" s="1">
        <v>36.063056945800803</v>
      </c>
      <c r="W29" s="1">
        <v>36.9</v>
      </c>
      <c r="X29" s="1">
        <v>36.728878021240199</v>
      </c>
      <c r="Y29" s="1">
        <v>37.076812744140597</v>
      </c>
      <c r="Z29" s="1">
        <v>32.299999999999997</v>
      </c>
      <c r="AA29" s="1">
        <v>33.700000000000003</v>
      </c>
      <c r="AB29" s="1">
        <v>38.145137786865199</v>
      </c>
    </row>
    <row r="32" spans="1:28" x14ac:dyDescent="0.25">
      <c r="B32" s="1">
        <v>1990</v>
      </c>
      <c r="C32" s="1">
        <f>VLOOKUP(Indicateur7!$K$6,prevision7!$A$1:$AB$29,MATCH(prevision7!B32,prevision7!$A$1:$AB$1,0),FALSE)</f>
        <v>9.9999997764825804E-3</v>
      </c>
      <c r="H32" s="1">
        <v>1990</v>
      </c>
      <c r="I32" s="1">
        <f>VLOOKUP('comite 3'!$C$4,prevision7!$A$1:$BG$28,MATCH(H32,$A$1:$BG$1,0),FALSE)</f>
        <v>9.9999997764825804E-3</v>
      </c>
    </row>
    <row r="33" spans="2:9" x14ac:dyDescent="0.25">
      <c r="B33" s="1">
        <v>1991</v>
      </c>
      <c r="C33" s="1">
        <f>VLOOKUP(Indicateur7!$K$6,prevision7!$A$1:$AB$29,MATCH(prevision7!B33,prevision7!$A$1:$AB$1,0),FALSE)</f>
        <v>6.5060190856456798E-2</v>
      </c>
      <c r="H33" s="1">
        <v>1991</v>
      </c>
      <c r="I33" s="1">
        <f>VLOOKUP('comite 3'!$C$4,prevision7!$A$1:$BG$28,MATCH(H33,$A$1:$BG$1,0),FALSE)</f>
        <v>6.5060190856456798E-2</v>
      </c>
    </row>
    <row r="34" spans="2:9" x14ac:dyDescent="0.25">
      <c r="B34" s="1">
        <v>1992</v>
      </c>
      <c r="C34" s="1">
        <f>VLOOKUP(Indicateur7!$K$6,prevision7!$A$1:$AB$29,MATCH(prevision7!B34,prevision7!$A$1:$AB$1,0),FALSE)</f>
        <v>0.45856440067291299</v>
      </c>
      <c r="H34" s="1">
        <v>1992</v>
      </c>
      <c r="I34" s="1">
        <f>VLOOKUP('comite 3'!$C$4,prevision7!$A$1:$BG$28,MATCH(H34,$A$1:$BG$1,0),FALSE)</f>
        <v>0.45856440067291299</v>
      </c>
    </row>
    <row r="35" spans="2:9" x14ac:dyDescent="0.25">
      <c r="B35" s="1">
        <v>1993</v>
      </c>
      <c r="C35" s="1">
        <f>VLOOKUP(Indicateur7!$K$6,prevision7!$A$1:$AB$29,MATCH(prevision7!B35,prevision7!$A$1:$AB$1,0),FALSE)</f>
        <v>1.7262779474258401</v>
      </c>
      <c r="H35" s="1">
        <v>1993</v>
      </c>
      <c r="I35" s="1">
        <f>VLOOKUP('comite 3'!$C$4,prevision7!$A$1:$BG$28,MATCH(H35,$A$1:$BG$1,0),FALSE)</f>
        <v>1.7262779474258401</v>
      </c>
    </row>
    <row r="36" spans="2:9" x14ac:dyDescent="0.25">
      <c r="B36" s="1">
        <v>1994</v>
      </c>
      <c r="C36" s="1">
        <f>VLOOKUP(Indicateur7!$K$6,prevision7!$A$1:$AB$29,MATCH(prevision7!B36,prevision7!$A$1:$AB$1,0),FALSE)</f>
        <v>3.53385210037231</v>
      </c>
      <c r="H36" s="1">
        <v>1994</v>
      </c>
      <c r="I36" s="1">
        <f>VLOOKUP('comite 3'!$C$4,prevision7!$A$1:$BG$28,MATCH(H36,$A$1:$BG$1,0),FALSE)</f>
        <v>3.53385210037231</v>
      </c>
    </row>
    <row r="37" spans="2:9" x14ac:dyDescent="0.25">
      <c r="B37" s="1">
        <v>1995</v>
      </c>
      <c r="C37" s="1">
        <f>VLOOKUP(Indicateur7!$K$6,prevision7!$A$1:$AB$29,MATCH(prevision7!B37,prevision7!$A$1:$AB$1,0),FALSE)</f>
        <v>7.57501268386841</v>
      </c>
      <c r="H37" s="1">
        <v>1995</v>
      </c>
      <c r="I37" s="1">
        <f>VLOOKUP('comite 3'!$C$4,prevision7!$A$1:$BG$28,MATCH(H37,$A$1:$BG$1,0),FALSE)</f>
        <v>7.57501268386841</v>
      </c>
    </row>
    <row r="38" spans="2:9" x14ac:dyDescent="0.25">
      <c r="B38" s="1">
        <v>1996</v>
      </c>
      <c r="C38" s="1">
        <f>VLOOKUP(Indicateur7!$K$6,prevision7!$A$1:$AB$29,MATCH(prevision7!B38,prevision7!$A$1:$AB$1,0),FALSE)</f>
        <v>17.899999999999999</v>
      </c>
      <c r="H38" s="1">
        <v>1996</v>
      </c>
      <c r="I38" s="1">
        <f>VLOOKUP('comite 3'!$C$4,prevision7!$A$1:$BG$28,MATCH(H38,$A$1:$BG$1,0),FALSE)</f>
        <v>17.899999999999999</v>
      </c>
    </row>
    <row r="39" spans="2:9" x14ac:dyDescent="0.25">
      <c r="B39" s="1">
        <v>1997</v>
      </c>
      <c r="C39" s="1">
        <f>VLOOKUP(Indicateur7!$K$6,prevision7!$A$1:$AB$29,MATCH(prevision7!B39,prevision7!$A$1:$AB$1,0),FALSE)</f>
        <v>15.617564201355</v>
      </c>
      <c r="H39" s="1">
        <v>1997</v>
      </c>
      <c r="I39" s="1">
        <f>VLOOKUP('comite 3'!$C$4,prevision7!$A$1:$BG$28,MATCH(H39,$A$1:$BG$1,0),FALSE)</f>
        <v>15.617564201355</v>
      </c>
    </row>
    <row r="40" spans="2:9" x14ac:dyDescent="0.25">
      <c r="B40" s="1">
        <v>1998</v>
      </c>
      <c r="C40" s="1">
        <f>VLOOKUP(Indicateur7!$K$6,prevision7!$A$1:$AB$29,MATCH(prevision7!B40,prevision7!$A$1:$AB$1,0),FALSE)</f>
        <v>19.612838745117202</v>
      </c>
      <c r="H40" s="1">
        <v>1998</v>
      </c>
      <c r="I40" s="1">
        <f>VLOOKUP('comite 3'!$C$4,prevision7!$A$1:$BG$28,MATCH(H40,$A$1:$BG$1,0),FALSE)</f>
        <v>19.612838745117202</v>
      </c>
    </row>
    <row r="41" spans="2:9" x14ac:dyDescent="0.25">
      <c r="B41" s="1">
        <v>1999</v>
      </c>
      <c r="C41" s="1">
        <f>VLOOKUP(Indicateur7!$K$6,prevision7!$A$1:$AB$29,MATCH(prevision7!B41,prevision7!$A$1:$AB$1,0),FALSE)</f>
        <v>23.586698532104499</v>
      </c>
      <c r="H41" s="1">
        <v>1999</v>
      </c>
      <c r="I41" s="1">
        <f>VLOOKUP('comite 3'!$C$4,prevision7!$A$1:$BG$28,MATCH(H41,$A$1:$BG$1,0),FALSE)</f>
        <v>23.586698532104499</v>
      </c>
    </row>
    <row r="42" spans="2:9" x14ac:dyDescent="0.25">
      <c r="B42" s="1">
        <v>2000</v>
      </c>
      <c r="C42" s="1">
        <f>VLOOKUP(Indicateur7!$K$6,prevision7!$A$1:$AB$29,MATCH(prevision7!B42,prevision7!$A$1:$AB$1,0),FALSE)</f>
        <v>27.537605285644499</v>
      </c>
      <c r="H42" s="1">
        <v>2000</v>
      </c>
      <c r="I42" s="1">
        <f>VLOOKUP('comite 3'!$C$4,prevision7!$A$1:$BG$28,MATCH(H42,$A$1:$BG$1,0),FALSE)</f>
        <v>27.537605285644499</v>
      </c>
    </row>
    <row r="43" spans="2:9" x14ac:dyDescent="0.25">
      <c r="B43" s="1">
        <v>2001</v>
      </c>
      <c r="C43" s="1">
        <f>VLOOKUP(Indicateur7!$K$6,prevision7!$A$1:$AB$29,MATCH(prevision7!B43,prevision7!$A$1:$AB$1,0),FALSE)</f>
        <v>24.6</v>
      </c>
      <c r="H43" s="1">
        <v>2001</v>
      </c>
      <c r="I43" s="1">
        <f>VLOOKUP('comite 3'!$C$4,prevision7!$A$1:$BG$28,MATCH(H43,$A$1:$BG$1,0),FALSE)</f>
        <v>24.6</v>
      </c>
    </row>
    <row r="44" spans="2:9" x14ac:dyDescent="0.25">
      <c r="B44" s="1">
        <v>2002</v>
      </c>
      <c r="C44" s="1">
        <f>VLOOKUP(Indicateur7!$K$6,prevision7!$A$1:$AB$29,MATCH(prevision7!B44,prevision7!$A$1:$AB$1,0),FALSE)</f>
        <v>35.390254974365199</v>
      </c>
      <c r="H44" s="1">
        <v>2002</v>
      </c>
      <c r="I44" s="1">
        <f>VLOOKUP('comite 3'!$C$4,prevision7!$A$1:$BG$28,MATCH(H44,$A$1:$BG$1,0),FALSE)</f>
        <v>35.390254974365199</v>
      </c>
    </row>
    <row r="45" spans="2:9" x14ac:dyDescent="0.25">
      <c r="B45" s="1">
        <v>2003</v>
      </c>
      <c r="C45" s="1">
        <f>VLOOKUP(Indicateur7!$K$6,prevision7!$A$1:$AB$29,MATCH(prevision7!B45,prevision7!$A$1:$AB$1,0),FALSE)</f>
        <v>39.304122924804702</v>
      </c>
      <c r="H45" s="1">
        <v>2003</v>
      </c>
      <c r="I45" s="1">
        <f>VLOOKUP('comite 3'!$C$4,prevision7!$A$1:$BG$28,MATCH(H45,$A$1:$BG$1,0),FALSE)</f>
        <v>39.304122924804702</v>
      </c>
    </row>
    <row r="46" spans="2:9" x14ac:dyDescent="0.25">
      <c r="B46" s="1">
        <v>2004</v>
      </c>
      <c r="C46" s="1">
        <f>VLOOKUP(Indicateur7!$K$6,prevision7!$A$1:$AB$29,MATCH(prevision7!B46,prevision7!$A$1:$AB$1,0),FALSE)</f>
        <v>37.200000000000003</v>
      </c>
      <c r="H46" s="1">
        <v>2004</v>
      </c>
      <c r="I46" s="1">
        <f>VLOOKUP('comite 3'!$C$4,prevision7!$A$1:$BG$28,MATCH(H46,$A$1:$BG$1,0),FALSE)</f>
        <v>37.200000000000003</v>
      </c>
    </row>
    <row r="47" spans="2:9" x14ac:dyDescent="0.25">
      <c r="B47" s="1">
        <v>2005</v>
      </c>
      <c r="C47" s="1">
        <f>VLOOKUP(Indicateur7!$K$6,prevision7!$A$1:$AB$29,MATCH(prevision7!B47,prevision7!$A$1:$AB$1,0),FALSE)</f>
        <v>47.137256622314503</v>
      </c>
      <c r="H47" s="1">
        <v>2005</v>
      </c>
      <c r="I47" s="1">
        <f>VLOOKUP('comite 3'!$C$4,prevision7!$A$1:$BG$28,MATCH(H47,$A$1:$BG$1,0),FALSE)</f>
        <v>47.137256622314503</v>
      </c>
    </row>
    <row r="48" spans="2:9" x14ac:dyDescent="0.25">
      <c r="B48" s="1">
        <v>2006</v>
      </c>
      <c r="C48" s="1">
        <f>VLOOKUP(Indicateur7!$K$6,prevision7!$A$1:$AB$29,MATCH(prevision7!B48,prevision7!$A$1:$AB$1,0),FALSE)</f>
        <v>51.2</v>
      </c>
      <c r="H48" s="1">
        <v>2006</v>
      </c>
      <c r="I48" s="1">
        <f>VLOOKUP('comite 3'!$C$4,prevision7!$A$1:$BG$28,MATCH(H48,$A$1:$BG$1,0),FALSE)</f>
        <v>51.2</v>
      </c>
    </row>
    <row r="49" spans="2:10" x14ac:dyDescent="0.25">
      <c r="B49" s="1">
        <v>2007</v>
      </c>
      <c r="C49" s="1">
        <f>VLOOKUP(Indicateur7!$K$6,prevision7!$A$1:$AB$29,MATCH(prevision7!B49,prevision7!$A$1:$AB$1,0),FALSE)</f>
        <v>55.018013000488303</v>
      </c>
      <c r="H49" s="1">
        <v>2007</v>
      </c>
      <c r="I49" s="1">
        <f>VLOOKUP('comite 3'!$C$4,prevision7!$A$1:$BG$28,MATCH(H49,$A$1:$BG$1,0),FALSE)</f>
        <v>55.018013000488303</v>
      </c>
    </row>
    <row r="50" spans="2:10" x14ac:dyDescent="0.25">
      <c r="B50" s="1">
        <v>2008</v>
      </c>
      <c r="C50" s="1">
        <f>VLOOKUP(Indicateur7!$K$6,prevision7!$A$1:$AB$29,MATCH(prevision7!B50,prevision7!$A$1:$AB$1,0),FALSE)</f>
        <v>58.989894866943402</v>
      </c>
      <c r="H50" s="1">
        <v>2008</v>
      </c>
      <c r="I50" s="1">
        <f>VLOOKUP('comite 3'!$C$4,prevision7!$A$1:$BG$28,MATCH(H50,$A$1:$BG$1,0),FALSE)</f>
        <v>58.989894866943402</v>
      </c>
    </row>
    <row r="51" spans="2:10" x14ac:dyDescent="0.25">
      <c r="B51" s="1">
        <v>2009</v>
      </c>
      <c r="C51" s="1">
        <f>VLOOKUP(Indicateur7!$K$6,prevision7!$A$1:$AB$29,MATCH(prevision7!B51,prevision7!$A$1:$AB$1,0),FALSE)</f>
        <v>62.9828071594238</v>
      </c>
      <c r="H51" s="1">
        <v>2009</v>
      </c>
      <c r="I51" s="1">
        <f>VLOOKUP('comite 3'!$C$4,prevision7!$A$1:$BG$28,MATCH(H51,$A$1:$BG$1,0),FALSE)</f>
        <v>62.9828071594238</v>
      </c>
    </row>
    <row r="52" spans="2:10" x14ac:dyDescent="0.25">
      <c r="B52" s="1">
        <v>2010</v>
      </c>
      <c r="C52" s="1">
        <f>VLOOKUP(Indicateur7!$K$6,prevision7!$A$1:$AB$29,MATCH(prevision7!B52,prevision7!$A$1:$AB$1,0),FALSE)</f>
        <v>66.993743896484403</v>
      </c>
      <c r="H52" s="1">
        <v>2010</v>
      </c>
      <c r="I52" s="1">
        <f>VLOOKUP('comite 3'!$C$4,prevision7!$A$1:$BG$28,MATCH(H52,$A$1:$BG$1,0),FALSE)</f>
        <v>66.993743896484403</v>
      </c>
    </row>
    <row r="53" spans="2:10" x14ac:dyDescent="0.25">
      <c r="B53" s="1">
        <v>2011</v>
      </c>
      <c r="C53" s="1">
        <f>VLOOKUP(Indicateur7!$K$6,prevision7!$A$1:$AB$29,MATCH(prevision7!B53,prevision7!$A$1:$AB$1,0),FALSE)</f>
        <v>76.3</v>
      </c>
      <c r="H53" s="1">
        <v>2011</v>
      </c>
      <c r="I53" s="1">
        <f>VLOOKUP('comite 3'!$C$4,prevision7!$A$1:$BG$28,MATCH(H53,$A$1:$BG$1,0),FALSE)</f>
        <v>76.3</v>
      </c>
    </row>
    <row r="54" spans="2:10" x14ac:dyDescent="0.25">
      <c r="B54" s="1">
        <v>2012</v>
      </c>
      <c r="C54" s="1">
        <f>VLOOKUP(Indicateur7!$K$6,prevision7!$A$1:$AB$29,MATCH(prevision7!B54,prevision7!$A$1:$AB$1,0),FALSE)</f>
        <v>75.057662963867202</v>
      </c>
      <c r="H54" s="1">
        <v>2012</v>
      </c>
      <c r="I54" s="1">
        <f>VLOOKUP('comite 3'!$C$4,prevision7!$A$1:$BG$28,MATCH(H54,$A$1:$BG$1,0),FALSE)</f>
        <v>75.057662963867202</v>
      </c>
    </row>
    <row r="55" spans="2:10" x14ac:dyDescent="0.25">
      <c r="B55" s="1">
        <v>2013</v>
      </c>
      <c r="C55" s="1">
        <f>VLOOKUP(Indicateur7!$K$6,prevision7!$A$1:$AB$29,MATCH(prevision7!B55,prevision7!$A$1:$AB$1,0),FALSE)</f>
        <v>79.104644775390597</v>
      </c>
      <c r="H55" s="1">
        <v>2013</v>
      </c>
      <c r="I55" s="1">
        <f>VLOOKUP('comite 3'!$C$4,prevision7!$A$1:$BG$28,MATCH(H55,$A$1:$BG$1,0),FALSE)</f>
        <v>79.104644775390597</v>
      </c>
    </row>
    <row r="56" spans="2:10" x14ac:dyDescent="0.25">
      <c r="B56" s="1">
        <v>2014</v>
      </c>
      <c r="C56" s="1">
        <f>VLOOKUP(Indicateur7!$K$6,prevision7!$A$1:$AB$29,MATCH(prevision7!B56,prevision7!$A$1:$AB$1,0),FALSE)</f>
        <v>84.9</v>
      </c>
      <c r="H56" s="1">
        <v>2014</v>
      </c>
      <c r="I56" s="1">
        <f>VLOOKUP('comite 3'!$C$4,prevision7!$A$1:$BG$28,MATCH(H56,$A$1:$BG$1,0),FALSE)</f>
        <v>84.9</v>
      </c>
    </row>
    <row r="57" spans="2:10" x14ac:dyDescent="0.25">
      <c r="B57" s="1">
        <v>2015</v>
      </c>
      <c r="C57" s="1">
        <f>VLOOKUP(Indicateur7!$K$6,prevision7!$A$1:$AB$29,MATCH(prevision7!B57,prevision7!$A$1:$AB$1,0),FALSE)</f>
        <v>87.213623046875</v>
      </c>
      <c r="H57" s="1">
        <v>2015</v>
      </c>
      <c r="I57" s="1">
        <f>VLOOKUP('comite 3'!$C$4,prevision7!$A$1:$BG$28,MATCH(H57,$A$1:$BG$1,0),FALSE)</f>
        <v>87.213623046875</v>
      </c>
    </row>
    <row r="58" spans="2:10" x14ac:dyDescent="0.25">
      <c r="B58" s="1">
        <v>2016</v>
      </c>
      <c r="C58" s="1">
        <f>VLOOKUP(Indicateur7!$K$6,prevision7!$A$1:$AB$29,MATCH(prevision7!B58,prevision7!$A$1:$AB$1,0),FALSE)</f>
        <v>90.7</v>
      </c>
      <c r="D58" s="1">
        <f>C58</f>
        <v>90.7</v>
      </c>
      <c r="H58" s="1">
        <v>2016</v>
      </c>
      <c r="I58" s="1">
        <f>VLOOKUP('comite 3'!$C$4,prevision7!$A$1:$BG$28,MATCH(H58,$A$1:$BG$1,0),FALSE)</f>
        <v>90.7</v>
      </c>
      <c r="J58" s="1">
        <f>I58</f>
        <v>90.7</v>
      </c>
    </row>
    <row r="59" spans="2:10" x14ac:dyDescent="0.25">
      <c r="B59" s="1">
        <v>2017</v>
      </c>
      <c r="D59" s="1">
        <f>TREND($C$32:$C$58,$B$32:$B$58,B59)</f>
        <v>93.259286744270867</v>
      </c>
      <c r="H59" s="1">
        <v>2017</v>
      </c>
      <c r="J59" s="1">
        <f>TREND($I$32:$I$58,$H$32:$H$58,H59)</f>
        <v>93.259286744270867</v>
      </c>
    </row>
    <row r="60" spans="2:10" x14ac:dyDescent="0.25">
      <c r="B60" s="1">
        <v>2018</v>
      </c>
      <c r="D60" s="1">
        <f t="shared" ref="D60:D72" si="0">TREND($C$32:$C$58,$B$32:$B$58,B60)</f>
        <v>97.037819135215614</v>
      </c>
      <c r="H60" s="1">
        <v>2018</v>
      </c>
      <c r="J60" s="1">
        <f t="shared" ref="J60:J72" si="1">TREND($I$32:$I$58,$H$32:$H$58,H60)</f>
        <v>97.037819135215614</v>
      </c>
    </row>
    <row r="61" spans="2:10" x14ac:dyDescent="0.25">
      <c r="B61" s="1">
        <v>2019</v>
      </c>
      <c r="D61" s="1">
        <f t="shared" si="0"/>
        <v>100.81635152616036</v>
      </c>
      <c r="H61" s="1">
        <v>2019</v>
      </c>
      <c r="J61" s="1">
        <f t="shared" si="1"/>
        <v>100.81635152616036</v>
      </c>
    </row>
    <row r="62" spans="2:10" x14ac:dyDescent="0.25">
      <c r="B62" s="1">
        <v>2020</v>
      </c>
      <c r="D62" s="1">
        <f t="shared" si="0"/>
        <v>104.59488391710602</v>
      </c>
      <c r="H62" s="1">
        <v>2020</v>
      </c>
      <c r="J62" s="1">
        <f t="shared" si="1"/>
        <v>104.59488391710602</v>
      </c>
    </row>
    <row r="63" spans="2:10" x14ac:dyDescent="0.25">
      <c r="B63" s="1">
        <v>2021</v>
      </c>
      <c r="D63" s="1">
        <f t="shared" si="0"/>
        <v>108.37341630805076</v>
      </c>
      <c r="H63" s="1">
        <v>2021</v>
      </c>
      <c r="J63" s="1">
        <f t="shared" si="1"/>
        <v>108.37341630805076</v>
      </c>
    </row>
    <row r="64" spans="2:10" x14ac:dyDescent="0.25">
      <c r="B64" s="1">
        <v>2022</v>
      </c>
      <c r="D64" s="1">
        <f t="shared" si="0"/>
        <v>112.15194869899551</v>
      </c>
      <c r="H64" s="1">
        <v>2022</v>
      </c>
      <c r="J64" s="1">
        <f t="shared" si="1"/>
        <v>112.15194869899551</v>
      </c>
    </row>
    <row r="65" spans="2:10" x14ac:dyDescent="0.25">
      <c r="B65" s="1">
        <v>2023</v>
      </c>
      <c r="D65" s="1">
        <f t="shared" si="0"/>
        <v>115.93048108994026</v>
      </c>
      <c r="H65" s="1">
        <v>2023</v>
      </c>
      <c r="J65" s="1">
        <f t="shared" si="1"/>
        <v>115.93048108994026</v>
      </c>
    </row>
    <row r="66" spans="2:10" x14ac:dyDescent="0.25">
      <c r="B66" s="1">
        <v>2024</v>
      </c>
      <c r="D66" s="1">
        <f t="shared" si="0"/>
        <v>119.70901348088501</v>
      </c>
      <c r="H66" s="1">
        <v>2024</v>
      </c>
      <c r="J66" s="1">
        <f t="shared" si="1"/>
        <v>119.70901348088501</v>
      </c>
    </row>
    <row r="67" spans="2:10" x14ac:dyDescent="0.25">
      <c r="B67" s="1">
        <v>2025</v>
      </c>
      <c r="D67" s="1">
        <f t="shared" si="0"/>
        <v>123.48754587182975</v>
      </c>
      <c r="H67" s="1">
        <v>2025</v>
      </c>
      <c r="J67" s="1">
        <f t="shared" si="1"/>
        <v>123.48754587182975</v>
      </c>
    </row>
    <row r="68" spans="2:10" x14ac:dyDescent="0.25">
      <c r="B68" s="1">
        <v>2026</v>
      </c>
      <c r="D68" s="1">
        <f t="shared" si="0"/>
        <v>127.2660782627745</v>
      </c>
      <c r="H68" s="1">
        <v>2026</v>
      </c>
      <c r="J68" s="1">
        <f t="shared" si="1"/>
        <v>127.2660782627745</v>
      </c>
    </row>
    <row r="69" spans="2:10" x14ac:dyDescent="0.25">
      <c r="B69" s="1">
        <v>2027</v>
      </c>
      <c r="D69" s="1">
        <f t="shared" si="0"/>
        <v>131.04461065371925</v>
      </c>
      <c r="H69" s="1">
        <v>2027</v>
      </c>
      <c r="J69" s="1">
        <f t="shared" si="1"/>
        <v>131.04461065371925</v>
      </c>
    </row>
    <row r="70" spans="2:10" x14ac:dyDescent="0.25">
      <c r="B70" s="1">
        <v>2028</v>
      </c>
      <c r="D70" s="1">
        <f t="shared" si="0"/>
        <v>134.8231430446649</v>
      </c>
      <c r="H70" s="1">
        <v>2028</v>
      </c>
      <c r="J70" s="1">
        <f t="shared" si="1"/>
        <v>134.8231430446649</v>
      </c>
    </row>
    <row r="71" spans="2:10" x14ac:dyDescent="0.25">
      <c r="B71" s="1">
        <v>2029</v>
      </c>
      <c r="D71" s="1">
        <f t="shared" si="0"/>
        <v>138.60167543560965</v>
      </c>
      <c r="H71" s="1">
        <v>2029</v>
      </c>
      <c r="J71" s="1">
        <f t="shared" si="1"/>
        <v>138.60167543560965</v>
      </c>
    </row>
    <row r="72" spans="2:10" x14ac:dyDescent="0.25">
      <c r="B72" s="1">
        <v>2030</v>
      </c>
      <c r="D72" s="1">
        <f t="shared" si="0"/>
        <v>142.3802078265544</v>
      </c>
      <c r="H72" s="1">
        <v>2030</v>
      </c>
      <c r="J72" s="1">
        <f t="shared" si="1"/>
        <v>142.3802078265544</v>
      </c>
    </row>
  </sheetData>
  <phoneticPr fontId="10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5"/>
  <dimension ref="A1:AB71"/>
  <sheetViews>
    <sheetView topLeftCell="A25" workbookViewId="0">
      <selection activeCell="C31" sqref="C31:C57"/>
    </sheetView>
  </sheetViews>
  <sheetFormatPr defaultColWidth="8" defaultRowHeight="13.8" x14ac:dyDescent="0.25"/>
  <cols>
    <col min="1" max="16384" width="8" style="1"/>
  </cols>
  <sheetData>
    <row r="1" spans="1:28" x14ac:dyDescent="0.25">
      <c r="A1" s="13" t="s">
        <v>7</v>
      </c>
      <c r="B1" s="15">
        <v>1990</v>
      </c>
      <c r="C1" s="15">
        <v>1991</v>
      </c>
      <c r="D1" s="15">
        <v>1992</v>
      </c>
      <c r="E1" s="15">
        <v>1993</v>
      </c>
      <c r="F1" s="15">
        <v>1994</v>
      </c>
      <c r="G1" s="15">
        <v>1995</v>
      </c>
      <c r="H1" s="15">
        <v>1996</v>
      </c>
      <c r="I1" s="15">
        <v>1997</v>
      </c>
      <c r="J1" s="15">
        <v>1998</v>
      </c>
      <c r="K1" s="15">
        <v>1999</v>
      </c>
      <c r="L1" s="15">
        <v>2000</v>
      </c>
      <c r="M1" s="15">
        <v>2001</v>
      </c>
      <c r="N1" s="15">
        <v>2002</v>
      </c>
      <c r="O1" s="15">
        <v>2003</v>
      </c>
      <c r="P1" s="15">
        <v>2004</v>
      </c>
      <c r="Q1" s="15">
        <v>2005</v>
      </c>
      <c r="R1" s="15">
        <v>2006</v>
      </c>
      <c r="S1" s="15">
        <v>2007</v>
      </c>
      <c r="T1" s="15">
        <v>2008</v>
      </c>
      <c r="U1" s="15">
        <v>2009</v>
      </c>
      <c r="V1" s="15">
        <v>2010</v>
      </c>
      <c r="W1" s="15">
        <v>2011</v>
      </c>
      <c r="X1" s="15">
        <v>2012</v>
      </c>
      <c r="Y1" s="15">
        <v>2013</v>
      </c>
      <c r="Z1" s="15">
        <v>2014</v>
      </c>
      <c r="AA1" s="15">
        <v>2015</v>
      </c>
      <c r="AB1" s="15">
        <v>2016</v>
      </c>
    </row>
    <row r="2" spans="1:28" x14ac:dyDescent="0.25">
      <c r="A2" s="16" t="s">
        <v>10</v>
      </c>
      <c r="J2" s="1">
        <v>0.9</v>
      </c>
      <c r="Q2" s="1">
        <v>1.0389943560800401</v>
      </c>
      <c r="T2" s="1">
        <v>1.2</v>
      </c>
      <c r="U2" s="1">
        <v>9.7272528114010506E-2</v>
      </c>
      <c r="V2" s="1">
        <v>1</v>
      </c>
      <c r="W2" s="1">
        <v>0.49977704418741897</v>
      </c>
      <c r="X2" s="1">
        <v>1.2</v>
      </c>
      <c r="Y2" s="1">
        <v>0.94807270761520601</v>
      </c>
      <c r="Z2" s="1">
        <v>2</v>
      </c>
      <c r="AA2" s="1">
        <v>1.4171483431170599</v>
      </c>
      <c r="AB2" s="1">
        <v>1.6522355197668499</v>
      </c>
    </row>
    <row r="3" spans="1:28" x14ac:dyDescent="0.25">
      <c r="A3" s="16" t="s">
        <v>13</v>
      </c>
      <c r="B3" s="1">
        <v>5.4870045558104401</v>
      </c>
      <c r="C3" s="1">
        <v>8.6999999999999993</v>
      </c>
      <c r="D3" s="1">
        <v>7.0752687610139002</v>
      </c>
      <c r="E3" s="1">
        <v>7.8581474600762498</v>
      </c>
      <c r="F3" s="1">
        <v>8.6245705477437191</v>
      </c>
      <c r="G3" s="1">
        <v>9.3717010075413398</v>
      </c>
      <c r="H3" s="1">
        <v>10.0932960148248</v>
      </c>
      <c r="I3" s="1">
        <v>10.787385156614601</v>
      </c>
      <c r="J3" s="1">
        <v>22</v>
      </c>
      <c r="K3" s="1">
        <v>12.063228571409599</v>
      </c>
      <c r="L3" s="1">
        <v>21</v>
      </c>
      <c r="M3" s="1">
        <v>18.512730000000001</v>
      </c>
      <c r="N3" s="1">
        <v>13.6777825402544</v>
      </c>
      <c r="O3" s="1">
        <v>14.161017471496001</v>
      </c>
      <c r="P3" s="1">
        <v>15.5</v>
      </c>
      <c r="Q3" s="1">
        <v>15.094279058769599</v>
      </c>
      <c r="R3" s="1">
        <v>14</v>
      </c>
      <c r="S3" s="1">
        <v>23.4</v>
      </c>
      <c r="T3" s="1">
        <v>16.562362271096902</v>
      </c>
      <c r="U3" s="1">
        <v>17.1005802277678</v>
      </c>
      <c r="V3" s="1">
        <v>17.658821774237602</v>
      </c>
      <c r="W3" s="1">
        <v>18.5</v>
      </c>
      <c r="X3" s="1">
        <v>18.828431566730298</v>
      </c>
      <c r="Y3" s="1">
        <v>19.4319726861006</v>
      </c>
      <c r="Z3" s="1">
        <v>22.2</v>
      </c>
      <c r="AA3" s="1">
        <v>20.656061422560299</v>
      </c>
      <c r="AB3" s="1">
        <v>21.2703972709478</v>
      </c>
    </row>
    <row r="4" spans="1:28" x14ac:dyDescent="0.25">
      <c r="A4" s="16" t="s">
        <v>15</v>
      </c>
      <c r="B4" s="1">
        <v>9.9999997764825804E-3</v>
      </c>
      <c r="I4" s="1">
        <v>0.1</v>
      </c>
      <c r="J4" s="1">
        <v>0.2896629965982</v>
      </c>
      <c r="K4" s="1">
        <v>0.41347042138624301</v>
      </c>
      <c r="L4" s="1">
        <v>0.50917267792802001</v>
      </c>
      <c r="M4" s="1">
        <v>0.58194096734145795</v>
      </c>
      <c r="N4" s="1">
        <v>0.63888935946549497</v>
      </c>
      <c r="O4" s="1">
        <v>0.68663986863154103</v>
      </c>
      <c r="P4" s="1">
        <v>0.3</v>
      </c>
      <c r="Q4" s="1">
        <v>0.78283368844607804</v>
      </c>
      <c r="R4" s="1">
        <v>0.84521150262783695</v>
      </c>
      <c r="S4" s="1">
        <v>0.92615977776889502</v>
      </c>
      <c r="T4" s="1">
        <v>1.03141927111932</v>
      </c>
      <c r="U4" s="1">
        <v>1.15914829411466</v>
      </c>
      <c r="V4" s="1">
        <v>3.1</v>
      </c>
      <c r="W4" s="1">
        <v>1.4541817298166599</v>
      </c>
      <c r="X4" s="1">
        <v>1.61342743078011</v>
      </c>
      <c r="Y4" s="1">
        <v>1.7747697669675899</v>
      </c>
      <c r="Z4" s="1">
        <v>1.93445728423813</v>
      </c>
      <c r="AA4" s="1">
        <v>0.7</v>
      </c>
      <c r="AB4" s="1">
        <v>2.23271715979023</v>
      </c>
    </row>
    <row r="5" spans="1:28" x14ac:dyDescent="0.25">
      <c r="A5" s="16" t="s">
        <v>16</v>
      </c>
      <c r="B5" s="1">
        <v>3.0089544334496798</v>
      </c>
      <c r="C5" s="1">
        <v>5.4604591669441698</v>
      </c>
      <c r="D5" s="1">
        <v>8.1766050466885201</v>
      </c>
      <c r="E5" s="1">
        <v>10.956640064281901</v>
      </c>
      <c r="F5" s="1">
        <v>13.727105222107101</v>
      </c>
      <c r="G5" s="1">
        <v>16.4852656809176</v>
      </c>
      <c r="H5" s="1">
        <v>19.600000000000001</v>
      </c>
      <c r="I5" s="1">
        <v>21.946461374828498</v>
      </c>
      <c r="J5" s="1">
        <v>24.6429230917757</v>
      </c>
      <c r="K5" s="1">
        <v>27.3107818289199</v>
      </c>
      <c r="L5" s="1">
        <v>29.948429272101802</v>
      </c>
      <c r="M5" s="1">
        <v>32.561484228695498</v>
      </c>
      <c r="N5" s="1">
        <v>32.5</v>
      </c>
      <c r="O5" s="1">
        <v>37.743641880436698</v>
      </c>
      <c r="P5" s="1">
        <v>40.326927535836802</v>
      </c>
      <c r="Q5" s="1">
        <v>42.909220588555598</v>
      </c>
      <c r="R5" s="1">
        <v>45.499098418617997</v>
      </c>
      <c r="S5" s="1">
        <v>48.103557610748602</v>
      </c>
      <c r="T5" s="1">
        <v>50.729041223495301</v>
      </c>
      <c r="U5" s="1">
        <v>53.374313705874002</v>
      </c>
      <c r="V5" s="1">
        <v>56.036060257471199</v>
      </c>
      <c r="W5" s="1">
        <v>58.712003950609201</v>
      </c>
      <c r="X5" s="1">
        <v>61.4</v>
      </c>
      <c r="Y5" s="1">
        <v>64.092609360916896</v>
      </c>
      <c r="Z5" s="1">
        <v>66.791698922759295</v>
      </c>
      <c r="AA5" s="1">
        <v>69.4924552148251</v>
      </c>
      <c r="AB5" s="1">
        <v>72.192871070214295</v>
      </c>
    </row>
    <row r="6" spans="1:28" x14ac:dyDescent="0.25">
      <c r="A6" s="16" t="s">
        <v>17</v>
      </c>
      <c r="B6" s="1">
        <v>87.781186418693395</v>
      </c>
      <c r="C6" s="1">
        <v>84.966455691593595</v>
      </c>
      <c r="D6" s="1">
        <v>81.965504170846302</v>
      </c>
      <c r="E6" s="1">
        <v>78.939468985548999</v>
      </c>
      <c r="F6" s="1">
        <v>75.881134048664606</v>
      </c>
      <c r="G6" s="1">
        <v>72.778448703379993</v>
      </c>
      <c r="H6" s="1">
        <v>11.1</v>
      </c>
      <c r="I6" s="1">
        <v>66.404772306574898</v>
      </c>
      <c r="J6" s="1">
        <v>63.113197397192998</v>
      </c>
      <c r="K6" s="1">
        <v>59.738744163494701</v>
      </c>
      <c r="L6" s="1">
        <v>56.275580657328099</v>
      </c>
      <c r="M6" s="1">
        <v>52.735473049235999</v>
      </c>
      <c r="N6" s="1">
        <v>10.199999999999999</v>
      </c>
      <c r="O6" s="1">
        <v>45.489901881839401</v>
      </c>
      <c r="P6" s="1">
        <v>41.817379991491997</v>
      </c>
      <c r="Q6" s="1">
        <v>38.134664984727003</v>
      </c>
      <c r="R6" s="1">
        <v>9.9</v>
      </c>
      <c r="S6" s="1">
        <v>30.801625907113198</v>
      </c>
      <c r="T6" s="1">
        <v>27.181828368560801</v>
      </c>
      <c r="U6" s="1">
        <v>23.596191080104099</v>
      </c>
      <c r="V6" s="1">
        <v>20.0232957588969</v>
      </c>
      <c r="W6" s="1">
        <v>16.456293857770699</v>
      </c>
      <c r="X6" s="1">
        <v>4.3721990589999997</v>
      </c>
      <c r="Y6" s="1">
        <v>9.2902535985232806</v>
      </c>
      <c r="Z6" s="1">
        <v>5.6698796669476303</v>
      </c>
      <c r="AA6" s="1">
        <v>2.0132183976431599</v>
      </c>
    </row>
    <row r="7" spans="1:28" x14ac:dyDescent="0.25">
      <c r="A7" s="16" t="s">
        <v>2</v>
      </c>
      <c r="L7" s="1">
        <v>0.4</v>
      </c>
      <c r="N7" s="1">
        <v>0.23235654726431301</v>
      </c>
      <c r="O7" s="1">
        <v>1.77947772608405</v>
      </c>
      <c r="P7" s="1">
        <v>3.3285146413179598</v>
      </c>
      <c r="Q7" s="1">
        <v>1.9</v>
      </c>
      <c r="R7" s="1">
        <v>6.4583821279032003</v>
      </c>
      <c r="S7" s="1">
        <v>8.0384659507971001</v>
      </c>
      <c r="T7" s="1">
        <v>9.4908196393377295</v>
      </c>
      <c r="U7" s="1">
        <v>10.9688874961178</v>
      </c>
      <c r="V7" s="1">
        <v>12.467160778147401</v>
      </c>
      <c r="W7" s="1">
        <v>4.8</v>
      </c>
      <c r="X7" s="1">
        <v>15.5164428700546</v>
      </c>
      <c r="Y7" s="1">
        <v>17.063400727245401</v>
      </c>
      <c r="Z7" s="1">
        <v>12.2</v>
      </c>
      <c r="AA7" s="1">
        <v>20.1847301175609</v>
      </c>
      <c r="AB7" s="1">
        <v>26.5</v>
      </c>
    </row>
    <row r="8" spans="1:28" x14ac:dyDescent="0.25">
      <c r="A8" s="16" t="s">
        <v>18</v>
      </c>
      <c r="K8" s="1">
        <v>1.5</v>
      </c>
      <c r="Q8" s="1">
        <v>2.8</v>
      </c>
      <c r="R8" s="1">
        <v>0.49771616415601999</v>
      </c>
      <c r="S8" s="1">
        <v>0.73976878344035402</v>
      </c>
      <c r="T8" s="1">
        <v>0.98415242363916799</v>
      </c>
      <c r="U8" s="1">
        <v>1.22524304912551</v>
      </c>
      <c r="V8" s="1">
        <v>1.46158100234327</v>
      </c>
      <c r="W8" s="1">
        <v>1.68642462742461</v>
      </c>
      <c r="X8" s="1">
        <v>2.9</v>
      </c>
      <c r="Y8" s="1">
        <v>2.08581154305609</v>
      </c>
      <c r="Z8" s="1">
        <v>2.2506049889412698</v>
      </c>
      <c r="AA8" s="1">
        <v>2.3854477686861499</v>
      </c>
      <c r="AB8" s="1">
        <v>6.9</v>
      </c>
    </row>
    <row r="9" spans="1:28" x14ac:dyDescent="0.25">
      <c r="A9" s="16" t="s">
        <v>19</v>
      </c>
      <c r="B9" s="1">
        <v>10.2807451611761</v>
      </c>
      <c r="C9" s="1">
        <v>10.066361943880599</v>
      </c>
      <c r="D9" s="1">
        <v>9.8279924824115898</v>
      </c>
      <c r="E9" s="1">
        <v>10.1011727741234</v>
      </c>
      <c r="F9" s="1">
        <v>10.3694637562847</v>
      </c>
      <c r="G9" s="1">
        <v>3.9</v>
      </c>
      <c r="H9" s="1">
        <v>10.877300600740799</v>
      </c>
      <c r="I9" s="1">
        <v>11.1301626412323</v>
      </c>
      <c r="J9" s="1">
        <v>11.3634785401056</v>
      </c>
      <c r="K9" s="1">
        <v>11.5719793097752</v>
      </c>
      <c r="L9" s="1">
        <v>5.2</v>
      </c>
      <c r="M9" s="1">
        <v>10.435460000000001</v>
      </c>
      <c r="N9" s="1">
        <v>10.100867809399199</v>
      </c>
      <c r="O9" s="1">
        <v>10.5</v>
      </c>
      <c r="P9" s="1">
        <v>8.1688408694146997</v>
      </c>
      <c r="Q9" s="1">
        <v>7.1685594788182403</v>
      </c>
      <c r="R9" s="1">
        <v>11.7</v>
      </c>
      <c r="S9" s="1">
        <v>5.2046743938692401</v>
      </c>
      <c r="T9" s="1">
        <v>4.2764994204726401</v>
      </c>
      <c r="U9" s="1">
        <v>3.3962034395924299</v>
      </c>
      <c r="V9" s="1">
        <v>2.5687314600850399</v>
      </c>
      <c r="W9" s="1">
        <v>1.79975434498142</v>
      </c>
      <c r="X9" s="1">
        <v>15.2</v>
      </c>
      <c r="Y9" s="1">
        <v>0.459422941986105</v>
      </c>
    </row>
    <row r="10" spans="1:28" x14ac:dyDescent="0.25">
      <c r="A10" s="16" t="s">
        <v>20</v>
      </c>
      <c r="E10" s="1">
        <v>3.4</v>
      </c>
      <c r="F10" s="1">
        <v>1.23974584995807</v>
      </c>
      <c r="G10" s="1">
        <v>2.3305036305809401</v>
      </c>
      <c r="H10" s="1">
        <v>3.4020885287640401</v>
      </c>
      <c r="I10" s="1">
        <v>4.4517510170762202</v>
      </c>
      <c r="J10" s="1">
        <v>4.3</v>
      </c>
      <c r="K10" s="1">
        <v>6.4675082396284997</v>
      </c>
      <c r="L10" s="1">
        <v>7.4227633520682197</v>
      </c>
      <c r="M10" s="1">
        <v>8.3498312199594498</v>
      </c>
      <c r="N10" s="1">
        <v>9.2552317072402506</v>
      </c>
      <c r="O10" s="1">
        <v>4.5999999999999996</v>
      </c>
      <c r="P10" s="1">
        <v>11.027404726396</v>
      </c>
      <c r="Q10" s="1">
        <v>11.908677640062299</v>
      </c>
      <c r="R10" s="1">
        <v>12.795013791410801</v>
      </c>
      <c r="S10" s="1">
        <v>13.6932671708282</v>
      </c>
      <c r="T10" s="1">
        <v>14.608634456887</v>
      </c>
      <c r="U10" s="1">
        <v>8.1</v>
      </c>
      <c r="V10" s="1">
        <v>6.7</v>
      </c>
      <c r="W10" s="1">
        <v>17.435444319551902</v>
      </c>
      <c r="X10" s="1">
        <v>18.389883163635599</v>
      </c>
      <c r="Y10" s="1">
        <v>19.3444291910799</v>
      </c>
      <c r="Z10" s="1">
        <v>12.6</v>
      </c>
      <c r="AA10" s="1">
        <v>16</v>
      </c>
      <c r="AB10" s="1">
        <v>39.299999999999997</v>
      </c>
    </row>
    <row r="11" spans="1:28" x14ac:dyDescent="0.25">
      <c r="A11" s="16" t="s">
        <v>21</v>
      </c>
    </row>
    <row r="12" spans="1:28" x14ac:dyDescent="0.25">
      <c r="A12" s="16" t="s">
        <v>22</v>
      </c>
      <c r="B12" s="1">
        <v>9.9999997764825804E-3</v>
      </c>
      <c r="C12" s="1">
        <v>9.9999997764825804E-3</v>
      </c>
      <c r="D12" s="1">
        <v>9.9999997764825804E-3</v>
      </c>
      <c r="E12" s="1">
        <v>9.9999997764825804E-3</v>
      </c>
      <c r="F12" s="1">
        <v>9.9999997764825804E-3</v>
      </c>
      <c r="G12" s="1">
        <v>9.9999997764825804E-3</v>
      </c>
      <c r="H12" s="1">
        <v>9.9999997764825804E-3</v>
      </c>
      <c r="I12" s="1">
        <v>9.9999997764825804E-3</v>
      </c>
      <c r="J12" s="1">
        <v>9.9999997764825804E-3</v>
      </c>
      <c r="K12" s="1">
        <v>9.9999997764825804E-3</v>
      </c>
      <c r="L12" s="1">
        <v>9.9999997764825804E-3</v>
      </c>
      <c r="M12" s="1">
        <v>9.9999997764825804E-3</v>
      </c>
      <c r="N12" s="1">
        <v>9.9999997764825804E-3</v>
      </c>
      <c r="O12" s="1">
        <v>9.9999997764825804E-3</v>
      </c>
      <c r="S12" s="1">
        <v>0.8</v>
      </c>
      <c r="U12" s="1">
        <v>0.5</v>
      </c>
      <c r="V12" s="1">
        <v>1.1319190805250801</v>
      </c>
      <c r="W12" s="1">
        <v>1</v>
      </c>
      <c r="X12" s="1">
        <v>2.56964228564786</v>
      </c>
      <c r="Y12" s="1">
        <v>1.2</v>
      </c>
      <c r="Z12" s="1">
        <v>1.4</v>
      </c>
      <c r="AA12" s="1">
        <v>4.5699771930700601</v>
      </c>
      <c r="AB12" s="1">
        <v>1.3</v>
      </c>
    </row>
    <row r="13" spans="1:28" x14ac:dyDescent="0.25">
      <c r="A13" s="16" t="s">
        <v>23</v>
      </c>
      <c r="B13" s="1">
        <v>1.0436780208184699</v>
      </c>
      <c r="C13" s="1">
        <v>0.99455125361452401</v>
      </c>
      <c r="D13" s="1">
        <v>1.9</v>
      </c>
      <c r="E13" s="1">
        <v>0.82384991611640501</v>
      </c>
      <c r="F13" s="1">
        <v>0.85595476733712095</v>
      </c>
      <c r="G13" s="1">
        <v>0.88232743366460298</v>
      </c>
      <c r="H13" s="1">
        <v>0.88452059305937303</v>
      </c>
      <c r="I13" s="1">
        <v>2.1</v>
      </c>
      <c r="J13" s="1">
        <v>0.80117986762345905</v>
      </c>
      <c r="K13" s="1">
        <v>0.70675879325867497</v>
      </c>
      <c r="L13" s="1">
        <v>0.57404277911095303</v>
      </c>
      <c r="M13" s="1">
        <v>5.9</v>
      </c>
      <c r="N13" s="1">
        <v>0.213700348364319</v>
      </c>
      <c r="O13" s="1">
        <v>10.8</v>
      </c>
      <c r="U13" s="1">
        <v>8.1999999999999993</v>
      </c>
      <c r="W13" s="1">
        <v>9.4</v>
      </c>
      <c r="Y13" s="1">
        <v>8.1</v>
      </c>
      <c r="AB13" s="1">
        <v>17.3</v>
      </c>
    </row>
    <row r="14" spans="1:28" x14ac:dyDescent="0.25">
      <c r="A14" s="16" t="s">
        <v>24</v>
      </c>
      <c r="D14" s="1">
        <v>1.1000000000000001</v>
      </c>
      <c r="F14" s="1">
        <v>0.10477120273962</v>
      </c>
      <c r="G14" s="1">
        <v>0.33954709153049301</v>
      </c>
      <c r="H14" s="1">
        <v>0.55196697933278704</v>
      </c>
      <c r="I14" s="1">
        <v>0.73895658783227403</v>
      </c>
      <c r="J14" s="1">
        <v>0.89609104126198702</v>
      </c>
      <c r="K14" s="1">
        <v>1.0934815258816299</v>
      </c>
      <c r="L14" s="1">
        <v>1</v>
      </c>
      <c r="M14" s="1">
        <v>1.4400139591885399</v>
      </c>
      <c r="N14" s="1">
        <v>1.5864874822332899</v>
      </c>
      <c r="O14" s="1">
        <v>2.2717040000000002</v>
      </c>
      <c r="P14" s="1">
        <v>2.2000000000000002</v>
      </c>
      <c r="Q14" s="1">
        <v>1.99644803463496</v>
      </c>
      <c r="R14" s="1">
        <v>1.0488013698630101</v>
      </c>
      <c r="S14" s="1">
        <v>2.3116298486334701</v>
      </c>
      <c r="T14" s="1">
        <v>2.5001339322067002</v>
      </c>
      <c r="U14" s="1">
        <v>2.7055775350818299</v>
      </c>
      <c r="V14" s="1">
        <v>3.5</v>
      </c>
      <c r="W14" s="1">
        <v>2.9</v>
      </c>
      <c r="X14" s="1">
        <v>2.2999999999999998</v>
      </c>
      <c r="Y14" s="1">
        <v>3.4</v>
      </c>
      <c r="Z14" s="1">
        <v>4.7</v>
      </c>
      <c r="AA14" s="1">
        <v>3.9</v>
      </c>
      <c r="AB14" s="1">
        <v>4</v>
      </c>
    </row>
    <row r="15" spans="1:28" x14ac:dyDescent="0.25">
      <c r="A15" s="16" t="s">
        <v>25</v>
      </c>
      <c r="H15" s="1">
        <v>0.4</v>
      </c>
      <c r="K15" s="1">
        <v>0.55269824166953296</v>
      </c>
      <c r="L15" s="1">
        <v>1.14740485953544</v>
      </c>
      <c r="M15" s="1">
        <v>2.2000000000000002</v>
      </c>
      <c r="N15" s="1">
        <v>2.10439815371311</v>
      </c>
      <c r="O15" s="1">
        <v>2.4742603531677401</v>
      </c>
      <c r="P15" s="1">
        <v>2.7761500015707901</v>
      </c>
      <c r="Q15" s="1">
        <v>3.0172097021118498</v>
      </c>
      <c r="R15" s="1">
        <v>3.2</v>
      </c>
      <c r="S15" s="1">
        <v>3.3262321126743801</v>
      </c>
      <c r="T15" s="1">
        <v>3.40100797743137</v>
      </c>
      <c r="U15" s="1">
        <v>8.0097861929582006</v>
      </c>
      <c r="V15" s="1">
        <v>3.3867888068602099</v>
      </c>
      <c r="W15" s="1">
        <v>3.2934256131958199</v>
      </c>
      <c r="X15" s="1">
        <v>11.9</v>
      </c>
      <c r="Y15" s="1">
        <v>2.9100538303189998</v>
      </c>
      <c r="Z15" s="1">
        <v>2.60942586463405</v>
      </c>
      <c r="AA15" s="1">
        <v>23.4</v>
      </c>
      <c r="AB15" s="1">
        <v>1.7689984828541001</v>
      </c>
    </row>
    <row r="16" spans="1:28" x14ac:dyDescent="0.25">
      <c r="A16" s="16" t="s">
        <v>26</v>
      </c>
      <c r="B16" s="1">
        <v>94.001993357141103</v>
      </c>
      <c r="C16" s="1">
        <v>94.456572900039902</v>
      </c>
      <c r="D16" s="1">
        <v>94.909647546720507</v>
      </c>
      <c r="E16" s="1">
        <v>95.357175937898305</v>
      </c>
      <c r="F16" s="1">
        <v>95.794352836449903</v>
      </c>
      <c r="G16" s="1">
        <v>96.2164224865341</v>
      </c>
      <c r="H16" s="1">
        <v>96.618649507100898</v>
      </c>
      <c r="I16" s="1">
        <v>96.996381000770199</v>
      </c>
      <c r="J16" s="1">
        <v>97.344852468439896</v>
      </c>
      <c r="K16" s="1">
        <v>97.663889908397707</v>
      </c>
      <c r="L16" s="1">
        <v>97.916128782641806</v>
      </c>
      <c r="M16" s="1">
        <v>98.170967117361897</v>
      </c>
      <c r="N16" s="1">
        <v>99.257235806073595</v>
      </c>
      <c r="O16" s="1">
        <v>98.628338601067</v>
      </c>
      <c r="P16" s="1">
        <v>99.098700411899202</v>
      </c>
      <c r="Q16" s="1">
        <v>98</v>
      </c>
      <c r="R16" s="1">
        <v>99.311024017746107</v>
      </c>
      <c r="S16" s="1">
        <v>99.552152693305402</v>
      </c>
      <c r="T16" s="1">
        <v>99.7648211703154</v>
      </c>
      <c r="U16" s="1">
        <v>99.909710467378403</v>
      </c>
      <c r="V16" s="1">
        <v>99.978045626164402</v>
      </c>
      <c r="W16" s="1">
        <v>99.997505224250006</v>
      </c>
      <c r="X16" s="1">
        <v>100</v>
      </c>
      <c r="Y16" s="1">
        <v>100</v>
      </c>
      <c r="Z16" s="1">
        <v>100</v>
      </c>
      <c r="AA16" s="1">
        <v>100</v>
      </c>
      <c r="AB16" s="1">
        <v>100</v>
      </c>
    </row>
    <row r="17" spans="1:28" x14ac:dyDescent="0.25">
      <c r="A17" s="16" t="s">
        <v>27</v>
      </c>
      <c r="B17" s="1">
        <v>9.9999997764825804E-3</v>
      </c>
      <c r="I17" s="1">
        <v>2.1</v>
      </c>
      <c r="M17" s="1">
        <v>0.4</v>
      </c>
      <c r="N17" s="1">
        <v>0.51297926785605796</v>
      </c>
      <c r="O17" s="1">
        <v>1.1000000000000001</v>
      </c>
      <c r="P17" s="1">
        <v>1.1704850721678399</v>
      </c>
      <c r="Q17" s="1">
        <v>1.48729617007341</v>
      </c>
      <c r="R17" s="1">
        <v>1.8050532646500399</v>
      </c>
      <c r="S17" s="1">
        <v>2.1326572641541199</v>
      </c>
      <c r="T17" s="1">
        <v>2.15221459762944</v>
      </c>
      <c r="U17" s="1">
        <v>3.8</v>
      </c>
      <c r="V17" s="1">
        <v>3.1671542693374599</v>
      </c>
      <c r="W17" s="1">
        <v>5.4</v>
      </c>
      <c r="X17" s="1">
        <v>3.8391146977443902</v>
      </c>
      <c r="Y17" s="1">
        <v>4.1542430077370804</v>
      </c>
      <c r="Z17" s="1">
        <v>4.4493556371414398</v>
      </c>
      <c r="AA17" s="1">
        <v>5</v>
      </c>
      <c r="AB17" s="1">
        <v>4.9549710619721798</v>
      </c>
    </row>
    <row r="18" spans="1:28" x14ac:dyDescent="0.25">
      <c r="A18" s="16" t="s">
        <v>29</v>
      </c>
      <c r="B18" s="1">
        <v>20.2573439855332</v>
      </c>
      <c r="C18" s="1">
        <v>21.2179255170396</v>
      </c>
      <c r="D18" s="1">
        <v>22.166091201676799</v>
      </c>
      <c r="E18" s="1">
        <v>23.0991450661034</v>
      </c>
      <c r="F18" s="1">
        <v>24.0121211203186</v>
      </c>
      <c r="G18" s="1">
        <v>24.902434688796099</v>
      </c>
      <c r="H18" s="1">
        <v>25.766637300917299</v>
      </c>
      <c r="I18" s="1">
        <v>26.5996429879409</v>
      </c>
      <c r="J18" s="1">
        <v>27.399444938452401</v>
      </c>
      <c r="K18" s="1">
        <v>28.160821073824099</v>
      </c>
      <c r="L18" s="1">
        <v>28.882640686668999</v>
      </c>
      <c r="M18" s="1">
        <v>29.569553049794798</v>
      </c>
      <c r="N18" s="1">
        <v>32.1521039521514</v>
      </c>
      <c r="O18" s="1">
        <v>30.867841783499799</v>
      </c>
      <c r="P18" s="1">
        <v>31.493191834827801</v>
      </c>
      <c r="Q18" s="1">
        <v>32.113125886018402</v>
      </c>
      <c r="R18" s="1">
        <v>32.735207205011299</v>
      </c>
      <c r="S18" s="1">
        <v>33.365584899333498</v>
      </c>
      <c r="T18" s="1">
        <v>34.013269843051802</v>
      </c>
      <c r="U18" s="1">
        <v>34.676208189360999</v>
      </c>
      <c r="V18" s="1">
        <v>34.299999999999997</v>
      </c>
      <c r="W18" s="1">
        <v>36.067221027023002</v>
      </c>
      <c r="X18" s="1">
        <v>36.790408147502298</v>
      </c>
      <c r="Y18" s="1">
        <v>37.528215149387698</v>
      </c>
      <c r="Z18" s="1">
        <v>49</v>
      </c>
      <c r="AA18" s="1">
        <v>48.9</v>
      </c>
      <c r="AB18" s="1">
        <v>39.792742904917802</v>
      </c>
    </row>
    <row r="19" spans="1:28" x14ac:dyDescent="0.25">
      <c r="A19" s="16" t="s">
        <v>30</v>
      </c>
      <c r="H19" s="1">
        <v>12.1</v>
      </c>
      <c r="I19" s="1">
        <v>6.7628283202200299</v>
      </c>
      <c r="J19" s="1">
        <v>10.7671299579705</v>
      </c>
      <c r="K19" s="1">
        <v>14.769361058864099</v>
      </c>
      <c r="L19" s="1">
        <v>18.769202296814001</v>
      </c>
      <c r="M19" s="1">
        <v>17.399999999999999</v>
      </c>
      <c r="N19" s="1">
        <v>27.011136979054999</v>
      </c>
      <c r="O19" s="1">
        <v>31.2401351273909</v>
      </c>
      <c r="P19" s="1">
        <v>27.3</v>
      </c>
      <c r="Q19" s="1">
        <v>39.764552046199398</v>
      </c>
      <c r="R19" s="1">
        <v>43.2</v>
      </c>
      <c r="S19" s="1">
        <v>48.429280573395097</v>
      </c>
      <c r="T19" s="1">
        <v>52.8311672007193</v>
      </c>
      <c r="U19" s="1">
        <v>57.281251558453903</v>
      </c>
      <c r="V19" s="1">
        <v>61.7769754382714</v>
      </c>
      <c r="W19" s="1">
        <v>72.900000000000006</v>
      </c>
      <c r="X19" s="1">
        <v>70.8971405211242</v>
      </c>
      <c r="Y19" s="1">
        <v>75.517034671166698</v>
      </c>
      <c r="Z19" s="1">
        <v>81.7</v>
      </c>
      <c r="AA19" s="1">
        <v>84.867550376979096</v>
      </c>
      <c r="AB19" s="1">
        <v>85.2</v>
      </c>
    </row>
    <row r="20" spans="1:28" x14ac:dyDescent="0.25">
      <c r="A20" s="16" t="s">
        <v>31</v>
      </c>
      <c r="B20" s="1">
        <v>41.265643444704203</v>
      </c>
      <c r="C20" s="1">
        <v>41.9692958748442</v>
      </c>
      <c r="D20" s="1">
        <v>42.675611844115302</v>
      </c>
      <c r="E20" s="1">
        <v>42.469211999999999</v>
      </c>
      <c r="F20" s="1">
        <v>44.079682602228701</v>
      </c>
      <c r="G20" s="1">
        <v>44.765505107886099</v>
      </c>
      <c r="H20" s="1">
        <v>45.431143427273597</v>
      </c>
      <c r="I20" s="1">
        <v>46.072939093117803</v>
      </c>
      <c r="J20" s="1">
        <v>40.683522000000004</v>
      </c>
      <c r="K20" s="1">
        <v>47.263902039664202</v>
      </c>
      <c r="L20" s="1">
        <v>47.801826656881197</v>
      </c>
      <c r="M20" s="1">
        <v>41.209826999999997</v>
      </c>
      <c r="N20" s="1">
        <v>48.794598305485799</v>
      </c>
      <c r="O20" s="1">
        <v>49.2679126255032</v>
      </c>
      <c r="P20" s="1">
        <v>49.737664122899602</v>
      </c>
      <c r="Q20" s="1">
        <v>43.590788000000003</v>
      </c>
      <c r="R20" s="1">
        <v>50.7039912399309</v>
      </c>
      <c r="S20" s="1">
        <v>51.210983861893297</v>
      </c>
      <c r="T20" s="1">
        <v>51.746077222654598</v>
      </c>
      <c r="U20" s="1">
        <v>47.234363999999999</v>
      </c>
      <c r="V20" s="1">
        <v>52.889011510594301</v>
      </c>
      <c r="W20" s="1">
        <v>53.489284797119502</v>
      </c>
      <c r="X20" s="1">
        <v>54.102960493659602</v>
      </c>
      <c r="Y20" s="1">
        <v>54.725616154903697</v>
      </c>
      <c r="Z20" s="1">
        <v>57.143279999999997</v>
      </c>
      <c r="AA20" s="1">
        <v>55.980736355286702</v>
      </c>
      <c r="AB20" s="1">
        <v>56.604743861928</v>
      </c>
    </row>
    <row r="21" spans="1:28" x14ac:dyDescent="0.25">
      <c r="A21" s="16" t="s">
        <v>32</v>
      </c>
      <c r="D21" s="1">
        <v>0.2</v>
      </c>
      <c r="G21" s="1">
        <v>1.34317042757614</v>
      </c>
      <c r="H21" s="1">
        <v>1.9669363358109799</v>
      </c>
      <c r="I21" s="1">
        <v>0.87652694173586299</v>
      </c>
      <c r="J21" s="1">
        <v>0.2</v>
      </c>
      <c r="K21" s="1">
        <v>1.4527657832305501</v>
      </c>
      <c r="L21" s="1">
        <v>0.38188761593016901</v>
      </c>
      <c r="M21" s="1">
        <v>1.92146736970192</v>
      </c>
      <c r="N21" s="1">
        <v>2.12153517322366</v>
      </c>
      <c r="O21" s="1">
        <v>2.3054220083329602</v>
      </c>
      <c r="P21" s="1">
        <v>2.47819326219475</v>
      </c>
      <c r="R21" s="1">
        <v>1.5</v>
      </c>
      <c r="S21" s="1">
        <v>2.9939939347657401</v>
      </c>
      <c r="T21" s="1">
        <v>3.18336426059982</v>
      </c>
      <c r="U21" s="1">
        <v>3.38134019068369</v>
      </c>
      <c r="V21" s="1">
        <v>3.5851835658035598</v>
      </c>
      <c r="W21" s="1">
        <v>4.8</v>
      </c>
      <c r="X21" s="1">
        <v>5.2</v>
      </c>
      <c r="Y21" s="1">
        <v>4.1857357967609703</v>
      </c>
      <c r="Z21" s="1">
        <v>4.3677387203137297</v>
      </c>
      <c r="AA21" s="1">
        <v>7.1</v>
      </c>
      <c r="AB21" s="1">
        <v>4.6799227713917499</v>
      </c>
    </row>
    <row r="22" spans="1:28" x14ac:dyDescent="0.25">
      <c r="A22" s="16" t="s">
        <v>33</v>
      </c>
      <c r="D22" s="1">
        <v>0.5</v>
      </c>
      <c r="L22" s="1">
        <v>0.9</v>
      </c>
      <c r="M22" s="1">
        <v>0.161099726406955</v>
      </c>
      <c r="N22" s="1">
        <v>0.413949816400207</v>
      </c>
      <c r="O22" s="1">
        <v>0.679915701883406</v>
      </c>
      <c r="P22" s="1">
        <v>0.90662160141925996</v>
      </c>
      <c r="Q22" s="1">
        <v>1.3</v>
      </c>
      <c r="R22" s="1">
        <v>1.2260885068524101</v>
      </c>
      <c r="S22" s="1">
        <v>1.3234988076595999</v>
      </c>
      <c r="T22" s="1">
        <v>2</v>
      </c>
      <c r="U22" s="1">
        <v>1.40936473120301</v>
      </c>
      <c r="V22" s="1">
        <v>4</v>
      </c>
      <c r="W22" s="1">
        <v>2.5</v>
      </c>
      <c r="X22" s="1">
        <v>1.25936141377667</v>
      </c>
      <c r="Y22" s="1">
        <v>7.7</v>
      </c>
      <c r="Z22" s="1">
        <v>9.1</v>
      </c>
      <c r="AA22" s="1">
        <v>12.4</v>
      </c>
      <c r="AB22" s="1">
        <v>17.760000000000002</v>
      </c>
    </row>
    <row r="23" spans="1:28" x14ac:dyDescent="0.25">
      <c r="A23" s="16" t="s">
        <v>34</v>
      </c>
      <c r="B23" s="1">
        <v>30.662198615890301</v>
      </c>
      <c r="C23" s="1">
        <v>31.321005387869299</v>
      </c>
      <c r="D23" s="1">
        <v>32.071668928290798</v>
      </c>
      <c r="E23" s="1">
        <v>32.8332230730202</v>
      </c>
      <c r="F23" s="1">
        <v>33.590731333338198</v>
      </c>
      <c r="G23" s="1">
        <v>34.339669982253398</v>
      </c>
      <c r="H23" s="1">
        <v>35.074012566129802</v>
      </c>
      <c r="I23" s="1">
        <v>35.791161711394899</v>
      </c>
      <c r="J23" s="1">
        <v>36.4835496668735</v>
      </c>
      <c r="K23" s="1">
        <v>37.145182141498601</v>
      </c>
      <c r="L23" s="1">
        <v>38.967640000000003</v>
      </c>
      <c r="M23" s="1">
        <v>38.371162287496603</v>
      </c>
      <c r="N23" s="1">
        <v>38.9511508601</v>
      </c>
      <c r="O23" s="1">
        <v>39.535373781476402</v>
      </c>
      <c r="P23" s="1">
        <v>40.135065280341202</v>
      </c>
      <c r="Q23" s="1">
        <v>40.761021222135497</v>
      </c>
      <c r="R23" s="1">
        <v>41.425713315249801</v>
      </c>
      <c r="S23" s="1">
        <v>42.141718478684197</v>
      </c>
      <c r="T23" s="1">
        <v>42.919433600566002</v>
      </c>
      <c r="U23" s="1">
        <v>44.2</v>
      </c>
      <c r="V23" s="1">
        <v>44.6558272412191</v>
      </c>
      <c r="W23" s="1">
        <v>45.609928468071999</v>
      </c>
      <c r="X23" s="1">
        <v>43.3</v>
      </c>
      <c r="Y23" s="1">
        <v>47.671294236635099</v>
      </c>
      <c r="Z23" s="1">
        <v>54.8</v>
      </c>
      <c r="AA23" s="1">
        <v>49.9106555547773</v>
      </c>
      <c r="AB23" s="1">
        <v>51.085718967700203</v>
      </c>
    </row>
    <row r="24" spans="1:28" x14ac:dyDescent="0.25">
      <c r="A24" s="16" t="s">
        <v>35</v>
      </c>
      <c r="B24" s="1">
        <v>46.9035124200065</v>
      </c>
      <c r="C24" s="1">
        <v>48.806741010354898</v>
      </c>
      <c r="D24" s="1">
        <v>50.708674644724297</v>
      </c>
      <c r="E24" s="1">
        <v>52.606769569791702</v>
      </c>
      <c r="F24" s="1">
        <v>54.497863858796002</v>
      </c>
      <c r="G24" s="1">
        <v>56.377729781413798</v>
      </c>
      <c r="H24" s="1">
        <v>58.2432072244723</v>
      </c>
      <c r="I24" s="1">
        <v>60.090788971297798</v>
      </c>
      <c r="J24" s="1">
        <v>61.917256528607901</v>
      </c>
      <c r="K24" s="1">
        <v>63.718479730874499</v>
      </c>
      <c r="L24" s="1">
        <v>65.493002634744101</v>
      </c>
      <c r="M24" s="1">
        <v>62</v>
      </c>
      <c r="N24" s="1">
        <v>78.3</v>
      </c>
      <c r="O24" s="1">
        <v>70.714232707066799</v>
      </c>
      <c r="P24" s="1">
        <v>72.443029227040697</v>
      </c>
      <c r="Q24" s="1">
        <v>74.177399027316397</v>
      </c>
      <c r="R24" s="1">
        <v>75.924138896418299</v>
      </c>
      <c r="S24" s="1">
        <v>78.5</v>
      </c>
      <c r="T24" s="1">
        <v>79.480373438571306</v>
      </c>
      <c r="U24" s="1">
        <v>81.293177386234902</v>
      </c>
      <c r="V24" s="1">
        <v>84.1</v>
      </c>
      <c r="W24" s="1">
        <v>86.15</v>
      </c>
      <c r="X24" s="1">
        <v>86.834771966904697</v>
      </c>
      <c r="Y24" s="1">
        <v>88.8</v>
      </c>
      <c r="Z24" s="1">
        <v>90.623496168679097</v>
      </c>
      <c r="AA24" s="1">
        <v>92.585962436390901</v>
      </c>
      <c r="AB24" s="1">
        <v>94.592960182009094</v>
      </c>
    </row>
    <row r="25" spans="1:28" x14ac:dyDescent="0.25">
      <c r="A25" s="16" t="s">
        <v>36</v>
      </c>
      <c r="B25" s="1">
        <v>95.406868152828395</v>
      </c>
      <c r="C25" s="1">
        <v>95.729380450434604</v>
      </c>
      <c r="D25" s="1">
        <v>96.046780745025899</v>
      </c>
      <c r="E25" s="1">
        <v>96.355758926042697</v>
      </c>
      <c r="F25" s="1">
        <v>96.652787804843001</v>
      </c>
      <c r="G25" s="1">
        <v>96.934115936785503</v>
      </c>
      <c r="H25" s="1">
        <v>97.196309067369597</v>
      </c>
      <c r="I25" s="1">
        <v>97.416821635002293</v>
      </c>
      <c r="J25" s="1">
        <v>97.627719447758594</v>
      </c>
      <c r="K25" s="1">
        <v>96.051422047310695</v>
      </c>
      <c r="L25" s="1">
        <v>98.026315789473699</v>
      </c>
      <c r="M25" s="1">
        <v>98.0861434794041</v>
      </c>
      <c r="N25" s="1">
        <v>98.767979232051403</v>
      </c>
      <c r="O25" s="1">
        <v>99</v>
      </c>
      <c r="P25" s="1">
        <v>98.391359225474403</v>
      </c>
      <c r="Q25" s="1">
        <v>99.1</v>
      </c>
      <c r="R25" s="1">
        <v>98.610586707990095</v>
      </c>
      <c r="S25" s="1">
        <v>98.745187327046594</v>
      </c>
      <c r="T25" s="1">
        <v>98.902050008701195</v>
      </c>
      <c r="U25" s="1">
        <v>98.681608039052307</v>
      </c>
      <c r="V25" s="1">
        <v>99.289204875646305</v>
      </c>
      <c r="W25" s="1">
        <v>99.513646011535599</v>
      </c>
      <c r="X25" s="1">
        <v>98.8</v>
      </c>
      <c r="Y25" s="1">
        <v>99.887737065925194</v>
      </c>
      <c r="Z25" s="1">
        <v>99.970547297850402</v>
      </c>
      <c r="AA25" s="1">
        <v>99.996384222425306</v>
      </c>
      <c r="AB25" s="1">
        <v>100</v>
      </c>
    </row>
    <row r="26" spans="1:28" x14ac:dyDescent="0.25">
      <c r="A26" s="16" t="s">
        <v>37</v>
      </c>
      <c r="D26" s="1">
        <v>1.3</v>
      </c>
      <c r="F26" s="1">
        <v>0.32398655086985401</v>
      </c>
      <c r="G26" s="1">
        <v>0.80066097719542795</v>
      </c>
      <c r="H26" s="1">
        <v>1.8</v>
      </c>
      <c r="I26" s="1">
        <v>1.6809168066809399</v>
      </c>
      <c r="J26" s="1">
        <v>2.0767988475124799</v>
      </c>
      <c r="K26" s="1">
        <v>1.1000000000000001</v>
      </c>
      <c r="L26" s="1">
        <v>2.7609479009594802</v>
      </c>
      <c r="M26" s="1">
        <v>3.0518769330906199</v>
      </c>
      <c r="N26" s="1">
        <v>3.31621648403154</v>
      </c>
      <c r="O26" s="1">
        <v>1.8</v>
      </c>
      <c r="P26" s="1">
        <v>1.6</v>
      </c>
      <c r="Q26" s="1">
        <v>3.7002658682190801</v>
      </c>
      <c r="R26" s="1">
        <v>3.7918568324398301</v>
      </c>
      <c r="S26" s="1">
        <v>3.8782016578663701</v>
      </c>
      <c r="T26" s="1">
        <v>2.1</v>
      </c>
      <c r="U26" s="1">
        <v>2</v>
      </c>
      <c r="V26" s="1">
        <v>3.7</v>
      </c>
      <c r="W26" s="1">
        <v>4.0999999999999996</v>
      </c>
      <c r="X26" s="1">
        <v>3.6</v>
      </c>
      <c r="Y26" s="1">
        <v>4.2</v>
      </c>
      <c r="Z26" s="1">
        <v>4.2503770905173299</v>
      </c>
      <c r="AA26" s="1">
        <v>9</v>
      </c>
      <c r="AB26" s="1">
        <v>16.899999999999999</v>
      </c>
    </row>
    <row r="27" spans="1:28" x14ac:dyDescent="0.25">
      <c r="A27" s="16" t="s">
        <v>38</v>
      </c>
      <c r="C27" s="1">
        <v>1.5</v>
      </c>
      <c r="F27" s="1">
        <v>6.1321236309726202E-4</v>
      </c>
      <c r="G27" s="1">
        <v>1.5</v>
      </c>
      <c r="H27" s="1">
        <v>1.36087599395184</v>
      </c>
      <c r="I27" s="1">
        <v>2.0171101133576599</v>
      </c>
      <c r="J27" s="1">
        <v>2.6526402530360902</v>
      </c>
      <c r="K27" s="1">
        <v>3.2645121925228202</v>
      </c>
      <c r="L27" s="1">
        <v>3.8505507268894799</v>
      </c>
      <c r="M27" s="1">
        <v>2.4</v>
      </c>
      <c r="N27" s="1">
        <v>2.7</v>
      </c>
      <c r="O27" s="1">
        <v>5.4470317207930501</v>
      </c>
      <c r="P27" s="1">
        <v>5.90627503611252</v>
      </c>
      <c r="Q27" s="1">
        <v>2.5</v>
      </c>
      <c r="R27" s="1">
        <v>2.9</v>
      </c>
      <c r="S27" s="1">
        <v>7.3199763958404498</v>
      </c>
      <c r="T27" s="1">
        <v>7.8229776793980603</v>
      </c>
      <c r="U27" s="1">
        <v>3.3</v>
      </c>
      <c r="V27" s="1">
        <v>8.8791294486068804</v>
      </c>
      <c r="W27" s="1">
        <v>5.3</v>
      </c>
      <c r="X27" s="1">
        <v>9.9798195562755208</v>
      </c>
      <c r="Y27" s="1">
        <v>6.9277187918011798</v>
      </c>
      <c r="Z27" s="1">
        <v>10.3</v>
      </c>
      <c r="AA27" s="1">
        <v>9</v>
      </c>
      <c r="AB27" s="1">
        <v>18</v>
      </c>
    </row>
    <row r="28" spans="1:28" x14ac:dyDescent="0.25">
      <c r="A28" s="16" t="s">
        <v>39</v>
      </c>
      <c r="B28" s="1">
        <v>1.8</v>
      </c>
      <c r="D28" s="1">
        <v>3.1</v>
      </c>
      <c r="E28" s="1">
        <v>1.0205309731263099</v>
      </c>
      <c r="F28" s="1">
        <v>1.6142340542440901</v>
      </c>
      <c r="G28" s="1">
        <v>2.2003500493855102</v>
      </c>
      <c r="H28" s="1">
        <v>1.5</v>
      </c>
      <c r="I28" s="1">
        <v>3.33200036126778</v>
      </c>
      <c r="J28" s="1">
        <v>2</v>
      </c>
      <c r="K28" s="1">
        <v>4.3831118750320703</v>
      </c>
      <c r="L28" s="1">
        <v>2.2000000000000002</v>
      </c>
      <c r="M28" s="1">
        <v>4.9531314261336803</v>
      </c>
      <c r="N28" s="1">
        <v>2.9</v>
      </c>
      <c r="O28" s="1">
        <v>3</v>
      </c>
      <c r="P28" s="1">
        <v>3.1</v>
      </c>
      <c r="Q28" s="1">
        <v>4.40162919874565</v>
      </c>
      <c r="R28" s="1">
        <v>4.2374151687303101</v>
      </c>
      <c r="S28" s="1">
        <v>3</v>
      </c>
      <c r="T28" s="1">
        <v>3.9290285663661302</v>
      </c>
      <c r="U28" s="1">
        <v>3.7895392594729902</v>
      </c>
      <c r="V28" s="1">
        <v>3.1</v>
      </c>
      <c r="W28" s="1">
        <v>3.5205795286763899</v>
      </c>
      <c r="X28" s="1">
        <v>3.3793840667491302</v>
      </c>
      <c r="Y28" s="1">
        <v>3.2266582674742201</v>
      </c>
      <c r="Z28" s="1">
        <v>3.8</v>
      </c>
      <c r="AA28" s="1">
        <v>3.7</v>
      </c>
      <c r="AB28" s="1">
        <v>2.6577457459003102</v>
      </c>
    </row>
    <row r="29" spans="1:28" x14ac:dyDescent="0.25">
      <c r="A29" s="16" t="s">
        <v>40</v>
      </c>
      <c r="B29" s="1">
        <v>7.8318144965853698</v>
      </c>
      <c r="C29" s="1">
        <v>7.5152241303487104</v>
      </c>
      <c r="D29" s="1">
        <v>3.0359212746906699</v>
      </c>
      <c r="E29" s="1">
        <v>7.1954292085439402</v>
      </c>
      <c r="F29" s="1">
        <v>3.4</v>
      </c>
      <c r="G29" s="1">
        <v>7.3047495674736096</v>
      </c>
      <c r="H29" s="1">
        <v>7.3336908189721299</v>
      </c>
      <c r="I29" s="1">
        <v>7.3405846530346404</v>
      </c>
      <c r="J29" s="1">
        <v>7.3198802030122501</v>
      </c>
      <c r="K29" s="1">
        <v>8.3000000000000007</v>
      </c>
      <c r="L29" s="1">
        <v>7.1797672764034504</v>
      </c>
      <c r="M29" s="1">
        <v>7.0653833839624003</v>
      </c>
      <c r="N29" s="1">
        <v>7.1552800196138202</v>
      </c>
      <c r="O29" s="1">
        <v>7.4060509290247296</v>
      </c>
      <c r="P29" s="1">
        <v>7.9725574320202304</v>
      </c>
      <c r="Q29" s="1">
        <v>8.5403550127651808</v>
      </c>
      <c r="R29" s="1">
        <v>8.6999999999999993</v>
      </c>
      <c r="S29" s="1">
        <v>9.7131947317414706</v>
      </c>
      <c r="T29" s="1">
        <v>10.3317228560259</v>
      </c>
      <c r="U29" s="1">
        <v>17.452830188679201</v>
      </c>
      <c r="V29" s="1">
        <v>11.6285986963923</v>
      </c>
      <c r="W29" s="1">
        <v>13.3</v>
      </c>
      <c r="X29" s="1">
        <v>12.981644179651999</v>
      </c>
      <c r="Y29" s="1">
        <v>13.6699177131116</v>
      </c>
      <c r="Z29" s="1">
        <v>9.8000000000000007</v>
      </c>
      <c r="AA29" s="1">
        <v>9.6999999999999993</v>
      </c>
      <c r="AB29" s="1">
        <v>15.575583712266999</v>
      </c>
    </row>
    <row r="31" spans="1:28" x14ac:dyDescent="0.25">
      <c r="B31" s="1">
        <v>1990</v>
      </c>
      <c r="C31" s="1">
        <f>VLOOKUP(Indicateur8!$K$6,prevision8!$A$1:$AB$29,MATCH(prevision8!B31,prevision8!$A$1:$AB$1,0),FALSE)</f>
        <v>0</v>
      </c>
      <c r="H31" s="1">
        <v>1990</v>
      </c>
      <c r="I31" s="1">
        <f>VLOOKUP('comite 3'!$C$4,prevision8!$A$1:$BG$28,MATCH(H31,$A$1:$BG$1,0),FALSE)</f>
        <v>0</v>
      </c>
    </row>
    <row r="32" spans="1:28" x14ac:dyDescent="0.25">
      <c r="B32" s="1">
        <v>1991</v>
      </c>
      <c r="C32" s="1">
        <f>VLOOKUP(Indicateur8!$K$6,prevision8!$A$1:$AB$29,MATCH(prevision8!B32,prevision8!$A$1:$AB$1,0),FALSE)</f>
        <v>0</v>
      </c>
      <c r="H32" s="1">
        <v>1991</v>
      </c>
      <c r="I32" s="1">
        <f>VLOOKUP('comite 3'!$C$4,prevision8!$A$1:$BG$28,MATCH(H32,$A$1:$BG$1,0),FALSE)</f>
        <v>0</v>
      </c>
    </row>
    <row r="33" spans="2:9" x14ac:dyDescent="0.25">
      <c r="B33" s="1">
        <v>1992</v>
      </c>
      <c r="C33" s="1">
        <f>VLOOKUP(Indicateur8!$K$6,prevision8!$A$1:$AB$29,MATCH(prevision8!B33,prevision8!$A$1:$AB$1,0),FALSE)</f>
        <v>0</v>
      </c>
      <c r="H33" s="1">
        <v>1992</v>
      </c>
      <c r="I33" s="1">
        <f>VLOOKUP('comite 3'!$C$4,prevision8!$A$1:$BG$28,MATCH(H33,$A$1:$BG$1,0),FALSE)</f>
        <v>0</v>
      </c>
    </row>
    <row r="34" spans="2:9" x14ac:dyDescent="0.25">
      <c r="B34" s="1">
        <v>1993</v>
      </c>
      <c r="C34" s="1">
        <f>VLOOKUP(Indicateur8!$K$6,prevision8!$A$1:$AB$29,MATCH(prevision8!B34,prevision8!$A$1:$AB$1,0),FALSE)</f>
        <v>0</v>
      </c>
      <c r="H34" s="1">
        <v>1993</v>
      </c>
      <c r="I34" s="1">
        <f>VLOOKUP('comite 3'!$C$4,prevision8!$A$1:$BG$28,MATCH(H34,$A$1:$BG$1,0),FALSE)</f>
        <v>0</v>
      </c>
    </row>
    <row r="35" spans="2:9" x14ac:dyDescent="0.25">
      <c r="B35" s="1">
        <v>1994</v>
      </c>
      <c r="C35" s="1">
        <f>VLOOKUP(Indicateur8!$K$6,prevision8!$A$1:$AB$29,MATCH(prevision8!B35,prevision8!$A$1:$AB$1,0),FALSE)</f>
        <v>0</v>
      </c>
      <c r="H35" s="1">
        <v>1994</v>
      </c>
      <c r="I35" s="1">
        <f>VLOOKUP('comite 3'!$C$4,prevision8!$A$1:$BG$28,MATCH(H35,$A$1:$BG$1,0),FALSE)</f>
        <v>0</v>
      </c>
    </row>
    <row r="36" spans="2:9" x14ac:dyDescent="0.25">
      <c r="B36" s="1">
        <v>1995</v>
      </c>
      <c r="C36" s="1">
        <f>VLOOKUP(Indicateur8!$K$6,prevision8!$A$1:$AB$29,MATCH(prevision8!B36,prevision8!$A$1:$AB$1,0),FALSE)</f>
        <v>0</v>
      </c>
      <c r="H36" s="1">
        <v>1995</v>
      </c>
      <c r="I36" s="1">
        <f>VLOOKUP('comite 3'!$C$4,prevision8!$A$1:$BG$28,MATCH(H36,$A$1:$BG$1,0),FALSE)</f>
        <v>0</v>
      </c>
    </row>
    <row r="37" spans="2:9" x14ac:dyDescent="0.25">
      <c r="B37" s="1">
        <v>1996</v>
      </c>
      <c r="C37" s="1">
        <f>VLOOKUP(Indicateur8!$K$6,prevision8!$A$1:$AB$29,MATCH(prevision8!B37,prevision8!$A$1:$AB$1,0),FALSE)</f>
        <v>12.1</v>
      </c>
      <c r="H37" s="1">
        <v>1996</v>
      </c>
      <c r="I37" s="1">
        <f>VLOOKUP('comite 3'!$C$4,prevision8!$A$1:$BG$28,MATCH(H37,$A$1:$BG$1,0),FALSE)</f>
        <v>12.1</v>
      </c>
    </row>
    <row r="38" spans="2:9" x14ac:dyDescent="0.25">
      <c r="B38" s="1">
        <v>1997</v>
      </c>
      <c r="C38" s="1">
        <f>VLOOKUP(Indicateur8!$K$6,prevision8!$A$1:$AB$29,MATCH(prevision8!B38,prevision8!$A$1:$AB$1,0),FALSE)</f>
        <v>6.7628283202200299</v>
      </c>
      <c r="H38" s="1">
        <v>1997</v>
      </c>
      <c r="I38" s="1">
        <f>VLOOKUP('comite 3'!$C$4,prevision8!$A$1:$BG$28,MATCH(H38,$A$1:$BG$1,0),FALSE)</f>
        <v>6.7628283202200299</v>
      </c>
    </row>
    <row r="39" spans="2:9" x14ac:dyDescent="0.25">
      <c r="B39" s="1">
        <v>1998</v>
      </c>
      <c r="C39" s="1">
        <f>VLOOKUP(Indicateur8!$K$6,prevision8!$A$1:$AB$29,MATCH(prevision8!B39,prevision8!$A$1:$AB$1,0),FALSE)</f>
        <v>10.7671299579705</v>
      </c>
      <c r="H39" s="1">
        <v>1998</v>
      </c>
      <c r="I39" s="1">
        <f>VLOOKUP('comite 3'!$C$4,prevision8!$A$1:$BG$28,MATCH(H39,$A$1:$BG$1,0),FALSE)</f>
        <v>10.7671299579705</v>
      </c>
    </row>
    <row r="40" spans="2:9" x14ac:dyDescent="0.25">
      <c r="B40" s="1">
        <v>1999</v>
      </c>
      <c r="C40" s="1">
        <f>VLOOKUP(Indicateur8!$K$6,prevision8!$A$1:$AB$29,MATCH(prevision8!B40,prevision8!$A$1:$AB$1,0),FALSE)</f>
        <v>14.769361058864099</v>
      </c>
      <c r="H40" s="1">
        <v>1999</v>
      </c>
      <c r="I40" s="1">
        <f>VLOOKUP('comite 3'!$C$4,prevision8!$A$1:$BG$28,MATCH(H40,$A$1:$BG$1,0),FALSE)</f>
        <v>14.769361058864099</v>
      </c>
    </row>
    <row r="41" spans="2:9" x14ac:dyDescent="0.25">
      <c r="B41" s="1">
        <v>2000</v>
      </c>
      <c r="C41" s="1">
        <f>VLOOKUP(Indicateur8!$K$6,prevision8!$A$1:$AB$29,MATCH(prevision8!B41,prevision8!$A$1:$AB$1,0),FALSE)</f>
        <v>18.769202296814001</v>
      </c>
      <c r="H41" s="1">
        <v>2000</v>
      </c>
      <c r="I41" s="1">
        <f>VLOOKUP('comite 3'!$C$4,prevision8!$A$1:$BG$28,MATCH(H41,$A$1:$BG$1,0),FALSE)</f>
        <v>18.769202296814001</v>
      </c>
    </row>
    <row r="42" spans="2:9" x14ac:dyDescent="0.25">
      <c r="B42" s="1">
        <v>2001</v>
      </c>
      <c r="C42" s="1">
        <f>VLOOKUP(Indicateur8!$K$6,prevision8!$A$1:$AB$29,MATCH(prevision8!B42,prevision8!$A$1:$AB$1,0),FALSE)</f>
        <v>17.399999999999999</v>
      </c>
      <c r="H42" s="1">
        <v>2001</v>
      </c>
      <c r="I42" s="1">
        <f>VLOOKUP('comite 3'!$C$4,prevision8!$A$1:$BG$28,MATCH(H42,$A$1:$BG$1,0),FALSE)</f>
        <v>17.399999999999999</v>
      </c>
    </row>
    <row r="43" spans="2:9" x14ac:dyDescent="0.25">
      <c r="B43" s="1">
        <v>2002</v>
      </c>
      <c r="C43" s="1">
        <f>VLOOKUP(Indicateur8!$K$6,prevision8!$A$1:$AB$29,MATCH(prevision8!B43,prevision8!$A$1:$AB$1,0),FALSE)</f>
        <v>27.011136979054999</v>
      </c>
      <c r="H43" s="1">
        <v>2002</v>
      </c>
      <c r="I43" s="1">
        <f>VLOOKUP('comite 3'!$C$4,prevision8!$A$1:$BG$28,MATCH(H43,$A$1:$BG$1,0),FALSE)</f>
        <v>27.011136979054999</v>
      </c>
    </row>
    <row r="44" spans="2:9" x14ac:dyDescent="0.25">
      <c r="B44" s="1">
        <v>2003</v>
      </c>
      <c r="C44" s="1">
        <f>VLOOKUP(Indicateur8!$K$6,prevision8!$A$1:$AB$29,MATCH(prevision8!B44,prevision8!$A$1:$AB$1,0),FALSE)</f>
        <v>31.2401351273909</v>
      </c>
      <c r="H44" s="1">
        <v>2003</v>
      </c>
      <c r="I44" s="1">
        <f>VLOOKUP('comite 3'!$C$4,prevision8!$A$1:$BG$28,MATCH(H44,$A$1:$BG$1,0),FALSE)</f>
        <v>31.2401351273909</v>
      </c>
    </row>
    <row r="45" spans="2:9" x14ac:dyDescent="0.25">
      <c r="B45" s="1">
        <v>2004</v>
      </c>
      <c r="C45" s="1">
        <f>VLOOKUP(Indicateur8!$K$6,prevision8!$A$1:$AB$29,MATCH(prevision8!B45,prevision8!$A$1:$AB$1,0),FALSE)</f>
        <v>27.3</v>
      </c>
      <c r="H45" s="1">
        <v>2004</v>
      </c>
      <c r="I45" s="1">
        <f>VLOOKUP('comite 3'!$C$4,prevision8!$A$1:$BG$28,MATCH(H45,$A$1:$BG$1,0),FALSE)</f>
        <v>27.3</v>
      </c>
    </row>
    <row r="46" spans="2:9" x14ac:dyDescent="0.25">
      <c r="B46" s="1">
        <v>2005</v>
      </c>
      <c r="C46" s="1">
        <f>VLOOKUP(Indicateur8!$K$6,prevision8!$A$1:$AB$29,MATCH(prevision8!B46,prevision8!$A$1:$AB$1,0),FALSE)</f>
        <v>39.764552046199398</v>
      </c>
      <c r="H46" s="1">
        <v>2005</v>
      </c>
      <c r="I46" s="1">
        <f>VLOOKUP('comite 3'!$C$4,prevision8!$A$1:$BG$28,MATCH(H46,$A$1:$BG$1,0),FALSE)</f>
        <v>39.764552046199398</v>
      </c>
    </row>
    <row r="47" spans="2:9" x14ac:dyDescent="0.25">
      <c r="B47" s="1">
        <v>2006</v>
      </c>
      <c r="C47" s="1">
        <f>VLOOKUP(Indicateur8!$K$6,prevision8!$A$1:$AB$29,MATCH(prevision8!B47,prevision8!$A$1:$AB$1,0),FALSE)</f>
        <v>43.2</v>
      </c>
      <c r="H47" s="1">
        <v>2006</v>
      </c>
      <c r="I47" s="1">
        <f>VLOOKUP('comite 3'!$C$4,prevision8!$A$1:$BG$28,MATCH(H47,$A$1:$BG$1,0),FALSE)</f>
        <v>43.2</v>
      </c>
    </row>
    <row r="48" spans="2:9" x14ac:dyDescent="0.25">
      <c r="B48" s="1">
        <v>2007</v>
      </c>
      <c r="C48" s="1">
        <f>VLOOKUP(Indicateur8!$K$6,prevision8!$A$1:$AB$29,MATCH(prevision8!B48,prevision8!$A$1:$AB$1,0),FALSE)</f>
        <v>48.429280573395097</v>
      </c>
      <c r="H48" s="1">
        <v>2007</v>
      </c>
      <c r="I48" s="1">
        <f>VLOOKUP('comite 3'!$C$4,prevision8!$A$1:$BG$28,MATCH(H48,$A$1:$BG$1,0),FALSE)</f>
        <v>48.429280573395097</v>
      </c>
    </row>
    <row r="49" spans="2:10" x14ac:dyDescent="0.25">
      <c r="B49" s="1">
        <v>2008</v>
      </c>
      <c r="C49" s="1">
        <f>VLOOKUP(Indicateur8!$K$6,prevision8!$A$1:$AB$29,MATCH(prevision8!B49,prevision8!$A$1:$AB$1,0),FALSE)</f>
        <v>52.8311672007193</v>
      </c>
      <c r="H49" s="1">
        <v>2008</v>
      </c>
      <c r="I49" s="1">
        <f>VLOOKUP('comite 3'!$C$4,prevision8!$A$1:$BG$28,MATCH(H49,$A$1:$BG$1,0),FALSE)</f>
        <v>52.8311672007193</v>
      </c>
    </row>
    <row r="50" spans="2:10" x14ac:dyDescent="0.25">
      <c r="B50" s="1">
        <v>2009</v>
      </c>
      <c r="C50" s="1">
        <f>VLOOKUP(Indicateur8!$K$6,prevision8!$A$1:$AB$29,MATCH(prevision8!B50,prevision8!$A$1:$AB$1,0),FALSE)</f>
        <v>57.281251558453903</v>
      </c>
      <c r="H50" s="1">
        <v>2009</v>
      </c>
      <c r="I50" s="1">
        <f>VLOOKUP('comite 3'!$C$4,prevision8!$A$1:$BG$28,MATCH(H50,$A$1:$BG$1,0),FALSE)</f>
        <v>57.281251558453903</v>
      </c>
    </row>
    <row r="51" spans="2:10" x14ac:dyDescent="0.25">
      <c r="B51" s="1">
        <v>2010</v>
      </c>
      <c r="C51" s="1">
        <f>VLOOKUP(Indicateur8!$K$6,prevision8!$A$1:$AB$29,MATCH(prevision8!B51,prevision8!$A$1:$AB$1,0),FALSE)</f>
        <v>61.7769754382714</v>
      </c>
      <c r="H51" s="1">
        <v>2010</v>
      </c>
      <c r="I51" s="1">
        <f>VLOOKUP('comite 3'!$C$4,prevision8!$A$1:$BG$28,MATCH(H51,$A$1:$BG$1,0),FALSE)</f>
        <v>61.7769754382714</v>
      </c>
    </row>
    <row r="52" spans="2:10" x14ac:dyDescent="0.25">
      <c r="B52" s="1">
        <v>2011</v>
      </c>
      <c r="C52" s="1">
        <f>VLOOKUP(Indicateur8!$K$6,prevision8!$A$1:$AB$29,MATCH(prevision8!B52,prevision8!$A$1:$AB$1,0),FALSE)</f>
        <v>72.900000000000006</v>
      </c>
      <c r="H52" s="1">
        <v>2011</v>
      </c>
      <c r="I52" s="1">
        <f>VLOOKUP('comite 3'!$C$4,prevision8!$A$1:$BG$28,MATCH(H52,$A$1:$BG$1,0),FALSE)</f>
        <v>72.900000000000006</v>
      </c>
    </row>
    <row r="53" spans="2:10" x14ac:dyDescent="0.25">
      <c r="B53" s="1">
        <v>2012</v>
      </c>
      <c r="C53" s="1">
        <f>VLOOKUP(Indicateur8!$K$6,prevision8!$A$1:$AB$29,MATCH(prevision8!B53,prevision8!$A$1:$AB$1,0),FALSE)</f>
        <v>70.8971405211242</v>
      </c>
      <c r="H53" s="1">
        <v>2012</v>
      </c>
      <c r="I53" s="1">
        <f>VLOOKUP('comite 3'!$C$4,prevision8!$A$1:$BG$28,MATCH(H53,$A$1:$BG$1,0),FALSE)</f>
        <v>70.8971405211242</v>
      </c>
    </row>
    <row r="54" spans="2:10" x14ac:dyDescent="0.25">
      <c r="B54" s="1">
        <v>2013</v>
      </c>
      <c r="C54" s="1">
        <f>VLOOKUP(Indicateur8!$K$6,prevision8!$A$1:$AB$29,MATCH(prevision8!B54,prevision8!$A$1:$AB$1,0),FALSE)</f>
        <v>75.517034671166698</v>
      </c>
      <c r="H54" s="1">
        <v>2013</v>
      </c>
      <c r="I54" s="1">
        <f>VLOOKUP('comite 3'!$C$4,prevision8!$A$1:$BG$28,MATCH(H54,$A$1:$BG$1,0),FALSE)</f>
        <v>75.517034671166698</v>
      </c>
    </row>
    <row r="55" spans="2:10" x14ac:dyDescent="0.25">
      <c r="B55" s="1">
        <v>2014</v>
      </c>
      <c r="C55" s="1">
        <f>VLOOKUP(Indicateur8!$K$6,prevision8!$A$1:$AB$29,MATCH(prevision8!B55,prevision8!$A$1:$AB$1,0),FALSE)</f>
        <v>81.7</v>
      </c>
      <c r="H55" s="1">
        <v>2014</v>
      </c>
      <c r="I55" s="1">
        <f>VLOOKUP('comite 3'!$C$4,prevision8!$A$1:$BG$28,MATCH(H55,$A$1:$BG$1,0),FALSE)</f>
        <v>81.7</v>
      </c>
    </row>
    <row r="56" spans="2:10" x14ac:dyDescent="0.25">
      <c r="B56" s="1">
        <v>2015</v>
      </c>
      <c r="C56" s="1">
        <f>VLOOKUP(Indicateur8!$K$6,prevision8!$A$1:$AB$29,MATCH(prevision8!B56,prevision8!$A$1:$AB$1,0),FALSE)</f>
        <v>84.867550376979096</v>
      </c>
      <c r="H56" s="1">
        <v>2015</v>
      </c>
      <c r="I56" s="1">
        <f>VLOOKUP('comite 3'!$C$4,prevision8!$A$1:$BG$28,MATCH(H56,$A$1:$BG$1,0),FALSE)</f>
        <v>84.867550376979096</v>
      </c>
    </row>
    <row r="57" spans="2:10" x14ac:dyDescent="0.25">
      <c r="B57" s="1">
        <v>2016</v>
      </c>
      <c r="C57" s="1">
        <f>VLOOKUP(Indicateur8!$K$6,prevision8!$A$1:$AB$29,MATCH(prevision8!B57,prevision8!$A$1:$AB$1,0),FALSE)</f>
        <v>85.2</v>
      </c>
      <c r="D57" s="1">
        <f>C57</f>
        <v>85.2</v>
      </c>
      <c r="H57" s="1">
        <v>2016</v>
      </c>
      <c r="I57" s="1">
        <f>VLOOKUP('comite 3'!$C$4,prevision8!$A$1:$BG$28,MATCH(H57,$A$1:$BG$1,0),FALSE)</f>
        <v>85.2</v>
      </c>
      <c r="J57" s="1">
        <f>I57</f>
        <v>85.2</v>
      </c>
    </row>
    <row r="58" spans="2:10" x14ac:dyDescent="0.25">
      <c r="B58" s="1">
        <v>2017</v>
      </c>
      <c r="D58" s="1">
        <f>TREND($C$31:$C$57,$B$31:$B$57,B58)</f>
        <v>87.100074425638013</v>
      </c>
      <c r="H58" s="1">
        <v>2017</v>
      </c>
      <c r="J58" s="1">
        <f>TREND($I$31:$I$57,$H$31:$H$57,H58)</f>
        <v>87.100074425638013</v>
      </c>
    </row>
    <row r="59" spans="2:10" x14ac:dyDescent="0.25">
      <c r="B59" s="1">
        <v>2018</v>
      </c>
      <c r="D59" s="1">
        <f t="shared" ref="D59:D71" si="0">TREND($C$31:$C$57,$B$31:$B$57,B59)</f>
        <v>90.833453429250767</v>
      </c>
      <c r="H59" s="1">
        <v>2018</v>
      </c>
      <c r="J59" s="1">
        <f t="shared" ref="J59:J71" si="1">TREND($I$31:$I$57,$H$31:$H$57,H59)</f>
        <v>90.833453429250767</v>
      </c>
    </row>
    <row r="60" spans="2:10" x14ac:dyDescent="0.25">
      <c r="B60" s="1">
        <v>2019</v>
      </c>
      <c r="D60" s="1">
        <f t="shared" si="0"/>
        <v>94.566832432863521</v>
      </c>
      <c r="H60" s="1">
        <v>2019</v>
      </c>
      <c r="J60" s="1">
        <f t="shared" si="1"/>
        <v>94.566832432863521</v>
      </c>
    </row>
    <row r="61" spans="2:10" x14ac:dyDescent="0.25">
      <c r="B61" s="1">
        <v>2020</v>
      </c>
      <c r="D61" s="1">
        <f t="shared" si="0"/>
        <v>98.300211436476275</v>
      </c>
      <c r="H61" s="1">
        <v>2020</v>
      </c>
      <c r="J61" s="1">
        <f t="shared" si="1"/>
        <v>98.300211436476275</v>
      </c>
    </row>
    <row r="62" spans="2:10" x14ac:dyDescent="0.25">
      <c r="B62" s="1">
        <v>2021</v>
      </c>
      <c r="D62" s="1">
        <f t="shared" si="0"/>
        <v>102.03359044008903</v>
      </c>
      <c r="H62" s="1">
        <v>2021</v>
      </c>
      <c r="J62" s="1">
        <f t="shared" si="1"/>
        <v>102.03359044008903</v>
      </c>
    </row>
    <row r="63" spans="2:10" x14ac:dyDescent="0.25">
      <c r="B63" s="1">
        <v>2022</v>
      </c>
      <c r="D63" s="1">
        <f t="shared" si="0"/>
        <v>105.76696944370087</v>
      </c>
      <c r="H63" s="1">
        <v>2022</v>
      </c>
      <c r="J63" s="1">
        <f t="shared" si="1"/>
        <v>105.76696944370087</v>
      </c>
    </row>
    <row r="64" spans="2:10" x14ac:dyDescent="0.25">
      <c r="B64" s="1">
        <v>2023</v>
      </c>
      <c r="D64" s="1">
        <f t="shared" si="0"/>
        <v>109.50034844731363</v>
      </c>
      <c r="H64" s="1">
        <v>2023</v>
      </c>
      <c r="J64" s="1">
        <f t="shared" si="1"/>
        <v>109.50034844731363</v>
      </c>
    </row>
    <row r="65" spans="2:10" x14ac:dyDescent="0.25">
      <c r="B65" s="1">
        <v>2024</v>
      </c>
      <c r="D65" s="1">
        <f t="shared" si="0"/>
        <v>113.23372745092638</v>
      </c>
      <c r="H65" s="1">
        <v>2024</v>
      </c>
      <c r="J65" s="1">
        <f t="shared" si="1"/>
        <v>113.23372745092638</v>
      </c>
    </row>
    <row r="66" spans="2:10" x14ac:dyDescent="0.25">
      <c r="B66" s="1">
        <v>2025</v>
      </c>
      <c r="D66" s="1">
        <f t="shared" si="0"/>
        <v>116.96710645453913</v>
      </c>
      <c r="H66" s="1">
        <v>2025</v>
      </c>
      <c r="J66" s="1">
        <f t="shared" si="1"/>
        <v>116.96710645453913</v>
      </c>
    </row>
    <row r="67" spans="2:10" x14ac:dyDescent="0.25">
      <c r="B67" s="1">
        <v>2026</v>
      </c>
      <c r="D67" s="1">
        <f t="shared" si="0"/>
        <v>120.70048545815189</v>
      </c>
      <c r="H67" s="1">
        <v>2026</v>
      </c>
      <c r="J67" s="1">
        <f t="shared" si="1"/>
        <v>120.70048545815189</v>
      </c>
    </row>
    <row r="68" spans="2:10" x14ac:dyDescent="0.25">
      <c r="B68" s="1">
        <v>2027</v>
      </c>
      <c r="D68" s="1">
        <f t="shared" si="0"/>
        <v>124.43386446176464</v>
      </c>
      <c r="H68" s="1">
        <v>2027</v>
      </c>
      <c r="J68" s="1">
        <f t="shared" si="1"/>
        <v>124.43386446176464</v>
      </c>
    </row>
    <row r="69" spans="2:10" x14ac:dyDescent="0.25">
      <c r="B69" s="1">
        <v>2028</v>
      </c>
      <c r="D69" s="1">
        <f t="shared" si="0"/>
        <v>128.1672434653774</v>
      </c>
      <c r="H69" s="1">
        <v>2028</v>
      </c>
      <c r="J69" s="1">
        <f t="shared" si="1"/>
        <v>128.1672434653774</v>
      </c>
    </row>
    <row r="70" spans="2:10" x14ac:dyDescent="0.25">
      <c r="B70" s="1">
        <v>2029</v>
      </c>
      <c r="D70" s="1">
        <f t="shared" si="0"/>
        <v>131.90062246899015</v>
      </c>
      <c r="H70" s="1">
        <v>2029</v>
      </c>
      <c r="J70" s="1">
        <f t="shared" si="1"/>
        <v>131.90062246899015</v>
      </c>
    </row>
    <row r="71" spans="2:10" x14ac:dyDescent="0.25">
      <c r="B71" s="1">
        <v>2030</v>
      </c>
      <c r="D71" s="1">
        <f t="shared" si="0"/>
        <v>135.6340014726029</v>
      </c>
      <c r="H71" s="1">
        <v>2030</v>
      </c>
      <c r="J71" s="1">
        <f t="shared" si="1"/>
        <v>135.6340014726029</v>
      </c>
    </row>
  </sheetData>
  <phoneticPr fontId="1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6"/>
  <dimension ref="A1:AC71"/>
  <sheetViews>
    <sheetView topLeftCell="A37" workbookViewId="0">
      <selection activeCell="C31" sqref="C31:C58"/>
    </sheetView>
  </sheetViews>
  <sheetFormatPr defaultColWidth="8" defaultRowHeight="13.8" x14ac:dyDescent="0.25"/>
  <cols>
    <col min="1" max="2" width="8" style="1"/>
    <col min="3" max="3" width="8" style="1" bestFit="1" customWidth="1"/>
    <col min="4" max="16384" width="8" style="1"/>
  </cols>
  <sheetData>
    <row r="1" spans="1:29" x14ac:dyDescent="0.25">
      <c r="A1" s="13" t="s">
        <v>7</v>
      </c>
      <c r="B1" s="14">
        <v>1990</v>
      </c>
      <c r="C1" s="14">
        <v>1991</v>
      </c>
      <c r="D1" s="14">
        <v>1992</v>
      </c>
      <c r="E1" s="14">
        <v>1993</v>
      </c>
      <c r="F1" s="14">
        <v>1994</v>
      </c>
      <c r="G1" s="14">
        <v>1995</v>
      </c>
      <c r="H1" s="14">
        <v>1996</v>
      </c>
      <c r="I1" s="14">
        <v>1997</v>
      </c>
      <c r="J1" s="14">
        <v>1998</v>
      </c>
      <c r="K1" s="14">
        <v>1999</v>
      </c>
      <c r="L1" s="14">
        <v>2000</v>
      </c>
      <c r="M1" s="14">
        <v>2001</v>
      </c>
      <c r="N1" s="14">
        <v>2002</v>
      </c>
      <c r="O1" s="14">
        <v>2003</v>
      </c>
      <c r="P1" s="14">
        <v>2004</v>
      </c>
      <c r="Q1" s="14">
        <v>2005</v>
      </c>
      <c r="R1" s="14">
        <v>2006</v>
      </c>
      <c r="S1" s="14">
        <v>2007</v>
      </c>
      <c r="T1" s="14">
        <v>2008</v>
      </c>
      <c r="U1" s="14">
        <v>2009</v>
      </c>
      <c r="V1" s="14">
        <v>2010</v>
      </c>
      <c r="W1" s="14">
        <v>2011</v>
      </c>
      <c r="X1" s="14">
        <v>2012</v>
      </c>
      <c r="Y1" s="14">
        <v>2013</v>
      </c>
      <c r="Z1" s="14">
        <v>2014</v>
      </c>
      <c r="AA1" s="14">
        <v>2015</v>
      </c>
      <c r="AB1" s="14">
        <v>2016</v>
      </c>
      <c r="AC1" s="14">
        <v>2017</v>
      </c>
    </row>
    <row r="2" spans="1:29" x14ac:dyDescent="0.25">
      <c r="A2" s="16" t="s">
        <v>10</v>
      </c>
      <c r="E2" s="1">
        <v>6.1163690322518002E-3</v>
      </c>
      <c r="F2" s="1">
        <v>6.4377605653784401E-3</v>
      </c>
      <c r="G2" s="1">
        <v>9.4598207531694598E-3</v>
      </c>
      <c r="H2" s="1">
        <v>9.2863697941703502E-3</v>
      </c>
      <c r="I2" s="1">
        <v>1.0127457074061499E-2</v>
      </c>
      <c r="J2" s="1">
        <v>1.0022061466919399E-2</v>
      </c>
      <c r="K2" s="1">
        <v>1.2741004054824499E-2</v>
      </c>
      <c r="L2" s="1">
        <v>0.25497187341521399</v>
      </c>
      <c r="M2" s="1">
        <v>0.50971433208523298</v>
      </c>
      <c r="N2" s="1">
        <v>0.77133379484805398</v>
      </c>
      <c r="O2" s="1">
        <v>0.92045102675592905</v>
      </c>
      <c r="P2" s="1">
        <v>1.40007916517634</v>
      </c>
      <c r="Q2" s="1">
        <v>2.0610810113953502</v>
      </c>
      <c r="R2" s="1">
        <v>2.6057484373978101</v>
      </c>
      <c r="S2" s="1">
        <v>3.4006866616126601</v>
      </c>
      <c r="T2" s="1">
        <v>5.8520281374295804</v>
      </c>
      <c r="U2" s="1">
        <v>10.8463380567228</v>
      </c>
      <c r="V2" s="1">
        <v>19.140440268144001</v>
      </c>
      <c r="W2" s="1">
        <v>21.170833265144498</v>
      </c>
      <c r="X2" s="1">
        <v>24.111544243329501</v>
      </c>
      <c r="Y2" s="1">
        <v>26.424810935954799</v>
      </c>
      <c r="Z2" s="1">
        <v>32.281892357197201</v>
      </c>
      <c r="AA2" s="1">
        <v>49.000526508269701</v>
      </c>
      <c r="AB2" s="1">
        <v>50.9098863116022</v>
      </c>
      <c r="AC2" s="1">
        <v>54.496304161034701</v>
      </c>
    </row>
    <row r="3" spans="1:29" x14ac:dyDescent="0.25">
      <c r="A3" s="16" t="s">
        <v>13</v>
      </c>
      <c r="F3" s="1">
        <v>1.2204740626377801E-2</v>
      </c>
      <c r="G3" s="1">
        <v>2.0800841304884299E-2</v>
      </c>
      <c r="H3" s="1">
        <v>2.5339417882620899E-2</v>
      </c>
      <c r="I3" s="1">
        <v>2.96496617150084E-2</v>
      </c>
      <c r="J3" s="1">
        <v>3.4426797268164798E-2</v>
      </c>
      <c r="K3" s="1">
        <v>4.0290383538262503E-2</v>
      </c>
      <c r="L3" s="1">
        <v>0.67616484073767602</v>
      </c>
      <c r="M3" s="1">
        <v>2.6626910653680298</v>
      </c>
      <c r="N3" s="1">
        <v>4.3612805213540202</v>
      </c>
      <c r="O3" s="1">
        <v>6.5218094272785496</v>
      </c>
      <c r="P3" s="1">
        <v>9.0268334705164701</v>
      </c>
      <c r="Q3" s="1">
        <v>12.9299954450988</v>
      </c>
      <c r="R3" s="1">
        <v>17.519680090496099</v>
      </c>
      <c r="S3" s="1">
        <v>24.658353242760999</v>
      </c>
      <c r="T3" s="1">
        <v>32.585235062046799</v>
      </c>
      <c r="U3" s="1">
        <v>41.189260838302097</v>
      </c>
      <c r="V3" s="1">
        <v>43.247060225597799</v>
      </c>
      <c r="W3" s="1">
        <v>51.103243511215901</v>
      </c>
      <c r="X3" s="1">
        <v>62.175409677359497</v>
      </c>
      <c r="Y3" s="1">
        <v>72.335021032554195</v>
      </c>
      <c r="Z3" s="1">
        <v>76.614804632250198</v>
      </c>
      <c r="AA3" s="1">
        <v>79.531627594394095</v>
      </c>
      <c r="AB3" s="1">
        <v>79.855591419993203</v>
      </c>
      <c r="AC3" s="1">
        <v>81.925046376389005</v>
      </c>
    </row>
    <row r="4" spans="1:29" x14ac:dyDescent="0.25">
      <c r="A4" s="16" t="s">
        <v>15</v>
      </c>
      <c r="L4" s="1">
        <v>6.5927013521870206E-2</v>
      </c>
      <c r="M4" s="1">
        <v>0.253953243975652</v>
      </c>
      <c r="N4" s="1">
        <v>0.37992870004729101</v>
      </c>
      <c r="O4" s="1">
        <v>0.69494924785642898</v>
      </c>
      <c r="P4" s="1">
        <v>1.26672971479117</v>
      </c>
      <c r="Q4" s="1">
        <v>2.0860217766766702</v>
      </c>
      <c r="R4" s="1">
        <v>4.4723279934927396</v>
      </c>
      <c r="S4" s="1">
        <v>8.5224655308031707</v>
      </c>
      <c r="T4" s="1">
        <v>14.3705763885502</v>
      </c>
      <c r="U4" s="1">
        <v>19.832760515582901</v>
      </c>
      <c r="V4" s="1">
        <v>24.188232016247401</v>
      </c>
      <c r="W4" s="1">
        <v>29.829645255610199</v>
      </c>
      <c r="X4" s="1">
        <v>34.649627886677301</v>
      </c>
      <c r="Y4" s="1">
        <v>34.7296005684356</v>
      </c>
      <c r="Z4" s="1">
        <v>38.701381737401398</v>
      </c>
      <c r="AA4" s="1">
        <v>39.015175011258499</v>
      </c>
      <c r="AB4" s="1">
        <v>38.648623982644402</v>
      </c>
    </row>
    <row r="5" spans="1:29" x14ac:dyDescent="0.25">
      <c r="A5" s="16" t="s">
        <v>16</v>
      </c>
      <c r="O5" s="1">
        <v>0.342929059980007</v>
      </c>
      <c r="P5" s="1">
        <v>1.40281433556364</v>
      </c>
      <c r="Q5" s="1">
        <v>2.5379847521446899</v>
      </c>
      <c r="R5" s="1">
        <v>5.8868978728499002</v>
      </c>
      <c r="S5" s="1">
        <v>9.67924939995636</v>
      </c>
      <c r="T5" s="1">
        <v>13.958757145530701</v>
      </c>
      <c r="U5" s="1">
        <v>18.2095262992163</v>
      </c>
      <c r="V5" s="1">
        <v>23.9640303207809</v>
      </c>
      <c r="W5" s="1">
        <v>30.6322524764036</v>
      </c>
      <c r="X5" s="1">
        <v>39.166118684622099</v>
      </c>
      <c r="Y5" s="1">
        <v>46.864463924477398</v>
      </c>
      <c r="Z5" s="1">
        <v>50.435549819920098</v>
      </c>
      <c r="AA5" s="1">
        <v>54.640196340735599</v>
      </c>
      <c r="AB5" s="1">
        <v>57.112673312376401</v>
      </c>
      <c r="AC5" s="1">
        <v>54.903724235543898</v>
      </c>
    </row>
    <row r="6" spans="1:29" x14ac:dyDescent="0.25">
      <c r="A6" s="16" t="s">
        <v>17</v>
      </c>
      <c r="H6" s="1">
        <v>1.7089183789510999E-2</v>
      </c>
      <c r="I6" s="1">
        <v>3.0713227718158501E-2</v>
      </c>
      <c r="J6" s="1">
        <v>3.2323849711730003E-2</v>
      </c>
      <c r="K6" s="1">
        <v>3.9994343657111402E-2</v>
      </c>
      <c r="L6" s="1">
        <v>3.2051996700037902E-2</v>
      </c>
      <c r="M6" s="1">
        <v>0.40943837338323003</v>
      </c>
      <c r="N6" s="1">
        <v>2.0101283667974998</v>
      </c>
      <c r="O6" s="1">
        <v>3.0318409206250898</v>
      </c>
      <c r="P6" s="1">
        <v>4.4738125882255204</v>
      </c>
      <c r="Q6" s="1">
        <v>5.6243568497575502</v>
      </c>
      <c r="R6" s="1">
        <v>5.62880553825131</v>
      </c>
      <c r="S6" s="1">
        <v>8.5914045183975301</v>
      </c>
      <c r="T6" s="1">
        <v>13.7128858450374</v>
      </c>
      <c r="U6" s="1">
        <v>15.388365756895</v>
      </c>
      <c r="V6" s="1">
        <v>19.457648864002199</v>
      </c>
      <c r="W6" s="1">
        <v>22.2936541572886</v>
      </c>
      <c r="X6" s="1">
        <v>24.111622417540001</v>
      </c>
      <c r="Y6" s="1">
        <v>27.224965651374799</v>
      </c>
      <c r="Z6" s="1">
        <v>31.4690121513237</v>
      </c>
      <c r="AA6" s="1">
        <v>33.895326143448301</v>
      </c>
      <c r="AB6" s="1">
        <v>36.637367045407501</v>
      </c>
      <c r="AC6" s="1">
        <v>38.982011212297003</v>
      </c>
    </row>
    <row r="7" spans="1:29" x14ac:dyDescent="0.25">
      <c r="A7" s="16" t="s">
        <v>2</v>
      </c>
      <c r="K7" s="1">
        <v>1.04269714873691E-2</v>
      </c>
      <c r="L7" s="1">
        <v>2.6687274246092001E-2</v>
      </c>
      <c r="M7" s="1">
        <v>4.0150523876005401E-2</v>
      </c>
      <c r="N7" s="1">
        <v>7.1448235838953697E-2</v>
      </c>
      <c r="O7" s="1">
        <v>7.0747671270733198E-2</v>
      </c>
      <c r="P7" s="1">
        <v>0.20842243231286101</v>
      </c>
      <c r="Q7" s="1">
        <v>0.53518260299300002</v>
      </c>
      <c r="R7" s="1">
        <v>1.0991660453341101</v>
      </c>
      <c r="S7" s="1">
        <v>1.4919653060023399</v>
      </c>
      <c r="T7" s="1">
        <v>2.3496177647258301</v>
      </c>
      <c r="U7" s="1">
        <v>4.7434801430589602</v>
      </c>
      <c r="V7" s="1">
        <v>7.8150414348844803</v>
      </c>
      <c r="W7" s="1">
        <v>15.6881376159736</v>
      </c>
      <c r="X7" s="1">
        <v>22.201385023868902</v>
      </c>
      <c r="Y7" s="1">
        <v>27.028643873890399</v>
      </c>
      <c r="Z7" s="1">
        <v>31.3145837613969</v>
      </c>
      <c r="AA7" s="1">
        <v>42.365419101670803</v>
      </c>
      <c r="AB7" s="1">
        <v>50.021876270346098</v>
      </c>
      <c r="AC7" s="1">
        <v>59.659421183661102</v>
      </c>
    </row>
    <row r="8" spans="1:29" x14ac:dyDescent="0.25">
      <c r="A8" s="16" t="s">
        <v>18</v>
      </c>
      <c r="E8" s="1">
        <v>5.8632718508785703E-4</v>
      </c>
      <c r="F8" s="1">
        <v>1.07631055058719E-2</v>
      </c>
      <c r="G8" s="1">
        <v>1.20693573880284E-2</v>
      </c>
      <c r="H8" s="1">
        <v>1.1681450054054399E-2</v>
      </c>
      <c r="I8" s="1">
        <v>3.4396787330468699E-2</v>
      </c>
      <c r="J8" s="1">
        <v>0.25363103276293902</v>
      </c>
      <c r="K8" s="1">
        <v>0.29099459437847303</v>
      </c>
      <c r="L8" s="1">
        <v>0.47808117253403698</v>
      </c>
      <c r="M8" s="1">
        <v>0.62054550709781697</v>
      </c>
      <c r="N8" s="1">
        <v>0.99341767220127897</v>
      </c>
      <c r="O8" s="1">
        <v>1.1976565030922099</v>
      </c>
      <c r="P8" s="1">
        <v>1.6322050816687399</v>
      </c>
      <c r="Q8" s="1">
        <v>1.95253077431275</v>
      </c>
      <c r="S8" s="1">
        <v>19.8083992961283</v>
      </c>
      <c r="T8" s="1">
        <v>26.639176328292301</v>
      </c>
      <c r="U8" s="1">
        <v>33.050651900189898</v>
      </c>
      <c r="V8" s="1">
        <v>37.057040976749498</v>
      </c>
      <c r="W8" s="1">
        <v>44.046353613039003</v>
      </c>
      <c r="X8" s="1">
        <v>49.503304933072101</v>
      </c>
      <c r="Y8" s="1">
        <v>64.459731038957301</v>
      </c>
      <c r="Z8" s="1">
        <v>73.5546430060745</v>
      </c>
      <c r="AA8" s="1">
        <v>89.020970293841103</v>
      </c>
      <c r="AB8" s="1">
        <v>87.125413160003205</v>
      </c>
    </row>
    <row r="9" spans="1:29" x14ac:dyDescent="0.25">
      <c r="A9" s="16" t="s">
        <v>19</v>
      </c>
      <c r="I9" s="1">
        <v>0</v>
      </c>
      <c r="J9" s="1">
        <v>0.12108761379057099</v>
      </c>
      <c r="K9" s="1">
        <v>0.29746330433185098</v>
      </c>
      <c r="L9" s="1">
        <v>0.64333504889346405</v>
      </c>
      <c r="M9" s="1">
        <v>1.05262346554246</v>
      </c>
      <c r="N9" s="1">
        <v>1.58465456737629</v>
      </c>
      <c r="O9" s="1">
        <v>3.5648431602691102</v>
      </c>
      <c r="P9" s="1">
        <v>4.3863602618569404</v>
      </c>
      <c r="Q9" s="1">
        <v>5.3997429022851602</v>
      </c>
      <c r="R9" s="1">
        <v>12.7531269870302</v>
      </c>
      <c r="S9" s="1">
        <v>26.159140280900999</v>
      </c>
      <c r="T9" s="1">
        <v>32.972595960300602</v>
      </c>
      <c r="U9" s="1">
        <v>37.024745074277803</v>
      </c>
      <c r="V9" s="1">
        <v>40.001532058677803</v>
      </c>
      <c r="W9" s="1">
        <v>41.399483925861801</v>
      </c>
      <c r="X9" s="1">
        <v>59.236297052932201</v>
      </c>
      <c r="Y9" s="1">
        <v>68.638360332890599</v>
      </c>
      <c r="Z9" s="1">
        <v>64.027749060625993</v>
      </c>
      <c r="AA9" s="1">
        <v>68.1538458234903</v>
      </c>
      <c r="AB9" s="1">
        <v>59.9595255387176</v>
      </c>
      <c r="AC9" s="1">
        <v>59.0694265641851</v>
      </c>
    </row>
    <row r="10" spans="1:29" x14ac:dyDescent="0.25">
      <c r="A10" s="16" t="s">
        <v>20</v>
      </c>
      <c r="D10" s="1">
        <v>4.4063534328878098E-3</v>
      </c>
      <c r="E10" s="1">
        <v>4.5119005064588897E-3</v>
      </c>
      <c r="F10" s="1">
        <v>7.4957193415850498E-3</v>
      </c>
      <c r="G10" s="1">
        <v>8.3338038391519605E-3</v>
      </c>
      <c r="H10" s="1">
        <v>1.0039884560512E-2</v>
      </c>
      <c r="I10" s="1">
        <v>2.3371462860165601E-2</v>
      </c>
      <c r="J10" s="1">
        <v>3.6130571639993697E-2</v>
      </c>
      <c r="K10" s="1">
        <v>7.7636247660446994E-2</v>
      </c>
      <c r="L10" s="1">
        <v>0.40509393766703</v>
      </c>
      <c r="M10" s="1">
        <v>1.85635052254101</v>
      </c>
      <c r="N10" s="1">
        <v>3.57416052967289</v>
      </c>
      <c r="O10" s="1">
        <v>4.6608417510351003</v>
      </c>
      <c r="P10" s="1">
        <v>7.2591931827321403</v>
      </c>
      <c r="Q10" s="1">
        <v>12.793866937592201</v>
      </c>
      <c r="R10" s="1">
        <v>19.810825581850398</v>
      </c>
      <c r="S10" s="1">
        <v>29.799504063300699</v>
      </c>
      <c r="T10" s="1">
        <v>41.645549592606798</v>
      </c>
      <c r="U10" s="1">
        <v>48.126005474933102</v>
      </c>
      <c r="V10" s="1">
        <v>60.384036798703903</v>
      </c>
      <c r="W10" s="1">
        <v>66.092869370677306</v>
      </c>
      <c r="X10" s="1">
        <v>70.410372356591395</v>
      </c>
      <c r="Y10" s="1">
        <v>71.006559037865898</v>
      </c>
      <c r="Z10" s="1">
        <v>73.075891513712904</v>
      </c>
      <c r="AA10" s="1">
        <v>79.845323906789503</v>
      </c>
      <c r="AB10" s="1">
        <v>80.439388185693602</v>
      </c>
      <c r="AC10" s="1">
        <v>86.147339805490802</v>
      </c>
    </row>
    <row r="11" spans="1:29" x14ac:dyDescent="0.25">
      <c r="A11" s="16" t="s">
        <v>21</v>
      </c>
      <c r="Q11" s="1">
        <v>32.302099349072499</v>
      </c>
      <c r="R11" s="1">
        <v>32.302099349072499</v>
      </c>
      <c r="S11" s="1">
        <v>32.302099349072499</v>
      </c>
      <c r="T11" s="1">
        <v>32.302099349072499</v>
      </c>
      <c r="U11" s="1">
        <v>32.302099349072499</v>
      </c>
      <c r="V11" s="1">
        <v>32.302099349072499</v>
      </c>
    </row>
    <row r="12" spans="1:29" x14ac:dyDescent="0.25">
      <c r="A12" s="16" t="s">
        <v>22</v>
      </c>
      <c r="L12" s="1">
        <v>5.20016834678328E-2</v>
      </c>
      <c r="M12" s="1">
        <v>6.6864317589461097E-2</v>
      </c>
      <c r="N12" s="1">
        <v>0.163245956479281</v>
      </c>
      <c r="O12" s="1">
        <v>1.5162537589455001</v>
      </c>
      <c r="P12" s="1">
        <v>2.9709603345155902</v>
      </c>
      <c r="Q12" s="1">
        <v>4.9061243763856002</v>
      </c>
      <c r="R12" s="1">
        <v>8.2942368680013701</v>
      </c>
      <c r="S12" s="1">
        <v>16.026498662655602</v>
      </c>
      <c r="T12" s="1">
        <v>23.331385017661798</v>
      </c>
      <c r="U12" s="1">
        <v>28.4679005375272</v>
      </c>
      <c r="V12" s="1">
        <v>39.798841222099099</v>
      </c>
      <c r="W12" s="1">
        <v>49.645063703774298</v>
      </c>
      <c r="X12" s="1">
        <v>56.914125172812199</v>
      </c>
      <c r="Y12" s="1">
        <v>59.510075260872398</v>
      </c>
      <c r="Z12" s="1">
        <v>73.455959671462907</v>
      </c>
      <c r="AA12" s="1">
        <v>81.162391232505996</v>
      </c>
      <c r="AB12" s="1">
        <v>67.557901549322594</v>
      </c>
    </row>
    <row r="13" spans="1:29" x14ac:dyDescent="0.25">
      <c r="A13" s="16" t="s">
        <v>23</v>
      </c>
      <c r="F13" s="1">
        <v>2.29594009678E-3</v>
      </c>
      <c r="G13" s="1">
        <v>9.6472089882303994E-3</v>
      </c>
      <c r="H13" s="1">
        <v>1.6543563374219399E-2</v>
      </c>
      <c r="I13" s="1">
        <v>2.85757019830283E-2</v>
      </c>
      <c r="J13" s="1">
        <v>8.6327101246820206E-2</v>
      </c>
      <c r="K13" s="1">
        <v>0.23394046047769201</v>
      </c>
      <c r="L13" s="1">
        <v>0.400169825137698</v>
      </c>
      <c r="M13" s="1">
        <v>0.90708207869020097</v>
      </c>
      <c r="N13" s="1">
        <v>0.97231650694713301</v>
      </c>
      <c r="O13" s="1">
        <v>1.64166725649151</v>
      </c>
      <c r="P13" s="1">
        <v>1.8754595083063801</v>
      </c>
      <c r="Q13" s="1">
        <v>2.7827707937361099</v>
      </c>
      <c r="R13" s="1">
        <v>5.5395823830466799</v>
      </c>
      <c r="S13" s="1">
        <v>11.4112711318478</v>
      </c>
      <c r="T13" s="1">
        <v>24.180464060929999</v>
      </c>
      <c r="U13" s="1">
        <v>30.549672005916101</v>
      </c>
      <c r="V13" s="1">
        <v>36.459210727867898</v>
      </c>
      <c r="W13" s="1">
        <v>39.9227021733725</v>
      </c>
      <c r="X13" s="1">
        <v>39.283875876627697</v>
      </c>
      <c r="Y13" s="1">
        <v>36.8497286677242</v>
      </c>
      <c r="Z13" s="1">
        <v>41.178316849726698</v>
      </c>
      <c r="AA13" s="1">
        <v>44.126954560864803</v>
      </c>
      <c r="AB13" s="1">
        <v>32.1285288495462</v>
      </c>
      <c r="AC13" s="1">
        <v>34.142328612275797</v>
      </c>
    </row>
    <row r="14" spans="1:29" x14ac:dyDescent="0.25">
      <c r="A14" s="16" t="s">
        <v>24</v>
      </c>
      <c r="G14" s="1">
        <v>3.8550470033165501E-3</v>
      </c>
      <c r="H14" s="1">
        <v>3.6598192108658299E-2</v>
      </c>
      <c r="I14" s="1">
        <v>6.7425284597310203E-2</v>
      </c>
      <c r="J14" s="1">
        <v>9.8087352672796294E-2</v>
      </c>
      <c r="K14" s="1">
        <v>0.20372396543537699</v>
      </c>
      <c r="L14" s="1">
        <v>0.43072485190976401</v>
      </c>
      <c r="M14" s="1">
        <v>0.476493269457756</v>
      </c>
      <c r="N14" s="1">
        <v>0.71623996948153701</v>
      </c>
      <c r="O14" s="1">
        <v>1.0952211075793701</v>
      </c>
      <c r="P14" s="1">
        <v>1.7524008684732599</v>
      </c>
      <c r="Q14" s="1">
        <v>3.22984918914231</v>
      </c>
      <c r="R14" s="1">
        <v>4.6179976233988098</v>
      </c>
      <c r="S14" s="1">
        <v>7.5923296988816302</v>
      </c>
      <c r="T14" s="1">
        <v>10.564496384825601</v>
      </c>
      <c r="U14" s="1">
        <v>16.892376701728001</v>
      </c>
      <c r="V14" s="1">
        <v>20.553467885577302</v>
      </c>
      <c r="W14" s="1">
        <v>25.285824109598799</v>
      </c>
      <c r="X14" s="1">
        <v>28.867527825309899</v>
      </c>
      <c r="Y14" s="1">
        <v>31.911667309217901</v>
      </c>
      <c r="Z14" s="1">
        <v>32.998813393155402</v>
      </c>
      <c r="AA14" s="1">
        <v>37.366870671456297</v>
      </c>
      <c r="AB14" s="1">
        <v>39.678049036637198</v>
      </c>
      <c r="AC14" s="1">
        <v>41.738049578071298</v>
      </c>
    </row>
    <row r="15" spans="1:29" x14ac:dyDescent="0.25">
      <c r="A15" s="16" t="s">
        <v>25</v>
      </c>
      <c r="H15" s="1">
        <v>1.204243563587E-2</v>
      </c>
      <c r="I15" s="1">
        <v>2.8099402675118498E-2</v>
      </c>
      <c r="J15" s="1">
        <v>4.3089019332259899E-2</v>
      </c>
      <c r="K15" s="1">
        <v>5.9894654052810602E-2</v>
      </c>
      <c r="L15" s="1">
        <v>9.4805743050724395E-2</v>
      </c>
      <c r="M15" s="1">
        <v>0.21248961105820799</v>
      </c>
      <c r="N15" s="1">
        <v>0.39500197999317599</v>
      </c>
      <c r="O15" s="1">
        <v>2.05931165415313</v>
      </c>
      <c r="P15" s="1">
        <v>3.28328023146722</v>
      </c>
      <c r="Q15" s="1">
        <v>5.95359098375366</v>
      </c>
      <c r="R15" s="1">
        <v>11.438275342131901</v>
      </c>
      <c r="S15" s="1">
        <v>18.506609506006502</v>
      </c>
      <c r="T15" s="1">
        <v>24.321088318356399</v>
      </c>
      <c r="U15" s="1">
        <v>30.537865869784699</v>
      </c>
      <c r="V15" s="1">
        <v>49.355496171331701</v>
      </c>
      <c r="W15" s="1">
        <v>69.634757479076796</v>
      </c>
      <c r="X15" s="1">
        <v>91.292161330245506</v>
      </c>
      <c r="Y15" s="1">
        <v>119.854285318602</v>
      </c>
      <c r="Z15" s="1">
        <v>138.570844774515</v>
      </c>
      <c r="AA15" s="1">
        <v>129.94640742550399</v>
      </c>
      <c r="AB15" s="1">
        <v>112.35276540709999</v>
      </c>
    </row>
    <row r="16" spans="1:29" x14ac:dyDescent="0.25">
      <c r="A16" s="16" t="s">
        <v>26</v>
      </c>
      <c r="G16" s="1">
        <v>3.2264889209284402E-4</v>
      </c>
      <c r="H16" s="1">
        <v>2.13224557906691E-2</v>
      </c>
      <c r="I16" s="1">
        <v>5.1342717070589898E-2</v>
      </c>
      <c r="J16" s="1">
        <v>0.16457871141452099</v>
      </c>
      <c r="K16" s="1">
        <v>0.42610882393254401</v>
      </c>
      <c r="L16" s="1">
        <v>3.3086659197174799</v>
      </c>
      <c r="M16" s="1">
        <v>5.3756954059307098</v>
      </c>
      <c r="N16" s="1">
        <v>8.0980631209572493</v>
      </c>
      <c r="O16" s="1">
        <v>11.408973819926199</v>
      </c>
      <c r="P16" s="1">
        <v>18.889494536807799</v>
      </c>
      <c r="Q16" s="1">
        <v>26.211613683433999</v>
      </c>
      <c r="R16" s="1">
        <v>32.768165839511902</v>
      </c>
      <c r="S16" s="1">
        <v>45.604022042077197</v>
      </c>
      <c r="T16" s="1">
        <v>58.943241297453</v>
      </c>
      <c r="U16" s="1">
        <v>52.157913496938498</v>
      </c>
      <c r="V16" s="1">
        <v>62.445926422475701</v>
      </c>
      <c r="W16" s="1">
        <v>78.905337953307097</v>
      </c>
      <c r="X16" s="1">
        <v>87.985869367501806</v>
      </c>
      <c r="Y16" s="1">
        <v>90.787492227338007</v>
      </c>
      <c r="Z16" s="1">
        <v>91.8471996754743</v>
      </c>
      <c r="AA16" s="1">
        <v>91.322067496642902</v>
      </c>
      <c r="AB16" s="1">
        <v>93.321571935024295</v>
      </c>
      <c r="AC16" s="1">
        <v>90.416596317349004</v>
      </c>
    </row>
    <row r="17" spans="1:29" x14ac:dyDescent="0.25">
      <c r="A17" s="16" t="s">
        <v>27</v>
      </c>
      <c r="I17" s="1">
        <v>1.4968848927251499E-2</v>
      </c>
      <c r="J17" s="1">
        <v>3.9243078337937498E-2</v>
      </c>
      <c r="K17" s="1">
        <v>6.9622355446605805E-2</v>
      </c>
      <c r="L17" s="1">
        <v>0.28263163956736698</v>
      </c>
      <c r="M17" s="1">
        <v>0.82120602140282895</v>
      </c>
      <c r="N17" s="1">
        <v>1.33105304180461</v>
      </c>
      <c r="O17" s="1">
        <v>2.2101023716160402</v>
      </c>
      <c r="P17" s="1">
        <v>3.4855032847668501</v>
      </c>
      <c r="Q17" s="1">
        <v>7.1879652460179102</v>
      </c>
      <c r="R17" s="1">
        <v>10.856577407744</v>
      </c>
      <c r="S17" s="1">
        <v>13.880157219179599</v>
      </c>
      <c r="T17" s="1">
        <v>19.2806611773977</v>
      </c>
      <c r="U17" s="1">
        <v>25.381589056278202</v>
      </c>
      <c r="V17" s="1">
        <v>29.8255860880077</v>
      </c>
      <c r="W17" s="1">
        <v>31.498229380041401</v>
      </c>
      <c r="X17" s="1">
        <v>34.291860847964102</v>
      </c>
      <c r="Y17" s="1">
        <v>46.9135033735623</v>
      </c>
      <c r="Z17" s="1">
        <v>67.919956437477595</v>
      </c>
      <c r="AA17" s="1">
        <v>71.883024949295205</v>
      </c>
      <c r="AB17" s="1">
        <v>52.118873058948402</v>
      </c>
      <c r="AC17" s="1">
        <v>40.026871295312802</v>
      </c>
    </row>
    <row r="18" spans="1:29" x14ac:dyDescent="0.25">
      <c r="A18" s="16" t="s">
        <v>29</v>
      </c>
      <c r="E18" s="1">
        <v>1.5233437143403099E-3</v>
      </c>
      <c r="F18" s="1">
        <v>4.4952003551770202E-3</v>
      </c>
      <c r="G18" s="1">
        <v>6.3971814286908997E-3</v>
      </c>
      <c r="H18" s="1">
        <v>1.6577874565772699E-2</v>
      </c>
      <c r="I18" s="1">
        <v>1.9138400133869599E-2</v>
      </c>
      <c r="J18" s="1">
        <v>1.89413085227992E-2</v>
      </c>
      <c r="K18" s="1">
        <v>2.5009093766754E-2</v>
      </c>
      <c r="L18" s="1">
        <v>2.90635984947933E-2</v>
      </c>
      <c r="M18" s="1">
        <v>4.86210065138123E-2</v>
      </c>
      <c r="N18" s="1">
        <v>0.101785693830025</v>
      </c>
      <c r="O18" s="1">
        <v>0.139668552333156</v>
      </c>
      <c r="P18" s="1">
        <v>0.19231302466439701</v>
      </c>
      <c r="Q18" s="1">
        <v>0.26545598387083702</v>
      </c>
      <c r="R18" s="1">
        <v>0.43854547208463801</v>
      </c>
      <c r="S18" s="1">
        <v>0.50362622023214798</v>
      </c>
      <c r="T18" s="1">
        <v>0.74250170049356801</v>
      </c>
      <c r="U18" s="1">
        <v>1.00802820201889</v>
      </c>
      <c r="V18" s="1">
        <v>1.1843074241959499</v>
      </c>
      <c r="W18" s="1">
        <v>2.4600285589206301</v>
      </c>
      <c r="X18" s="1">
        <v>7.3149088011782899</v>
      </c>
      <c r="Y18" s="1">
        <v>13.280115788705199</v>
      </c>
      <c r="Z18" s="1">
        <v>55.907172500088699</v>
      </c>
      <c r="AA18" s="1">
        <v>78.226806981778296</v>
      </c>
      <c r="AB18" s="1">
        <v>95.653214887644495</v>
      </c>
      <c r="AC18" s="1">
        <v>89.845757615394604</v>
      </c>
    </row>
    <row r="19" spans="1:29" x14ac:dyDescent="0.25">
      <c r="A19" s="16" t="s">
        <v>30</v>
      </c>
      <c r="K19" s="1">
        <v>2.3599079275486001E-2</v>
      </c>
      <c r="L19" s="1">
        <v>4.30733260404371E-2</v>
      </c>
      <c r="M19" s="1">
        <v>7.1542751180925193E-2</v>
      </c>
      <c r="N19" s="1">
        <v>8.9069019718116801E-2</v>
      </c>
      <c r="O19" s="1">
        <v>0.328116055458816</v>
      </c>
      <c r="P19" s="1">
        <v>0.461400799361535</v>
      </c>
      <c r="Q19" s="1">
        <v>0.88655793907455105</v>
      </c>
      <c r="R19" s="1">
        <v>4.4605799291289001</v>
      </c>
      <c r="S19" s="1">
        <v>12.4696321897282</v>
      </c>
      <c r="T19" s="1">
        <v>15.8635079602139</v>
      </c>
      <c r="U19" s="1">
        <v>20.933616687389399</v>
      </c>
      <c r="V19" s="1">
        <v>34.028477152745097</v>
      </c>
      <c r="W19" s="1">
        <v>48.868903146018098</v>
      </c>
      <c r="X19" s="1">
        <v>60.067511937193302</v>
      </c>
      <c r="Y19" s="1">
        <v>76.333937340697702</v>
      </c>
      <c r="Z19" s="1">
        <v>81.280740435037103</v>
      </c>
      <c r="AA19" s="1">
        <v>96.021022545771999</v>
      </c>
      <c r="AB19" s="1">
        <v>110.825514233956</v>
      </c>
      <c r="AC19" s="1">
        <v>123.174879588799</v>
      </c>
    </row>
    <row r="20" spans="1:29" x14ac:dyDescent="0.25">
      <c r="A20" s="16" t="s">
        <v>31</v>
      </c>
      <c r="E20" s="1">
        <v>7.3194204103393598E-3</v>
      </c>
      <c r="F20" s="1">
        <v>4.8288714752611601E-2</v>
      </c>
      <c r="G20" s="1">
        <v>9.5398579601875699E-2</v>
      </c>
      <c r="H20" s="1">
        <v>0.10849265621719301</v>
      </c>
      <c r="I20" s="1">
        <v>0.15793959854929601</v>
      </c>
      <c r="J20" s="1">
        <v>0.37600423523284898</v>
      </c>
      <c r="K20" s="1">
        <v>0.89357652848882596</v>
      </c>
      <c r="L20" s="1">
        <v>1.7962535181455499</v>
      </c>
      <c r="M20" s="1">
        <v>3.2251923736705401</v>
      </c>
      <c r="N20" s="1">
        <v>4.5873975730383698</v>
      </c>
      <c r="O20" s="1">
        <v>8.9051092383548607</v>
      </c>
      <c r="P20" s="1">
        <v>13.910834560803099</v>
      </c>
      <c r="Q20" s="1">
        <v>20.808900293865701</v>
      </c>
      <c r="R20" s="1">
        <v>33.580718251091596</v>
      </c>
      <c r="S20" s="1">
        <v>45.313889302378499</v>
      </c>
      <c r="T20" s="1">
        <v>55.554538684916999</v>
      </c>
      <c r="U20" s="1">
        <v>59.022592282718598</v>
      </c>
      <c r="V20" s="1">
        <v>69.056087231816505</v>
      </c>
      <c r="W20" s="1">
        <v>83.052401761762596</v>
      </c>
      <c r="X20" s="1">
        <v>99.568069873822296</v>
      </c>
      <c r="Y20" s="1">
        <v>114.51765438388099</v>
      </c>
      <c r="Z20" s="1">
        <v>117.52350391927401</v>
      </c>
      <c r="AA20" s="1">
        <v>119.43619199823701</v>
      </c>
      <c r="AB20" s="1">
        <v>125.94475902807299</v>
      </c>
      <c r="AC20" s="1">
        <v>131.560425187866</v>
      </c>
    </row>
    <row r="21" spans="1:29" x14ac:dyDescent="0.25">
      <c r="A21" s="16" t="s">
        <v>32</v>
      </c>
      <c r="I21" s="1">
        <v>9.6266613726577897E-4</v>
      </c>
      <c r="J21" s="1">
        <v>1.27787973134023E-2</v>
      </c>
      <c r="K21" s="1">
        <v>2.0022234545314901E-2</v>
      </c>
      <c r="L21" s="1">
        <v>1.8109793795863E-2</v>
      </c>
      <c r="M21" s="1">
        <v>1.8059839741433398E-2</v>
      </c>
      <c r="N21" s="1">
        <v>0.47141561995483899</v>
      </c>
      <c r="O21" s="1">
        <v>0.65075330630716799</v>
      </c>
      <c r="P21" s="1">
        <v>1.31348245891754</v>
      </c>
      <c r="Q21" s="1">
        <v>2.37804613432851</v>
      </c>
      <c r="R21" s="1">
        <v>3.4177597837088798</v>
      </c>
      <c r="S21" s="1">
        <v>6.1356644495102302</v>
      </c>
      <c r="T21" s="1">
        <v>12.4610098482946</v>
      </c>
      <c r="U21" s="1">
        <v>16.4348950193415</v>
      </c>
      <c r="V21" s="1">
        <v>22.3348304698928</v>
      </c>
      <c r="W21" s="1">
        <v>27.7936136463737</v>
      </c>
      <c r="X21" s="1">
        <v>30.4288933552317</v>
      </c>
      <c r="Y21" s="1">
        <v>38.023220197660201</v>
      </c>
      <c r="Z21" s="1">
        <v>43.013922078079403</v>
      </c>
      <c r="AA21" s="1">
        <v>45.026967680749301</v>
      </c>
      <c r="AB21" s="1">
        <v>36.142827352428597</v>
      </c>
      <c r="AC21" s="1">
        <v>40.875083832510398</v>
      </c>
    </row>
    <row r="22" spans="1:29" x14ac:dyDescent="0.25">
      <c r="A22" s="16" t="s">
        <v>33</v>
      </c>
      <c r="J22" s="1">
        <v>7.0823405662444605E-2</v>
      </c>
      <c r="K22" s="1">
        <v>0.144865715408141</v>
      </c>
      <c r="L22" s="1">
        <v>0.48593873957209699</v>
      </c>
      <c r="M22" s="1">
        <v>0.78036777172345795</v>
      </c>
      <c r="N22" s="1">
        <v>0.96519472060476497</v>
      </c>
      <c r="O22" s="1">
        <v>1.5059307543731599</v>
      </c>
      <c r="P22" s="1">
        <v>1.5566362206095901</v>
      </c>
      <c r="Q22" s="1">
        <v>2.4798106260916302</v>
      </c>
      <c r="R22" s="1">
        <v>3.4127873759854399</v>
      </c>
      <c r="S22" s="1">
        <v>6.7228747120107704</v>
      </c>
      <c r="T22" s="1">
        <v>13.623959368651301</v>
      </c>
      <c r="U22" s="1">
        <v>24.347433200841198</v>
      </c>
      <c r="V22" s="1">
        <v>34.632728795857297</v>
      </c>
      <c r="W22" s="1">
        <v>42.279992213822098</v>
      </c>
      <c r="X22" s="1">
        <v>52.746580197172001</v>
      </c>
      <c r="Y22" s="1">
        <v>60.452478235498099</v>
      </c>
      <c r="Z22" s="1">
        <v>68.283607117872094</v>
      </c>
      <c r="AA22" s="1">
        <v>75.322060959694696</v>
      </c>
      <c r="AB22" s="1">
        <v>74.860725916861099</v>
      </c>
      <c r="AC22" s="1">
        <v>72.238884237722402</v>
      </c>
    </row>
    <row r="23" spans="1:29" x14ac:dyDescent="0.25">
      <c r="A23" s="16" t="s">
        <v>34</v>
      </c>
      <c r="N23" s="1">
        <v>1.36656336919987</v>
      </c>
      <c r="O23" s="1">
        <v>3.2479173968134099</v>
      </c>
      <c r="P23" s="1">
        <v>5.0964341411735301</v>
      </c>
      <c r="Q23" s="1">
        <v>7.6803958105763703</v>
      </c>
      <c r="R23" s="1">
        <v>11.5635669813216</v>
      </c>
      <c r="S23" s="1">
        <v>18.4542093549396</v>
      </c>
      <c r="T23" s="1">
        <v>30.285837532127498</v>
      </c>
      <c r="U23" s="1">
        <v>47.320168839608201</v>
      </c>
      <c r="V23" s="1">
        <v>58.778093102027697</v>
      </c>
      <c r="W23" s="1">
        <v>64.338926174496606</v>
      </c>
      <c r="X23" s="1">
        <v>66.801174482883098</v>
      </c>
      <c r="Y23" s="1">
        <v>67.004731481728996</v>
      </c>
      <c r="Z23" s="1">
        <v>67.183921867974405</v>
      </c>
      <c r="AA23" s="1">
        <v>94.588679283876999</v>
      </c>
      <c r="AB23" s="1">
        <v>89.063578610374705</v>
      </c>
      <c r="AC23" s="1">
        <v>84.984363300004404</v>
      </c>
    </row>
    <row r="24" spans="1:29" x14ac:dyDescent="0.25">
      <c r="A24" s="16" t="s">
        <v>35</v>
      </c>
      <c r="B24" s="1">
        <v>5.8281403737038204E-3</v>
      </c>
      <c r="C24" s="1">
        <v>1.0262472424594099E-2</v>
      </c>
      <c r="D24" s="1">
        <v>1.4903636211033499E-2</v>
      </c>
      <c r="E24" s="1">
        <v>8.1919501024509706E-2</v>
      </c>
      <c r="F24" s="1">
        <v>0.161241235940429</v>
      </c>
      <c r="G24" s="1">
        <v>0.28122792631232102</v>
      </c>
      <c r="H24" s="1">
        <v>0.38661297661892002</v>
      </c>
      <c r="I24" s="1">
        <v>0.62180590972156302</v>
      </c>
      <c r="J24" s="1">
        <v>0.93804751904626504</v>
      </c>
      <c r="K24" s="1">
        <v>1.37475806952268</v>
      </c>
      <c r="L24" s="1">
        <v>2.2905091050774402</v>
      </c>
      <c r="M24" s="1">
        <v>3.53016493264388</v>
      </c>
      <c r="N24" s="1">
        <v>4.8868688776607696</v>
      </c>
      <c r="O24" s="1">
        <v>7.2515260880297197</v>
      </c>
      <c r="P24" s="1">
        <v>11.4138787597165</v>
      </c>
      <c r="Q24" s="1">
        <v>17.218187474461701</v>
      </c>
      <c r="R24" s="1">
        <v>27.516291054400099</v>
      </c>
      <c r="S24" s="1">
        <v>40.298692798151599</v>
      </c>
      <c r="T24" s="1">
        <v>55.562756168807603</v>
      </c>
      <c r="U24" s="1">
        <v>81.222152672222705</v>
      </c>
      <c r="V24" s="1">
        <v>85.944195549013301</v>
      </c>
      <c r="W24" s="1">
        <v>90.176872606111999</v>
      </c>
      <c r="X24" s="1">
        <v>94.654909250164806</v>
      </c>
      <c r="Y24" s="1">
        <v>98.966821295398205</v>
      </c>
      <c r="Z24" s="1">
        <v>107.270498930253</v>
      </c>
      <c r="AA24" s="1">
        <v>115.37895070203599</v>
      </c>
      <c r="AB24" s="1">
        <v>124.033987656413</v>
      </c>
      <c r="AC24" s="1">
        <v>135.07302347372499</v>
      </c>
    </row>
    <row r="25" spans="1:29" x14ac:dyDescent="0.25">
      <c r="A25" s="16" t="s">
        <v>36</v>
      </c>
      <c r="H25" s="1">
        <v>1.7437268571545801E-3</v>
      </c>
      <c r="I25" s="1">
        <v>5.3923962494536E-3</v>
      </c>
      <c r="J25" s="1">
        <v>6.9747849897977198E-3</v>
      </c>
      <c r="K25" s="1">
        <v>1.02209591478893E-2</v>
      </c>
      <c r="L25" s="1">
        <v>1.8660903235977602E-2</v>
      </c>
      <c r="M25" s="1">
        <v>2.5762095738585799E-2</v>
      </c>
      <c r="N25" s="1">
        <v>0.20472454622494099</v>
      </c>
      <c r="O25" s="1">
        <v>0.72400624186829099</v>
      </c>
      <c r="P25" s="1">
        <v>2.0110710204517002</v>
      </c>
      <c r="Q25" s="1">
        <v>3.8662561334870902</v>
      </c>
      <c r="R25" s="1">
        <v>30.711841929149401</v>
      </c>
      <c r="S25" s="1">
        <v>29.819004429990802</v>
      </c>
      <c r="T25" s="1">
        <v>50.255221534918903</v>
      </c>
      <c r="U25" s="1">
        <v>65.570971276033802</v>
      </c>
      <c r="V25" s="1">
        <v>77.743125485007795</v>
      </c>
      <c r="W25" s="1">
        <v>80.911479847168906</v>
      </c>
      <c r="X25" s="1">
        <v>81.650398708602907</v>
      </c>
      <c r="Y25" s="1">
        <v>92.165273118998002</v>
      </c>
      <c r="Z25" s="1">
        <v>95.6516072174866</v>
      </c>
      <c r="AA25" s="1">
        <v>99.302217390790702</v>
      </c>
      <c r="AB25" s="1">
        <v>107.61365461580699</v>
      </c>
    </row>
    <row r="26" spans="1:29" x14ac:dyDescent="0.25">
      <c r="A26" s="16" t="s">
        <v>37</v>
      </c>
      <c r="F26" s="1">
        <v>1.27620279103142E-3</v>
      </c>
      <c r="G26" s="1">
        <v>1.16819404143604E-2</v>
      </c>
      <c r="H26" s="1">
        <v>2.93328665000165E-2</v>
      </c>
      <c r="I26" s="1">
        <v>6.3852820386979106E-2</v>
      </c>
      <c r="J26" s="1">
        <v>0.116912164236138</v>
      </c>
      <c r="K26" s="1">
        <v>0.15304188391405099</v>
      </c>
      <c r="L26" s="1">
        <v>0.32335965881252099</v>
      </c>
      <c r="M26" s="1">
        <v>0.784690750658534</v>
      </c>
      <c r="N26" s="1">
        <v>1.6807794468967401</v>
      </c>
      <c r="O26" s="1">
        <v>3.4940307526389902</v>
      </c>
      <c r="P26" s="1">
        <v>5.07712630677179</v>
      </c>
      <c r="Q26" s="1">
        <v>7.5208297677690101</v>
      </c>
      <c r="R26" s="1">
        <v>13.8033891417801</v>
      </c>
      <c r="S26" s="1">
        <v>19.683370140265499</v>
      </c>
      <c r="T26" s="1">
        <v>30.059509392896899</v>
      </c>
      <c r="U26" s="1">
        <v>39.112922374058101</v>
      </c>
      <c r="V26" s="1">
        <v>45.519510563782703</v>
      </c>
      <c r="W26" s="1">
        <v>53.954106230737402</v>
      </c>
      <c r="X26" s="1">
        <v>55.455625498989001</v>
      </c>
      <c r="Y26" s="1">
        <v>54.195632624981997</v>
      </c>
      <c r="Z26" s="1">
        <v>60.998824367684399</v>
      </c>
      <c r="AA26" s="1">
        <v>73.618470037012102</v>
      </c>
      <c r="AB26" s="1">
        <v>72.057944942652199</v>
      </c>
      <c r="AC26" s="1">
        <v>69.715314524673303</v>
      </c>
    </row>
    <row r="27" spans="1:29" x14ac:dyDescent="0.25">
      <c r="A27" s="16" t="s">
        <v>38</v>
      </c>
      <c r="G27" s="1">
        <v>8.5010961645263297E-3</v>
      </c>
      <c r="H27" s="1">
        <v>1.8866039704146499E-2</v>
      </c>
      <c r="I27" s="1">
        <v>2.2866622967025699E-2</v>
      </c>
      <c r="J27" s="1">
        <v>0.133027140330197</v>
      </c>
      <c r="K27" s="1">
        <v>0.24216049545836299</v>
      </c>
      <c r="L27" s="1">
        <v>0.527940236464712</v>
      </c>
      <c r="M27" s="1">
        <v>1.1407009935911201</v>
      </c>
      <c r="N27" s="1">
        <v>1.5293151330925301</v>
      </c>
      <c r="O27" s="1">
        <v>2.9152084408458001</v>
      </c>
      <c r="P27" s="1">
        <v>4.2259742264668203</v>
      </c>
      <c r="Q27" s="1">
        <v>4.6079833407721598</v>
      </c>
      <c r="R27" s="1">
        <v>6.7978781659781404</v>
      </c>
      <c r="S27" s="1">
        <v>13.714322364335001</v>
      </c>
      <c r="T27" s="1">
        <v>27.0177239086435</v>
      </c>
      <c r="U27" s="1">
        <v>28.6334799986391</v>
      </c>
      <c r="V27" s="1">
        <v>37.8246017787989</v>
      </c>
      <c r="W27" s="1">
        <v>47.578387974940703</v>
      </c>
      <c r="X27" s="1">
        <v>45.050483110655101</v>
      </c>
      <c r="Y27" s="1">
        <v>48.114128542131901</v>
      </c>
      <c r="Z27" s="1">
        <v>52.444476959462001</v>
      </c>
      <c r="AA27" s="1">
        <v>50.368261249818502</v>
      </c>
      <c r="AB27" s="1">
        <v>55.048460439069501</v>
      </c>
      <c r="AC27" s="1">
        <v>58.206150868075902</v>
      </c>
    </row>
    <row r="28" spans="1:29" x14ac:dyDescent="0.25">
      <c r="A28" s="16" t="s">
        <v>39</v>
      </c>
      <c r="G28" s="1">
        <v>1.6931016341440501E-2</v>
      </c>
      <c r="H28" s="1">
        <v>2.8964359680078499E-2</v>
      </c>
      <c r="I28" s="1">
        <v>4.706939725723E-2</v>
      </c>
      <c r="J28" s="1">
        <v>8.3013206536857898E-2</v>
      </c>
      <c r="K28" s="1">
        <v>0.275300657811341</v>
      </c>
      <c r="L28" s="1">
        <v>0.93866608629711601</v>
      </c>
      <c r="M28" s="1">
        <v>1.1197209936138</v>
      </c>
      <c r="N28" s="1">
        <v>1.25078133367217</v>
      </c>
      <c r="O28" s="1">
        <v>2.1099661845087501</v>
      </c>
      <c r="P28" s="1">
        <v>3.9580979676852901</v>
      </c>
      <c r="Q28" s="1">
        <v>7.8787480016023697</v>
      </c>
      <c r="R28" s="1">
        <v>13.4318670263511</v>
      </c>
      <c r="S28" s="1">
        <v>20.7373203811355</v>
      </c>
      <c r="T28" s="1">
        <v>27.051392327638499</v>
      </c>
      <c r="U28" s="1">
        <v>32.747810951459101</v>
      </c>
      <c r="V28" s="1">
        <v>39.328361167081702</v>
      </c>
      <c r="W28" s="1">
        <v>57.235840556964298</v>
      </c>
      <c r="X28" s="1">
        <v>71.596742217330601</v>
      </c>
      <c r="Y28" s="1">
        <v>68.604612488047096</v>
      </c>
      <c r="Z28" s="1">
        <v>64.751833016302299</v>
      </c>
      <c r="AA28" s="1">
        <v>71.784494565322404</v>
      </c>
      <c r="AB28" s="1">
        <v>72.429338349589798</v>
      </c>
      <c r="AC28" s="1">
        <v>78.614933898361599</v>
      </c>
    </row>
    <row r="29" spans="1:29" x14ac:dyDescent="0.25">
      <c r="A29" s="16" t="s">
        <v>40</v>
      </c>
      <c r="I29" s="1">
        <v>4.8966707677209502E-2</v>
      </c>
      <c r="J29" s="1">
        <v>0.159754187073162</v>
      </c>
      <c r="K29" s="1">
        <v>1.4422434943006901</v>
      </c>
      <c r="L29" s="1">
        <v>2.1799666853511699</v>
      </c>
      <c r="M29" s="1">
        <v>2.53920273585222</v>
      </c>
      <c r="N29" s="1">
        <v>2.7101181750366501</v>
      </c>
      <c r="O29" s="1">
        <v>2.8783755321101601</v>
      </c>
      <c r="P29" s="1">
        <v>3.3319869573972598</v>
      </c>
      <c r="Q29" s="1">
        <v>5.0008377104477004</v>
      </c>
      <c r="R29" s="1">
        <v>6.4700451461403503</v>
      </c>
      <c r="S29" s="1">
        <v>9.1947664458924692</v>
      </c>
      <c r="T29" s="1">
        <v>12.2043351649806</v>
      </c>
      <c r="U29" s="1">
        <v>28.8980948617797</v>
      </c>
      <c r="V29" s="1">
        <v>54.662975425017102</v>
      </c>
      <c r="W29" s="1">
        <v>63.948178620330602</v>
      </c>
      <c r="X29" s="1">
        <v>85.745932961208297</v>
      </c>
      <c r="Y29" s="1">
        <v>90.558713783102505</v>
      </c>
      <c r="Z29" s="1">
        <v>76.556584537371805</v>
      </c>
      <c r="AA29" s="1">
        <v>80.858498625665206</v>
      </c>
      <c r="AB29" s="1">
        <v>79.743884378566904</v>
      </c>
      <c r="AC29" s="1">
        <v>85.252182952786697</v>
      </c>
    </row>
    <row r="31" spans="1:29" x14ac:dyDescent="0.25">
      <c r="B31" s="1">
        <v>1990</v>
      </c>
      <c r="C31" s="1">
        <f>VLOOKUP(Indicateur9!$K$6,prevision9!$A$1:$AC$29,MATCH(prevision9!B31,prevision9!$A$1:$AC$1,0),FALSE)</f>
        <v>0</v>
      </c>
      <c r="H31" s="1">
        <v>1990</v>
      </c>
      <c r="I31" s="1">
        <f>VLOOKUP('comite 3'!$C$4,prevision9!$A$1:$BG$28,MATCH(H31,$A$1:$BG$1,0),FALSE)</f>
        <v>0</v>
      </c>
    </row>
    <row r="32" spans="1:29" x14ac:dyDescent="0.25">
      <c r="B32" s="1">
        <v>1991</v>
      </c>
      <c r="C32" s="1">
        <f>VLOOKUP(Indicateur9!$K$6,prevision9!$A$1:$AC$29,MATCH(prevision9!B32,prevision9!$A$1:$AC$1,0),FALSE)</f>
        <v>0</v>
      </c>
      <c r="H32" s="1">
        <v>1991</v>
      </c>
      <c r="I32" s="1">
        <f>VLOOKUP('comite 3'!$C$4,prevision9!$A$1:$BG$28,MATCH(H32,$A$1:$BG$1,0),FALSE)</f>
        <v>0</v>
      </c>
    </row>
    <row r="33" spans="2:9" x14ac:dyDescent="0.25">
      <c r="B33" s="1">
        <v>1992</v>
      </c>
      <c r="C33" s="1">
        <f>VLOOKUP(Indicateur9!$K$6,prevision9!$A$1:$AC$29,MATCH(prevision9!B33,prevision9!$A$1:$AC$1,0),FALSE)</f>
        <v>0</v>
      </c>
      <c r="H33" s="1">
        <v>1992</v>
      </c>
      <c r="I33" s="1">
        <f>VLOOKUP('comite 3'!$C$4,prevision9!$A$1:$BG$28,MATCH(H33,$A$1:$BG$1,0),FALSE)</f>
        <v>0</v>
      </c>
    </row>
    <row r="34" spans="2:9" x14ac:dyDescent="0.25">
      <c r="B34" s="1">
        <v>1993</v>
      </c>
      <c r="C34" s="1">
        <f>VLOOKUP(Indicateur9!$K$6,prevision9!$A$1:$AC$29,MATCH(prevision9!B34,prevision9!$A$1:$AC$1,0),FALSE)</f>
        <v>0</v>
      </c>
      <c r="H34" s="1">
        <v>1993</v>
      </c>
      <c r="I34" s="1">
        <f>VLOOKUP('comite 3'!$C$4,prevision9!$A$1:$BG$28,MATCH(H34,$A$1:$BG$1,0),FALSE)</f>
        <v>0</v>
      </c>
    </row>
    <row r="35" spans="2:9" x14ac:dyDescent="0.25">
      <c r="B35" s="1">
        <v>1994</v>
      </c>
      <c r="C35" s="1">
        <f>VLOOKUP(Indicateur9!$K$6,prevision9!$A$1:$AC$29,MATCH(prevision9!B35,prevision9!$A$1:$AC$1,0),FALSE)</f>
        <v>0</v>
      </c>
      <c r="H35" s="1">
        <v>1994</v>
      </c>
      <c r="I35" s="1">
        <f>VLOOKUP('comite 3'!$C$4,prevision9!$A$1:$BG$28,MATCH(H35,$A$1:$BG$1,0),FALSE)</f>
        <v>0</v>
      </c>
    </row>
    <row r="36" spans="2:9" x14ac:dyDescent="0.25">
      <c r="B36" s="1">
        <v>1995</v>
      </c>
      <c r="C36" s="1">
        <f>VLOOKUP(Indicateur9!$K$6,prevision9!$A$1:$AC$29,MATCH(prevision9!B36,prevision9!$A$1:$AC$1,0),FALSE)</f>
        <v>0</v>
      </c>
      <c r="H36" s="1">
        <v>1995</v>
      </c>
      <c r="I36" s="1">
        <f>VLOOKUP('comite 3'!$C$4,prevision9!$A$1:$BG$28,MATCH(H36,$A$1:$BG$1,0),FALSE)</f>
        <v>0</v>
      </c>
    </row>
    <row r="37" spans="2:9" x14ac:dyDescent="0.25">
      <c r="B37" s="1">
        <v>1996</v>
      </c>
      <c r="C37" s="1">
        <f>VLOOKUP(Indicateur9!$K$6,prevision9!$A$1:$AC$29,MATCH(prevision9!B37,prevision9!$A$1:$AC$1,0),FALSE)</f>
        <v>0</v>
      </c>
      <c r="H37" s="1">
        <v>1996</v>
      </c>
      <c r="I37" s="1">
        <f>VLOOKUP('comite 3'!$C$4,prevision9!$A$1:$BG$28,MATCH(H37,$A$1:$BG$1,0),FALSE)</f>
        <v>0</v>
      </c>
    </row>
    <row r="38" spans="2:9" x14ac:dyDescent="0.25">
      <c r="B38" s="1">
        <v>1997</v>
      </c>
      <c r="C38" s="1">
        <f>VLOOKUP(Indicateur9!$K$6,prevision9!$A$1:$AC$29,MATCH(prevision9!B38,prevision9!$A$1:$AC$1,0),FALSE)</f>
        <v>0</v>
      </c>
      <c r="H38" s="1">
        <v>1997</v>
      </c>
      <c r="I38" s="1">
        <f>VLOOKUP('comite 3'!$C$4,prevision9!$A$1:$BG$28,MATCH(H38,$A$1:$BG$1,0),FALSE)</f>
        <v>0</v>
      </c>
    </row>
    <row r="39" spans="2:9" x14ac:dyDescent="0.25">
      <c r="B39" s="1">
        <v>1998</v>
      </c>
      <c r="C39" s="1">
        <f>VLOOKUP(Indicateur9!$K$6,prevision9!$A$1:$AC$29,MATCH(prevision9!B39,prevision9!$A$1:$AC$1,0),FALSE)</f>
        <v>0</v>
      </c>
      <c r="H39" s="1">
        <v>1998</v>
      </c>
      <c r="I39" s="1">
        <f>VLOOKUP('comite 3'!$C$4,prevision9!$A$1:$BG$28,MATCH(H39,$A$1:$BG$1,0),FALSE)</f>
        <v>0</v>
      </c>
    </row>
    <row r="40" spans="2:9" x14ac:dyDescent="0.25">
      <c r="B40" s="1">
        <v>1999</v>
      </c>
      <c r="C40" s="1">
        <f>VLOOKUP(Indicateur9!$K$6,prevision9!$A$1:$AC$29,MATCH(prevision9!B40,prevision9!$A$1:$AC$1,0),FALSE)</f>
        <v>2.3599079275486001E-2</v>
      </c>
      <c r="H40" s="1">
        <v>1999</v>
      </c>
      <c r="I40" s="1">
        <f>VLOOKUP('comite 3'!$C$4,prevision9!$A$1:$BG$28,MATCH(H40,$A$1:$BG$1,0),FALSE)</f>
        <v>2.3599079275486001E-2</v>
      </c>
    </row>
    <row r="41" spans="2:9" x14ac:dyDescent="0.25">
      <c r="B41" s="1">
        <v>2000</v>
      </c>
      <c r="C41" s="1">
        <f>VLOOKUP(Indicateur9!$K$6,prevision9!$A$1:$AC$29,MATCH(prevision9!B41,prevision9!$A$1:$AC$1,0),FALSE)</f>
        <v>4.30733260404371E-2</v>
      </c>
      <c r="H41" s="1">
        <v>2000</v>
      </c>
      <c r="I41" s="1">
        <f>VLOOKUP('comite 3'!$C$4,prevision9!$A$1:$BG$28,MATCH(H41,$A$1:$BG$1,0),FALSE)</f>
        <v>4.30733260404371E-2</v>
      </c>
    </row>
    <row r="42" spans="2:9" x14ac:dyDescent="0.25">
      <c r="B42" s="1">
        <v>2001</v>
      </c>
      <c r="C42" s="1">
        <f>VLOOKUP(Indicateur9!$K$6,prevision9!$A$1:$AC$29,MATCH(prevision9!B42,prevision9!$A$1:$AC$1,0),FALSE)</f>
        <v>7.1542751180925193E-2</v>
      </c>
      <c r="H42" s="1">
        <v>2001</v>
      </c>
      <c r="I42" s="1">
        <f>VLOOKUP('comite 3'!$C$4,prevision9!$A$1:$BG$28,MATCH(H42,$A$1:$BG$1,0),FALSE)</f>
        <v>7.1542751180925193E-2</v>
      </c>
    </row>
    <row r="43" spans="2:9" x14ac:dyDescent="0.25">
      <c r="B43" s="1">
        <v>2002</v>
      </c>
      <c r="C43" s="1">
        <f>VLOOKUP(Indicateur9!$K$6,prevision9!$A$1:$AC$29,MATCH(prevision9!B43,prevision9!$A$1:$AC$1,0),FALSE)</f>
        <v>8.9069019718116801E-2</v>
      </c>
      <c r="H43" s="1">
        <v>2002</v>
      </c>
      <c r="I43" s="1">
        <f>VLOOKUP('comite 3'!$C$4,prevision9!$A$1:$BG$28,MATCH(H43,$A$1:$BG$1,0),FALSE)</f>
        <v>8.9069019718116801E-2</v>
      </c>
    </row>
    <row r="44" spans="2:9" x14ac:dyDescent="0.25">
      <c r="B44" s="1">
        <v>2003</v>
      </c>
      <c r="C44" s="1">
        <f>VLOOKUP(Indicateur9!$K$6,prevision9!$A$1:$AC$29,MATCH(prevision9!B44,prevision9!$A$1:$AC$1,0),FALSE)</f>
        <v>0.328116055458816</v>
      </c>
      <c r="H44" s="1">
        <v>2003</v>
      </c>
      <c r="I44" s="1">
        <f>VLOOKUP('comite 3'!$C$4,prevision9!$A$1:$BG$28,MATCH(H44,$A$1:$BG$1,0),FALSE)</f>
        <v>0.328116055458816</v>
      </c>
    </row>
    <row r="45" spans="2:9" x14ac:dyDescent="0.25">
      <c r="B45" s="1">
        <v>2004</v>
      </c>
      <c r="C45" s="1">
        <f>VLOOKUP(Indicateur9!$K$6,prevision9!$A$1:$AC$29,MATCH(prevision9!B45,prevision9!$A$1:$AC$1,0),FALSE)</f>
        <v>0.461400799361535</v>
      </c>
      <c r="H45" s="1">
        <v>2004</v>
      </c>
      <c r="I45" s="1">
        <f>VLOOKUP('comite 3'!$C$4,prevision9!$A$1:$BG$28,MATCH(H45,$A$1:$BG$1,0),FALSE)</f>
        <v>0.461400799361535</v>
      </c>
    </row>
    <row r="46" spans="2:9" x14ac:dyDescent="0.25">
      <c r="B46" s="1">
        <v>2005</v>
      </c>
      <c r="C46" s="1">
        <f>VLOOKUP(Indicateur9!$K$6,prevision9!$A$1:$AC$29,MATCH(prevision9!B46,prevision9!$A$1:$AC$1,0),FALSE)</f>
        <v>0.88655793907455105</v>
      </c>
      <c r="H46" s="1">
        <v>2005</v>
      </c>
      <c r="I46" s="1">
        <f>VLOOKUP('comite 3'!$C$4,prevision9!$A$1:$BG$28,MATCH(H46,$A$1:$BG$1,0),FALSE)</f>
        <v>0.88655793907455105</v>
      </c>
    </row>
    <row r="47" spans="2:9" x14ac:dyDescent="0.25">
      <c r="B47" s="1">
        <v>2006</v>
      </c>
      <c r="C47" s="1">
        <f>VLOOKUP(Indicateur9!$K$6,prevision9!$A$1:$AC$29,MATCH(prevision9!B47,prevision9!$A$1:$AC$1,0),FALSE)</f>
        <v>4.4605799291289001</v>
      </c>
      <c r="H47" s="1">
        <v>2006</v>
      </c>
      <c r="I47" s="1">
        <f>VLOOKUP('comite 3'!$C$4,prevision9!$A$1:$BG$28,MATCH(H47,$A$1:$BG$1,0),FALSE)</f>
        <v>4.4605799291289001</v>
      </c>
    </row>
    <row r="48" spans="2:9" x14ac:dyDescent="0.25">
      <c r="B48" s="1">
        <v>2007</v>
      </c>
      <c r="C48" s="1">
        <f>VLOOKUP(Indicateur9!$K$6,prevision9!$A$1:$AC$29,MATCH(prevision9!B48,prevision9!$A$1:$AC$1,0),FALSE)</f>
        <v>12.4696321897282</v>
      </c>
      <c r="H48" s="1">
        <v>2007</v>
      </c>
      <c r="I48" s="1">
        <f>VLOOKUP('comite 3'!$C$4,prevision9!$A$1:$BG$28,MATCH(H48,$A$1:$BG$1,0),FALSE)</f>
        <v>12.4696321897282</v>
      </c>
    </row>
    <row r="49" spans="2:10" x14ac:dyDescent="0.25">
      <c r="B49" s="1">
        <v>2008</v>
      </c>
      <c r="C49" s="1">
        <f>VLOOKUP(Indicateur9!$K$6,prevision9!$A$1:$AC$29,MATCH(prevision9!B49,prevision9!$A$1:$AC$1,0),FALSE)</f>
        <v>15.8635079602139</v>
      </c>
      <c r="H49" s="1">
        <v>2008</v>
      </c>
      <c r="I49" s="1">
        <f>VLOOKUP('comite 3'!$C$4,prevision9!$A$1:$BG$28,MATCH(H49,$A$1:$BG$1,0),FALSE)</f>
        <v>15.8635079602139</v>
      </c>
    </row>
    <row r="50" spans="2:10" x14ac:dyDescent="0.25">
      <c r="B50" s="1">
        <v>2009</v>
      </c>
      <c r="C50" s="1">
        <f>VLOOKUP(Indicateur9!$K$6,prevision9!$A$1:$AC$29,MATCH(prevision9!B50,prevision9!$A$1:$AC$1,0),FALSE)</f>
        <v>20.933616687389399</v>
      </c>
      <c r="H50" s="1">
        <v>2009</v>
      </c>
      <c r="I50" s="1">
        <f>VLOOKUP('comite 3'!$C$4,prevision9!$A$1:$BG$28,MATCH(H50,$A$1:$BG$1,0),FALSE)</f>
        <v>20.933616687389399</v>
      </c>
    </row>
    <row r="51" spans="2:10" x14ac:dyDescent="0.25">
      <c r="B51" s="1">
        <v>2010</v>
      </c>
      <c r="C51" s="1">
        <f>VLOOKUP(Indicateur9!$K$6,prevision9!$A$1:$AC$29,MATCH(prevision9!B51,prevision9!$A$1:$AC$1,0),FALSE)</f>
        <v>34.028477152745097</v>
      </c>
      <c r="H51" s="1">
        <v>2010</v>
      </c>
      <c r="I51" s="1">
        <f>VLOOKUP('comite 3'!$C$4,prevision9!$A$1:$BG$28,MATCH(H51,$A$1:$BG$1,0),FALSE)</f>
        <v>34.028477152745097</v>
      </c>
    </row>
    <row r="52" spans="2:10" x14ac:dyDescent="0.25">
      <c r="B52" s="1">
        <v>2011</v>
      </c>
      <c r="C52" s="1">
        <f>VLOOKUP(Indicateur9!$K$6,prevision9!$A$1:$AC$29,MATCH(prevision9!B52,prevision9!$A$1:$AC$1,0),FALSE)</f>
        <v>48.868903146018098</v>
      </c>
      <c r="H52" s="1">
        <v>2011</v>
      </c>
      <c r="I52" s="1">
        <f>VLOOKUP('comite 3'!$C$4,prevision9!$A$1:$BG$28,MATCH(H52,$A$1:$BG$1,0),FALSE)</f>
        <v>48.868903146018098</v>
      </c>
    </row>
    <row r="53" spans="2:10" x14ac:dyDescent="0.25">
      <c r="B53" s="1">
        <v>2012</v>
      </c>
      <c r="C53" s="1">
        <f>VLOOKUP(Indicateur9!$K$6,prevision9!$A$1:$AC$29,MATCH(prevision9!B53,prevision9!$A$1:$AC$1,0),FALSE)</f>
        <v>60.067511937193302</v>
      </c>
      <c r="H53" s="1">
        <v>2012</v>
      </c>
      <c r="I53" s="1">
        <f>VLOOKUP('comite 3'!$C$4,prevision9!$A$1:$BG$28,MATCH(H53,$A$1:$BG$1,0),FALSE)</f>
        <v>60.067511937193302</v>
      </c>
    </row>
    <row r="54" spans="2:10" x14ac:dyDescent="0.25">
      <c r="B54" s="1">
        <v>2013</v>
      </c>
      <c r="C54" s="1">
        <f>VLOOKUP(Indicateur9!$K$6,prevision9!$A$1:$AC$29,MATCH(prevision9!B54,prevision9!$A$1:$AC$1,0),FALSE)</f>
        <v>76.333937340697702</v>
      </c>
      <c r="H54" s="1">
        <v>2013</v>
      </c>
      <c r="I54" s="1">
        <f>VLOOKUP('comite 3'!$C$4,prevision9!$A$1:$BG$28,MATCH(H54,$A$1:$BG$1,0),FALSE)</f>
        <v>76.333937340697702</v>
      </c>
    </row>
    <row r="55" spans="2:10" x14ac:dyDescent="0.25">
      <c r="B55" s="1">
        <v>2014</v>
      </c>
      <c r="C55" s="1">
        <f>VLOOKUP(Indicateur9!$K$6,prevision9!$A$1:$AC$29,MATCH(prevision9!B55,prevision9!$A$1:$AC$1,0),FALSE)</f>
        <v>81.280740435037103</v>
      </c>
      <c r="H55" s="1">
        <v>2014</v>
      </c>
      <c r="I55" s="1">
        <f>VLOOKUP('comite 3'!$C$4,prevision9!$A$1:$BG$28,MATCH(H55,$A$1:$BG$1,0),FALSE)</f>
        <v>81.280740435037103</v>
      </c>
    </row>
    <row r="56" spans="2:10" x14ac:dyDescent="0.25">
      <c r="B56" s="1">
        <v>2015</v>
      </c>
      <c r="C56" s="1">
        <f>VLOOKUP(Indicateur9!$K$6,prevision9!$A$1:$AC$29,MATCH(prevision9!B56,prevision9!$A$1:$AC$1,0),FALSE)</f>
        <v>96.021022545771999</v>
      </c>
      <c r="H56" s="1">
        <v>2015</v>
      </c>
      <c r="I56" s="1">
        <f>VLOOKUP('comite 3'!$C$4,prevision9!$A$1:$BG$28,MATCH(H56,$A$1:$BG$1,0),FALSE)</f>
        <v>96.021022545771999</v>
      </c>
    </row>
    <row r="57" spans="2:10" x14ac:dyDescent="0.25">
      <c r="B57" s="1">
        <v>2016</v>
      </c>
      <c r="C57" s="1">
        <f>VLOOKUP(Indicateur9!$K$6,prevision9!$A$1:$AC$29,MATCH(prevision9!B57,prevision9!$A$1:$AC$1,0),FALSE)</f>
        <v>110.825514233956</v>
      </c>
      <c r="H57" s="1">
        <v>2016</v>
      </c>
      <c r="I57" s="1">
        <f>VLOOKUP('comite 3'!$C$4,prevision9!$A$1:$BG$28,MATCH(H57,$A$1:$BG$1,0),FALSE)</f>
        <v>110.825514233956</v>
      </c>
    </row>
    <row r="58" spans="2:10" x14ac:dyDescent="0.25">
      <c r="B58" s="1">
        <v>2017</v>
      </c>
      <c r="C58" s="1">
        <f>VLOOKUP(Indicateur9!$K$6,prevision9!$A$1:$AC$29,MATCH(prevision9!B58,prevision9!$A$1:$AC$1,0),FALSE)</f>
        <v>123.174879588799</v>
      </c>
      <c r="D58" s="1">
        <f>C58</f>
        <v>123.174879588799</v>
      </c>
      <c r="H58" s="1">
        <v>2017</v>
      </c>
      <c r="I58" s="1">
        <f>VLOOKUP('comite 3'!$C$4,prevision9!$A$1:$BG$28,MATCH(H58,$A$1:$BG$1,0),FALSE)</f>
        <v>123.174879588799</v>
      </c>
      <c r="J58" s="1">
        <f>I58</f>
        <v>123.174879588799</v>
      </c>
    </row>
    <row r="59" spans="2:10" x14ac:dyDescent="0.25">
      <c r="B59" s="1">
        <v>2018</v>
      </c>
      <c r="D59" s="1">
        <f>TREND($C$31:$C$58,$B$31:$B$58,B59)</f>
        <v>80.63097574204312</v>
      </c>
      <c r="H59" s="1">
        <v>2018</v>
      </c>
      <c r="J59" s="1">
        <f>TREND($I$31:$I$58,$H$31:$H$58,H59)</f>
        <v>80.63097574204312</v>
      </c>
    </row>
    <row r="60" spans="2:10" x14ac:dyDescent="0.25">
      <c r="B60" s="1">
        <v>2019</v>
      </c>
      <c r="D60" s="1">
        <f t="shared" ref="D60:D71" si="0">TREND($C$31:$C$58,$B$31:$B$58,B60)</f>
        <v>84.501506871748461</v>
      </c>
      <c r="H60" s="1">
        <v>2019</v>
      </c>
      <c r="J60" s="1">
        <f t="shared" ref="J60:J71" si="1">TREND($I$31:$I$58,$H$31:$H$58,H60)</f>
        <v>84.501506871748461</v>
      </c>
    </row>
    <row r="61" spans="2:10" x14ac:dyDescent="0.25">
      <c r="B61" s="1">
        <v>2020</v>
      </c>
      <c r="D61" s="1">
        <f t="shared" si="0"/>
        <v>88.372038001453802</v>
      </c>
      <c r="H61" s="1">
        <v>2020</v>
      </c>
      <c r="J61" s="1">
        <f t="shared" si="1"/>
        <v>88.372038001453802</v>
      </c>
    </row>
    <row r="62" spans="2:10" x14ac:dyDescent="0.25">
      <c r="B62" s="1">
        <v>2021</v>
      </c>
      <c r="D62" s="1">
        <f t="shared" si="0"/>
        <v>92.242569131159144</v>
      </c>
      <c r="H62" s="1">
        <v>2021</v>
      </c>
      <c r="J62" s="1">
        <f t="shared" si="1"/>
        <v>92.242569131159144</v>
      </c>
    </row>
    <row r="63" spans="2:10" x14ac:dyDescent="0.25">
      <c r="B63" s="1">
        <v>2022</v>
      </c>
      <c r="D63" s="1">
        <f t="shared" si="0"/>
        <v>96.113100260865394</v>
      </c>
      <c r="H63" s="1">
        <v>2022</v>
      </c>
      <c r="J63" s="1">
        <f t="shared" si="1"/>
        <v>96.113100260865394</v>
      </c>
    </row>
    <row r="64" spans="2:10" x14ac:dyDescent="0.25">
      <c r="B64" s="1">
        <v>2023</v>
      </c>
      <c r="D64" s="1">
        <f t="shared" si="0"/>
        <v>99.983631390570736</v>
      </c>
      <c r="H64" s="1">
        <v>2023</v>
      </c>
      <c r="J64" s="1">
        <f t="shared" si="1"/>
        <v>99.983631390570736</v>
      </c>
    </row>
    <row r="65" spans="2:10" x14ac:dyDescent="0.25">
      <c r="B65" s="1">
        <v>2024</v>
      </c>
      <c r="D65" s="1">
        <f t="shared" si="0"/>
        <v>103.85416252027608</v>
      </c>
      <c r="H65" s="1">
        <v>2024</v>
      </c>
      <c r="J65" s="1">
        <f t="shared" si="1"/>
        <v>103.85416252027608</v>
      </c>
    </row>
    <row r="66" spans="2:10" x14ac:dyDescent="0.25">
      <c r="B66" s="1">
        <v>2025</v>
      </c>
      <c r="D66" s="1">
        <f t="shared" si="0"/>
        <v>107.72469364998142</v>
      </c>
      <c r="H66" s="1">
        <v>2025</v>
      </c>
      <c r="J66" s="1">
        <f t="shared" si="1"/>
        <v>107.72469364998142</v>
      </c>
    </row>
    <row r="67" spans="2:10" x14ac:dyDescent="0.25">
      <c r="B67" s="1">
        <v>2026</v>
      </c>
      <c r="D67" s="1">
        <f t="shared" si="0"/>
        <v>111.59522477968676</v>
      </c>
      <c r="H67" s="1">
        <v>2026</v>
      </c>
      <c r="J67" s="1">
        <f t="shared" si="1"/>
        <v>111.59522477968676</v>
      </c>
    </row>
    <row r="68" spans="2:10" x14ac:dyDescent="0.25">
      <c r="B68" s="1">
        <v>2027</v>
      </c>
      <c r="D68" s="1">
        <f t="shared" si="0"/>
        <v>115.4657559093921</v>
      </c>
      <c r="H68" s="1">
        <v>2027</v>
      </c>
      <c r="J68" s="1">
        <f t="shared" si="1"/>
        <v>115.4657559093921</v>
      </c>
    </row>
    <row r="69" spans="2:10" x14ac:dyDescent="0.25">
      <c r="B69" s="1">
        <v>2028</v>
      </c>
      <c r="D69" s="1">
        <f t="shared" si="0"/>
        <v>119.33628703909744</v>
      </c>
      <c r="H69" s="1">
        <v>2028</v>
      </c>
      <c r="J69" s="1">
        <f t="shared" si="1"/>
        <v>119.33628703909744</v>
      </c>
    </row>
    <row r="70" spans="2:10" x14ac:dyDescent="0.25">
      <c r="B70" s="1">
        <v>2029</v>
      </c>
      <c r="D70" s="1">
        <f t="shared" si="0"/>
        <v>123.20681816880278</v>
      </c>
      <c r="H70" s="1">
        <v>2029</v>
      </c>
      <c r="J70" s="1">
        <f t="shared" si="1"/>
        <v>123.20681816880278</v>
      </c>
    </row>
    <row r="71" spans="2:10" x14ac:dyDescent="0.25">
      <c r="B71" s="1">
        <v>2030</v>
      </c>
      <c r="D71" s="1">
        <f t="shared" si="0"/>
        <v>127.07734929850903</v>
      </c>
      <c r="H71" s="1">
        <v>2030</v>
      </c>
      <c r="J71" s="1">
        <f t="shared" si="1"/>
        <v>127.07734929850903</v>
      </c>
    </row>
  </sheetData>
  <phoneticPr fontId="10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comite 3</vt:lpstr>
      <vt:lpstr>Indicateur7</vt:lpstr>
      <vt:lpstr>Indicateur8</vt:lpstr>
      <vt:lpstr>Indicateur9</vt:lpstr>
      <vt:lpstr>prevision7</vt:lpstr>
      <vt:lpstr>prevision8</vt:lpstr>
      <vt:lpstr>prevision9</vt:lpstr>
    </vt:vector>
  </TitlesOfParts>
  <Company>UT1C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WEIHUI TU</dc:creator>
  <cp:lastModifiedBy>maikefeng</cp:lastModifiedBy>
  <dcterms:created xsi:type="dcterms:W3CDTF">2019-03-29T15:27:26Z</dcterms:created>
  <dcterms:modified xsi:type="dcterms:W3CDTF">2019-04-11T05:55:34Z</dcterms:modified>
</cp:coreProperties>
</file>